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6400" windowHeight="1714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T19" i="20"/>
  <c r="S15" i="20"/>
  <c r="S14" i="20"/>
  <c r="S8" i="20"/>
  <c r="H40" i="20"/>
  <c r="H39" i="20"/>
  <c r="S39" i="20"/>
  <c r="H38" i="20"/>
  <c r="H35" i="20"/>
  <c r="S42" i="20"/>
  <c r="T43" i="20"/>
  <c r="H34" i="20"/>
  <c r="H33" i="20"/>
  <c r="S36" i="20"/>
  <c r="H30" i="20"/>
  <c r="H29" i="20"/>
  <c r="H28" i="20"/>
  <c r="S40" i="20"/>
  <c r="H27" i="20"/>
  <c r="S37" i="20"/>
  <c r="H24" i="20"/>
  <c r="H23" i="20"/>
  <c r="H15" i="20"/>
  <c r="H14" i="20"/>
  <c r="H13" i="20"/>
  <c r="H8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X259" i="14"/>
  <c r="AY14" i="14"/>
  <c r="AX181" i="14"/>
  <c r="AX179" i="14"/>
  <c r="AX260" i="14"/>
  <c r="AX177" i="14"/>
  <c r="AX175" i="14"/>
  <c r="AW259" i="14"/>
  <c r="AX14" i="14"/>
  <c r="AW181" i="14"/>
  <c r="AW179" i="14"/>
  <c r="AW260" i="14"/>
  <c r="AW177" i="14"/>
  <c r="AW175" i="14"/>
  <c r="AW14" i="14"/>
  <c r="AV259" i="14"/>
  <c r="AV181" i="14"/>
  <c r="AV179" i="14"/>
  <c r="AV177" i="14"/>
  <c r="AV175" i="14"/>
  <c r="AU260" i="14"/>
  <c r="AV14" i="14"/>
  <c r="AU259" i="14"/>
  <c r="AU181" i="14"/>
  <c r="AU179" i="14"/>
  <c r="AU177" i="14"/>
  <c r="AU175" i="14"/>
  <c r="AT259" i="14"/>
  <c r="AU14" i="14"/>
  <c r="AT181" i="14"/>
  <c r="AT179" i="14"/>
  <c r="AT177" i="14"/>
  <c r="AT260" i="14"/>
  <c r="AT175" i="14"/>
  <c r="AT14" i="14"/>
  <c r="AS259" i="14"/>
  <c r="AS181" i="14"/>
  <c r="AS179" i="14"/>
  <c r="AS177" i="14"/>
  <c r="AS175" i="14"/>
  <c r="AS260" i="14"/>
  <c r="AR259" i="14"/>
  <c r="AS14" i="14"/>
  <c r="AR181" i="14"/>
  <c r="AR179" i="14"/>
  <c r="AR177" i="14"/>
  <c r="AR175" i="14"/>
  <c r="AR14" i="14"/>
  <c r="AQ259" i="14"/>
  <c r="AQ181" i="14"/>
  <c r="AQ179" i="14"/>
  <c r="AQ177" i="14"/>
  <c r="AQ175" i="14"/>
  <c r="AQ260" i="14"/>
  <c r="AP259" i="14"/>
  <c r="AQ14" i="14"/>
  <c r="AP181" i="14"/>
  <c r="AP179" i="14"/>
  <c r="AP260" i="14"/>
  <c r="AP177" i="14"/>
  <c r="AP175" i="14"/>
  <c r="AO259" i="14"/>
  <c r="AP14" i="14"/>
  <c r="AO181" i="14"/>
  <c r="AO179" i="14"/>
  <c r="AO260" i="14"/>
  <c r="AO177" i="14"/>
  <c r="AO175" i="14"/>
  <c r="AO14" i="14"/>
  <c r="AN259" i="14"/>
  <c r="AN181" i="14"/>
  <c r="AN179" i="14"/>
  <c r="AN177" i="14"/>
  <c r="AN175" i="14"/>
  <c r="AM260" i="14"/>
  <c r="AN14" i="14"/>
  <c r="AM259" i="14"/>
  <c r="AM181" i="14"/>
  <c r="AM179" i="14"/>
  <c r="AM177" i="14"/>
  <c r="AM175" i="14"/>
  <c r="AL259" i="14"/>
  <c r="AM14" i="14"/>
  <c r="AL181" i="14"/>
  <c r="AL179" i="14"/>
  <c r="AL177" i="14"/>
  <c r="AL260" i="14"/>
  <c r="AL175" i="14"/>
  <c r="AK259" i="14"/>
  <c r="AL14" i="14"/>
  <c r="AK181" i="14"/>
  <c r="AK179" i="14"/>
  <c r="AK177" i="14"/>
  <c r="AK175" i="14"/>
  <c r="AJ259" i="14"/>
  <c r="AK14" i="14"/>
  <c r="AJ181" i="14"/>
  <c r="AJ179" i="14"/>
  <c r="AJ177" i="14"/>
  <c r="AJ175" i="14"/>
  <c r="AI260" i="14"/>
  <c r="AJ14" i="14"/>
  <c r="AI259" i="14"/>
  <c r="AI181" i="14"/>
  <c r="AI179" i="14"/>
  <c r="AI177" i="14"/>
  <c r="AI175" i="14"/>
  <c r="AH259" i="14"/>
  <c r="AI14" i="14"/>
  <c r="AH181" i="14"/>
  <c r="AH179" i="14"/>
  <c r="AH260" i="14"/>
  <c r="AH177" i="14"/>
  <c r="AH175" i="14"/>
  <c r="AG259" i="14"/>
  <c r="AH14" i="14"/>
  <c r="AG181" i="14"/>
  <c r="AG179" i="14"/>
  <c r="AG177" i="14"/>
  <c r="AG260" i="14"/>
  <c r="AG175" i="14"/>
  <c r="AF259" i="14"/>
  <c r="AG14" i="14"/>
  <c r="AF181" i="14"/>
  <c r="AF179" i="14"/>
  <c r="AF177" i="14"/>
  <c r="AF175" i="14"/>
  <c r="AF14" i="14"/>
  <c r="AE259" i="14"/>
  <c r="AE181" i="14"/>
  <c r="AE260" i="14"/>
  <c r="AE179" i="14"/>
  <c r="AE177" i="14"/>
  <c r="AE175" i="14"/>
  <c r="AD259" i="14"/>
  <c r="AE14" i="14"/>
  <c r="AD181" i="14"/>
  <c r="AD179" i="14"/>
  <c r="AD260" i="14"/>
  <c r="AD177" i="14"/>
  <c r="AD175" i="14"/>
  <c r="AD14" i="14"/>
  <c r="AC259" i="14"/>
  <c r="AC181" i="14"/>
  <c r="AC179" i="14"/>
  <c r="AC177" i="14"/>
  <c r="AC175" i="14"/>
  <c r="AC260" i="14"/>
  <c r="AB259" i="14"/>
  <c r="AC14" i="14"/>
  <c r="AB181" i="14"/>
  <c r="AB179" i="14"/>
  <c r="AB177" i="14"/>
  <c r="AB175" i="14"/>
  <c r="AB14" i="14"/>
  <c r="AA259" i="14"/>
  <c r="AA181" i="14"/>
  <c r="AA179" i="14"/>
  <c r="AA177" i="14"/>
  <c r="AA175" i="14"/>
  <c r="AA260" i="14"/>
  <c r="Z259" i="14"/>
  <c r="AA14" i="14"/>
  <c r="Z181" i="14"/>
  <c r="Z179" i="14"/>
  <c r="Z260" i="14"/>
  <c r="Z177" i="14"/>
  <c r="Z175" i="14"/>
  <c r="Y259" i="14"/>
  <c r="Z14" i="14"/>
  <c r="Y181" i="14"/>
  <c r="Y179" i="14"/>
  <c r="Y260" i="14"/>
  <c r="Y177" i="14"/>
  <c r="Y175" i="14"/>
  <c r="Y14" i="14"/>
  <c r="X259" i="14"/>
  <c r="X181" i="14"/>
  <c r="X179" i="14"/>
  <c r="X177" i="14"/>
  <c r="X175" i="14"/>
  <c r="X260" i="14"/>
  <c r="X14" i="14"/>
  <c r="W259" i="14"/>
  <c r="W181" i="14"/>
  <c r="W179" i="14"/>
  <c r="W177" i="14"/>
  <c r="W175" i="14"/>
  <c r="V259" i="14"/>
  <c r="W14" i="14"/>
  <c r="V181" i="14"/>
  <c r="V179" i="14"/>
  <c r="V260" i="14"/>
  <c r="V177" i="14"/>
  <c r="V175" i="14"/>
  <c r="V14" i="14"/>
  <c r="U259" i="14"/>
  <c r="U181" i="14"/>
  <c r="U179" i="14"/>
  <c r="U177" i="14"/>
  <c r="U175" i="14"/>
  <c r="U260" i="14"/>
  <c r="T259" i="14"/>
  <c r="U14" i="14"/>
  <c r="T181" i="14"/>
  <c r="T179" i="14"/>
  <c r="T177" i="14"/>
  <c r="T175" i="14"/>
  <c r="T14" i="14"/>
  <c r="S259" i="14"/>
  <c r="S181" i="14"/>
  <c r="S179" i="14"/>
  <c r="S177" i="14"/>
  <c r="S175" i="14"/>
  <c r="S260" i="14"/>
  <c r="R259" i="14"/>
  <c r="S14" i="14"/>
  <c r="R181" i="14"/>
  <c r="R179" i="14"/>
  <c r="R260" i="14"/>
  <c r="R177" i="14"/>
  <c r="R175" i="14"/>
  <c r="Q259" i="14"/>
  <c r="R14" i="14"/>
  <c r="Q181" i="14"/>
  <c r="Q179" i="14"/>
  <c r="Q260" i="14"/>
  <c r="Q177" i="14"/>
  <c r="Q175" i="14"/>
  <c r="Q14" i="14"/>
  <c r="P259" i="14"/>
  <c r="P181" i="14"/>
  <c r="P179" i="14"/>
  <c r="P177" i="14"/>
  <c r="P175" i="14"/>
  <c r="P260" i="14"/>
  <c r="P14" i="14"/>
  <c r="O259" i="14"/>
  <c r="O181" i="14"/>
  <c r="O179" i="14"/>
  <c r="O260" i="14"/>
  <c r="O177" i="14"/>
  <c r="O175" i="14"/>
  <c r="N259" i="14"/>
  <c r="O14" i="14"/>
  <c r="N181" i="14"/>
  <c r="N179" i="14"/>
  <c r="N177" i="14"/>
  <c r="N260" i="14"/>
  <c r="N175" i="14"/>
  <c r="N14" i="14"/>
  <c r="M259" i="14"/>
  <c r="M181" i="14"/>
  <c r="M179" i="14"/>
  <c r="M177" i="14"/>
  <c r="M175" i="14"/>
  <c r="M260" i="14"/>
  <c r="L259" i="14"/>
  <c r="M14" i="14"/>
  <c r="L181" i="14"/>
  <c r="L179" i="14"/>
  <c r="L177" i="14"/>
  <c r="L175" i="14"/>
  <c r="L14" i="14"/>
  <c r="K259" i="14"/>
  <c r="K181" i="14"/>
  <c r="K179" i="14"/>
  <c r="K177" i="14"/>
  <c r="K175" i="14"/>
  <c r="J259" i="14"/>
  <c r="K14" i="14"/>
  <c r="J181" i="14"/>
  <c r="J179" i="14"/>
  <c r="J260" i="14"/>
  <c r="J177" i="14"/>
  <c r="J175" i="14"/>
  <c r="I259" i="14"/>
  <c r="J14" i="14"/>
  <c r="I181" i="14"/>
  <c r="I179" i="14"/>
  <c r="I177" i="14"/>
  <c r="I260" i="14"/>
  <c r="I175" i="14"/>
  <c r="I14" i="14"/>
  <c r="H259" i="14"/>
  <c r="H181" i="14"/>
  <c r="H179" i="14"/>
  <c r="H177" i="14"/>
  <c r="H175" i="14"/>
  <c r="H260" i="14"/>
  <c r="H14" i="14"/>
  <c r="G259" i="14"/>
  <c r="G181" i="14"/>
  <c r="G179" i="14"/>
  <c r="G260" i="14"/>
  <c r="G177" i="14"/>
  <c r="G175" i="14"/>
  <c r="F259" i="14"/>
  <c r="G14" i="14"/>
  <c r="F181" i="14"/>
  <c r="F179" i="14"/>
  <c r="F177" i="14"/>
  <c r="F260" i="14"/>
  <c r="F175" i="14"/>
  <c r="E259" i="14"/>
  <c r="F14" i="14"/>
  <c r="E181" i="14"/>
  <c r="E179" i="14"/>
  <c r="E177" i="14"/>
  <c r="E175" i="14"/>
  <c r="D259" i="14"/>
  <c r="E14" i="14"/>
  <c r="D181" i="14"/>
  <c r="D179" i="14"/>
  <c r="D177" i="14"/>
  <c r="D175" i="14"/>
  <c r="AZ14" i="15"/>
  <c r="AY259" i="15"/>
  <c r="AY181" i="15"/>
  <c r="AY260" i="15"/>
  <c r="AY179" i="15"/>
  <c r="AY177" i="15"/>
  <c r="AY175" i="15"/>
  <c r="AX259" i="15"/>
  <c r="AY14" i="15"/>
  <c r="AX181" i="15"/>
  <c r="AX179" i="15"/>
  <c r="AX260" i="15"/>
  <c r="AX177" i="15"/>
  <c r="AX175" i="15"/>
  <c r="AW259" i="15"/>
  <c r="AX14" i="15"/>
  <c r="AW181" i="15"/>
  <c r="AW179" i="15"/>
  <c r="AW177" i="15"/>
  <c r="AW260" i="15"/>
  <c r="AW175" i="15"/>
  <c r="AV259" i="15"/>
  <c r="AW14" i="15"/>
  <c r="AV181" i="15"/>
  <c r="AV179" i="15"/>
  <c r="AV177" i="15"/>
  <c r="AV175" i="15"/>
  <c r="AV14" i="15"/>
  <c r="AU259" i="15"/>
  <c r="AU181" i="15"/>
  <c r="AU260" i="15"/>
  <c r="AU179" i="15"/>
  <c r="AU177" i="15"/>
  <c r="AU175" i="15"/>
  <c r="AT259" i="15"/>
  <c r="AU14" i="15"/>
  <c r="AT181" i="15"/>
  <c r="AT179" i="15"/>
  <c r="AT260" i="15"/>
  <c r="AT177" i="15"/>
  <c r="AT175" i="15"/>
  <c r="AS259" i="15"/>
  <c r="AT14" i="15"/>
  <c r="AS181" i="15"/>
  <c r="AS179" i="15"/>
  <c r="AS177" i="15"/>
  <c r="AS175" i="15"/>
  <c r="AR259" i="15"/>
  <c r="AS14" i="15"/>
  <c r="AR181" i="15"/>
  <c r="AR179" i="15"/>
  <c r="AR177" i="15"/>
  <c r="AR175" i="15"/>
  <c r="AQ260" i="15"/>
  <c r="AR14" i="15"/>
  <c r="AQ259" i="15"/>
  <c r="AQ181" i="15"/>
  <c r="AQ179" i="15"/>
  <c r="AQ177" i="15"/>
  <c r="AQ175" i="15"/>
  <c r="AP259" i="15"/>
  <c r="AQ14" i="15"/>
  <c r="AP181" i="15"/>
  <c r="AP179" i="15"/>
  <c r="AP177" i="15"/>
  <c r="AP175" i="15"/>
  <c r="AO259" i="15"/>
  <c r="AP14" i="15"/>
  <c r="AO181" i="15"/>
  <c r="AO179" i="15"/>
  <c r="AO260" i="15"/>
  <c r="AO177" i="15"/>
  <c r="AO175" i="15"/>
  <c r="AO14" i="15"/>
  <c r="AN259" i="15"/>
  <c r="AN181" i="15"/>
  <c r="AN179" i="15"/>
  <c r="AN177" i="15"/>
  <c r="AN175" i="15"/>
  <c r="AN260" i="15"/>
  <c r="AN14" i="15"/>
  <c r="AM259" i="15"/>
  <c r="AM181" i="15"/>
  <c r="AM179" i="15"/>
  <c r="AM260" i="15"/>
  <c r="AM177" i="15"/>
  <c r="AM175" i="15"/>
  <c r="AL259" i="15"/>
  <c r="AM14" i="15"/>
  <c r="AL181" i="15"/>
  <c r="AL179" i="15"/>
  <c r="AL177" i="15"/>
  <c r="AL260" i="15"/>
  <c r="AL175" i="15"/>
  <c r="AK259" i="15"/>
  <c r="AL14" i="15"/>
  <c r="AK181" i="15"/>
  <c r="AK179" i="15"/>
  <c r="AK177" i="15"/>
  <c r="AK175" i="15"/>
  <c r="AJ259" i="15"/>
  <c r="AK14" i="15"/>
  <c r="AJ181" i="15"/>
  <c r="AJ179" i="15"/>
  <c r="AJ177" i="15"/>
  <c r="AJ175" i="15"/>
  <c r="AI260" i="15"/>
  <c r="AJ14" i="15"/>
  <c r="AI259" i="15"/>
  <c r="AI181" i="15"/>
  <c r="AI179" i="15"/>
  <c r="AI177" i="15"/>
  <c r="AI175" i="15"/>
  <c r="AH259" i="15"/>
  <c r="AI14" i="15"/>
  <c r="AH181" i="15"/>
  <c r="AH179" i="15"/>
  <c r="AH260" i="15"/>
  <c r="AH177" i="15"/>
  <c r="AH175" i="15"/>
  <c r="AG259" i="15"/>
  <c r="AH14" i="15"/>
  <c r="AG181" i="15"/>
  <c r="AG179" i="15"/>
  <c r="AG177" i="15"/>
  <c r="AG260" i="15"/>
  <c r="AG175" i="15"/>
  <c r="AF259" i="15"/>
  <c r="AG14" i="15"/>
  <c r="AF181" i="15"/>
  <c r="AF179" i="15"/>
  <c r="AF177" i="15"/>
  <c r="AF175" i="15"/>
  <c r="AF14" i="15"/>
  <c r="AE259" i="15"/>
  <c r="AE181" i="15"/>
  <c r="AE260" i="15"/>
  <c r="AE179" i="15"/>
  <c r="AE177" i="15"/>
  <c r="AE175" i="15"/>
  <c r="AD259" i="15"/>
  <c r="AE14" i="15"/>
  <c r="AD181" i="15"/>
  <c r="AD179" i="15"/>
  <c r="AD260" i="15"/>
  <c r="AD177" i="15"/>
  <c r="AD175" i="15"/>
  <c r="AD14" i="15"/>
  <c r="AC259" i="15"/>
  <c r="AC181" i="15"/>
  <c r="AC179" i="15"/>
  <c r="AC177" i="15"/>
  <c r="AC175" i="15"/>
  <c r="AC260" i="15"/>
  <c r="AB259" i="15"/>
  <c r="AC14" i="15"/>
  <c r="AB181" i="15"/>
  <c r="AB179" i="15"/>
  <c r="AB177" i="15"/>
  <c r="AB175" i="15"/>
  <c r="AB14" i="15"/>
  <c r="AA259" i="15"/>
  <c r="AA181" i="15"/>
  <c r="AA179" i="15"/>
  <c r="AA177" i="15"/>
  <c r="AA175" i="15"/>
  <c r="Z259" i="15"/>
  <c r="AA14" i="15"/>
  <c r="Z181" i="15"/>
  <c r="Z179" i="15"/>
  <c r="Z260" i="15"/>
  <c r="Z177" i="15"/>
  <c r="Z175" i="15"/>
  <c r="Y259" i="15"/>
  <c r="Z14" i="15"/>
  <c r="Y181" i="15"/>
  <c r="Y179" i="15"/>
  <c r="Y177" i="15"/>
  <c r="Y260" i="15"/>
  <c r="Y175" i="15"/>
  <c r="Y14" i="15"/>
  <c r="X259" i="15"/>
  <c r="X181" i="15"/>
  <c r="X179" i="15"/>
  <c r="X177" i="15"/>
  <c r="X175" i="15"/>
  <c r="W260" i="15"/>
  <c r="X14" i="15"/>
  <c r="W259" i="15"/>
  <c r="W181" i="15"/>
  <c r="W179" i="15"/>
  <c r="W177" i="15"/>
  <c r="W175" i="15"/>
  <c r="V259" i="15"/>
  <c r="W14" i="15"/>
  <c r="V181" i="15"/>
  <c r="V179" i="15"/>
  <c r="V177" i="15"/>
  <c r="V260" i="15"/>
  <c r="V175" i="15"/>
  <c r="U259" i="15"/>
  <c r="V14" i="15"/>
  <c r="U181" i="15"/>
  <c r="U179" i="15"/>
  <c r="U177" i="15"/>
  <c r="U175" i="15"/>
  <c r="T259" i="15"/>
  <c r="U14" i="15"/>
  <c r="T181" i="15"/>
  <c r="T179" i="15"/>
  <c r="T177" i="15"/>
  <c r="T175" i="15"/>
  <c r="T14" i="15"/>
  <c r="S259" i="15"/>
  <c r="S181" i="15"/>
  <c r="S260" i="15"/>
  <c r="S179" i="15"/>
  <c r="S177" i="15"/>
  <c r="S175" i="15"/>
  <c r="R259" i="15"/>
  <c r="S14" i="15"/>
  <c r="R181" i="15"/>
  <c r="R179" i="15"/>
  <c r="R260" i="15"/>
  <c r="R177" i="15"/>
  <c r="R175" i="15"/>
  <c r="Q259" i="15"/>
  <c r="R14" i="15"/>
  <c r="Q181" i="15"/>
  <c r="Q179" i="15"/>
  <c r="Q177" i="15"/>
  <c r="Q260" i="15"/>
  <c r="Q175" i="15"/>
  <c r="P259" i="15"/>
  <c r="Q14" i="15"/>
  <c r="P181" i="15"/>
  <c r="P179" i="15"/>
  <c r="P177" i="15"/>
  <c r="P175" i="15"/>
  <c r="O260" i="15"/>
  <c r="P14" i="15"/>
  <c r="O259" i="15"/>
  <c r="O181" i="15"/>
  <c r="O179" i="15"/>
  <c r="O177" i="15"/>
  <c r="O175" i="15"/>
  <c r="N259" i="15"/>
  <c r="O14" i="15"/>
  <c r="N181" i="15"/>
  <c r="N179" i="15"/>
  <c r="N260" i="15"/>
  <c r="N177" i="15"/>
  <c r="N175" i="15"/>
  <c r="M259" i="15"/>
  <c r="N14" i="15"/>
  <c r="M181" i="15"/>
  <c r="M179" i="15"/>
  <c r="M177" i="15"/>
  <c r="M175" i="15"/>
  <c r="L259" i="15"/>
  <c r="M14" i="15"/>
  <c r="L181" i="15"/>
  <c r="L179" i="15"/>
  <c r="L177" i="15"/>
  <c r="L175" i="15"/>
  <c r="K260" i="15"/>
  <c r="L14" i="15"/>
  <c r="K259" i="15"/>
  <c r="K181" i="15"/>
  <c r="K179" i="15"/>
  <c r="K177" i="15"/>
  <c r="K175" i="15"/>
  <c r="J259" i="15"/>
  <c r="K14" i="15"/>
  <c r="J181" i="15"/>
  <c r="J179" i="15"/>
  <c r="J177" i="15"/>
  <c r="J175" i="15"/>
  <c r="I259" i="15"/>
  <c r="J14" i="15"/>
  <c r="I181" i="15"/>
  <c r="I179" i="15"/>
  <c r="I260" i="15"/>
  <c r="I177" i="15"/>
  <c r="I175" i="15"/>
  <c r="H259" i="15"/>
  <c r="I14" i="15"/>
  <c r="H181" i="15"/>
  <c r="H179" i="15"/>
  <c r="H177" i="15"/>
  <c r="H175" i="15"/>
  <c r="H14" i="15"/>
  <c r="G259" i="15"/>
  <c r="G181" i="15"/>
  <c r="G179" i="15"/>
  <c r="G260" i="15"/>
  <c r="G177" i="15"/>
  <c r="G175" i="15"/>
  <c r="F259" i="15"/>
  <c r="G14" i="15"/>
  <c r="F181" i="15"/>
  <c r="F179" i="15"/>
  <c r="F177" i="15"/>
  <c r="F260" i="15"/>
  <c r="F175" i="15"/>
  <c r="F14" i="15"/>
  <c r="E259" i="15"/>
  <c r="E181" i="15"/>
  <c r="E179" i="15"/>
  <c r="E177" i="15"/>
  <c r="E175" i="15"/>
  <c r="E260" i="15"/>
  <c r="D259" i="15"/>
  <c r="E14" i="15"/>
  <c r="D181" i="15"/>
  <c r="D179" i="15"/>
  <c r="D177" i="15"/>
  <c r="D175" i="15"/>
  <c r="AZ14" i="16"/>
  <c r="AY259" i="16"/>
  <c r="AY181" i="16"/>
  <c r="AY179" i="16"/>
  <c r="AY177" i="16"/>
  <c r="AY175" i="16"/>
  <c r="AY260" i="16"/>
  <c r="AX259" i="16"/>
  <c r="AY14" i="16"/>
  <c r="AX181" i="16"/>
  <c r="AX179" i="16"/>
  <c r="AX260" i="16"/>
  <c r="AX177" i="16"/>
  <c r="AX175" i="16"/>
  <c r="AW259" i="16"/>
  <c r="AX14" i="16"/>
  <c r="AW181" i="16"/>
  <c r="AW179" i="16"/>
  <c r="AW177" i="16"/>
  <c r="AW260" i="16"/>
  <c r="AW175" i="16"/>
  <c r="AW14" i="16"/>
  <c r="AV259" i="16"/>
  <c r="AV181" i="16"/>
  <c r="AV179" i="16"/>
  <c r="AV177" i="16"/>
  <c r="AV175" i="16"/>
  <c r="AU260" i="16"/>
  <c r="AV14" i="16"/>
  <c r="AU259" i="16"/>
  <c r="AU181" i="16"/>
  <c r="AU179" i="16"/>
  <c r="AU177" i="16"/>
  <c r="AU175" i="16"/>
  <c r="AT259" i="16"/>
  <c r="AU14" i="16"/>
  <c r="AT181" i="16"/>
  <c r="AT179" i="16"/>
  <c r="AT177" i="16"/>
  <c r="AT260" i="16"/>
  <c r="AT175" i="16"/>
  <c r="AT14" i="16"/>
  <c r="AS259" i="16"/>
  <c r="AS181" i="16"/>
  <c r="AS179" i="16"/>
  <c r="AS177" i="16"/>
  <c r="AS175" i="16"/>
  <c r="AS260" i="16"/>
  <c r="AR259" i="16"/>
  <c r="AS14" i="16"/>
  <c r="AR181" i="16"/>
  <c r="AR179" i="16"/>
  <c r="AR177" i="16"/>
  <c r="AR175" i="16"/>
  <c r="AR14" i="16"/>
  <c r="AQ259" i="16"/>
  <c r="AQ181" i="16"/>
  <c r="AQ179" i="16"/>
  <c r="AQ177" i="16"/>
  <c r="AQ175" i="16"/>
  <c r="AP259" i="16"/>
  <c r="AQ14" i="16"/>
  <c r="AP181" i="16"/>
  <c r="AP179" i="16"/>
  <c r="AP260" i="16"/>
  <c r="AP177" i="16"/>
  <c r="AP175" i="16"/>
  <c r="AO259" i="16"/>
  <c r="AP14" i="16"/>
  <c r="AO181" i="16"/>
  <c r="AO179" i="16"/>
  <c r="AO177" i="16"/>
  <c r="AO260" i="16"/>
  <c r="AO175" i="16"/>
  <c r="AO14" i="16"/>
  <c r="AN259" i="16"/>
  <c r="AN181" i="16"/>
  <c r="AN179" i="16"/>
  <c r="AN177" i="16"/>
  <c r="AN175" i="16"/>
  <c r="AM260" i="16"/>
  <c r="AN14" i="16"/>
  <c r="AM259" i="16"/>
  <c r="AM181" i="16"/>
  <c r="AM179" i="16"/>
  <c r="AM177" i="16"/>
  <c r="AM175" i="16"/>
  <c r="AL259" i="16"/>
  <c r="AM14" i="16"/>
  <c r="AL181" i="16"/>
  <c r="AL179" i="16"/>
  <c r="AL177" i="16"/>
  <c r="AL260" i="16"/>
  <c r="AL175" i="16"/>
  <c r="AK259" i="16"/>
  <c r="AL14" i="16"/>
  <c r="AK181" i="16"/>
  <c r="AK179" i="16"/>
  <c r="AK177" i="16"/>
  <c r="AK175" i="16"/>
  <c r="AJ259" i="16"/>
  <c r="AK14" i="16"/>
  <c r="AJ181" i="16"/>
  <c r="AJ179" i="16"/>
  <c r="AJ177" i="16"/>
  <c r="AJ175" i="16"/>
  <c r="AI260" i="16"/>
  <c r="AJ14" i="16"/>
  <c r="AI259" i="16"/>
  <c r="AI181" i="16"/>
  <c r="AI179" i="16"/>
  <c r="AI177" i="16"/>
  <c r="AI175" i="16"/>
  <c r="AH259" i="16"/>
  <c r="AI14" i="16"/>
  <c r="AH181" i="16"/>
  <c r="AH179" i="16"/>
  <c r="AH260" i="16"/>
  <c r="AH177" i="16"/>
  <c r="AH175" i="16"/>
  <c r="AG259" i="16"/>
  <c r="AH14" i="16"/>
  <c r="AG181" i="16"/>
  <c r="AG179" i="16"/>
  <c r="AG177" i="16"/>
  <c r="AG260" i="16"/>
  <c r="AG175" i="16"/>
  <c r="AF259" i="16"/>
  <c r="AG14" i="16"/>
  <c r="AF181" i="16"/>
  <c r="AF179" i="16"/>
  <c r="AF177" i="16"/>
  <c r="AF175" i="16"/>
  <c r="AE260" i="16"/>
  <c r="AF14" i="16"/>
  <c r="AE259" i="16"/>
  <c r="AE181" i="16"/>
  <c r="AE179" i="16"/>
  <c r="AE177" i="16"/>
  <c r="AE175" i="16"/>
  <c r="AD259" i="16"/>
  <c r="AE14" i="16"/>
  <c r="AD181" i="16"/>
  <c r="AD179" i="16"/>
  <c r="AD260" i="16"/>
  <c r="AD177" i="16"/>
  <c r="AD175" i="16"/>
  <c r="AD14" i="16"/>
  <c r="AC259" i="16"/>
  <c r="AC181" i="16"/>
  <c r="AC179" i="16"/>
  <c r="AC177" i="16"/>
  <c r="AC175" i="16"/>
  <c r="AC260" i="16"/>
  <c r="AB259" i="16"/>
  <c r="AC14" i="16"/>
  <c r="AB181" i="16"/>
  <c r="AB179" i="16"/>
  <c r="AB177" i="16"/>
  <c r="AB175" i="16"/>
  <c r="AB14" i="16"/>
  <c r="AA259" i="16"/>
  <c r="AA181" i="16"/>
  <c r="AA179" i="16"/>
  <c r="AA177" i="16"/>
  <c r="AA175" i="16"/>
  <c r="AA260" i="16"/>
  <c r="Z259" i="16"/>
  <c r="AA14" i="16"/>
  <c r="Z181" i="16"/>
  <c r="Z179" i="16"/>
  <c r="Z260" i="16"/>
  <c r="Z177" i="16"/>
  <c r="Z175" i="16"/>
  <c r="Y259" i="16"/>
  <c r="Z14" i="16"/>
  <c r="Y181" i="16"/>
  <c r="Y179" i="16"/>
  <c r="Y260" i="16"/>
  <c r="Y177" i="16"/>
  <c r="Y175" i="16"/>
  <c r="X259" i="16"/>
  <c r="Y14" i="16"/>
  <c r="X181" i="16"/>
  <c r="X179" i="16"/>
  <c r="X177" i="16"/>
  <c r="X175" i="16"/>
  <c r="X14" i="16"/>
  <c r="W259" i="16"/>
  <c r="W181" i="16"/>
  <c r="W179" i="16"/>
  <c r="W260" i="16"/>
  <c r="W177" i="16"/>
  <c r="W175" i="16"/>
  <c r="V259" i="16"/>
  <c r="W14" i="16"/>
  <c r="V181" i="16"/>
  <c r="V179" i="16"/>
  <c r="V177" i="16"/>
  <c r="V260" i="16"/>
  <c r="V175" i="16"/>
  <c r="V14" i="16"/>
  <c r="U259" i="16"/>
  <c r="U181" i="16"/>
  <c r="U179" i="16"/>
  <c r="U177" i="16"/>
  <c r="U175" i="16"/>
  <c r="U260" i="16"/>
  <c r="T259" i="16"/>
  <c r="U14" i="16"/>
  <c r="T181" i="16"/>
  <c r="T179" i="16"/>
  <c r="T177" i="16"/>
  <c r="T175" i="16"/>
  <c r="T14" i="16"/>
  <c r="S259" i="16"/>
  <c r="S181" i="16"/>
  <c r="S179" i="16"/>
  <c r="S177" i="16"/>
  <c r="S175" i="16"/>
  <c r="R259" i="16"/>
  <c r="S14" i="16"/>
  <c r="R181" i="16"/>
  <c r="R179" i="16"/>
  <c r="R260" i="16"/>
  <c r="R177" i="16"/>
  <c r="R175" i="16"/>
  <c r="Q259" i="16"/>
  <c r="R14" i="16"/>
  <c r="Q181" i="16"/>
  <c r="Q179" i="16"/>
  <c r="Q177" i="16"/>
  <c r="Q260" i="16"/>
  <c r="Q175" i="16"/>
  <c r="Q14" i="16"/>
  <c r="P259" i="16"/>
  <c r="P181" i="16"/>
  <c r="P179" i="16"/>
  <c r="P177" i="16"/>
  <c r="P175" i="16"/>
  <c r="O260" i="16"/>
  <c r="P14" i="16"/>
  <c r="O259" i="16"/>
  <c r="O181" i="16"/>
  <c r="O179" i="16"/>
  <c r="O177" i="16"/>
  <c r="O175" i="16"/>
  <c r="N259" i="16"/>
  <c r="O14" i="16"/>
  <c r="N181" i="16"/>
  <c r="N179" i="16"/>
  <c r="N177" i="16"/>
  <c r="N260" i="16"/>
  <c r="N175" i="16"/>
  <c r="N14" i="16"/>
  <c r="M259" i="16"/>
  <c r="M181" i="16"/>
  <c r="M179" i="16"/>
  <c r="M177" i="16"/>
  <c r="M175" i="16"/>
  <c r="M260" i="16"/>
  <c r="L259" i="16"/>
  <c r="M14" i="16"/>
  <c r="L181" i="16"/>
  <c r="L179" i="16"/>
  <c r="L177" i="16"/>
  <c r="L175" i="16"/>
  <c r="L14" i="16"/>
  <c r="K259" i="16"/>
  <c r="K181" i="16"/>
  <c r="K179" i="16"/>
  <c r="K177" i="16"/>
  <c r="K175" i="16"/>
  <c r="K260" i="16"/>
  <c r="J259" i="16"/>
  <c r="K14" i="16"/>
  <c r="J181" i="16"/>
  <c r="J179" i="16"/>
  <c r="J260" i="16"/>
  <c r="J177" i="16"/>
  <c r="J175" i="16"/>
  <c r="I259" i="16"/>
  <c r="J14" i="16"/>
  <c r="I181" i="16"/>
  <c r="I179" i="16"/>
  <c r="I260" i="16"/>
  <c r="I177" i="16"/>
  <c r="I175" i="16"/>
  <c r="I14" i="16"/>
  <c r="H259" i="16"/>
  <c r="H181" i="16"/>
  <c r="H179" i="16"/>
  <c r="H177" i="16"/>
  <c r="H175" i="16"/>
  <c r="H260" i="16"/>
  <c r="H14" i="16"/>
  <c r="G259" i="16"/>
  <c r="G181" i="16"/>
  <c r="G179" i="16"/>
  <c r="G260" i="16"/>
  <c r="G177" i="16"/>
  <c r="G175" i="16"/>
  <c r="F259" i="16"/>
  <c r="G14" i="16"/>
  <c r="F181" i="16"/>
  <c r="F179" i="16"/>
  <c r="F177" i="16"/>
  <c r="F260" i="16"/>
  <c r="F175" i="16"/>
  <c r="E259" i="16"/>
  <c r="F14" i="16"/>
  <c r="E181" i="16"/>
  <c r="E179" i="16"/>
  <c r="E177" i="16"/>
  <c r="E175" i="16"/>
  <c r="D259" i="16"/>
  <c r="E14" i="16"/>
  <c r="BA14" i="16"/>
  <c r="D181" i="16"/>
  <c r="D179" i="16"/>
  <c r="D177" i="16"/>
  <c r="D175" i="16"/>
  <c r="AY14" i="17"/>
  <c r="AY10" i="17"/>
  <c r="AY15" i="17"/>
  <c r="AY16" i="17"/>
  <c r="AY13" i="17"/>
  <c r="AY17" i="17"/>
  <c r="AY29" i="17"/>
  <c r="AX14" i="17"/>
  <c r="AX10" i="17"/>
  <c r="AX13" i="17"/>
  <c r="AX15" i="17"/>
  <c r="AX16" i="17"/>
  <c r="AX17" i="17"/>
  <c r="AX29" i="17"/>
  <c r="AW14" i="17"/>
  <c r="AW10" i="17"/>
  <c r="AW13" i="17"/>
  <c r="AW15" i="17"/>
  <c r="AW16" i="17"/>
  <c r="AW17" i="17"/>
  <c r="AW29" i="17"/>
  <c r="AV14" i="17"/>
  <c r="AV15" i="17"/>
  <c r="AV16" i="17"/>
  <c r="AV17" i="17"/>
  <c r="AV21" i="17"/>
  <c r="AV23" i="17"/>
  <c r="AV29" i="17"/>
  <c r="AU14" i="17"/>
  <c r="AU15" i="17"/>
  <c r="AU16" i="17"/>
  <c r="AU10" i="17"/>
  <c r="AU13" i="17"/>
  <c r="AV22" i="17"/>
  <c r="AU17" i="17"/>
  <c r="AU29" i="17"/>
  <c r="AT14" i="17"/>
  <c r="AT15" i="17"/>
  <c r="AT16" i="17"/>
  <c r="AT17" i="17"/>
  <c r="AT29" i="17"/>
  <c r="AS14" i="17"/>
  <c r="AS15" i="17"/>
  <c r="AS16" i="17"/>
  <c r="AS10" i="17"/>
  <c r="AS13" i="17"/>
  <c r="AT22" i="17"/>
  <c r="AS17" i="17"/>
  <c r="AS29" i="17"/>
  <c r="AR14" i="17"/>
  <c r="AR10" i="17"/>
  <c r="AR13" i="17"/>
  <c r="AR15" i="17"/>
  <c r="AR16" i="17"/>
  <c r="AR17" i="17"/>
  <c r="AR29" i="17"/>
  <c r="AQ16" i="17"/>
  <c r="AQ21" i="17"/>
  <c r="AQ33" i="17"/>
  <c r="AQ22" i="17"/>
  <c r="AQ24" i="17"/>
  <c r="AQ23" i="17"/>
  <c r="AQ29" i="17"/>
  <c r="AQ34" i="17"/>
  <c r="AQ40" i="17"/>
  <c r="AQ35" i="17"/>
  <c r="AQ39" i="17"/>
  <c r="AQ44" i="17"/>
  <c r="AQ50" i="17"/>
  <c r="AQ45" i="17"/>
  <c r="AQ51" i="17"/>
  <c r="AQ46" i="17"/>
  <c r="AQ55" i="17"/>
  <c r="AQ56" i="17"/>
  <c r="AQ62" i="17"/>
  <c r="AQ61" i="17"/>
  <c r="AP14" i="17"/>
  <c r="AP15" i="17"/>
  <c r="AP16" i="17"/>
  <c r="AQ17" i="17"/>
  <c r="AP17" i="17"/>
  <c r="AP29" i="17"/>
  <c r="AO14" i="17"/>
  <c r="AO15" i="17"/>
  <c r="AO16" i="17"/>
  <c r="AO10" i="17"/>
  <c r="AO13" i="17"/>
  <c r="AO17" i="17"/>
  <c r="AO29" i="17"/>
  <c r="AN14" i="17"/>
  <c r="AN15" i="17"/>
  <c r="AN16" i="17"/>
  <c r="AN10" i="17"/>
  <c r="AN13" i="17"/>
  <c r="AN17" i="17"/>
  <c r="AN29" i="17"/>
  <c r="AM14" i="17"/>
  <c r="AM10" i="17"/>
  <c r="AM13" i="17"/>
  <c r="AM15" i="17"/>
  <c r="AM16" i="17"/>
  <c r="AM17" i="17"/>
  <c r="AM29" i="17"/>
  <c r="AL14" i="17"/>
  <c r="AL15" i="17"/>
  <c r="AL16" i="17"/>
  <c r="AL17" i="17"/>
  <c r="AL29" i="17"/>
  <c r="AK14" i="17"/>
  <c r="AK15" i="17"/>
  <c r="AK16" i="17"/>
  <c r="AK10" i="17"/>
  <c r="AK13" i="17"/>
  <c r="AL22" i="17"/>
  <c r="AK17" i="17"/>
  <c r="AK29" i="17"/>
  <c r="AJ14" i="17"/>
  <c r="AJ10" i="17"/>
  <c r="AJ13" i="17"/>
  <c r="AJ15" i="17"/>
  <c r="AJ16" i="17"/>
  <c r="AJ17" i="17"/>
  <c r="AJ21" i="17"/>
  <c r="AJ29" i="17"/>
  <c r="AJ45" i="17"/>
  <c r="AJ51" i="17"/>
  <c r="AI14" i="17"/>
  <c r="AI15" i="17"/>
  <c r="AI16" i="17"/>
  <c r="AI10" i="17"/>
  <c r="AI13" i="17"/>
  <c r="AJ22" i="17"/>
  <c r="AI17" i="17"/>
  <c r="AI29" i="17"/>
  <c r="AH14" i="17"/>
  <c r="AH10" i="17"/>
  <c r="AH13" i="17"/>
  <c r="AH15" i="17"/>
  <c r="AH16" i="17"/>
  <c r="AH17" i="17"/>
  <c r="AH29" i="17"/>
  <c r="AG16" i="17"/>
  <c r="AG21" i="17"/>
  <c r="AG33" i="17"/>
  <c r="AG22" i="17"/>
  <c r="AG24" i="17"/>
  <c r="AG23" i="17"/>
  <c r="AG29" i="17"/>
  <c r="AG34" i="17"/>
  <c r="AG40" i="17"/>
  <c r="AG35" i="17"/>
  <c r="AG39" i="17"/>
  <c r="AG44" i="17"/>
  <c r="AG50" i="17"/>
  <c r="AG45" i="17"/>
  <c r="AG51" i="17"/>
  <c r="AG46" i="17"/>
  <c r="AG55" i="17"/>
  <c r="AG56" i="17"/>
  <c r="AG62" i="17"/>
  <c r="AG61" i="17"/>
  <c r="AF14" i="17"/>
  <c r="AF15" i="17"/>
  <c r="AF16" i="17"/>
  <c r="AG17" i="17"/>
  <c r="AF17" i="17"/>
  <c r="AF29" i="17"/>
  <c r="AE14" i="17"/>
  <c r="AE15" i="17"/>
  <c r="AE16" i="17"/>
  <c r="AE10" i="17"/>
  <c r="AE13" i="17"/>
  <c r="AE17" i="17"/>
  <c r="AE29" i="17"/>
  <c r="AD14" i="17"/>
  <c r="AD10" i="17"/>
  <c r="AD13" i="17"/>
  <c r="AD15" i="17"/>
  <c r="AD16" i="17"/>
  <c r="AD17" i="17"/>
  <c r="AD29" i="17"/>
  <c r="AC14" i="17"/>
  <c r="AC10" i="17"/>
  <c r="AC13" i="17"/>
  <c r="AC15" i="17"/>
  <c r="AC16" i="17"/>
  <c r="AC17" i="17"/>
  <c r="AC29" i="17"/>
  <c r="AB14" i="17"/>
  <c r="AB15" i="17"/>
  <c r="AB16" i="17"/>
  <c r="AB17" i="17"/>
  <c r="AB21" i="17"/>
  <c r="AB23" i="17"/>
  <c r="AB29" i="17"/>
  <c r="AA14" i="17"/>
  <c r="AA15" i="17"/>
  <c r="AA16" i="17"/>
  <c r="AA10" i="17"/>
  <c r="AA13" i="17"/>
  <c r="AB22" i="17"/>
  <c r="AA17" i="17"/>
  <c r="AA29" i="17"/>
  <c r="Z14" i="17"/>
  <c r="Z10" i="17"/>
  <c r="Z13" i="17"/>
  <c r="Z15" i="17"/>
  <c r="Z16" i="17"/>
  <c r="Z17" i="17"/>
  <c r="Z29" i="17"/>
  <c r="Y14" i="17"/>
  <c r="Y15" i="17"/>
  <c r="Y16" i="17"/>
  <c r="Y17" i="17"/>
  <c r="Y29" i="17"/>
  <c r="X14" i="17"/>
  <c r="X10" i="17"/>
  <c r="X13" i="17"/>
  <c r="X15" i="17"/>
  <c r="X16" i="17"/>
  <c r="X17" i="17"/>
  <c r="X29" i="17"/>
  <c r="W14" i="17"/>
  <c r="W15" i="17"/>
  <c r="W16" i="17"/>
  <c r="W17" i="17"/>
  <c r="W29" i="17"/>
  <c r="V14" i="17"/>
  <c r="V15" i="17"/>
  <c r="V16" i="17"/>
  <c r="V10" i="17"/>
  <c r="V13" i="17"/>
  <c r="V17" i="17"/>
  <c r="V29" i="17"/>
  <c r="U14" i="17"/>
  <c r="U10" i="17"/>
  <c r="U13" i="17"/>
  <c r="U15" i="17"/>
  <c r="U16" i="17"/>
  <c r="U17" i="17"/>
  <c r="U29" i="17"/>
  <c r="T14" i="17"/>
  <c r="T10" i="17"/>
  <c r="T13" i="17"/>
  <c r="T15" i="17"/>
  <c r="T16" i="17"/>
  <c r="T17" i="17"/>
  <c r="T29" i="17"/>
  <c r="S14" i="17"/>
  <c r="S15" i="17"/>
  <c r="S16" i="17"/>
  <c r="S17" i="17"/>
  <c r="S29" i="17"/>
  <c r="R14" i="17"/>
  <c r="R10" i="17"/>
  <c r="R13" i="17"/>
  <c r="R15" i="17"/>
  <c r="R16" i="17"/>
  <c r="R17" i="17"/>
  <c r="R29" i="17"/>
  <c r="Q14" i="17"/>
  <c r="Q15" i="17"/>
  <c r="Q16" i="17"/>
  <c r="Q17" i="17"/>
  <c r="Q29" i="17"/>
  <c r="P14" i="17"/>
  <c r="P10" i="17"/>
  <c r="P13" i="17"/>
  <c r="P15" i="17"/>
  <c r="P16" i="17"/>
  <c r="P17" i="17"/>
  <c r="P29" i="17"/>
  <c r="O15" i="17"/>
  <c r="O10" i="17"/>
  <c r="O13" i="17"/>
  <c r="O17" i="17"/>
  <c r="O21" i="17"/>
  <c r="O22" i="17"/>
  <c r="O23" i="17"/>
  <c r="O29" i="17"/>
  <c r="O33" i="17"/>
  <c r="O39" i="17"/>
  <c r="O44" i="17"/>
  <c r="O50" i="17"/>
  <c r="O55" i="17"/>
  <c r="O61" i="17"/>
  <c r="N14" i="17"/>
  <c r="N15" i="17"/>
  <c r="O16" i="17"/>
  <c r="N16" i="17"/>
  <c r="N10" i="17"/>
  <c r="N13" i="17"/>
  <c r="O14" i="17"/>
  <c r="N17" i="17"/>
  <c r="N29" i="17"/>
  <c r="M14" i="17"/>
  <c r="M10" i="17"/>
  <c r="M13" i="17"/>
  <c r="M15" i="17"/>
  <c r="M16" i="17"/>
  <c r="M17" i="17"/>
  <c r="M29" i="17"/>
  <c r="L14" i="17"/>
  <c r="L15" i="17"/>
  <c r="L16" i="17"/>
  <c r="L10" i="17"/>
  <c r="L13" i="17"/>
  <c r="L17" i="17"/>
  <c r="L29" i="17"/>
  <c r="K14" i="17"/>
  <c r="K15" i="17"/>
  <c r="K16" i="17"/>
  <c r="K17" i="17"/>
  <c r="K29" i="17"/>
  <c r="J14" i="17"/>
  <c r="J15" i="17"/>
  <c r="J16" i="17"/>
  <c r="J10" i="17"/>
  <c r="J13" i="17"/>
  <c r="J17" i="17"/>
  <c r="J29" i="17"/>
  <c r="I14" i="17"/>
  <c r="I15" i="17"/>
  <c r="I16" i="17"/>
  <c r="I17" i="17"/>
  <c r="I29" i="17"/>
  <c r="H14" i="17"/>
  <c r="H15" i="17"/>
  <c r="H16" i="17"/>
  <c r="H10" i="17"/>
  <c r="H13" i="17"/>
  <c r="H17" i="17"/>
  <c r="H29" i="17"/>
  <c r="G14" i="17"/>
  <c r="G15" i="17"/>
  <c r="G16" i="17"/>
  <c r="G17" i="17"/>
  <c r="G29" i="17"/>
  <c r="F14" i="17"/>
  <c r="F15" i="17"/>
  <c r="F16" i="17"/>
  <c r="F10" i="17"/>
  <c r="F13" i="17"/>
  <c r="F17" i="17"/>
  <c r="F29" i="17"/>
  <c r="E14" i="17"/>
  <c r="E10" i="17"/>
  <c r="E13" i="17"/>
  <c r="E15" i="17"/>
  <c r="E16" i="17"/>
  <c r="E17" i="17"/>
  <c r="E29" i="17"/>
  <c r="D14" i="17"/>
  <c r="D15" i="17"/>
  <c r="D10" i="17"/>
  <c r="D16" i="17"/>
  <c r="D17" i="17"/>
  <c r="D22" i="17"/>
  <c r="D23" i="17"/>
  <c r="D27" i="17"/>
  <c r="D29" i="17"/>
  <c r="D30" i="17"/>
  <c r="D55" i="17"/>
  <c r="D61" i="17"/>
  <c r="AY14" i="18"/>
  <c r="AY10" i="18"/>
  <c r="AY13" i="18"/>
  <c r="AY15" i="18"/>
  <c r="AY16" i="18"/>
  <c r="AY17" i="18"/>
  <c r="AY29" i="18"/>
  <c r="AX14" i="18"/>
  <c r="AX15" i="18"/>
  <c r="AX16" i="18"/>
  <c r="AX17" i="18"/>
  <c r="AX29" i="18"/>
  <c r="AW14" i="18"/>
  <c r="AW10" i="18"/>
  <c r="AW13" i="18"/>
  <c r="AW15" i="18"/>
  <c r="AW16" i="18"/>
  <c r="AW17" i="18"/>
  <c r="AW29" i="18"/>
  <c r="AV14" i="18"/>
  <c r="AV15" i="18"/>
  <c r="AV16" i="18"/>
  <c r="AV17" i="18"/>
  <c r="AV29" i="18"/>
  <c r="AU14" i="18"/>
  <c r="AU10" i="18"/>
  <c r="AU13" i="18"/>
  <c r="AU15" i="18"/>
  <c r="AU16" i="18"/>
  <c r="AU17" i="18"/>
  <c r="AU29" i="18"/>
  <c r="AT14" i="18"/>
  <c r="AT15" i="18"/>
  <c r="AT16" i="18"/>
  <c r="AT17" i="18"/>
  <c r="AT29" i="18"/>
  <c r="AS14" i="18"/>
  <c r="AS10" i="18"/>
  <c r="AS13" i="18"/>
  <c r="AS15" i="18"/>
  <c r="AS16" i="18"/>
  <c r="AS17" i="18"/>
  <c r="AS29" i="18"/>
  <c r="AR14" i="18"/>
  <c r="AR15" i="18"/>
  <c r="AR16" i="18"/>
  <c r="AR17" i="18"/>
  <c r="AR29" i="18"/>
  <c r="AQ14" i="18"/>
  <c r="AQ10" i="18"/>
  <c r="AQ13" i="18"/>
  <c r="AQ15" i="18"/>
  <c r="AQ16" i="18"/>
  <c r="AQ17" i="18"/>
  <c r="AQ29" i="18"/>
  <c r="AP14" i="18"/>
  <c r="AP15" i="18"/>
  <c r="AP10" i="18"/>
  <c r="AP13" i="18"/>
  <c r="AP16" i="18"/>
  <c r="AP17" i="18"/>
  <c r="AP22" i="18"/>
  <c r="AP56" i="18"/>
  <c r="AP62" i="18"/>
  <c r="AP29" i="18"/>
  <c r="AO14" i="18"/>
  <c r="AO15" i="18"/>
  <c r="AO16" i="18"/>
  <c r="AO10" i="18"/>
  <c r="AO13" i="18"/>
  <c r="AP21" i="18"/>
  <c r="AO17" i="18"/>
  <c r="AO29" i="18"/>
  <c r="AN14" i="18"/>
  <c r="AN15" i="18"/>
  <c r="AN10" i="18"/>
  <c r="AN13" i="18"/>
  <c r="AN16" i="18"/>
  <c r="AN17" i="18"/>
  <c r="AN22" i="18"/>
  <c r="AN56" i="18"/>
  <c r="AN62" i="18"/>
  <c r="AN29" i="18"/>
  <c r="AM14" i="18"/>
  <c r="AM15" i="18"/>
  <c r="AM16" i="18"/>
  <c r="AM10" i="18"/>
  <c r="AM13" i="18"/>
  <c r="AN21" i="18"/>
  <c r="AM17" i="18"/>
  <c r="AM29" i="18"/>
  <c r="AL14" i="18"/>
  <c r="AL15" i="18"/>
  <c r="AL10" i="18"/>
  <c r="AL13" i="18"/>
  <c r="AL16" i="18"/>
  <c r="AL17" i="18"/>
  <c r="AL22" i="18"/>
  <c r="AL56" i="18"/>
  <c r="AL62" i="18"/>
  <c r="AL29" i="18"/>
  <c r="AK14" i="18"/>
  <c r="AK15" i="18"/>
  <c r="AK16" i="18"/>
  <c r="AK10" i="18"/>
  <c r="AK13" i="18"/>
  <c r="AL21" i="18"/>
  <c r="AK17" i="18"/>
  <c r="AK29" i="18"/>
  <c r="AJ14" i="18"/>
  <c r="AJ15" i="18"/>
  <c r="AJ10" i="18"/>
  <c r="AJ13" i="18"/>
  <c r="AJ16" i="18"/>
  <c r="AJ17" i="18"/>
  <c r="AJ22" i="18"/>
  <c r="AJ56" i="18"/>
  <c r="AJ62" i="18"/>
  <c r="AJ29" i="18"/>
  <c r="AI14" i="18"/>
  <c r="AI15" i="18"/>
  <c r="AI16" i="18"/>
  <c r="AI10" i="18"/>
  <c r="AI13" i="18"/>
  <c r="AJ21" i="18"/>
  <c r="AI17" i="18"/>
  <c r="AI29" i="18"/>
  <c r="AH14" i="18"/>
  <c r="AH15" i="18"/>
  <c r="AH10" i="18"/>
  <c r="AH13" i="18"/>
  <c r="AH16" i="18"/>
  <c r="AH17" i="18"/>
  <c r="AH22" i="18"/>
  <c r="AH56" i="18"/>
  <c r="AH62" i="18"/>
  <c r="AH29" i="18"/>
  <c r="AG14" i="18"/>
  <c r="AG15" i="18"/>
  <c r="AG16" i="18"/>
  <c r="AG10" i="18"/>
  <c r="AG13" i="18"/>
  <c r="AH21" i="18"/>
  <c r="AG17" i="18"/>
  <c r="AG29" i="18"/>
  <c r="AF14" i="18"/>
  <c r="AF15" i="18"/>
  <c r="AF10" i="18"/>
  <c r="AF13" i="18"/>
  <c r="AF16" i="18"/>
  <c r="AF17" i="18"/>
  <c r="AF22" i="18"/>
  <c r="AF56" i="18"/>
  <c r="AF62" i="18"/>
  <c r="AF29" i="18"/>
  <c r="AE14" i="18"/>
  <c r="AE15" i="18"/>
  <c r="AE16" i="18"/>
  <c r="AE10" i="18"/>
  <c r="AE13" i="18"/>
  <c r="AF21" i="18"/>
  <c r="AE17" i="18"/>
  <c r="AE29" i="18"/>
  <c r="AD14" i="18"/>
  <c r="AD15" i="18"/>
  <c r="AD10" i="18"/>
  <c r="AD13" i="18"/>
  <c r="AD16" i="18"/>
  <c r="AD17" i="18"/>
  <c r="AD22" i="18"/>
  <c r="AD56" i="18"/>
  <c r="AD62" i="18"/>
  <c r="AD29" i="18"/>
  <c r="AC14" i="18"/>
  <c r="AC15" i="18"/>
  <c r="AC16" i="18"/>
  <c r="AC10" i="18"/>
  <c r="AC13" i="18"/>
  <c r="AD21" i="18"/>
  <c r="AC17" i="18"/>
  <c r="AC29" i="18"/>
  <c r="AB14" i="18"/>
  <c r="AB15" i="18"/>
  <c r="AB10" i="18"/>
  <c r="AB13" i="18"/>
  <c r="AB16" i="18"/>
  <c r="AB17" i="18"/>
  <c r="AB22" i="18"/>
  <c r="AB56" i="18"/>
  <c r="AB62" i="18"/>
  <c r="AB29" i="18"/>
  <c r="AA14" i="18"/>
  <c r="AA15" i="18"/>
  <c r="AA16" i="18"/>
  <c r="AA10" i="18"/>
  <c r="AA13" i="18"/>
  <c r="AB21" i="18"/>
  <c r="AA17" i="18"/>
  <c r="AA29" i="18"/>
  <c r="Z14" i="18"/>
  <c r="Z15" i="18"/>
  <c r="Z10" i="18"/>
  <c r="Z13" i="18"/>
  <c r="Z16" i="18"/>
  <c r="Z17" i="18"/>
  <c r="Z22" i="18"/>
  <c r="Z56" i="18"/>
  <c r="Z62" i="18"/>
  <c r="Z29" i="18"/>
  <c r="Y14" i="18"/>
  <c r="Y15" i="18"/>
  <c r="Y16" i="18"/>
  <c r="Y10" i="18"/>
  <c r="Y13" i="18"/>
  <c r="Z21" i="18"/>
  <c r="Y17" i="18"/>
  <c r="Y29" i="18"/>
  <c r="X14" i="18"/>
  <c r="X15" i="18"/>
  <c r="X10" i="18"/>
  <c r="X13" i="18"/>
  <c r="X16" i="18"/>
  <c r="X17" i="18"/>
  <c r="X22" i="18"/>
  <c r="X56" i="18"/>
  <c r="X62" i="18"/>
  <c r="X29" i="18"/>
  <c r="W14" i="18"/>
  <c r="W15" i="18"/>
  <c r="W16" i="18"/>
  <c r="W10" i="18"/>
  <c r="W13" i="18"/>
  <c r="X21" i="18"/>
  <c r="W17" i="18"/>
  <c r="W29" i="18"/>
  <c r="V14" i="18"/>
  <c r="V15" i="18"/>
  <c r="V10" i="18"/>
  <c r="V13" i="18"/>
  <c r="V16" i="18"/>
  <c r="V17" i="18"/>
  <c r="V22" i="18"/>
  <c r="V56" i="18"/>
  <c r="V62" i="18"/>
  <c r="V29" i="18"/>
  <c r="U14" i="18"/>
  <c r="U15" i="18"/>
  <c r="U16" i="18"/>
  <c r="U10" i="18"/>
  <c r="U13" i="18"/>
  <c r="V21" i="18"/>
  <c r="U17" i="18"/>
  <c r="U29" i="18"/>
  <c r="T14" i="18"/>
  <c r="T15" i="18"/>
  <c r="T10" i="18"/>
  <c r="T13" i="18"/>
  <c r="T16" i="18"/>
  <c r="T17" i="18"/>
  <c r="T22" i="18"/>
  <c r="T56" i="18"/>
  <c r="T62" i="18"/>
  <c r="T29" i="18"/>
  <c r="S14" i="18"/>
  <c r="S15" i="18"/>
  <c r="S16" i="18"/>
  <c r="S10" i="18"/>
  <c r="S13" i="18"/>
  <c r="T21" i="18"/>
  <c r="S17" i="18"/>
  <c r="S29" i="18"/>
  <c r="R14" i="18"/>
  <c r="R15" i="18"/>
  <c r="R10" i="18"/>
  <c r="R13" i="18"/>
  <c r="R16" i="18"/>
  <c r="R17" i="18"/>
  <c r="R22" i="18"/>
  <c r="R56" i="18"/>
  <c r="R62" i="18"/>
  <c r="R29" i="18"/>
  <c r="Q14" i="18"/>
  <c r="Q15" i="18"/>
  <c r="Q16" i="18"/>
  <c r="Q10" i="18"/>
  <c r="Q13" i="18"/>
  <c r="R21" i="18"/>
  <c r="Q17" i="18"/>
  <c r="Q29" i="18"/>
  <c r="P21" i="18"/>
  <c r="P23" i="18"/>
  <c r="P22" i="18"/>
  <c r="P56" i="18"/>
  <c r="P62" i="18"/>
  <c r="P24" i="18"/>
  <c r="P29" i="18"/>
  <c r="P33" i="18"/>
  <c r="P39" i="18"/>
  <c r="P34" i="18"/>
  <c r="P40" i="18"/>
  <c r="P44" i="18"/>
  <c r="P45" i="18"/>
  <c r="P51" i="18"/>
  <c r="P55" i="18"/>
  <c r="P61" i="18"/>
  <c r="P57" i="18"/>
  <c r="O15" i="18"/>
  <c r="P16" i="18"/>
  <c r="O16" i="18"/>
  <c r="P17" i="18"/>
  <c r="O21" i="18"/>
  <c r="O23" i="18"/>
  <c r="O22" i="18"/>
  <c r="O56" i="18"/>
  <c r="O62" i="18"/>
  <c r="O29" i="18"/>
  <c r="O33" i="18"/>
  <c r="O39" i="18"/>
  <c r="O44" i="18"/>
  <c r="O55" i="18"/>
  <c r="O57" i="18"/>
  <c r="N14" i="18"/>
  <c r="N15" i="18"/>
  <c r="N16" i="18"/>
  <c r="O17" i="18"/>
  <c r="N10" i="18"/>
  <c r="N13" i="18"/>
  <c r="O14" i="18"/>
  <c r="O10" i="18"/>
  <c r="O13" i="18"/>
  <c r="P14" i="18"/>
  <c r="N17" i="18"/>
  <c r="N29" i="18"/>
  <c r="M14" i="18"/>
  <c r="M15" i="18"/>
  <c r="M10" i="18"/>
  <c r="M13" i="18"/>
  <c r="M16" i="18"/>
  <c r="M17" i="18"/>
  <c r="M29" i="18"/>
  <c r="L15" i="18"/>
  <c r="L21" i="18"/>
  <c r="L23" i="18"/>
  <c r="L22" i="18"/>
  <c r="L56" i="18"/>
  <c r="L24" i="18"/>
  <c r="L29" i="18"/>
  <c r="L34" i="18"/>
  <c r="L40" i="18"/>
  <c r="L45" i="18"/>
  <c r="L51" i="18"/>
  <c r="L62" i="18"/>
  <c r="K14" i="18"/>
  <c r="K15" i="18"/>
  <c r="L16" i="18"/>
  <c r="K16" i="18"/>
  <c r="L17" i="18"/>
  <c r="K10" i="18"/>
  <c r="K13" i="18"/>
  <c r="L14" i="18"/>
  <c r="K17" i="18"/>
  <c r="K29" i="18"/>
  <c r="J14" i="18"/>
  <c r="J15" i="18"/>
  <c r="J10" i="18"/>
  <c r="J13" i="18"/>
  <c r="J16" i="18"/>
  <c r="J17" i="18"/>
  <c r="J29" i="18"/>
  <c r="I14" i="18"/>
  <c r="I15" i="18"/>
  <c r="I16" i="18"/>
  <c r="I10" i="18"/>
  <c r="I13" i="18"/>
  <c r="J22" i="18"/>
  <c r="I17" i="18"/>
  <c r="I29" i="18"/>
  <c r="H14" i="18"/>
  <c r="H15" i="18"/>
  <c r="H10" i="18"/>
  <c r="H13" i="18"/>
  <c r="H16" i="18"/>
  <c r="H17" i="18"/>
  <c r="H29" i="18"/>
  <c r="G14" i="18"/>
  <c r="G15" i="18"/>
  <c r="G16" i="18"/>
  <c r="G10" i="18"/>
  <c r="G13" i="18"/>
  <c r="H22" i="18"/>
  <c r="G17" i="18"/>
  <c r="G29" i="18"/>
  <c r="F14" i="18"/>
  <c r="F15" i="18"/>
  <c r="F10" i="18"/>
  <c r="F13" i="18"/>
  <c r="F16" i="18"/>
  <c r="F17" i="18"/>
  <c r="F29" i="18"/>
  <c r="E15" i="18"/>
  <c r="E21" i="18"/>
  <c r="E23" i="18"/>
  <c r="E22" i="18"/>
  <c r="E56" i="18"/>
  <c r="E62" i="18"/>
  <c r="E24" i="18"/>
  <c r="E27" i="18"/>
  <c r="E30" i="18"/>
  <c r="E29" i="18"/>
  <c r="E33" i="18"/>
  <c r="E39" i="18"/>
  <c r="E34" i="18"/>
  <c r="E40" i="18"/>
  <c r="E35" i="18"/>
  <c r="E44" i="18"/>
  <c r="E45" i="18"/>
  <c r="E51" i="18"/>
  <c r="E50" i="18"/>
  <c r="E55" i="18"/>
  <c r="E57" i="18"/>
  <c r="E61" i="18"/>
  <c r="D14" i="18"/>
  <c r="D15" i="18"/>
  <c r="D10" i="18"/>
  <c r="D16" i="18"/>
  <c r="E17" i="18"/>
  <c r="D17" i="18"/>
  <c r="D21" i="18"/>
  <c r="D22" i="18"/>
  <c r="D27" i="18"/>
  <c r="D30" i="18"/>
  <c r="D29" i="18"/>
  <c r="D33" i="18"/>
  <c r="D39" i="18"/>
  <c r="D44" i="18"/>
  <c r="D55" i="18"/>
  <c r="B21" i="17"/>
  <c r="D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M3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N24" i="19"/>
  <c r="N33" i="19"/>
  <c r="B22" i="18"/>
  <c r="B22" i="17"/>
  <c r="I21" i="18"/>
  <c r="I22" i="18"/>
  <c r="J56" i="18"/>
  <c r="J62" i="18"/>
  <c r="J24" i="18"/>
  <c r="J34" i="18"/>
  <c r="J40" i="18"/>
  <c r="J45" i="18"/>
  <c r="J51" i="18"/>
  <c r="N21" i="18"/>
  <c r="N22" i="18"/>
  <c r="R23" i="18"/>
  <c r="R33" i="18"/>
  <c r="R44" i="18"/>
  <c r="R55" i="18"/>
  <c r="S21" i="18"/>
  <c r="S22" i="18"/>
  <c r="T23" i="18"/>
  <c r="T33" i="18"/>
  <c r="T44" i="18"/>
  <c r="T55" i="18"/>
  <c r="U21" i="18"/>
  <c r="U22" i="18"/>
  <c r="V23" i="18"/>
  <c r="V33" i="18"/>
  <c r="V44" i="18"/>
  <c r="V55" i="18"/>
  <c r="W21" i="18"/>
  <c r="W22" i="18"/>
  <c r="X23" i="18"/>
  <c r="X33" i="18"/>
  <c r="X44" i="18"/>
  <c r="X55" i="18"/>
  <c r="Y21" i="18"/>
  <c r="Y22" i="18"/>
  <c r="Z23" i="18"/>
  <c r="Z33" i="18"/>
  <c r="Z44" i="18"/>
  <c r="Z55" i="18"/>
  <c r="AA21" i="18"/>
  <c r="AA22" i="18"/>
  <c r="AB23" i="18"/>
  <c r="AB33" i="18"/>
  <c r="AB44" i="18"/>
  <c r="AB55" i="18"/>
  <c r="AC21" i="18"/>
  <c r="AC22" i="18"/>
  <c r="AD23" i="18"/>
  <c r="AD33" i="18"/>
  <c r="AD44" i="18"/>
  <c r="AD55" i="18"/>
  <c r="AE21" i="18"/>
  <c r="AE22" i="18"/>
  <c r="AF23" i="18"/>
  <c r="AF33" i="18"/>
  <c r="AF44" i="18"/>
  <c r="AF55" i="18"/>
  <c r="AG21" i="18"/>
  <c r="AG22" i="18"/>
  <c r="AH23" i="18"/>
  <c r="AH33" i="18"/>
  <c r="AH44" i="18"/>
  <c r="AH55" i="18"/>
  <c r="AI21" i="18"/>
  <c r="AI22" i="18"/>
  <c r="AJ23" i="18"/>
  <c r="AJ33" i="18"/>
  <c r="AJ44" i="18"/>
  <c r="AJ55" i="18"/>
  <c r="AK21" i="18"/>
  <c r="AK22" i="18"/>
  <c r="AL23" i="18"/>
  <c r="AL33" i="18"/>
  <c r="AL44" i="18"/>
  <c r="AL55" i="18"/>
  <c r="AM21" i="18"/>
  <c r="AM22" i="18"/>
  <c r="AN23" i="18"/>
  <c r="AN33" i="18"/>
  <c r="AN44" i="18"/>
  <c r="AN55" i="18"/>
  <c r="AO21" i="18"/>
  <c r="AO22" i="18"/>
  <c r="AP23" i="18"/>
  <c r="AP33" i="18"/>
  <c r="AP44" i="18"/>
  <c r="AP55" i="18"/>
  <c r="AQ21" i="18"/>
  <c r="AQ22" i="18"/>
  <c r="AT21" i="18"/>
  <c r="AT22" i="18"/>
  <c r="AX21" i="18"/>
  <c r="AX22" i="18"/>
  <c r="Q21" i="17"/>
  <c r="Q22" i="17"/>
  <c r="U21" i="17"/>
  <c r="U22" i="17"/>
  <c r="W21" i="17"/>
  <c r="W22" i="17"/>
  <c r="AN21" i="17"/>
  <c r="AN22" i="17"/>
  <c r="AX21" i="17"/>
  <c r="AX22" i="17"/>
  <c r="D13" i="18"/>
  <c r="E14" i="18"/>
  <c r="E10" i="18"/>
  <c r="E13" i="18"/>
  <c r="G21" i="18"/>
  <c r="G22" i="18"/>
  <c r="H56" i="18"/>
  <c r="H62" i="18"/>
  <c r="H24" i="18"/>
  <c r="H34" i="18"/>
  <c r="H40" i="18"/>
  <c r="H45" i="18"/>
  <c r="H51" i="18"/>
  <c r="F21" i="17"/>
  <c r="F22" i="17"/>
  <c r="N21" i="17"/>
  <c r="N22" i="17"/>
  <c r="Y21" i="17"/>
  <c r="Y22" i="17"/>
  <c r="AD21" i="17"/>
  <c r="AD22" i="17"/>
  <c r="AY22" i="17"/>
  <c r="AY21" i="17"/>
  <c r="AR21" i="18"/>
  <c r="AR22" i="18"/>
  <c r="AV21" i="18"/>
  <c r="AV22" i="18"/>
  <c r="S21" i="17"/>
  <c r="S22" i="17"/>
  <c r="AE21" i="17"/>
  <c r="AE22" i="17"/>
  <c r="K21" i="18"/>
  <c r="K22" i="18"/>
  <c r="L10" i="18"/>
  <c r="L13" i="18"/>
  <c r="D13" i="17"/>
  <c r="AA21" i="17"/>
  <c r="AA22" i="17"/>
  <c r="AI21" i="17"/>
  <c r="AI22" i="17"/>
  <c r="AO21" i="17"/>
  <c r="AO22" i="17"/>
  <c r="AS21" i="17"/>
  <c r="AS22" i="17"/>
  <c r="D56" i="18"/>
  <c r="D62" i="18"/>
  <c r="H21" i="18"/>
  <c r="J21" i="18"/>
  <c r="M21" i="17"/>
  <c r="M22" i="17"/>
  <c r="V21" i="17"/>
  <c r="V22" i="17"/>
  <c r="AG15" i="17"/>
  <c r="AF10" i="17"/>
  <c r="AF13" i="17"/>
  <c r="AG14" i="17"/>
  <c r="AJ33" i="17"/>
  <c r="AJ23" i="17"/>
  <c r="AJ55" i="17"/>
  <c r="AK21" i="17"/>
  <c r="AK22" i="17"/>
  <c r="AL24" i="17"/>
  <c r="AL56" i="17"/>
  <c r="AL62" i="17"/>
  <c r="AL45" i="17"/>
  <c r="AL51" i="17"/>
  <c r="AL34" i="17"/>
  <c r="AL40" i="17"/>
  <c r="AT24" i="17"/>
  <c r="AT34" i="17"/>
  <c r="AT40" i="17"/>
  <c r="D23" i="18"/>
  <c r="F27" i="18"/>
  <c r="P46" i="18"/>
  <c r="AR10" i="18"/>
  <c r="AR13" i="18"/>
  <c r="AT10" i="18"/>
  <c r="AT13" i="18"/>
  <c r="AV10" i="18"/>
  <c r="AV13" i="18"/>
  <c r="AX10" i="18"/>
  <c r="AX13" i="18"/>
  <c r="D34" i="17"/>
  <c r="D40" i="17"/>
  <c r="D24" i="17"/>
  <c r="D45" i="17"/>
  <c r="D51" i="17"/>
  <c r="D56" i="17"/>
  <c r="K21" i="17"/>
  <c r="K22" i="17"/>
  <c r="K10" i="17"/>
  <c r="K13" i="17"/>
  <c r="S10" i="17"/>
  <c r="S13" i="17"/>
  <c r="AB33" i="17"/>
  <c r="AB44" i="17"/>
  <c r="AB55" i="17"/>
  <c r="AJ44" i="17"/>
  <c r="AP22" i="17"/>
  <c r="AP21" i="17"/>
  <c r="AT56" i="17"/>
  <c r="AT62" i="17"/>
  <c r="AV33" i="17"/>
  <c r="AV44" i="17"/>
  <c r="AV55" i="17"/>
  <c r="S260" i="16"/>
  <c r="BA14" i="14"/>
  <c r="AV260" i="14"/>
  <c r="D61" i="18"/>
  <c r="D50" i="18"/>
  <c r="AZ17" i="18"/>
  <c r="E46" i="18"/>
  <c r="E16" i="18"/>
  <c r="O61" i="18"/>
  <c r="O50" i="18"/>
  <c r="P15" i="18"/>
  <c r="P10" i="18"/>
  <c r="P13" i="18"/>
  <c r="AZ17" i="17"/>
  <c r="I21" i="17"/>
  <c r="I22" i="17"/>
  <c r="I10" i="17"/>
  <c r="I13" i="17"/>
  <c r="P21" i="17"/>
  <c r="P22" i="17"/>
  <c r="Q10" i="17"/>
  <c r="Q13" i="17"/>
  <c r="Y10" i="17"/>
  <c r="Y13" i="17"/>
  <c r="AB24" i="17"/>
  <c r="AB56" i="17"/>
  <c r="AB62" i="17"/>
  <c r="AB45" i="17"/>
  <c r="AB51" i="17"/>
  <c r="AB34" i="17"/>
  <c r="AB40" i="17"/>
  <c r="AJ24" i="17"/>
  <c r="AJ34" i="17"/>
  <c r="AJ40" i="17"/>
  <c r="AQ15" i="17"/>
  <c r="AP10" i="17"/>
  <c r="AP13" i="17"/>
  <c r="AQ14" i="17"/>
  <c r="AQ10" i="17"/>
  <c r="AQ13" i="17"/>
  <c r="AT45" i="17"/>
  <c r="AT51" i="17"/>
  <c r="AT21" i="17"/>
  <c r="AT10" i="17"/>
  <c r="AT13" i="17"/>
  <c r="AV24" i="17"/>
  <c r="AV56" i="17"/>
  <c r="AV62" i="17"/>
  <c r="AV45" i="17"/>
  <c r="AV51" i="17"/>
  <c r="AV34" i="17"/>
  <c r="AV40" i="17"/>
  <c r="P260" i="16"/>
  <c r="AQ260" i="16"/>
  <c r="AZ259" i="15"/>
  <c r="AZ259" i="14"/>
  <c r="D45" i="18"/>
  <c r="D51" i="18"/>
  <c r="D34" i="18"/>
  <c r="D40" i="18"/>
  <c r="D24" i="18"/>
  <c r="L55" i="18"/>
  <c r="L44" i="18"/>
  <c r="L33" i="18"/>
  <c r="O45" i="18"/>
  <c r="O51" i="18"/>
  <c r="O34" i="18"/>
  <c r="O40" i="18"/>
  <c r="O24" i="18"/>
  <c r="P50" i="18"/>
  <c r="P35" i="18"/>
  <c r="R45" i="18"/>
  <c r="R51" i="18"/>
  <c r="R34" i="18"/>
  <c r="R40" i="18"/>
  <c r="R24" i="18"/>
  <c r="T45" i="18"/>
  <c r="T51" i="18"/>
  <c r="T34" i="18"/>
  <c r="T40" i="18"/>
  <c r="T24" i="18"/>
  <c r="V45" i="18"/>
  <c r="V51" i="18"/>
  <c r="V34" i="18"/>
  <c r="V40" i="18"/>
  <c r="V24" i="18"/>
  <c r="X45" i="18"/>
  <c r="X51" i="18"/>
  <c r="X34" i="18"/>
  <c r="X40" i="18"/>
  <c r="X24" i="18"/>
  <c r="Z45" i="18"/>
  <c r="Z51" i="18"/>
  <c r="Z34" i="18"/>
  <c r="Z40" i="18"/>
  <c r="Z24" i="18"/>
  <c r="AB45" i="18"/>
  <c r="AB51" i="18"/>
  <c r="AB34" i="18"/>
  <c r="AB40" i="18"/>
  <c r="AB24" i="18"/>
  <c r="AD45" i="18"/>
  <c r="AD51" i="18"/>
  <c r="AD34" i="18"/>
  <c r="AD40" i="18"/>
  <c r="AD24" i="18"/>
  <c r="AF45" i="18"/>
  <c r="AF51" i="18"/>
  <c r="AF34" i="18"/>
  <c r="AF40" i="18"/>
  <c r="AF24" i="18"/>
  <c r="AH45" i="18"/>
  <c r="AH51" i="18"/>
  <c r="AH34" i="18"/>
  <c r="AH40" i="18"/>
  <c r="AH24" i="18"/>
  <c r="AJ45" i="18"/>
  <c r="AJ51" i="18"/>
  <c r="AJ34" i="18"/>
  <c r="AJ40" i="18"/>
  <c r="AJ24" i="18"/>
  <c r="AL45" i="18"/>
  <c r="AL51" i="18"/>
  <c r="AL34" i="18"/>
  <c r="AL40" i="18"/>
  <c r="AL24" i="18"/>
  <c r="AN45" i="18"/>
  <c r="AN51" i="18"/>
  <c r="AN34" i="18"/>
  <c r="AN40" i="18"/>
  <c r="AN24" i="18"/>
  <c r="AP45" i="18"/>
  <c r="AP51" i="18"/>
  <c r="AP34" i="18"/>
  <c r="AP40" i="18"/>
  <c r="AP24" i="18"/>
  <c r="E27" i="17"/>
  <c r="G21" i="17"/>
  <c r="G22" i="17"/>
  <c r="G10" i="17"/>
  <c r="G13" i="17"/>
  <c r="O34" i="17"/>
  <c r="O24" i="17"/>
  <c r="O45" i="17"/>
  <c r="O56" i="17"/>
  <c r="W10" i="17"/>
  <c r="W13" i="17"/>
  <c r="AF22" i="17"/>
  <c r="AF21" i="17"/>
  <c r="AJ56" i="17"/>
  <c r="AJ62" i="17"/>
  <c r="AL21" i="17"/>
  <c r="H260" i="15"/>
  <c r="AP260" i="15"/>
  <c r="AS260" i="15"/>
  <c r="AN260" i="14"/>
  <c r="AB10" i="17"/>
  <c r="AB13" i="17"/>
  <c r="AL10" i="17"/>
  <c r="AL13" i="17"/>
  <c r="AV10" i="17"/>
  <c r="AV13" i="17"/>
  <c r="AZ259" i="16"/>
  <c r="AN260" i="16"/>
  <c r="AV260" i="16"/>
  <c r="AA260" i="15"/>
  <c r="S31" i="20"/>
  <c r="T32" i="20"/>
  <c r="S7" i="20"/>
  <c r="H7" i="20"/>
  <c r="S9" i="20"/>
  <c r="H9" i="20"/>
  <c r="S10" i="20"/>
  <c r="H10" i="20"/>
  <c r="BA14" i="15"/>
  <c r="D44" i="17"/>
  <c r="D33" i="17"/>
  <c r="AG57" i="17"/>
  <c r="AQ57" i="17"/>
  <c r="X260" i="16"/>
  <c r="J260" i="15"/>
  <c r="M260" i="15"/>
  <c r="X260" i="15"/>
  <c r="AF260" i="15"/>
  <c r="AK260" i="15"/>
  <c r="K260" i="14"/>
  <c r="W260" i="14"/>
  <c r="E260" i="16"/>
  <c r="AF260" i="16"/>
  <c r="AK260" i="16"/>
  <c r="P260" i="15"/>
  <c r="U260" i="15"/>
  <c r="AV260" i="15"/>
  <c r="E260" i="14"/>
  <c r="AF260" i="14"/>
  <c r="AK260" i="14"/>
  <c r="D260" i="16"/>
  <c r="L260" i="16"/>
  <c r="T260" i="16"/>
  <c r="AB260" i="16"/>
  <c r="AJ260" i="16"/>
  <c r="AR260" i="16"/>
  <c r="D260" i="15"/>
  <c r="L260" i="15"/>
  <c r="T260" i="15"/>
  <c r="AB260" i="15"/>
  <c r="AJ260" i="15"/>
  <c r="AR260" i="15"/>
  <c r="D260" i="14"/>
  <c r="L260" i="14"/>
  <c r="T260" i="14"/>
  <c r="AB260" i="14"/>
  <c r="AJ260" i="14"/>
  <c r="AR260" i="14"/>
  <c r="Q21" i="18"/>
  <c r="Q22" i="18"/>
  <c r="AW21" i="17"/>
  <c r="AW22" i="17"/>
  <c r="O62" i="17"/>
  <c r="O57" i="17"/>
  <c r="H21" i="17"/>
  <c r="H22" i="17"/>
  <c r="L39" i="18"/>
  <c r="L35" i="18"/>
  <c r="P44" i="17"/>
  <c r="P55" i="17"/>
  <c r="P33" i="17"/>
  <c r="P23" i="17"/>
  <c r="AV50" i="17"/>
  <c r="AV46" i="17"/>
  <c r="AP24" i="17"/>
  <c r="AP34" i="17"/>
  <c r="AP40" i="17"/>
  <c r="AP45" i="17"/>
  <c r="AP51" i="17"/>
  <c r="AP56" i="17"/>
  <c r="AP62" i="17"/>
  <c r="AB39" i="17"/>
  <c r="AB35" i="17"/>
  <c r="K44" i="17"/>
  <c r="K55" i="17"/>
  <c r="K23" i="17"/>
  <c r="K33" i="17"/>
  <c r="AW21" i="18"/>
  <c r="AW22" i="18"/>
  <c r="F30" i="18"/>
  <c r="G27" i="18"/>
  <c r="V34" i="17"/>
  <c r="V40" i="17"/>
  <c r="V56" i="17"/>
  <c r="V62" i="17"/>
  <c r="V24" i="17"/>
  <c r="V45" i="17"/>
  <c r="V51" i="17"/>
  <c r="AS33" i="17"/>
  <c r="AS55" i="17"/>
  <c r="AS44" i="17"/>
  <c r="AS23" i="17"/>
  <c r="AI33" i="17"/>
  <c r="AI55" i="17"/>
  <c r="AI44" i="17"/>
  <c r="AI23" i="17"/>
  <c r="AE24" i="17"/>
  <c r="AE34" i="17"/>
  <c r="AE40" i="17"/>
  <c r="AE45" i="17"/>
  <c r="AE51" i="17"/>
  <c r="AE56" i="17"/>
  <c r="AE62" i="17"/>
  <c r="AV34" i="18"/>
  <c r="AV40" i="18"/>
  <c r="AV45" i="18"/>
  <c r="AV51" i="18"/>
  <c r="AV56" i="18"/>
  <c r="AV62" i="18"/>
  <c r="AV24" i="18"/>
  <c r="AY33" i="17"/>
  <c r="AY23" i="17"/>
  <c r="AY55" i="17"/>
  <c r="AY44" i="17"/>
  <c r="Y34" i="17"/>
  <c r="Y40" i="17"/>
  <c r="Y45" i="17"/>
  <c r="Y51" i="17"/>
  <c r="Y56" i="17"/>
  <c r="Y62" i="17"/>
  <c r="Y24" i="17"/>
  <c r="F34" i="17"/>
  <c r="F40" i="17"/>
  <c r="F24" i="17"/>
  <c r="F45" i="17"/>
  <c r="F51" i="17"/>
  <c r="F56" i="17"/>
  <c r="F62" i="17"/>
  <c r="F22" i="18"/>
  <c r="F21" i="18"/>
  <c r="AN24" i="17"/>
  <c r="AN56" i="17"/>
  <c r="AN62" i="17"/>
  <c r="AN45" i="17"/>
  <c r="AN51" i="17"/>
  <c r="AN34" i="17"/>
  <c r="AN40" i="17"/>
  <c r="U34" i="17"/>
  <c r="U40" i="17"/>
  <c r="U45" i="17"/>
  <c r="U51" i="17"/>
  <c r="U56" i="17"/>
  <c r="U62" i="17"/>
  <c r="U24" i="17"/>
  <c r="AX34" i="18"/>
  <c r="AX40" i="18"/>
  <c r="AX45" i="18"/>
  <c r="AX51" i="18"/>
  <c r="AX56" i="18"/>
  <c r="AX62" i="18"/>
  <c r="AX24" i="18"/>
  <c r="AQ34" i="18"/>
  <c r="AQ40" i="18"/>
  <c r="AQ56" i="18"/>
  <c r="AQ62" i="18"/>
  <c r="AQ45" i="18"/>
  <c r="AQ51" i="18"/>
  <c r="AQ24" i="18"/>
  <c r="AP39" i="18"/>
  <c r="AP35" i="18"/>
  <c r="AN57" i="18"/>
  <c r="AN61" i="18"/>
  <c r="AM56" i="18"/>
  <c r="AM62" i="18"/>
  <c r="AM24" i="18"/>
  <c r="AM34" i="18"/>
  <c r="AM40" i="18"/>
  <c r="AM45" i="18"/>
  <c r="AM51" i="18"/>
  <c r="AL39" i="18"/>
  <c r="AL35" i="18"/>
  <c r="AJ57" i="18"/>
  <c r="AJ61" i="18"/>
  <c r="AI56" i="18"/>
  <c r="AI62" i="18"/>
  <c r="AI24" i="18"/>
  <c r="AI34" i="18"/>
  <c r="AI40" i="18"/>
  <c r="AI45" i="18"/>
  <c r="AI51" i="18"/>
  <c r="AH39" i="18"/>
  <c r="AH35" i="18"/>
  <c r="AF57" i="18"/>
  <c r="AF61" i="18"/>
  <c r="AE56" i="18"/>
  <c r="AE62" i="18"/>
  <c r="AE24" i="18"/>
  <c r="AE34" i="18"/>
  <c r="AE40" i="18"/>
  <c r="AE45" i="18"/>
  <c r="AE51" i="18"/>
  <c r="AD39" i="18"/>
  <c r="AD35" i="18"/>
  <c r="AB57" i="18"/>
  <c r="AB61" i="18"/>
  <c r="AA56" i="18"/>
  <c r="AA62" i="18"/>
  <c r="AA24" i="18"/>
  <c r="AA34" i="18"/>
  <c r="AA40" i="18"/>
  <c r="AA45" i="18"/>
  <c r="AA51" i="18"/>
  <c r="Z39" i="18"/>
  <c r="Z35" i="18"/>
  <c r="X57" i="18"/>
  <c r="X61" i="18"/>
  <c r="W56" i="18"/>
  <c r="W62" i="18"/>
  <c r="W24" i="18"/>
  <c r="W34" i="18"/>
  <c r="W40" i="18"/>
  <c r="W45" i="18"/>
  <c r="W51" i="18"/>
  <c r="V39" i="18"/>
  <c r="V35" i="18"/>
  <c r="T57" i="18"/>
  <c r="T61" i="18"/>
  <c r="S56" i="18"/>
  <c r="S62" i="18"/>
  <c r="S24" i="18"/>
  <c r="S34" i="18"/>
  <c r="S40" i="18"/>
  <c r="S45" i="18"/>
  <c r="S51" i="18"/>
  <c r="R39" i="18"/>
  <c r="R35" i="18"/>
  <c r="N23" i="18"/>
  <c r="N33" i="18"/>
  <c r="N44" i="18"/>
  <c r="N55" i="18"/>
  <c r="AZ260" i="14"/>
  <c r="AZ260" i="16"/>
  <c r="D39" i="17"/>
  <c r="D35" i="17"/>
  <c r="AM21" i="17"/>
  <c r="AM22" i="17"/>
  <c r="AF33" i="17"/>
  <c r="AF44" i="17"/>
  <c r="AF55" i="17"/>
  <c r="AF23" i="17"/>
  <c r="O51" i="17"/>
  <c r="O46" i="17"/>
  <c r="G34" i="17"/>
  <c r="G40" i="17"/>
  <c r="G45" i="17"/>
  <c r="G51" i="17"/>
  <c r="G56" i="17"/>
  <c r="G62" i="17"/>
  <c r="G24" i="17"/>
  <c r="L46" i="18"/>
  <c r="L50" i="18"/>
  <c r="AR22" i="17"/>
  <c r="AR21" i="17"/>
  <c r="Z21" i="17"/>
  <c r="Z22" i="17"/>
  <c r="J21" i="17"/>
  <c r="J22" i="17"/>
  <c r="D35" i="18"/>
  <c r="AV39" i="17"/>
  <c r="AV35" i="17"/>
  <c r="AJ50" i="17"/>
  <c r="AJ46" i="17"/>
  <c r="T21" i="17"/>
  <c r="T22" i="17"/>
  <c r="D57" i="17"/>
  <c r="D62" i="17"/>
  <c r="AU21" i="18"/>
  <c r="AU22" i="18"/>
  <c r="AK24" i="17"/>
  <c r="AK34" i="17"/>
  <c r="AK40" i="17"/>
  <c r="AK45" i="17"/>
  <c r="AK51" i="17"/>
  <c r="AK56" i="17"/>
  <c r="AK62" i="17"/>
  <c r="AJ35" i="17"/>
  <c r="AJ39" i="17"/>
  <c r="V44" i="17"/>
  <c r="V55" i="17"/>
  <c r="V33" i="17"/>
  <c r="V23" i="17"/>
  <c r="O46" i="18"/>
  <c r="AO24" i="17"/>
  <c r="AO34" i="17"/>
  <c r="AO40" i="17"/>
  <c r="AO45" i="17"/>
  <c r="AO51" i="17"/>
  <c r="AO56" i="17"/>
  <c r="AO62" i="17"/>
  <c r="AA24" i="17"/>
  <c r="AA34" i="17"/>
  <c r="AA40" i="17"/>
  <c r="AA45" i="17"/>
  <c r="AA51" i="17"/>
  <c r="AA56" i="17"/>
  <c r="AA62" i="17"/>
  <c r="M21" i="18"/>
  <c r="M22" i="18"/>
  <c r="AE33" i="17"/>
  <c r="AE23" i="17"/>
  <c r="AE55" i="17"/>
  <c r="AE44" i="17"/>
  <c r="AV44" i="18"/>
  <c r="AV23" i="18"/>
  <c r="AV33" i="18"/>
  <c r="AV55" i="18"/>
  <c r="AY24" i="17"/>
  <c r="AY34" i="17"/>
  <c r="AY40" i="17"/>
  <c r="AY45" i="17"/>
  <c r="AY51" i="17"/>
  <c r="AY56" i="17"/>
  <c r="AY62" i="17"/>
  <c r="Y44" i="17"/>
  <c r="Y23" i="17"/>
  <c r="Y33" i="17"/>
  <c r="Y55" i="17"/>
  <c r="F44" i="17"/>
  <c r="F55" i="17"/>
  <c r="F33" i="17"/>
  <c r="F23" i="17"/>
  <c r="AZ10" i="18"/>
  <c r="AN33" i="17"/>
  <c r="AN44" i="17"/>
  <c r="AN55" i="17"/>
  <c r="AN23" i="17"/>
  <c r="U44" i="17"/>
  <c r="U23" i="17"/>
  <c r="U33" i="17"/>
  <c r="U55" i="17"/>
  <c r="AX44" i="18"/>
  <c r="AX23" i="18"/>
  <c r="AX33" i="18"/>
  <c r="AX55" i="18"/>
  <c r="AQ44" i="18"/>
  <c r="AQ55" i="18"/>
  <c r="AQ23" i="18"/>
  <c r="AQ33" i="18"/>
  <c r="AN46" i="18"/>
  <c r="AN50" i="18"/>
  <c r="AM23" i="18"/>
  <c r="AM33" i="18"/>
  <c r="AM44" i="18"/>
  <c r="AM55" i="18"/>
  <c r="AJ46" i="18"/>
  <c r="AJ50" i="18"/>
  <c r="AI23" i="18"/>
  <c r="AI33" i="18"/>
  <c r="AI44" i="18"/>
  <c r="AI55" i="18"/>
  <c r="AF46" i="18"/>
  <c r="AF50" i="18"/>
  <c r="AE23" i="18"/>
  <c r="AE33" i="18"/>
  <c r="AE44" i="18"/>
  <c r="AE55" i="18"/>
  <c r="AB46" i="18"/>
  <c r="AB50" i="18"/>
  <c r="AA23" i="18"/>
  <c r="AA33" i="18"/>
  <c r="AA44" i="18"/>
  <c r="AA55" i="18"/>
  <c r="X46" i="18"/>
  <c r="X50" i="18"/>
  <c r="W23" i="18"/>
  <c r="W33" i="18"/>
  <c r="W44" i="18"/>
  <c r="W55" i="18"/>
  <c r="T46" i="18"/>
  <c r="T50" i="18"/>
  <c r="S23" i="18"/>
  <c r="S33" i="18"/>
  <c r="S44" i="18"/>
  <c r="S55" i="18"/>
  <c r="I56" i="18"/>
  <c r="I62" i="18"/>
  <c r="I24" i="18"/>
  <c r="I34" i="18"/>
  <c r="I40" i="18"/>
  <c r="I45" i="18"/>
  <c r="I51" i="18"/>
  <c r="D46" i="17"/>
  <c r="D50" i="17"/>
  <c r="T11" i="20"/>
  <c r="T45" i="20"/>
  <c r="AC21" i="17"/>
  <c r="AC22" i="17"/>
  <c r="AF24" i="17"/>
  <c r="AF34" i="17"/>
  <c r="AF40" i="17"/>
  <c r="AF56" i="17"/>
  <c r="AF62" i="17"/>
  <c r="AF45" i="17"/>
  <c r="AF51" i="17"/>
  <c r="G44" i="17"/>
  <c r="G55" i="17"/>
  <c r="G23" i="17"/>
  <c r="G33" i="17"/>
  <c r="L57" i="18"/>
  <c r="L61" i="18"/>
  <c r="AU21" i="17"/>
  <c r="AU22" i="17"/>
  <c r="R21" i="17"/>
  <c r="R22" i="17"/>
  <c r="I34" i="17"/>
  <c r="I40" i="17"/>
  <c r="I45" i="17"/>
  <c r="I51" i="17"/>
  <c r="I56" i="17"/>
  <c r="I62" i="17"/>
  <c r="I24" i="17"/>
  <c r="O35" i="18"/>
  <c r="AB57" i="17"/>
  <c r="AB61" i="17"/>
  <c r="L21" i="17"/>
  <c r="L22" i="17"/>
  <c r="AS21" i="18"/>
  <c r="AS22" i="18"/>
  <c r="AK33" i="17"/>
  <c r="AK23" i="17"/>
  <c r="AK44" i="17"/>
  <c r="AK55" i="17"/>
  <c r="AG10" i="17"/>
  <c r="AG13" i="17"/>
  <c r="M34" i="17"/>
  <c r="M40" i="17"/>
  <c r="M45" i="17"/>
  <c r="M51" i="17"/>
  <c r="M56" i="17"/>
  <c r="M62" i="17"/>
  <c r="M24" i="17"/>
  <c r="J23" i="18"/>
  <c r="J33" i="18"/>
  <c r="J44" i="18"/>
  <c r="J55" i="18"/>
  <c r="D46" i="18"/>
  <c r="AO33" i="17"/>
  <c r="AO23" i="17"/>
  <c r="AO55" i="17"/>
  <c r="AO44" i="17"/>
  <c r="AA33" i="17"/>
  <c r="AA23" i="17"/>
  <c r="AA44" i="17"/>
  <c r="AA55" i="17"/>
  <c r="K56" i="18"/>
  <c r="K62" i="18"/>
  <c r="K24" i="18"/>
  <c r="K34" i="18"/>
  <c r="K40" i="18"/>
  <c r="K45" i="18"/>
  <c r="K51" i="18"/>
  <c r="S34" i="17"/>
  <c r="S40" i="17"/>
  <c r="S45" i="17"/>
  <c r="S51" i="17"/>
  <c r="S56" i="17"/>
  <c r="S62" i="17"/>
  <c r="S24" i="17"/>
  <c r="AR34" i="18"/>
  <c r="AR40" i="18"/>
  <c r="AR45" i="18"/>
  <c r="AR51" i="18"/>
  <c r="AR56" i="18"/>
  <c r="AR62" i="18"/>
  <c r="AR24" i="18"/>
  <c r="AD24" i="17"/>
  <c r="AD56" i="17"/>
  <c r="AD62" i="17"/>
  <c r="AD45" i="17"/>
  <c r="AD51" i="17"/>
  <c r="AD34" i="17"/>
  <c r="AD40" i="17"/>
  <c r="N34" i="17"/>
  <c r="N40" i="17"/>
  <c r="N24" i="17"/>
  <c r="N45" i="17"/>
  <c r="N51" i="17"/>
  <c r="N56" i="17"/>
  <c r="N62" i="17"/>
  <c r="G56" i="18"/>
  <c r="G62" i="18"/>
  <c r="G24" i="18"/>
  <c r="G34" i="18"/>
  <c r="G40" i="18"/>
  <c r="G45" i="18"/>
  <c r="G51" i="18"/>
  <c r="AX24" i="17"/>
  <c r="AX56" i="17"/>
  <c r="AX62" i="17"/>
  <c r="AX45" i="17"/>
  <c r="AX51" i="17"/>
  <c r="AX34" i="17"/>
  <c r="AX40" i="17"/>
  <c r="W34" i="17"/>
  <c r="W40" i="17"/>
  <c r="W45" i="17"/>
  <c r="W51" i="17"/>
  <c r="W56" i="17"/>
  <c r="W62" i="17"/>
  <c r="W24" i="17"/>
  <c r="Q34" i="17"/>
  <c r="Q40" i="17"/>
  <c r="Q45" i="17"/>
  <c r="Q51" i="17"/>
  <c r="Q56" i="17"/>
  <c r="Q62" i="17"/>
  <c r="Q24" i="17"/>
  <c r="AT34" i="18"/>
  <c r="AT40" i="18"/>
  <c r="AT45" i="18"/>
  <c r="AT51" i="18"/>
  <c r="AT56" i="18"/>
  <c r="AT62" i="18"/>
  <c r="AT24" i="18"/>
  <c r="AP57" i="18"/>
  <c r="AP61" i="18"/>
  <c r="AO56" i="18"/>
  <c r="AO62" i="18"/>
  <c r="AO24" i="18"/>
  <c r="AO34" i="18"/>
  <c r="AO40" i="18"/>
  <c r="AO45" i="18"/>
  <c r="AO51" i="18"/>
  <c r="AN39" i="18"/>
  <c r="AN35" i="18"/>
  <c r="AL57" i="18"/>
  <c r="AL61" i="18"/>
  <c r="AK56" i="18"/>
  <c r="AK62" i="18"/>
  <c r="AK24" i="18"/>
  <c r="AK34" i="18"/>
  <c r="AK40" i="18"/>
  <c r="AK45" i="18"/>
  <c r="AK51" i="18"/>
  <c r="AJ39" i="18"/>
  <c r="AJ35" i="18"/>
  <c r="AH57" i="18"/>
  <c r="AH61" i="18"/>
  <c r="AG56" i="18"/>
  <c r="AG62" i="18"/>
  <c r="AG24" i="18"/>
  <c r="AG34" i="18"/>
  <c r="AG40" i="18"/>
  <c r="AG45" i="18"/>
  <c r="AG51" i="18"/>
  <c r="AF39" i="18"/>
  <c r="AF35" i="18"/>
  <c r="AD57" i="18"/>
  <c r="AD61" i="18"/>
  <c r="AC56" i="18"/>
  <c r="AC62" i="18"/>
  <c r="AC24" i="18"/>
  <c r="AC34" i="18"/>
  <c r="AC40" i="18"/>
  <c r="AC45" i="18"/>
  <c r="AC51" i="18"/>
  <c r="AB39" i="18"/>
  <c r="AB35" i="18"/>
  <c r="Z57" i="18"/>
  <c r="Z61" i="18"/>
  <c r="Y56" i="18"/>
  <c r="Y62" i="18"/>
  <c r="Y24" i="18"/>
  <c r="Y34" i="18"/>
  <c r="Y40" i="18"/>
  <c r="Y45" i="18"/>
  <c r="Y51" i="18"/>
  <c r="X39" i="18"/>
  <c r="X35" i="18"/>
  <c r="V57" i="18"/>
  <c r="V61" i="18"/>
  <c r="U56" i="18"/>
  <c r="U62" i="18"/>
  <c r="U24" i="18"/>
  <c r="U34" i="18"/>
  <c r="U40" i="18"/>
  <c r="U45" i="18"/>
  <c r="U51" i="18"/>
  <c r="T39" i="18"/>
  <c r="T35" i="18"/>
  <c r="R57" i="18"/>
  <c r="R61" i="18"/>
  <c r="I23" i="18"/>
  <c r="I33" i="18"/>
  <c r="I44" i="18"/>
  <c r="I55" i="18"/>
  <c r="AZ260" i="15"/>
  <c r="AL33" i="17"/>
  <c r="AL44" i="17"/>
  <c r="AL55" i="17"/>
  <c r="AL23" i="17"/>
  <c r="X21" i="17"/>
  <c r="X22" i="17"/>
  <c r="O35" i="17"/>
  <c r="O40" i="17"/>
  <c r="F27" i="17"/>
  <c r="E30" i="17"/>
  <c r="AT33" i="17"/>
  <c r="AT23" i="17"/>
  <c r="AT55" i="17"/>
  <c r="AT44" i="17"/>
  <c r="P34" i="17"/>
  <c r="P40" i="17"/>
  <c r="P24" i="17"/>
  <c r="P45" i="17"/>
  <c r="P51" i="17"/>
  <c r="P56" i="17"/>
  <c r="P62" i="17"/>
  <c r="I44" i="17"/>
  <c r="I55" i="17"/>
  <c r="I23" i="17"/>
  <c r="I33" i="17"/>
  <c r="AV57" i="17"/>
  <c r="AV61" i="17"/>
  <c r="AP33" i="17"/>
  <c r="AP44" i="17"/>
  <c r="AP55" i="17"/>
  <c r="AP23" i="17"/>
  <c r="AB50" i="17"/>
  <c r="AB46" i="17"/>
  <c r="K34" i="17"/>
  <c r="K40" i="17"/>
  <c r="K45" i="17"/>
  <c r="K51" i="17"/>
  <c r="K56" i="17"/>
  <c r="K62" i="17"/>
  <c r="K24" i="17"/>
  <c r="AY21" i="18"/>
  <c r="AY22" i="18"/>
  <c r="AJ57" i="17"/>
  <c r="AJ61" i="17"/>
  <c r="M44" i="17"/>
  <c r="M55" i="17"/>
  <c r="M23" i="17"/>
  <c r="M33" i="17"/>
  <c r="H23" i="18"/>
  <c r="H33" i="18"/>
  <c r="H44" i="18"/>
  <c r="H55" i="18"/>
  <c r="AS24" i="17"/>
  <c r="AS56" i="17"/>
  <c r="AS62" i="17"/>
  <c r="AS34" i="17"/>
  <c r="AS40" i="17"/>
  <c r="AS45" i="17"/>
  <c r="AS51" i="17"/>
  <c r="AI24" i="17"/>
  <c r="AI56" i="17"/>
  <c r="AI62" i="17"/>
  <c r="AI45" i="17"/>
  <c r="AI51" i="17"/>
  <c r="AI34" i="17"/>
  <c r="AI40" i="17"/>
  <c r="E21" i="17"/>
  <c r="E22" i="17"/>
  <c r="K23" i="18"/>
  <c r="K33" i="18"/>
  <c r="K44" i="18"/>
  <c r="K55" i="18"/>
  <c r="S44" i="17"/>
  <c r="S23" i="17"/>
  <c r="S33" i="17"/>
  <c r="S55" i="17"/>
  <c r="AR44" i="18"/>
  <c r="AR23" i="18"/>
  <c r="AR33" i="18"/>
  <c r="AR55" i="18"/>
  <c r="AD33" i="17"/>
  <c r="AD44" i="17"/>
  <c r="AD23" i="17"/>
  <c r="AD55" i="17"/>
  <c r="N44" i="17"/>
  <c r="N55" i="17"/>
  <c r="N33" i="17"/>
  <c r="N23" i="17"/>
  <c r="G23" i="18"/>
  <c r="G33" i="18"/>
  <c r="G44" i="18"/>
  <c r="G55" i="18"/>
  <c r="AX33" i="17"/>
  <c r="AX44" i="17"/>
  <c r="AX23" i="17"/>
  <c r="AX55" i="17"/>
  <c r="W44" i="17"/>
  <c r="W23" i="17"/>
  <c r="W33" i="17"/>
  <c r="W55" i="17"/>
  <c r="Q44" i="17"/>
  <c r="Q23" i="17"/>
  <c r="Q33" i="17"/>
  <c r="Q55" i="17"/>
  <c r="AT44" i="18"/>
  <c r="AT23" i="18"/>
  <c r="AT33" i="18"/>
  <c r="AT55" i="18"/>
  <c r="AP46" i="18"/>
  <c r="AP50" i="18"/>
  <c r="AO23" i="18"/>
  <c r="AO33" i="18"/>
  <c r="AO44" i="18"/>
  <c r="AO55" i="18"/>
  <c r="AL46" i="18"/>
  <c r="AL50" i="18"/>
  <c r="AK23" i="18"/>
  <c r="AK33" i="18"/>
  <c r="AK44" i="18"/>
  <c r="AK55" i="18"/>
  <c r="AH46" i="18"/>
  <c r="AH50" i="18"/>
  <c r="AG23" i="18"/>
  <c r="AG33" i="18"/>
  <c r="AG44" i="18"/>
  <c r="AG55" i="18"/>
  <c r="AD46" i="18"/>
  <c r="AD50" i="18"/>
  <c r="AC23" i="18"/>
  <c r="AC33" i="18"/>
  <c r="AC44" i="18"/>
  <c r="AC55" i="18"/>
  <c r="Z46" i="18"/>
  <c r="Z50" i="18"/>
  <c r="Y23" i="18"/>
  <c r="Y33" i="18"/>
  <c r="Y44" i="18"/>
  <c r="Y55" i="18"/>
  <c r="V46" i="18"/>
  <c r="V50" i="18"/>
  <c r="U23" i="18"/>
  <c r="U33" i="18"/>
  <c r="U44" i="18"/>
  <c r="U55" i="18"/>
  <c r="R46" i="18"/>
  <c r="R50" i="18"/>
  <c r="N56" i="18"/>
  <c r="N62" i="18"/>
  <c r="N24" i="18"/>
  <c r="N34" i="18"/>
  <c r="N40" i="18"/>
  <c r="N45" i="18"/>
  <c r="N51" i="18"/>
  <c r="D57" i="18"/>
  <c r="Y57" i="18"/>
  <c r="Y61" i="18"/>
  <c r="AC39" i="18"/>
  <c r="AC35" i="18"/>
  <c r="AG57" i="18"/>
  <c r="AG61" i="18"/>
  <c r="AK39" i="18"/>
  <c r="AK35" i="18"/>
  <c r="AX50" i="17"/>
  <c r="AX46" i="17"/>
  <c r="G39" i="18"/>
  <c r="G35" i="18"/>
  <c r="N61" i="17"/>
  <c r="N57" i="17"/>
  <c r="AD50" i="17"/>
  <c r="AD46" i="17"/>
  <c r="K39" i="18"/>
  <c r="K35" i="18"/>
  <c r="H57" i="18"/>
  <c r="H61" i="18"/>
  <c r="M35" i="17"/>
  <c r="M39" i="17"/>
  <c r="AP57" i="17"/>
  <c r="AP61" i="17"/>
  <c r="I46" i="17"/>
  <c r="I50" i="17"/>
  <c r="AT35" i="17"/>
  <c r="AT39" i="17"/>
  <c r="AA46" i="17"/>
  <c r="AA50" i="17"/>
  <c r="AO57" i="17"/>
  <c r="AO61" i="17"/>
  <c r="J57" i="18"/>
  <c r="J61" i="18"/>
  <c r="AH22" i="17"/>
  <c r="AH21" i="17"/>
  <c r="AK35" i="17"/>
  <c r="AK39" i="17"/>
  <c r="L44" i="17"/>
  <c r="L55" i="17"/>
  <c r="L33" i="17"/>
  <c r="L23" i="17"/>
  <c r="R34" i="17"/>
  <c r="R40" i="17"/>
  <c r="R24" i="17"/>
  <c r="R45" i="17"/>
  <c r="R51" i="17"/>
  <c r="R56" i="17"/>
  <c r="R62" i="17"/>
  <c r="G61" i="17"/>
  <c r="G57" i="17"/>
  <c r="S46" i="18"/>
  <c r="S50" i="18"/>
  <c r="AA46" i="18"/>
  <c r="AA50" i="18"/>
  <c r="AI46" i="18"/>
  <c r="AI50" i="18"/>
  <c r="AX39" i="18"/>
  <c r="AX35" i="18"/>
  <c r="U35" i="17"/>
  <c r="U39" i="17"/>
  <c r="AN57" i="17"/>
  <c r="AN61" i="17"/>
  <c r="Y61" i="17"/>
  <c r="Y57" i="17"/>
  <c r="AV61" i="18"/>
  <c r="AV57" i="18"/>
  <c r="AE50" i="17"/>
  <c r="AE46" i="17"/>
  <c r="M56" i="18"/>
  <c r="M62" i="18"/>
  <c r="M24" i="18"/>
  <c r="M34" i="18"/>
  <c r="M40" i="18"/>
  <c r="M45" i="18"/>
  <c r="M51" i="18"/>
  <c r="V39" i="17"/>
  <c r="V35" i="17"/>
  <c r="Z44" i="17"/>
  <c r="Z55" i="17"/>
  <c r="Z23" i="17"/>
  <c r="Z33" i="17"/>
  <c r="AF57" i="17"/>
  <c r="AF61" i="17"/>
  <c r="AM33" i="17"/>
  <c r="AM23" i="17"/>
  <c r="AM44" i="17"/>
  <c r="AM55" i="17"/>
  <c r="F56" i="18"/>
  <c r="F62" i="18"/>
  <c r="F24" i="18"/>
  <c r="AZ24" i="18"/>
  <c r="F34" i="18"/>
  <c r="F40" i="18"/>
  <c r="F45" i="18"/>
  <c r="F51" i="18"/>
  <c r="AZ22" i="18"/>
  <c r="AY39" i="17"/>
  <c r="AY35" i="17"/>
  <c r="AI57" i="17"/>
  <c r="AI61" i="17"/>
  <c r="AS57" i="17"/>
  <c r="AS61" i="17"/>
  <c r="AW34" i="18"/>
  <c r="AW40" i="18"/>
  <c r="AW56" i="18"/>
  <c r="AW62" i="18"/>
  <c r="AW45" i="18"/>
  <c r="AW51" i="18"/>
  <c r="AW24" i="18"/>
  <c r="K61" i="17"/>
  <c r="K57" i="17"/>
  <c r="P61" i="17"/>
  <c r="P57" i="17"/>
  <c r="H34" i="17"/>
  <c r="H40" i="17"/>
  <c r="H24" i="17"/>
  <c r="H45" i="17"/>
  <c r="H51" i="17"/>
  <c r="H56" i="17"/>
  <c r="H62" i="17"/>
  <c r="AW24" i="17"/>
  <c r="AW45" i="17"/>
  <c r="AW51" i="17"/>
  <c r="AW34" i="17"/>
  <c r="AW40" i="17"/>
  <c r="AW56" i="17"/>
  <c r="AW62" i="17"/>
  <c r="Y46" i="18"/>
  <c r="Y50" i="18"/>
  <c r="AG46" i="18"/>
  <c r="AG50" i="18"/>
  <c r="AO46" i="18"/>
  <c r="AO50" i="18"/>
  <c r="AT46" i="18"/>
  <c r="AT50" i="18"/>
  <c r="Q46" i="17"/>
  <c r="Q50" i="17"/>
  <c r="W46" i="17"/>
  <c r="W50" i="17"/>
  <c r="AX35" i="17"/>
  <c r="AX39" i="17"/>
  <c r="N46" i="17"/>
  <c r="N50" i="17"/>
  <c r="AD35" i="17"/>
  <c r="AD39" i="17"/>
  <c r="AR46" i="18"/>
  <c r="AR50" i="18"/>
  <c r="S46" i="17"/>
  <c r="S50" i="17"/>
  <c r="H46" i="18"/>
  <c r="H50" i="18"/>
  <c r="AP50" i="17"/>
  <c r="AP46" i="17"/>
  <c r="I35" i="17"/>
  <c r="I39" i="17"/>
  <c r="AT50" i="17"/>
  <c r="AT46" i="17"/>
  <c r="AL57" i="17"/>
  <c r="AL61" i="17"/>
  <c r="I61" i="18"/>
  <c r="I57" i="18"/>
  <c r="J46" i="18"/>
  <c r="J50" i="18"/>
  <c r="AK57" i="17"/>
  <c r="AK61" i="17"/>
  <c r="AS34" i="18"/>
  <c r="AS40" i="18"/>
  <c r="AS56" i="18"/>
  <c r="AS62" i="18"/>
  <c r="AS45" i="18"/>
  <c r="AS51" i="18"/>
  <c r="AS24" i="18"/>
  <c r="R44" i="17"/>
  <c r="R55" i="17"/>
  <c r="R23" i="17"/>
  <c r="R33" i="17"/>
  <c r="G46" i="17"/>
  <c r="G50" i="17"/>
  <c r="S39" i="18"/>
  <c r="S35" i="18"/>
  <c r="W57" i="18"/>
  <c r="W61" i="18"/>
  <c r="AA39" i="18"/>
  <c r="AA35" i="18"/>
  <c r="AE57" i="18"/>
  <c r="AE61" i="18"/>
  <c r="AI39" i="18"/>
  <c r="AI35" i="18"/>
  <c r="AM57" i="18"/>
  <c r="AM61" i="18"/>
  <c r="AQ57" i="18"/>
  <c r="AQ61" i="18"/>
  <c r="AN50" i="17"/>
  <c r="AN46" i="17"/>
  <c r="F35" i="17"/>
  <c r="F39" i="17"/>
  <c r="Y35" i="17"/>
  <c r="Y39" i="17"/>
  <c r="AV39" i="18"/>
  <c r="AV35" i="18"/>
  <c r="AE57" i="17"/>
  <c r="AE61" i="17"/>
  <c r="M23" i="18"/>
  <c r="M33" i="18"/>
  <c r="M44" i="18"/>
  <c r="M55" i="18"/>
  <c r="V61" i="17"/>
  <c r="V57" i="17"/>
  <c r="J34" i="17"/>
  <c r="J40" i="17"/>
  <c r="J24" i="17"/>
  <c r="J56" i="17"/>
  <c r="J62" i="17"/>
  <c r="J45" i="17"/>
  <c r="J51" i="17"/>
  <c r="AR33" i="17"/>
  <c r="AR44" i="17"/>
  <c r="AR55" i="17"/>
  <c r="AR23" i="17"/>
  <c r="AF50" i="17"/>
  <c r="AF46" i="17"/>
  <c r="N57" i="18"/>
  <c r="N61" i="18"/>
  <c r="AY50" i="17"/>
  <c r="AY46" i="17"/>
  <c r="AZ10" i="17"/>
  <c r="AI39" i="17"/>
  <c r="AI35" i="17"/>
  <c r="AS39" i="17"/>
  <c r="AS35" i="17"/>
  <c r="AW44" i="18"/>
  <c r="AW23" i="18"/>
  <c r="AW33" i="18"/>
  <c r="AW55" i="18"/>
  <c r="K50" i="17"/>
  <c r="K46" i="17"/>
  <c r="P50" i="17"/>
  <c r="P46" i="17"/>
  <c r="H44" i="17"/>
  <c r="H23" i="17"/>
  <c r="H55" i="17"/>
  <c r="H33" i="17"/>
  <c r="AW33" i="17"/>
  <c r="AW23" i="17"/>
  <c r="AW55" i="17"/>
  <c r="AW44" i="17"/>
  <c r="U57" i="18"/>
  <c r="U61" i="18"/>
  <c r="Y39" i="18"/>
  <c r="Y35" i="18"/>
  <c r="AC57" i="18"/>
  <c r="AC61" i="18"/>
  <c r="AG39" i="18"/>
  <c r="AG35" i="18"/>
  <c r="AK57" i="18"/>
  <c r="AK61" i="18"/>
  <c r="AO39" i="18"/>
  <c r="AO35" i="18"/>
  <c r="AT61" i="18"/>
  <c r="AT57" i="18"/>
  <c r="Q61" i="17"/>
  <c r="Q57" i="17"/>
  <c r="W61" i="17"/>
  <c r="W57" i="17"/>
  <c r="AX57" i="17"/>
  <c r="AX61" i="17"/>
  <c r="G61" i="18"/>
  <c r="G57" i="18"/>
  <c r="AD57" i="17"/>
  <c r="AD61" i="17"/>
  <c r="AR61" i="18"/>
  <c r="AR57" i="18"/>
  <c r="S61" i="17"/>
  <c r="S57" i="17"/>
  <c r="K61" i="18"/>
  <c r="K57" i="18"/>
  <c r="E34" i="17"/>
  <c r="E40" i="17"/>
  <c r="E24" i="17"/>
  <c r="E56" i="17"/>
  <c r="E62" i="17"/>
  <c r="E45" i="17"/>
  <c r="E51" i="17"/>
  <c r="H39" i="18"/>
  <c r="H35" i="18"/>
  <c r="M61" i="17"/>
  <c r="M57" i="17"/>
  <c r="AY34" i="18"/>
  <c r="AY40" i="18"/>
  <c r="AY56" i="18"/>
  <c r="AY62" i="18"/>
  <c r="AY45" i="18"/>
  <c r="AY51" i="18"/>
  <c r="AY24" i="18"/>
  <c r="AP35" i="17"/>
  <c r="AP39" i="17"/>
  <c r="AT57" i="17"/>
  <c r="AT61" i="17"/>
  <c r="X34" i="17"/>
  <c r="X40" i="17"/>
  <c r="X24" i="17"/>
  <c r="X45" i="17"/>
  <c r="X51" i="17"/>
  <c r="X56" i="17"/>
  <c r="X62" i="17"/>
  <c r="AL50" i="17"/>
  <c r="AL46" i="17"/>
  <c r="I46" i="18"/>
  <c r="I50" i="18"/>
  <c r="AA35" i="17"/>
  <c r="AA39" i="17"/>
  <c r="AO39" i="17"/>
  <c r="AO35" i="17"/>
  <c r="J39" i="18"/>
  <c r="J35" i="18"/>
  <c r="AK50" i="17"/>
  <c r="AK46" i="17"/>
  <c r="AS44" i="18"/>
  <c r="AS23" i="18"/>
  <c r="AS33" i="18"/>
  <c r="AS55" i="18"/>
  <c r="AU24" i="17"/>
  <c r="AU34" i="17"/>
  <c r="AU40" i="17"/>
  <c r="AU45" i="17"/>
  <c r="AU51" i="17"/>
  <c r="AU56" i="17"/>
  <c r="AU62" i="17"/>
  <c r="G39" i="17"/>
  <c r="G35" i="17"/>
  <c r="AC24" i="17"/>
  <c r="AC45" i="17"/>
  <c r="AC51" i="17"/>
  <c r="AC34" i="17"/>
  <c r="AC40" i="17"/>
  <c r="AC56" i="17"/>
  <c r="AC62" i="17"/>
  <c r="W46" i="18"/>
  <c r="W50" i="18"/>
  <c r="AE46" i="18"/>
  <c r="AE50" i="18"/>
  <c r="AM46" i="18"/>
  <c r="AM50" i="18"/>
  <c r="AQ46" i="18"/>
  <c r="AQ50" i="18"/>
  <c r="AX46" i="18"/>
  <c r="AX50" i="18"/>
  <c r="U46" i="17"/>
  <c r="U50" i="17"/>
  <c r="AN35" i="17"/>
  <c r="AN39" i="17"/>
  <c r="F61" i="17"/>
  <c r="F57" i="17"/>
  <c r="V50" i="17"/>
  <c r="V46" i="17"/>
  <c r="AU34" i="18"/>
  <c r="AU40" i="18"/>
  <c r="AU56" i="18"/>
  <c r="AU62" i="18"/>
  <c r="AU45" i="18"/>
  <c r="AU51" i="18"/>
  <c r="AU24" i="18"/>
  <c r="T34" i="17"/>
  <c r="T40" i="17"/>
  <c r="T56" i="17"/>
  <c r="T62" i="17"/>
  <c r="T24" i="17"/>
  <c r="T45" i="17"/>
  <c r="T51" i="17"/>
  <c r="J44" i="17"/>
  <c r="J33" i="17"/>
  <c r="J23" i="17"/>
  <c r="J55" i="17"/>
  <c r="AR24" i="17"/>
  <c r="AR34" i="17"/>
  <c r="AR40" i="17"/>
  <c r="AR45" i="17"/>
  <c r="AR51" i="17"/>
  <c r="AR56" i="17"/>
  <c r="AR62" i="17"/>
  <c r="AF35" i="17"/>
  <c r="AF39" i="17"/>
  <c r="N46" i="18"/>
  <c r="N50" i="18"/>
  <c r="AY57" i="17"/>
  <c r="AY61" i="17"/>
  <c r="G30" i="18"/>
  <c r="H27" i="18"/>
  <c r="K35" i="17"/>
  <c r="K39" i="17"/>
  <c r="Q56" i="18"/>
  <c r="Q62" i="18"/>
  <c r="Q24" i="18"/>
  <c r="Q34" i="18"/>
  <c r="Q40" i="18"/>
  <c r="Q45" i="18"/>
  <c r="Q51" i="18"/>
  <c r="U39" i="18"/>
  <c r="U35" i="18"/>
  <c r="AO57" i="18"/>
  <c r="AO61" i="18"/>
  <c r="U46" i="18"/>
  <c r="U50" i="18"/>
  <c r="AC46" i="18"/>
  <c r="AC50" i="18"/>
  <c r="AK46" i="18"/>
  <c r="AK50" i="18"/>
  <c r="AT39" i="18"/>
  <c r="AT35" i="18"/>
  <c r="Q35" i="17"/>
  <c r="Q39" i="17"/>
  <c r="W35" i="17"/>
  <c r="W39" i="17"/>
  <c r="G46" i="18"/>
  <c r="G50" i="18"/>
  <c r="N35" i="17"/>
  <c r="N39" i="17"/>
  <c r="AR39" i="18"/>
  <c r="AR35" i="18"/>
  <c r="S35" i="17"/>
  <c r="S39" i="17"/>
  <c r="K46" i="18"/>
  <c r="K50" i="18"/>
  <c r="E44" i="17"/>
  <c r="E55" i="17"/>
  <c r="E33" i="17"/>
  <c r="E23" i="17"/>
  <c r="M46" i="17"/>
  <c r="M50" i="17"/>
  <c r="AY44" i="18"/>
  <c r="AY23" i="18"/>
  <c r="AY33" i="18"/>
  <c r="AY55" i="18"/>
  <c r="I61" i="17"/>
  <c r="I57" i="17"/>
  <c r="G27" i="17"/>
  <c r="F30" i="17"/>
  <c r="X44" i="17"/>
  <c r="X55" i="17"/>
  <c r="X33" i="17"/>
  <c r="X23" i="17"/>
  <c r="AL39" i="17"/>
  <c r="AL35" i="17"/>
  <c r="I39" i="18"/>
  <c r="I35" i="18"/>
  <c r="AA61" i="17"/>
  <c r="AA57" i="17"/>
  <c r="AO50" i="17"/>
  <c r="AO46" i="17"/>
  <c r="L34" i="17"/>
  <c r="L40" i="17"/>
  <c r="L24" i="17"/>
  <c r="L56" i="17"/>
  <c r="L62" i="17"/>
  <c r="L45" i="17"/>
  <c r="L51" i="17"/>
  <c r="AU33" i="17"/>
  <c r="AU23" i="17"/>
  <c r="AU44" i="17"/>
  <c r="AU55" i="17"/>
  <c r="AC33" i="17"/>
  <c r="AC23" i="17"/>
  <c r="AC55" i="17"/>
  <c r="AC44" i="17"/>
  <c r="S57" i="18"/>
  <c r="S61" i="18"/>
  <c r="W39" i="18"/>
  <c r="W35" i="18"/>
  <c r="AA57" i="18"/>
  <c r="AA61" i="18"/>
  <c r="AE39" i="18"/>
  <c r="AE35" i="18"/>
  <c r="AI57" i="18"/>
  <c r="AI61" i="18"/>
  <c r="AM39" i="18"/>
  <c r="AM35" i="18"/>
  <c r="AQ39" i="18"/>
  <c r="AQ35" i="18"/>
  <c r="AX61" i="18"/>
  <c r="AX57" i="18"/>
  <c r="U61" i="17"/>
  <c r="U57" i="17"/>
  <c r="F46" i="17"/>
  <c r="F50" i="17"/>
  <c r="Y46" i="17"/>
  <c r="Y50" i="17"/>
  <c r="AV46" i="18"/>
  <c r="AV50" i="18"/>
  <c r="AE39" i="17"/>
  <c r="AE35" i="17"/>
  <c r="AU44" i="18"/>
  <c r="AU23" i="18"/>
  <c r="AU33" i="18"/>
  <c r="AU55" i="18"/>
  <c r="T44" i="17"/>
  <c r="T55" i="17"/>
  <c r="T33" i="17"/>
  <c r="T23" i="17"/>
  <c r="Z34" i="17"/>
  <c r="Z40" i="17"/>
  <c r="Z24" i="17"/>
  <c r="Z45" i="17"/>
  <c r="Z51" i="17"/>
  <c r="Z56" i="17"/>
  <c r="Z62" i="17"/>
  <c r="AM24" i="17"/>
  <c r="AM45" i="17"/>
  <c r="AM51" i="17"/>
  <c r="AM34" i="17"/>
  <c r="AM40" i="17"/>
  <c r="AM56" i="17"/>
  <c r="AM62" i="17"/>
  <c r="N39" i="18"/>
  <c r="N35" i="18"/>
  <c r="F23" i="18"/>
  <c r="F33" i="18"/>
  <c r="F44" i="18"/>
  <c r="F55" i="18"/>
  <c r="AZ21" i="18"/>
  <c r="AI50" i="17"/>
  <c r="AI46" i="17"/>
  <c r="AS50" i="17"/>
  <c r="AS46" i="17"/>
  <c r="P39" i="17"/>
  <c r="P35" i="17"/>
  <c r="Q23" i="18"/>
  <c r="Q33" i="18"/>
  <c r="Q44" i="18"/>
  <c r="Q55" i="18"/>
  <c r="AU50" i="18"/>
  <c r="AU46" i="18"/>
  <c r="AU50" i="17"/>
  <c r="AU46" i="17"/>
  <c r="X39" i="17"/>
  <c r="X35" i="17"/>
  <c r="E61" i="17"/>
  <c r="E57" i="17"/>
  <c r="Q46" i="18"/>
  <c r="Q50" i="18"/>
  <c r="F46" i="18"/>
  <c r="F50" i="18"/>
  <c r="T50" i="17"/>
  <c r="T46" i="17"/>
  <c r="AC57" i="17"/>
  <c r="AC61" i="17"/>
  <c r="H27" i="17"/>
  <c r="G30" i="17"/>
  <c r="AY39" i="18"/>
  <c r="AY35" i="18"/>
  <c r="J35" i="17"/>
  <c r="J39" i="17"/>
  <c r="AR35" i="17"/>
  <c r="AR39" i="17"/>
  <c r="M46" i="18"/>
  <c r="M50" i="18"/>
  <c r="R50" i="17"/>
  <c r="R46" i="17"/>
  <c r="Z39" i="17"/>
  <c r="Z35" i="17"/>
  <c r="L61" i="17"/>
  <c r="L57" i="17"/>
  <c r="AH33" i="17"/>
  <c r="AH44" i="17"/>
  <c r="AH55" i="17"/>
  <c r="AH23" i="17"/>
  <c r="AZ23" i="17"/>
  <c r="Q39" i="18"/>
  <c r="Q35" i="18"/>
  <c r="F39" i="18"/>
  <c r="F35" i="18"/>
  <c r="AU61" i="18"/>
  <c r="AU57" i="18"/>
  <c r="X61" i="17"/>
  <c r="X57" i="17"/>
  <c r="AZ21" i="17"/>
  <c r="E46" i="17"/>
  <c r="E50" i="17"/>
  <c r="J46" i="17"/>
  <c r="J50" i="17"/>
  <c r="AS50" i="18"/>
  <c r="AS46" i="18"/>
  <c r="AW39" i="17"/>
  <c r="AW35" i="17"/>
  <c r="H46" i="17"/>
  <c r="H50" i="17"/>
  <c r="AW50" i="18"/>
  <c r="AW46" i="18"/>
  <c r="M39" i="18"/>
  <c r="M35" i="18"/>
  <c r="R39" i="17"/>
  <c r="R35" i="17"/>
  <c r="AM39" i="17"/>
  <c r="AM35" i="17"/>
  <c r="L46" i="17"/>
  <c r="L50" i="17"/>
  <c r="AH24" i="17"/>
  <c r="AH34" i="17"/>
  <c r="AH40" i="17"/>
  <c r="AH56" i="17"/>
  <c r="AH62" i="17"/>
  <c r="AH45" i="17"/>
  <c r="AH51" i="17"/>
  <c r="AZ23" i="18"/>
  <c r="T39" i="17"/>
  <c r="T35" i="17"/>
  <c r="AU39" i="18"/>
  <c r="AU35" i="18"/>
  <c r="AC39" i="17"/>
  <c r="AC35" i="17"/>
  <c r="AU35" i="17"/>
  <c r="AU39" i="17"/>
  <c r="X50" i="17"/>
  <c r="X46" i="17"/>
  <c r="AY50" i="18"/>
  <c r="AY46" i="18"/>
  <c r="H30" i="18"/>
  <c r="I27" i="18"/>
  <c r="J61" i="17"/>
  <c r="J57" i="17"/>
  <c r="AS61" i="18"/>
  <c r="AS57" i="18"/>
  <c r="AZ24" i="17"/>
  <c r="AW50" i="17"/>
  <c r="AW46" i="17"/>
  <c r="H35" i="17"/>
  <c r="H39" i="17"/>
  <c r="AW61" i="18"/>
  <c r="AW57" i="18"/>
  <c r="AR57" i="17"/>
  <c r="AR61" i="17"/>
  <c r="AM57" i="17"/>
  <c r="AM61" i="17"/>
  <c r="Z61" i="17"/>
  <c r="Z57" i="17"/>
  <c r="Q57" i="18"/>
  <c r="Q61" i="18"/>
  <c r="F57" i="18"/>
  <c r="F61" i="18"/>
  <c r="T61" i="17"/>
  <c r="T57" i="17"/>
  <c r="AC50" i="17"/>
  <c r="AC46" i="17"/>
  <c r="AU57" i="17"/>
  <c r="AU61" i="17"/>
  <c r="AY61" i="18"/>
  <c r="AY57" i="18"/>
  <c r="E35" i="17"/>
  <c r="E39" i="17"/>
  <c r="AS39" i="18"/>
  <c r="AS35" i="18"/>
  <c r="AZ22" i="17"/>
  <c r="AW57" i="17"/>
  <c r="AW61" i="17"/>
  <c r="H61" i="17"/>
  <c r="H57" i="17"/>
  <c r="AW39" i="18"/>
  <c r="AW35" i="18"/>
  <c r="AR50" i="17"/>
  <c r="AR46" i="17"/>
  <c r="M57" i="18"/>
  <c r="M61" i="18"/>
  <c r="R61" i="17"/>
  <c r="R57" i="17"/>
  <c r="AM50" i="17"/>
  <c r="AM46" i="17"/>
  <c r="Z50" i="17"/>
  <c r="Z46" i="17"/>
  <c r="L35" i="17"/>
  <c r="L39" i="17"/>
  <c r="AH57" i="17"/>
  <c r="AH61" i="17"/>
  <c r="AH50" i="17"/>
  <c r="AH46" i="17"/>
  <c r="I30" i="18"/>
  <c r="J27" i="18"/>
  <c r="AH35" i="17"/>
  <c r="AH39" i="17"/>
  <c r="I27" i="17"/>
  <c r="H30" i="17"/>
  <c r="J30" i="18"/>
  <c r="K27" i="18"/>
  <c r="J27" i="17"/>
  <c r="I30" i="17"/>
  <c r="K27" i="17"/>
  <c r="J30" i="17"/>
  <c r="K30" i="18"/>
  <c r="L27" i="18"/>
  <c r="L30" i="18"/>
  <c r="M27" i="18"/>
  <c r="L27" i="17"/>
  <c r="K30" i="17"/>
  <c r="M27" i="17"/>
  <c r="L30" i="17"/>
  <c r="M30" i="18"/>
  <c r="N27" i="18"/>
  <c r="N27" i="17"/>
  <c r="M30" i="17"/>
  <c r="N30" i="18"/>
  <c r="O27" i="18"/>
  <c r="O30" i="18"/>
  <c r="P27" i="18"/>
  <c r="O27" i="17"/>
  <c r="N30" i="17"/>
  <c r="P27" i="17"/>
  <c r="O30" i="17"/>
  <c r="P30" i="18"/>
  <c r="Q27" i="18"/>
  <c r="Q30" i="18"/>
  <c r="R27" i="18"/>
  <c r="Q27" i="17"/>
  <c r="P30" i="17"/>
  <c r="R27" i="17"/>
  <c r="Q30" i="17"/>
  <c r="R30" i="18"/>
  <c r="S27" i="18"/>
  <c r="S30" i="18"/>
  <c r="T27" i="18"/>
  <c r="S27" i="17"/>
  <c r="R30" i="17"/>
  <c r="T27" i="17"/>
  <c r="S30" i="17"/>
  <c r="T30" i="18"/>
  <c r="U27" i="18"/>
  <c r="U30" i="18"/>
  <c r="V27" i="18"/>
  <c r="U27" i="17"/>
  <c r="T30" i="17"/>
  <c r="V27" i="17"/>
  <c r="U30" i="17"/>
  <c r="V30" i="18"/>
  <c r="W27" i="18"/>
  <c r="W30" i="18"/>
  <c r="X27" i="18"/>
  <c r="W27" i="17"/>
  <c r="V30" i="17"/>
  <c r="X27" i="17"/>
  <c r="W30" i="17"/>
  <c r="X30" i="18"/>
  <c r="Y27" i="18"/>
  <c r="Y30" i="18"/>
  <c r="Z27" i="18"/>
  <c r="Y27" i="17"/>
  <c r="X30" i="17"/>
  <c r="Z27" i="17"/>
  <c r="Y30" i="17"/>
  <c r="Z30" i="18"/>
  <c r="AA27" i="18"/>
  <c r="Z30" i="17"/>
  <c r="AA27" i="17"/>
  <c r="AA30" i="18"/>
  <c r="AB27" i="18"/>
  <c r="AB30" i="18"/>
  <c r="AC27" i="18"/>
  <c r="AB27" i="17"/>
  <c r="AA30" i="17"/>
  <c r="AB30" i="17"/>
  <c r="AC27" i="17"/>
  <c r="AC30" i="18"/>
  <c r="AD27" i="18"/>
  <c r="AD30" i="18"/>
  <c r="AE27" i="18"/>
  <c r="AD27" i="17"/>
  <c r="AC30" i="17"/>
  <c r="AE27" i="17"/>
  <c r="AD30" i="17"/>
  <c r="AE30" i="18"/>
  <c r="AF27" i="18"/>
  <c r="AF30" i="18"/>
  <c r="AG27" i="18"/>
  <c r="AF27" i="17"/>
  <c r="AE30" i="17"/>
  <c r="AF30" i="17"/>
  <c r="AG27" i="17"/>
  <c r="AG30" i="18"/>
  <c r="AH27" i="18"/>
  <c r="AH30" i="18"/>
  <c r="AI27" i="18"/>
  <c r="AG30" i="17"/>
  <c r="AH27" i="17"/>
  <c r="AH30" i="17"/>
  <c r="AI27" i="17"/>
  <c r="AI30" i="18"/>
  <c r="AJ27" i="18"/>
  <c r="AJ30" i="18"/>
  <c r="AK27" i="18"/>
  <c r="AJ27" i="17"/>
  <c r="AI30" i="17"/>
  <c r="AK27" i="17"/>
  <c r="AJ30" i="17"/>
  <c r="AK30" i="18"/>
  <c r="AL27" i="18"/>
  <c r="AL30" i="18"/>
  <c r="AM27" i="18"/>
  <c r="AL27" i="17"/>
  <c r="AK30" i="17"/>
  <c r="AM30" i="18"/>
  <c r="AN27" i="18"/>
  <c r="AL30" i="17"/>
  <c r="AM27" i="17"/>
  <c r="AN27" i="17"/>
  <c r="AM30" i="17"/>
  <c r="AN30" i="18"/>
  <c r="AO27" i="18"/>
  <c r="AO30" i="18"/>
  <c r="AP27" i="18"/>
  <c r="AO27" i="17"/>
  <c r="AN30" i="17"/>
  <c r="AP27" i="17"/>
  <c r="AO30" i="17"/>
  <c r="AQ27" i="18"/>
  <c r="AP30" i="18"/>
  <c r="AP30" i="17"/>
  <c r="AQ27" i="17"/>
  <c r="AR27" i="18"/>
  <c r="AQ30" i="18"/>
  <c r="AS27" i="18"/>
  <c r="AR30" i="18"/>
  <c r="AQ30" i="17"/>
  <c r="AR27" i="17"/>
  <c r="AR30" i="17"/>
  <c r="AS27" i="17"/>
  <c r="AT27" i="18"/>
  <c r="AS30" i="18"/>
  <c r="AU27" i="18"/>
  <c r="AT30" i="18"/>
  <c r="AT27" i="17"/>
  <c r="AS30" i="17"/>
  <c r="AU27" i="17"/>
  <c r="AT30" i="17"/>
  <c r="AV27" i="18"/>
  <c r="AU30" i="18"/>
  <c r="AV27" i="17"/>
  <c r="AU30" i="17"/>
  <c r="AW27" i="18"/>
  <c r="AV30" i="18"/>
  <c r="AX27" i="18"/>
  <c r="AW30" i="18"/>
  <c r="AV30" i="17"/>
  <c r="AW27" i="17"/>
  <c r="AY27" i="18"/>
  <c r="AY30" i="18"/>
  <c r="AX30" i="18"/>
  <c r="AX27" i="17"/>
  <c r="AW30" i="17"/>
  <c r="AY27" i="17"/>
  <c r="AY30" i="17"/>
  <c r="AZ30" i="17"/>
  <c r="AX30" i="17"/>
  <c r="AZ30" i="18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H9" i="5"/>
  <c r="D16" i="5"/>
  <c r="P36" i="6"/>
  <c r="P30" i="6"/>
  <c r="G21" i="5"/>
  <c r="G6" i="5"/>
  <c r="H6" i="5"/>
  <c r="G7" i="5"/>
  <c r="H7" i="5"/>
  <c r="G8" i="5"/>
  <c r="H8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G107" i="5"/>
  <c r="G16" i="5"/>
</calcChain>
</file>

<file path=xl/sharedStrings.xml><?xml version="1.0" encoding="utf-8"?>
<sst xmlns="http://schemas.openxmlformats.org/spreadsheetml/2006/main" count="2634" uniqueCount="414">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</sst>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2028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1300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1500</v>
      </c>
      <c r="E63" s="15" t="s">
        <v>166</v>
      </c>
      <c r="F63" s="15" t="s">
        <v>6</v>
      </c>
      <c r="G63" s="15">
        <f t="shared" si="3"/>
        <v>1500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5000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2663.3892969026256</v>
      </c>
      <c r="D6" s="87">
        <v>2663.3892969026256</v>
      </c>
      <c r="E6" s="87">
        <v>2663.3892969026256</v>
      </c>
      <c r="F6" s="87">
        <v>2663.3892969026256</v>
      </c>
      <c r="G6" s="87">
        <v>2663.3892969026256</v>
      </c>
      <c r="H6" s="87">
        <v>2663.3892969026256</v>
      </c>
      <c r="I6" s="87">
        <v>2663.3892969026256</v>
      </c>
      <c r="J6" s="87">
        <v>2663.3892969026256</v>
      </c>
      <c r="K6" s="87">
        <v>2663.3892969026256</v>
      </c>
      <c r="L6" s="87">
        <v>2663.3892969026256</v>
      </c>
      <c r="M6" s="87">
        <v>2663.3892969026256</v>
      </c>
      <c r="N6" s="87">
        <v>2663.3892969026256</v>
      </c>
    </row>
    <row r="7" spans="2:14">
      <c r="B7" s="36" t="s">
        <v>105</v>
      </c>
      <c r="C7" s="88">
        <v>1.6883967608061894E-20</v>
      </c>
      <c r="D7" s="89">
        <v>1.6883967608061894E-20</v>
      </c>
      <c r="E7" s="89">
        <v>1.6883967608061894E-20</v>
      </c>
      <c r="F7" s="89">
        <v>1.6883967608061894E-20</v>
      </c>
      <c r="G7" s="89">
        <v>1.6883967608061894E-20</v>
      </c>
      <c r="H7" s="89">
        <v>1.6883967608061894E-20</v>
      </c>
      <c r="I7" s="89">
        <v>1.6883967608061894E-20</v>
      </c>
      <c r="J7" s="89">
        <v>1.6883967608061894E-20</v>
      </c>
      <c r="K7" s="89">
        <v>1.6883967608061894E-20</v>
      </c>
      <c r="L7" s="89">
        <v>1.6883967608061894E-20</v>
      </c>
      <c r="M7" s="89">
        <v>1.6883967608061894E-20</v>
      </c>
      <c r="N7" s="89">
        <v>1.6883967608061894E-20</v>
      </c>
    </row>
    <row r="8" spans="2:14">
      <c r="B8" s="36" t="s">
        <v>106</v>
      </c>
      <c r="C8" s="88">
        <v>160</v>
      </c>
      <c r="D8" s="89">
        <v>160</v>
      </c>
      <c r="E8" s="89">
        <v>160</v>
      </c>
      <c r="F8" s="89">
        <v>160</v>
      </c>
      <c r="G8" s="89">
        <v>160</v>
      </c>
      <c r="H8" s="89">
        <v>160</v>
      </c>
      <c r="I8" s="89">
        <v>160</v>
      </c>
      <c r="J8" s="89">
        <v>160</v>
      </c>
      <c r="K8" s="89">
        <v>160</v>
      </c>
      <c r="L8" s="89">
        <v>160</v>
      </c>
      <c r="M8" s="89">
        <v>160</v>
      </c>
      <c r="N8" s="89">
        <v>160</v>
      </c>
    </row>
    <row r="9" spans="2:14">
      <c r="B9" s="36" t="s">
        <v>107</v>
      </c>
      <c r="C9" s="88">
        <v>789.99999999999932</v>
      </c>
      <c r="D9" s="89">
        <v>789.99999999999932</v>
      </c>
      <c r="E9" s="89">
        <v>789.99999999999932</v>
      </c>
      <c r="F9" s="89">
        <v>789.99999999999932</v>
      </c>
      <c r="G9" s="89">
        <v>789.99999999999932</v>
      </c>
      <c r="H9" s="89">
        <v>789.99999999999932</v>
      </c>
      <c r="I9" s="89">
        <v>789.99999999999932</v>
      </c>
      <c r="J9" s="89">
        <v>789.99999999999932</v>
      </c>
      <c r="K9" s="89">
        <v>789.99999999999932</v>
      </c>
      <c r="L9" s="89">
        <v>789.99999999999932</v>
      </c>
      <c r="M9" s="89">
        <v>789.99999999999932</v>
      </c>
      <c r="N9" s="89">
        <v>789.99999999999932</v>
      </c>
    </row>
    <row r="10" spans="2:14">
      <c r="B10" s="36" t="s">
        <v>108</v>
      </c>
      <c r="C10" s="88">
        <v>1.844695490158116E-20</v>
      </c>
      <c r="D10" s="89">
        <v>1.844695490158116E-20</v>
      </c>
      <c r="E10" s="89">
        <v>1.844695490158116E-20</v>
      </c>
      <c r="F10" s="89">
        <v>1.844695490158116E-20</v>
      </c>
      <c r="G10" s="89">
        <v>1.844695490158116E-20</v>
      </c>
      <c r="H10" s="89">
        <v>1.844695490158116E-20</v>
      </c>
      <c r="I10" s="89">
        <v>1.844695490158116E-20</v>
      </c>
      <c r="J10" s="89">
        <v>1.844695490158116E-20</v>
      </c>
      <c r="K10" s="89">
        <v>1.844695490158116E-20</v>
      </c>
      <c r="L10" s="89">
        <v>1.844695490158116E-20</v>
      </c>
      <c r="M10" s="89">
        <v>1.844695490158116E-20</v>
      </c>
      <c r="N10" s="89">
        <v>1.844695490158116E-20</v>
      </c>
    </row>
    <row r="11" spans="2:14">
      <c r="B11" s="37" t="s">
        <v>109</v>
      </c>
      <c r="C11" s="88">
        <v>3.7194697104955316E-20</v>
      </c>
      <c r="D11" s="89">
        <v>3.7194697104955316E-20</v>
      </c>
      <c r="E11" s="89">
        <v>3.7194697104955316E-20</v>
      </c>
      <c r="F11" s="89">
        <v>3.7194697104955316E-20</v>
      </c>
      <c r="G11" s="89">
        <v>3.7194697104955316E-20</v>
      </c>
      <c r="H11" s="89">
        <v>3.7194697104955316E-20</v>
      </c>
      <c r="I11" s="89">
        <v>3.7194697104955316E-20</v>
      </c>
      <c r="J11" s="89">
        <v>3.7194697104955316E-20</v>
      </c>
      <c r="K11" s="89">
        <v>3.7194697104955316E-20</v>
      </c>
      <c r="L11" s="89">
        <v>3.7194697104955316E-20</v>
      </c>
      <c r="M11" s="89">
        <v>3.7194697104955316E-20</v>
      </c>
      <c r="N11" s="89">
        <v>3.7194697104955316E-20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0.55711409646543597</v>
      </c>
      <c r="E17" s="90">
        <v>1</v>
      </c>
      <c r="F17" s="90">
        <v>0.78026498282948542</v>
      </c>
      <c r="G17" s="90">
        <v>0.8</v>
      </c>
      <c r="H17" s="90">
        <v>1.0034158691935349</v>
      </c>
      <c r="I17" s="29" t="s">
        <v>110</v>
      </c>
    </row>
    <row r="18" spans="2:33">
      <c r="B18" s="36" t="s">
        <v>105</v>
      </c>
      <c r="C18" s="91">
        <v>1.2</v>
      </c>
      <c r="D18" s="91">
        <v>0.64220645086253536</v>
      </c>
      <c r="E18" s="91">
        <v>1</v>
      </c>
      <c r="F18" s="91">
        <v>0.76805178728320733</v>
      </c>
      <c r="G18" s="91">
        <v>0.8</v>
      </c>
      <c r="H18" s="91">
        <v>0.89389712370387908</v>
      </c>
      <c r="I18" s="29" t="s">
        <v>110</v>
      </c>
    </row>
    <row r="19" spans="2:33">
      <c r="B19" s="36" t="s">
        <v>106</v>
      </c>
      <c r="C19" s="91">
        <v>1.2</v>
      </c>
      <c r="D19" s="91">
        <v>0.68052896374821481</v>
      </c>
      <c r="E19" s="91">
        <v>1</v>
      </c>
      <c r="F19" s="91">
        <v>0.84049779580330819</v>
      </c>
      <c r="G19" s="91">
        <v>0.8</v>
      </c>
      <c r="H19" s="91">
        <v>1.0004666278584013</v>
      </c>
      <c r="I19" s="29" t="s">
        <v>110</v>
      </c>
    </row>
    <row r="20" spans="2:33">
      <c r="B20" s="36" t="s">
        <v>107</v>
      </c>
      <c r="C20" s="91">
        <v>1.2</v>
      </c>
      <c r="D20" s="91">
        <v>0.64714155805037787</v>
      </c>
      <c r="E20" s="91">
        <v>1</v>
      </c>
      <c r="F20" s="91">
        <v>0.80960883846203857</v>
      </c>
      <c r="G20" s="91">
        <v>0.8</v>
      </c>
      <c r="H20" s="91">
        <v>0.97207611887369949</v>
      </c>
    </row>
    <row r="21" spans="2:33">
      <c r="B21" s="36" t="s">
        <v>108</v>
      </c>
      <c r="C21" s="91">
        <v>1.2</v>
      </c>
      <c r="D21" s="91">
        <v>0.69857169485126192</v>
      </c>
      <c r="E21" s="91">
        <v>1</v>
      </c>
      <c r="F21" s="91">
        <v>0.72556832970766494</v>
      </c>
      <c r="G21" s="91">
        <v>0.8</v>
      </c>
      <c r="H21" s="91">
        <v>0.75256496456406807</v>
      </c>
    </row>
    <row r="22" spans="2:33">
      <c r="B22" s="37" t="s">
        <v>109</v>
      </c>
      <c r="C22" s="91">
        <v>1.2</v>
      </c>
      <c r="D22" s="91">
        <v>0.68606083129199902</v>
      </c>
      <c r="E22" s="91">
        <v>1</v>
      </c>
      <c r="F22" s="91">
        <v>0.74855836398733533</v>
      </c>
      <c r="G22" s="91">
        <v>0.8</v>
      </c>
      <c r="H22" s="91">
        <v>0.81105589668267164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2023</v>
      </c>
      <c r="E28" s="49"/>
      <c r="F28" s="45">
        <f>basic_info!$D$5-4</f>
        <v>2024</v>
      </c>
      <c r="G28" s="49"/>
      <c r="H28" s="45">
        <f>basic_info!$D$5-3</f>
        <v>2025</v>
      </c>
      <c r="I28" s="49"/>
      <c r="J28" s="45">
        <f>basic_info!$D$5-2</f>
        <v>2026</v>
      </c>
      <c r="K28" s="49"/>
      <c r="L28" s="45">
        <f>basic_info!$D$5-1</f>
        <v>2027</v>
      </c>
      <c r="N28" s="45">
        <f>basic_info!$D$5</f>
        <v>2028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2028</v>
      </c>
      <c r="D30" s="44">
        <v>0.66023955697715286</v>
      </c>
      <c r="E30" s="35">
        <v>0.66023955697715286</v>
      </c>
      <c r="F30" s="47">
        <v>0.76028061435442029</v>
      </c>
      <c r="G30" s="46">
        <v>0.76028061435442029</v>
      </c>
      <c r="H30" s="47">
        <v>0.78705796464934707</v>
      </c>
      <c r="I30" s="46">
        <v>0.78705796464934707</v>
      </c>
      <c r="J30" s="47">
        <v>0.76209966338188417</v>
      </c>
      <c r="K30" s="46">
        <v>0.76209966338188417</v>
      </c>
      <c r="L30" s="47">
        <v>0.74154340991861001</v>
      </c>
      <c r="M30" s="46">
        <v>0.74154340991861001</v>
      </c>
      <c r="N30" s="60"/>
      <c r="O30" s="71" t="s">
        <v>162</v>
      </c>
      <c r="P30" s="41">
        <f>M30+K30+I30+E30+G30</f>
        <v>3.7112212092814145</v>
      </c>
      <c r="Q30" s="70"/>
    </row>
    <row r="31" spans="2:33">
      <c r="B31" s="36"/>
      <c r="C31" s="47">
        <f>basic_info!$D$5+1</f>
        <v>2029</v>
      </c>
      <c r="D31" s="76"/>
      <c r="E31" s="75"/>
      <c r="F31" s="69">
        <v>0.77380428089201447</v>
      </c>
      <c r="G31" s="79">
        <v>0.77380428089201447</v>
      </c>
      <c r="H31" s="61">
        <v>0.74605181189556535</v>
      </c>
      <c r="I31" s="62">
        <v>0.74605181189556535</v>
      </c>
      <c r="J31" s="61">
        <v>0.69292953939969726</v>
      </c>
      <c r="K31" s="62">
        <v>0.69292953939969726</v>
      </c>
      <c r="L31" s="61">
        <v>0.69639882585167012</v>
      </c>
      <c r="M31" s="62">
        <v>0.69639882585167012</v>
      </c>
      <c r="N31" s="63">
        <v>0.87024640916707563</v>
      </c>
      <c r="O31" s="89">
        <v>0.87024640916707563</v>
      </c>
      <c r="P31" s="63">
        <f>O31+M31+K31+I31+G31</f>
        <v>3.7794308672060231</v>
      </c>
    </row>
    <row r="32" spans="2:33">
      <c r="B32" s="36"/>
      <c r="C32" s="47">
        <f>basic_info!$D$5+2</f>
        <v>2030</v>
      </c>
      <c r="D32" s="76"/>
      <c r="E32" s="75"/>
      <c r="F32" s="75"/>
      <c r="G32" s="75"/>
      <c r="H32" s="69">
        <v>0.69642607282102109</v>
      </c>
      <c r="I32" s="79">
        <v>0.69642607282102109</v>
      </c>
      <c r="J32" s="61">
        <v>0.68246257035314684</v>
      </c>
      <c r="K32" s="62">
        <v>0.68246257035314684</v>
      </c>
      <c r="L32" s="61">
        <v>0.69754554986117134</v>
      </c>
      <c r="M32" s="62">
        <v>0.69754554986117134</v>
      </c>
      <c r="N32" s="63">
        <v>0.79117891103596805</v>
      </c>
      <c r="O32" s="89">
        <v>0.79117891103596805</v>
      </c>
      <c r="P32" s="63">
        <f>O32+M32+K32+I32</f>
        <v>2.8676131040713075</v>
      </c>
    </row>
    <row r="33" spans="2:17">
      <c r="B33" s="36"/>
      <c r="C33" s="47">
        <f>basic_info!$D$5+3</f>
        <v>2031</v>
      </c>
      <c r="D33" s="76"/>
      <c r="E33" s="75"/>
      <c r="F33" s="75"/>
      <c r="G33" s="75"/>
      <c r="H33" s="75"/>
      <c r="I33" s="75"/>
      <c r="J33" s="69">
        <v>0.68012294996082789</v>
      </c>
      <c r="K33" s="79">
        <v>0.68012294996082789</v>
      </c>
      <c r="L33" s="61">
        <v>0.70796417212980489</v>
      </c>
      <c r="M33" s="62">
        <v>0.70796417212980489</v>
      </c>
      <c r="N33" s="63">
        <v>0.76520281338787444</v>
      </c>
      <c r="O33" s="89">
        <v>0.76520281338787444</v>
      </c>
      <c r="P33" s="63">
        <f>O33+M33+K33</f>
        <v>2.1532899354785071</v>
      </c>
    </row>
    <row r="34" spans="2:17">
      <c r="B34" s="36"/>
      <c r="C34" s="47">
        <f>basic_info!$D$5+4</f>
        <v>2032</v>
      </c>
      <c r="D34" s="76"/>
      <c r="E34" s="75"/>
      <c r="F34" s="75"/>
      <c r="G34" s="75"/>
      <c r="H34" s="75"/>
      <c r="I34" s="75"/>
      <c r="J34" s="75"/>
      <c r="K34" s="75"/>
      <c r="L34" s="69">
        <v>0.66081657635867597</v>
      </c>
      <c r="M34" s="79">
        <v>0.66081657635867597</v>
      </c>
      <c r="N34" s="63">
        <v>0.72379884448625331</v>
      </c>
      <c r="O34" s="89">
        <v>0.72379884448625331</v>
      </c>
      <c r="P34" s="63">
        <f>O34+M34</f>
        <v>1.3846154208449293</v>
      </c>
    </row>
    <row r="35" spans="2:17">
      <c r="B35" s="37"/>
      <c r="C35" s="72">
        <f>basic_info!$D$5+5</f>
        <v>2033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0.68604024631083016</v>
      </c>
      <c r="O35" s="89">
        <v>0.68604024631083016</v>
      </c>
      <c r="P35" s="65">
        <f>O35</f>
        <v>0.68604024631083016</v>
      </c>
    </row>
    <row r="36" spans="2:17">
      <c r="B36" s="41" t="s">
        <v>113</v>
      </c>
      <c r="C36" s="36">
        <f>basic_info!$D$5</f>
        <v>2028</v>
      </c>
      <c r="D36" s="44">
        <v>0.87304416900873183</v>
      </c>
      <c r="E36" s="35">
        <v>0.87304416900873183</v>
      </c>
      <c r="F36" s="73">
        <v>0.95442559833887075</v>
      </c>
      <c r="G36" s="74">
        <v>0.95442559833887075</v>
      </c>
      <c r="H36" s="73">
        <v>1.0750677373803734</v>
      </c>
      <c r="I36" s="74">
        <v>1.0750677373803734</v>
      </c>
      <c r="J36" s="73">
        <v>1.2198040079418053</v>
      </c>
      <c r="K36" s="74">
        <v>1.2198040079418053</v>
      </c>
      <c r="L36" s="66">
        <v>1.0817656555382544</v>
      </c>
      <c r="M36" s="67">
        <v>1.0817656555382544</v>
      </c>
      <c r="N36" s="68"/>
      <c r="O36" s="71" t="s">
        <v>162</v>
      </c>
      <c r="P36" s="41">
        <f>M36+K36+I36+E36+G36</f>
        <v>5.2041071682080355</v>
      </c>
      <c r="Q36" s="70"/>
    </row>
    <row r="37" spans="2:17">
      <c r="B37" s="36"/>
      <c r="C37" s="47">
        <f>basic_info!$D$5+1</f>
        <v>2029</v>
      </c>
      <c r="D37" s="76"/>
      <c r="E37" s="75"/>
      <c r="F37" s="69">
        <v>0.88631273952126499</v>
      </c>
      <c r="G37" s="79">
        <v>0.88631273952126499</v>
      </c>
      <c r="H37" s="61">
        <v>1.0546694543357544</v>
      </c>
      <c r="I37" s="62">
        <v>1.0546694543357544</v>
      </c>
      <c r="J37" s="61">
        <v>1.1756596786689746</v>
      </c>
      <c r="K37" s="62">
        <v>1.1756596786689746</v>
      </c>
      <c r="L37" s="61">
        <v>1.0393683201042592</v>
      </c>
      <c r="M37" s="62">
        <v>1.0393683201042592</v>
      </c>
      <c r="N37" s="61">
        <v>1.0556709136350599</v>
      </c>
      <c r="O37" s="89">
        <v>1.0556709136350599</v>
      </c>
      <c r="P37" s="63">
        <f>O37+M37+K37+I37+G37</f>
        <v>5.2116811062653134</v>
      </c>
    </row>
    <row r="38" spans="2:17">
      <c r="B38" s="36"/>
      <c r="C38" s="47">
        <f>basic_info!$D$5+2</f>
        <v>2030</v>
      </c>
      <c r="D38" s="76"/>
      <c r="E38" s="75"/>
      <c r="F38" s="75"/>
      <c r="G38" s="75"/>
      <c r="H38" s="69">
        <v>1.0409094843864442</v>
      </c>
      <c r="I38" s="79">
        <v>1.0409094843864442</v>
      </c>
      <c r="J38" s="61">
        <v>1.0839331764160476</v>
      </c>
      <c r="K38" s="62">
        <v>1.0839331764160476</v>
      </c>
      <c r="L38" s="61">
        <v>0.98900041593085708</v>
      </c>
      <c r="M38" s="62">
        <v>0.98900041593085708</v>
      </c>
      <c r="N38" s="61">
        <v>0.97228088435753113</v>
      </c>
      <c r="O38" s="89">
        <v>0.97228088435753113</v>
      </c>
      <c r="P38" s="63">
        <f>O38+M38+K38+I38</f>
        <v>4.0861239610908795</v>
      </c>
    </row>
    <row r="39" spans="2:17">
      <c r="B39" s="36"/>
      <c r="C39" s="47">
        <f>basic_info!$D$5+3</f>
        <v>2031</v>
      </c>
      <c r="D39" s="76"/>
      <c r="E39" s="75"/>
      <c r="F39" s="75"/>
      <c r="G39" s="75"/>
      <c r="H39" s="75"/>
      <c r="I39" s="75"/>
      <c r="J39" s="69">
        <v>1.0482402778565885</v>
      </c>
      <c r="K39" s="79">
        <v>1.0482402778565885</v>
      </c>
      <c r="L39" s="61">
        <v>0.97045032301312806</v>
      </c>
      <c r="M39" s="62">
        <v>0.97045032301312806</v>
      </c>
      <c r="N39" s="61">
        <v>0.98789917790483717</v>
      </c>
      <c r="O39" s="89">
        <v>0.98789917790483717</v>
      </c>
      <c r="P39" s="63">
        <f>O39+M39+K39</f>
        <v>3.0065897787745537</v>
      </c>
    </row>
    <row r="40" spans="2:17">
      <c r="B40" s="36"/>
      <c r="C40" s="47">
        <f>basic_info!$D$5+4</f>
        <v>2032</v>
      </c>
      <c r="D40" s="76"/>
      <c r="E40" s="75"/>
      <c r="F40" s="75"/>
      <c r="G40" s="75"/>
      <c r="H40" s="75"/>
      <c r="I40" s="75"/>
      <c r="J40" s="75"/>
      <c r="K40" s="75"/>
      <c r="L40" s="69">
        <v>0.96112931388616563</v>
      </c>
      <c r="M40" s="79">
        <v>0.96112931388616563</v>
      </c>
      <c r="N40" s="61">
        <v>0.89988736013715631</v>
      </c>
      <c r="O40" s="89">
        <v>0.89988736013715631</v>
      </c>
      <c r="P40" s="63">
        <f>O40+M40</f>
        <v>1.8610166740233218</v>
      </c>
    </row>
    <row r="41" spans="2:17">
      <c r="B41" s="37"/>
      <c r="C41" s="72">
        <f>basic_info!$D$5+5</f>
        <v>2033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0.86972962859272962</v>
      </c>
      <c r="O41" s="89">
        <v>0.86972962859272962</v>
      </c>
      <c r="P41" s="64">
        <f>O41</f>
        <v>0.86972962859272962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>
      <c r="B48" s="37" t="s">
        <v>113</v>
      </c>
      <c r="C48" s="92">
        <v>8.3333333333333304</v>
      </c>
      <c r="D48" s="92">
        <v>8.3333333333333304</v>
      </c>
      <c r="E48" s="92">
        <v>8.3333333333333304</v>
      </c>
      <c r="F48" s="92">
        <v>8.3333333333333304</v>
      </c>
      <c r="G48" s="92">
        <v>8.3333333333333304</v>
      </c>
      <c r="H48" s="92">
        <v>8.3333333333333304</v>
      </c>
      <c r="I48" s="92">
        <v>8.3333333333333304</v>
      </c>
      <c r="J48" s="92">
        <v>8.3333333333333304</v>
      </c>
      <c r="K48" s="92">
        <v>8.3333333333333304</v>
      </c>
      <c r="L48" s="92">
        <v>8.3333333333333304</v>
      </c>
      <c r="M48" s="92">
        <v>8.3333333333333304</v>
      </c>
      <c r="N48" s="92">
        <v>8.3333333333333304</v>
      </c>
      <c r="O48" s="33">
        <f>SUM(C48:N48)</f>
        <v>99.999999999999957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3.7529401612495447E-22</v>
      </c>
      <c r="D6" s="93">
        <v>60.536814649142954</v>
      </c>
      <c r="E6" s="93">
        <v>5.1518435247625013E-23</v>
      </c>
      <c r="F6" s="93">
        <v>2.1895347767833717E-22</v>
      </c>
      <c r="G6" s="93">
        <v>39.46318535085706</v>
      </c>
      <c r="H6" s="97">
        <f>SUM($C$6:$G$6)</f>
        <v>100.00000000000001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79.239253454667519</v>
      </c>
      <c r="D7" s="93">
        <v>18.728976684078667</v>
      </c>
      <c r="E7" s="93">
        <v>0</v>
      </c>
      <c r="F7" s="93">
        <v>2.0317698612538191</v>
      </c>
      <c r="G7" s="93">
        <v>0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4.0869216677755665E-21</v>
      </c>
      <c r="D8" s="93">
        <v>1.8270192082968683E-20</v>
      </c>
      <c r="E8" s="93">
        <v>100</v>
      </c>
      <c r="F8" s="93">
        <v>0</v>
      </c>
      <c r="G8" s="93">
        <v>9.1121263867672847E-22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75.949367088607573</v>
      </c>
      <c r="D9" s="93">
        <v>1.7896651774516774E-21</v>
      </c>
      <c r="E9" s="93">
        <v>2.1711657529306518E-22</v>
      </c>
      <c r="F9" s="93">
        <v>24.050632911392427</v>
      </c>
      <c r="G9" s="93">
        <v>0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7.9215883475976598</v>
      </c>
      <c r="D10" s="93">
        <v>67.438368090785744</v>
      </c>
      <c r="E10" s="93">
        <v>7.4385077469889227</v>
      </c>
      <c r="F10" s="93">
        <v>5.5788744980311948</v>
      </c>
      <c r="G10" s="93">
        <v>11.622661316596503</v>
      </c>
      <c r="H10" s="97">
        <f>SUM($C$10:$G$10)</f>
        <v>100.00000000000003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28.508860307386406</v>
      </c>
      <c r="D11" s="94">
        <v>62.268200399051764</v>
      </c>
      <c r="E11" s="94">
        <v>2.7668835053802052</v>
      </c>
      <c r="F11" s="94">
        <v>6.4560557881816205</v>
      </c>
      <c r="G11" s="94">
        <v>0</v>
      </c>
      <c r="H11" s="96">
        <f>SUM($C$11:$G$11)</f>
        <v>99.999999999999986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46.824476868137531</v>
      </c>
      <c r="D19" s="44">
        <f>100-$C$19</f>
        <v>53.175523131862469</v>
      </c>
      <c r="E19" s="94">
        <v>44.595821008453278</v>
      </c>
      <c r="F19" s="33">
        <f>100-$E$19</f>
        <v>55.404178991546722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14.404223042951513</v>
      </c>
      <c r="D27" s="93">
        <v>39.490336617912682</v>
      </c>
      <c r="E27" s="93">
        <v>33.931800389401459</v>
      </c>
      <c r="F27" s="93">
        <v>9.6033429333557638</v>
      </c>
      <c r="G27" s="95">
        <v>7.429900284865333</v>
      </c>
      <c r="N27" s="50"/>
      <c r="O27" s="50"/>
      <c r="P27" s="50"/>
    </row>
    <row r="28" spans="2:16">
      <c r="B28" s="45" t="s">
        <v>46</v>
      </c>
      <c r="C28" s="93">
        <v>17.386713643642164</v>
      </c>
      <c r="D28" s="93">
        <v>60.509663382087318</v>
      </c>
      <c r="E28" s="93">
        <v>66.068199610598541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68.209063313406332</v>
      </c>
      <c r="D29" s="93">
        <v>0</v>
      </c>
      <c r="E29" s="93">
        <v>0</v>
      </c>
      <c r="F29" s="93">
        <v>90.396657066644238</v>
      </c>
      <c r="G29" s="95">
        <v>92.570099715134674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100</v>
      </c>
      <c r="F30" s="98">
        <f>SUM($F$27:$F$29)</f>
        <v>100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41.048811600884534</v>
      </c>
      <c r="D37" s="93">
        <v>41.048811600884534</v>
      </c>
      <c r="E37" s="93">
        <v>41.048811600884534</v>
      </c>
      <c r="F37" s="93">
        <v>41.048811600884534</v>
      </c>
      <c r="G37" s="93">
        <v>41.048811600884534</v>
      </c>
      <c r="H37" s="93">
        <v>41.048811600884534</v>
      </c>
      <c r="I37" s="93">
        <v>41.048811600884534</v>
      </c>
      <c r="J37" s="93">
        <v>41.048811600884534</v>
      </c>
      <c r="K37" s="93">
        <v>41.048811600884534</v>
      </c>
      <c r="L37" s="93">
        <v>41.048811600884534</v>
      </c>
      <c r="M37" s="93">
        <v>41.048811600884534</v>
      </c>
      <c r="N37" s="95">
        <v>41.048811600884534</v>
      </c>
    </row>
    <row r="38" spans="2:14">
      <c r="B38" s="45" t="s">
        <v>46</v>
      </c>
      <c r="C38" s="93">
        <v>40.752120399892618</v>
      </c>
      <c r="D38" s="93">
        <v>40.752120399892618</v>
      </c>
      <c r="E38" s="93">
        <v>40.752120399892618</v>
      </c>
      <c r="F38" s="93">
        <v>40.752120399892618</v>
      </c>
      <c r="G38" s="93">
        <v>40.752120399892618</v>
      </c>
      <c r="H38" s="93">
        <v>40.752120399892618</v>
      </c>
      <c r="I38" s="93">
        <v>40.752120399892618</v>
      </c>
      <c r="J38" s="93">
        <v>40.752120399892618</v>
      </c>
      <c r="K38" s="93">
        <v>40.752120399892618</v>
      </c>
      <c r="L38" s="93">
        <v>40.752120399892618</v>
      </c>
      <c r="M38" s="93">
        <v>40.752120399892618</v>
      </c>
      <c r="N38" s="95">
        <v>40.752120399892618</v>
      </c>
    </row>
    <row r="39" spans="2:14">
      <c r="B39" s="45" t="s">
        <v>59</v>
      </c>
      <c r="C39" s="94">
        <v>44.4888191872517</v>
      </c>
      <c r="D39" s="94">
        <v>44.4888191872517</v>
      </c>
      <c r="E39" s="94">
        <v>44.4888191872517</v>
      </c>
      <c r="F39" s="94">
        <v>44.4888191872517</v>
      </c>
      <c r="G39" s="94">
        <v>44.4888191872517</v>
      </c>
      <c r="H39" s="94">
        <v>44.4888191872517</v>
      </c>
      <c r="I39" s="94">
        <v>44.4888191872517</v>
      </c>
      <c r="J39" s="94">
        <v>44.4888191872517</v>
      </c>
      <c r="K39" s="94">
        <v>44.4888191872517</v>
      </c>
      <c r="L39" s="94">
        <v>44.4888191872517</v>
      </c>
      <c r="M39" s="94">
        <v>44.4888191872517</v>
      </c>
      <c r="N39" s="89">
        <v>44.4888191872517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65321.804414763479</v>
      </c>
      <c r="L7" s="182"/>
      <c r="M7" s="182" t="s">
        <v>356</v>
      </c>
      <c r="S7" s="187">
        <f>SUM(ORA!$D$127:$O$127)</f>
        <v>278278997.69746649</v>
      </c>
    </row>
    <row r="8" spans="1:20">
      <c r="A8" s="182"/>
      <c r="B8" s="182" t="s">
        <v>357</v>
      </c>
      <c r="G8" s="185"/>
      <c r="H8" s="188">
        <f>SUM(POJ!$D$116:$O$116)</f>
        <v>45776.40559295618</v>
      </c>
      <c r="L8" s="182"/>
      <c r="M8" s="182" t="s">
        <v>357</v>
      </c>
      <c r="S8" s="189">
        <f>SUM(POJ!$D$127:$O$127)</f>
        <v>320434839.1506933</v>
      </c>
    </row>
    <row r="9" spans="1:20">
      <c r="A9" s="182"/>
      <c r="B9" s="182" t="s">
        <v>358</v>
      </c>
      <c r="G9" s="185"/>
      <c r="H9" s="188">
        <f>SUM(ROJ!$D$116:$O$116)</f>
        <v>26167.889330072336</v>
      </c>
      <c r="L9" s="182"/>
      <c r="M9" s="182" t="s">
        <v>358</v>
      </c>
      <c r="S9" s="189">
        <f>SUM(ROJ!$D$127:$O$127)</f>
        <v>198875958.90854976</v>
      </c>
    </row>
    <row r="10" spans="1:20">
      <c r="A10" s="182"/>
      <c r="B10" s="182" t="s">
        <v>359</v>
      </c>
      <c r="G10" s="185"/>
      <c r="H10" s="190">
        <f>SUM(FCOJ!$D$116:$O$116)</f>
        <v>29875.910917150992</v>
      </c>
      <c r="L10" s="182"/>
      <c r="M10" s="182" t="s">
        <v>359</v>
      </c>
      <c r="S10" s="191">
        <f>SUM(FCOJ!$D$127:$O$127)</f>
        <v>149548106.88408288</v>
      </c>
    </row>
    <row r="11" spans="1:20">
      <c r="A11" s="182"/>
      <c r="B11" s="182"/>
      <c r="G11" s="185"/>
      <c r="M11" s="182" t="s">
        <v>360</v>
      </c>
      <c r="T11" s="192">
        <f>SUM($S$7:$S$10)</f>
        <v>947137902.64079249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170154.68625132594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3.7112212092814145</v>
      </c>
      <c r="L14" s="182"/>
      <c r="M14" s="182" t="s">
        <v>365</v>
      </c>
      <c r="S14" s="187">
        <f>SUM(grove!$C$58:$AX$63)</f>
        <v>229140337.54922384</v>
      </c>
    </row>
    <row r="15" spans="1:20">
      <c r="A15" s="182"/>
      <c r="B15" s="182" t="s">
        <v>366</v>
      </c>
      <c r="G15" s="185"/>
      <c r="H15" s="190">
        <f>raw_materials!$P$36</f>
        <v>5.2041071682080355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5528.1713011979909</v>
      </c>
    </row>
    <row r="16" spans="1:20">
      <c r="A16" s="182"/>
      <c r="B16" s="182" t="s">
        <v>368</v>
      </c>
      <c r="G16" s="185"/>
      <c r="H16" s="194">
        <v>45723.474145533743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10974.08747010763</v>
      </c>
    </row>
    <row r="17" spans="1:21">
      <c r="A17" s="182"/>
      <c r="B17" s="182" t="s">
        <v>370</v>
      </c>
      <c r="G17" s="185"/>
      <c r="H17" s="195">
        <v>55605.743968073533</v>
      </c>
      <c r="L17" s="182"/>
      <c r="M17" s="182" t="s">
        <v>371</v>
      </c>
      <c r="S17" s="189">
        <v>33149247.729670923</v>
      </c>
    </row>
    <row r="18" spans="1:21">
      <c r="A18" s="182"/>
      <c r="B18" s="182" t="s">
        <v>372</v>
      </c>
      <c r="G18" s="185"/>
      <c r="H18" s="196">
        <v>26837.892151801534</v>
      </c>
      <c r="L18" s="182"/>
      <c r="M18" s="182" t="s">
        <v>373</v>
      </c>
      <c r="S18" s="191">
        <v>1650.6273861718716</v>
      </c>
    </row>
    <row r="19" spans="1:21">
      <c r="A19" s="182"/>
      <c r="B19" s="182" t="s">
        <v>374</v>
      </c>
      <c r="G19" s="185"/>
      <c r="H19" s="195">
        <v>2831.2244565373367</v>
      </c>
      <c r="L19" s="182"/>
      <c r="M19" s="182" t="s">
        <v>375</v>
      </c>
      <c r="S19" s="197" t="s">
        <v>376</v>
      </c>
      <c r="T19" s="198">
        <f>SUM($S$14:$S$18)</f>
        <v>262307738.16505224</v>
      </c>
      <c r="U19" s="100" t="s">
        <v>377</v>
      </c>
    </row>
    <row r="20" spans="1:21">
      <c r="A20" s="182"/>
      <c r="B20" s="182" t="s">
        <v>378</v>
      </c>
      <c r="G20" s="185"/>
      <c r="H20" s="190">
        <v>644.27958902974046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91446948.291067377</v>
      </c>
    </row>
    <row r="23" spans="1:21">
      <c r="A23" s="182"/>
      <c r="B23" s="182" t="s">
        <v>382</v>
      </c>
      <c r="G23" s="185"/>
      <c r="H23" s="186">
        <f>SUM(raw_materials!$O$31:$O$35)</f>
        <v>3.8364672243880014</v>
      </c>
      <c r="L23" s="182"/>
      <c r="M23" s="182" t="s">
        <v>383</v>
      </c>
      <c r="S23" s="189">
        <v>55605743.968073525</v>
      </c>
    </row>
    <row r="24" spans="1:21">
      <c r="A24" s="182"/>
      <c r="B24" s="182" t="s">
        <v>384</v>
      </c>
      <c r="G24" s="185"/>
      <c r="H24" s="190">
        <f>SUM(raw_materials!$O$37:$O$41)</f>
        <v>4.7854679646273137</v>
      </c>
      <c r="L24" s="182"/>
      <c r="M24" s="182" t="s">
        <v>385</v>
      </c>
      <c r="S24" s="191">
        <v>17444629.898670997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164497322.15781191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13878072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28671317.922905684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0</v>
      </c>
      <c r="L30" s="182"/>
      <c r="M30" s="182" t="s">
        <v>395</v>
      </c>
      <c r="S30" s="189">
        <v>3852973.9599224227</v>
      </c>
    </row>
    <row r="31" spans="1:21">
      <c r="L31" s="182"/>
      <c r="M31" s="182" t="s">
        <v>396</v>
      </c>
      <c r="S31" s="191">
        <f>SUM(ORA!D138:O138)+SUM(POJ!D138:O138)+SUM(ROJ!D138:O138)+SUM(FCOJ!D138:O138)</f>
        <v>112701461.61960478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159103825.50243288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27570000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0</v>
      </c>
    </row>
    <row r="41" spans="1:21">
      <c r="L41" s="182"/>
      <c r="M41" s="182" t="s">
        <v>409</v>
      </c>
      <c r="S41" s="189">
        <v>9680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54052180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307176836.81549543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0.56243221847360447</v>
      </c>
      <c r="D5" s="100">
        <v>0.72673136178725084</v>
      </c>
      <c r="E5" s="100">
        <v>0.65179040129724197</v>
      </c>
      <c r="F5" s="100">
        <v>0.64929585901235998</v>
      </c>
      <c r="G5" s="100">
        <v>0.70264022246995728</v>
      </c>
      <c r="H5" s="100">
        <v>0.73845770199133565</v>
      </c>
      <c r="I5" s="100">
        <v>0.5939889180475203</v>
      </c>
      <c r="J5" s="100">
        <v>0.559676531625665</v>
      </c>
      <c r="K5" s="100">
        <v>0.68263010616949271</v>
      </c>
      <c r="L5" s="100">
        <v>0.6799318829299198</v>
      </c>
      <c r="M5" s="100">
        <v>0.6527035153873112</v>
      </c>
      <c r="N5" s="100">
        <v>0.70493086419315709</v>
      </c>
    </row>
    <row r="6" spans="2:14">
      <c r="B6" s="171" t="s">
        <v>105</v>
      </c>
      <c r="C6" s="100">
        <v>0.67462787947914193</v>
      </c>
      <c r="D6" s="100">
        <v>0.68527192821787619</v>
      </c>
      <c r="E6" s="100">
        <v>0.7719048594697302</v>
      </c>
      <c r="F6" s="100">
        <v>0.88719014744881441</v>
      </c>
      <c r="G6" s="100">
        <v>0.77833984112020571</v>
      </c>
      <c r="H6" s="100">
        <v>0.67678639098699178</v>
      </c>
      <c r="I6" s="100">
        <v>0.69969451454674647</v>
      </c>
      <c r="J6" s="100">
        <v>0.65829009331226973</v>
      </c>
      <c r="K6" s="100">
        <v>0.77886571732632792</v>
      </c>
      <c r="L6" s="100">
        <v>0.7167361103195965</v>
      </c>
      <c r="M6" s="100">
        <v>0.67115634897801113</v>
      </c>
      <c r="N6" s="100">
        <v>0.69174227288896428</v>
      </c>
    </row>
    <row r="7" spans="2:14">
      <c r="B7" s="171" t="s">
        <v>106</v>
      </c>
      <c r="C7" s="100">
        <v>0.71162634962036087</v>
      </c>
      <c r="D7" s="100">
        <v>0.71223867265832208</v>
      </c>
      <c r="E7" s="100">
        <v>0.81142324922596332</v>
      </c>
      <c r="F7" s="100">
        <v>0.81474647176436699</v>
      </c>
      <c r="G7" s="100">
        <v>0.73279364962184557</v>
      </c>
      <c r="H7" s="100">
        <v>0.76257720181983513</v>
      </c>
      <c r="I7" s="100">
        <v>0.78384035821214415</v>
      </c>
      <c r="J7" s="100">
        <v>0.9267891561561491</v>
      </c>
      <c r="K7" s="100">
        <v>0.73634010704431951</v>
      </c>
      <c r="L7" s="100">
        <v>0.7336581347039961</v>
      </c>
      <c r="M7" s="100">
        <v>0.7126312671888726</v>
      </c>
      <c r="N7" s="100">
        <v>0.73861370569147478</v>
      </c>
    </row>
    <row r="8" spans="2:14">
      <c r="B8" s="171" t="s">
        <v>107</v>
      </c>
      <c r="C8" s="100">
        <v>0.65030264390956727</v>
      </c>
      <c r="D8" s="100">
        <v>0.66515980605143188</v>
      </c>
      <c r="E8" s="100">
        <v>0.7467808735695125</v>
      </c>
      <c r="F8" s="100">
        <v>0.6771808529253126</v>
      </c>
      <c r="G8" s="100">
        <v>0.73383752134111002</v>
      </c>
      <c r="H8" s="100">
        <v>0.76266370357087299</v>
      </c>
      <c r="I8" s="100">
        <v>1.1000000000000001</v>
      </c>
      <c r="J8" s="100">
        <v>0.72415202573474113</v>
      </c>
      <c r="K8" s="100">
        <v>0.69975947219486823</v>
      </c>
      <c r="L8" s="100">
        <v>0.70001544461712062</v>
      </c>
      <c r="M8" s="100">
        <v>0.75025510028796472</v>
      </c>
      <c r="N8" s="100">
        <v>0.67367017693372533</v>
      </c>
    </row>
    <row r="9" spans="2:14">
      <c r="B9" s="171" t="s">
        <v>108</v>
      </c>
      <c r="C9" s="100">
        <v>2.0437440550327302</v>
      </c>
      <c r="D9" s="100">
        <v>2.0505200958251955</v>
      </c>
      <c r="E9" s="100">
        <v>2.0636819636821748</v>
      </c>
      <c r="F9" s="100">
        <v>2.0174763894081118</v>
      </c>
      <c r="G9" s="100">
        <v>2.0950030243396758</v>
      </c>
      <c r="H9" s="100">
        <v>2.089443383216858</v>
      </c>
      <c r="I9" s="100">
        <v>2.093811515569687</v>
      </c>
      <c r="J9" s="100">
        <v>2.011389491558075</v>
      </c>
      <c r="K9" s="100">
        <v>2.0853584444522859</v>
      </c>
      <c r="L9" s="100">
        <v>2.0270929431915286</v>
      </c>
      <c r="M9" s="100">
        <v>2.0797153747081758</v>
      </c>
      <c r="N9" s="100">
        <v>2.0821202969551087</v>
      </c>
    </row>
    <row r="10" spans="2:14">
      <c r="B10" s="171" t="s">
        <v>109</v>
      </c>
      <c r="C10" s="100">
        <v>0.60283887982368467</v>
      </c>
      <c r="D10" s="100">
        <v>0.64063308238983152</v>
      </c>
      <c r="E10" s="100">
        <v>0.60615062117576601</v>
      </c>
      <c r="F10" s="100">
        <v>0.66664756536483771</v>
      </c>
      <c r="G10" s="100">
        <v>0.63275805115699768</v>
      </c>
      <c r="H10" s="100">
        <v>0.63537263870239258</v>
      </c>
      <c r="I10" s="100">
        <v>0.69344074130058286</v>
      </c>
      <c r="J10" s="100">
        <v>0.61525083780288703</v>
      </c>
      <c r="K10" s="100">
        <v>0.68052733540534971</v>
      </c>
      <c r="L10" s="100">
        <v>0.6363274812698364</v>
      </c>
      <c r="M10" s="100">
        <v>0.68278812766075136</v>
      </c>
      <c r="N10" s="100">
        <v>0.69557293653488161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0.36712910678375371</v>
      </c>
      <c r="D14" s="101">
        <v>0.36849184362408288</v>
      </c>
      <c r="E14" s="101">
        <v>0.36985074597194478</v>
      </c>
      <c r="F14" s="101">
        <v>0.37120199012443328</v>
      </c>
      <c r="G14" s="101">
        <v>0.37254177392740467</v>
      </c>
      <c r="H14" s="100">
        <v>0.37386632747404486</v>
      </c>
      <c r="I14" s="100">
        <v>0.37517192371269797</v>
      </c>
      <c r="J14" s="100">
        <v>0.37645488893410911</v>
      </c>
      <c r="K14" s="100">
        <v>0.37771161310857071</v>
      </c>
      <c r="L14" s="100">
        <v>0.37893856004388621</v>
      </c>
      <c r="M14" s="100">
        <v>0.38013227733556948</v>
      </c>
      <c r="N14" s="100">
        <v>0.38128940608127954</v>
      </c>
    </row>
    <row r="15" spans="2:14">
      <c r="B15" s="170" t="s">
        <v>318</v>
      </c>
      <c r="C15" s="100">
        <v>1.0189368805859642</v>
      </c>
      <c r="D15" s="100">
        <v>1.0216384269503034</v>
      </c>
      <c r="E15" s="100">
        <v>1.024332371656804</v>
      </c>
      <c r="F15" s="100">
        <v>1.0270111344373036</v>
      </c>
      <c r="G15" s="100">
        <v>1.0296671777428061</v>
      </c>
      <c r="H15" s="100">
        <v>1.0322930279527658</v>
      </c>
      <c r="I15" s="100">
        <v>1.0348812964044916</v>
      </c>
      <c r="J15" s="100">
        <v>1.0374247001834922</v>
      </c>
      <c r="K15" s="100">
        <v>1.0399160826162686</v>
      </c>
      <c r="L15" s="100">
        <v>1.0423484334078845</v>
      </c>
      <c r="M15" s="100">
        <v>1.0447149083676548</v>
      </c>
      <c r="N15" s="100">
        <v>1.0470088486674491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0.56243221847360447</v>
      </c>
      <c r="D19" s="100">
        <f t="shared" ref="D19:N20" si="0">D5</f>
        <v>0.72673136178725084</v>
      </c>
      <c r="E19" s="100">
        <f t="shared" si="0"/>
        <v>0.65179040129724197</v>
      </c>
      <c r="F19" s="100">
        <f t="shared" si="0"/>
        <v>0.64929585901235998</v>
      </c>
      <c r="G19" s="100">
        <f t="shared" si="0"/>
        <v>0.70264022246995728</v>
      </c>
      <c r="H19" s="100">
        <f t="shared" si="0"/>
        <v>0.73845770199133565</v>
      </c>
      <c r="I19" s="100">
        <f t="shared" si="0"/>
        <v>0.5939889180475203</v>
      </c>
      <c r="J19" s="100">
        <f t="shared" si="0"/>
        <v>0.559676531625665</v>
      </c>
      <c r="K19" s="100">
        <f t="shared" si="0"/>
        <v>0.68263010616949271</v>
      </c>
      <c r="L19" s="100">
        <f t="shared" si="0"/>
        <v>0.6799318829299198</v>
      </c>
      <c r="M19" s="100">
        <f t="shared" si="0"/>
        <v>0.6527035153873112</v>
      </c>
      <c r="N19" s="100">
        <f t="shared" si="0"/>
        <v>0.70493086419315709</v>
      </c>
    </row>
    <row r="20" spans="2:14">
      <c r="B20" s="173" t="s">
        <v>105</v>
      </c>
      <c r="C20" s="100">
        <f>C6</f>
        <v>0.67462787947914193</v>
      </c>
      <c r="D20" s="100">
        <f t="shared" si="0"/>
        <v>0.68527192821787619</v>
      </c>
      <c r="E20" s="100">
        <f t="shared" si="0"/>
        <v>0.7719048594697302</v>
      </c>
      <c r="F20" s="100">
        <f t="shared" si="0"/>
        <v>0.88719014744881441</v>
      </c>
      <c r="G20" s="100">
        <f t="shared" si="0"/>
        <v>0.77833984112020571</v>
      </c>
      <c r="H20" s="100">
        <f t="shared" si="0"/>
        <v>0.67678639098699178</v>
      </c>
      <c r="I20" s="100">
        <f t="shared" si="0"/>
        <v>0.69969451454674647</v>
      </c>
      <c r="J20" s="100">
        <f t="shared" si="0"/>
        <v>0.65829009331226973</v>
      </c>
      <c r="K20" s="100">
        <f t="shared" si="0"/>
        <v>0.77886571732632792</v>
      </c>
      <c r="L20" s="100">
        <f t="shared" si="0"/>
        <v>0.7167361103195965</v>
      </c>
      <c r="M20" s="100">
        <f t="shared" si="0"/>
        <v>0.67115634897801113</v>
      </c>
      <c r="N20" s="100">
        <f t="shared" si="0"/>
        <v>0.69174227288896428</v>
      </c>
    </row>
    <row r="21" spans="2:14">
      <c r="B21" s="173" t="s">
        <v>106</v>
      </c>
      <c r="C21" s="100">
        <f t="shared" ref="C21:N22" si="1">C7</f>
        <v>0.71162634962036087</v>
      </c>
      <c r="D21" s="100">
        <f t="shared" si="1"/>
        <v>0.71223867265832208</v>
      </c>
      <c r="E21" s="100">
        <f t="shared" si="1"/>
        <v>0.81142324922596332</v>
      </c>
      <c r="F21" s="100">
        <f t="shared" si="1"/>
        <v>0.81474647176436699</v>
      </c>
      <c r="G21" s="100">
        <f t="shared" si="1"/>
        <v>0.73279364962184557</v>
      </c>
      <c r="H21" s="100">
        <f t="shared" si="1"/>
        <v>0.76257720181983513</v>
      </c>
      <c r="I21" s="100">
        <f t="shared" si="1"/>
        <v>0.78384035821214415</v>
      </c>
      <c r="J21" s="100">
        <f t="shared" si="1"/>
        <v>0.9267891561561491</v>
      </c>
      <c r="K21" s="100">
        <f t="shared" si="1"/>
        <v>0.73634010704431951</v>
      </c>
      <c r="L21" s="100">
        <f t="shared" si="1"/>
        <v>0.7336581347039961</v>
      </c>
      <c r="M21" s="100">
        <f t="shared" si="1"/>
        <v>0.7126312671888726</v>
      </c>
      <c r="N21" s="100">
        <f t="shared" si="1"/>
        <v>0.73861370569147478</v>
      </c>
    </row>
    <row r="22" spans="2:14">
      <c r="B22" s="173" t="s">
        <v>107</v>
      </c>
      <c r="C22" s="100">
        <f t="shared" si="1"/>
        <v>0.65030264390956727</v>
      </c>
      <c r="D22" s="100">
        <f t="shared" si="1"/>
        <v>0.66515980605143188</v>
      </c>
      <c r="E22" s="100">
        <f t="shared" si="1"/>
        <v>0.7467808735695125</v>
      </c>
      <c r="F22" s="100">
        <f t="shared" si="1"/>
        <v>0.6771808529253126</v>
      </c>
      <c r="G22" s="100">
        <f t="shared" si="1"/>
        <v>0.73383752134111002</v>
      </c>
      <c r="H22" s="100">
        <f t="shared" si="1"/>
        <v>0.76266370357087299</v>
      </c>
      <c r="I22" s="100">
        <f t="shared" si="1"/>
        <v>1.1000000000000001</v>
      </c>
      <c r="J22" s="100">
        <f t="shared" si="1"/>
        <v>0.72415202573474113</v>
      </c>
      <c r="K22" s="100">
        <f t="shared" si="1"/>
        <v>0.69975947219486823</v>
      </c>
      <c r="L22" s="100">
        <f t="shared" si="1"/>
        <v>0.70001544461712062</v>
      </c>
      <c r="M22" s="100">
        <f t="shared" si="1"/>
        <v>0.75025510028796472</v>
      </c>
      <c r="N22" s="100">
        <f t="shared" si="1"/>
        <v>0.67367017693372533</v>
      </c>
    </row>
    <row r="23" spans="2:14">
      <c r="B23" s="173" t="s">
        <v>108</v>
      </c>
      <c r="C23" s="100">
        <f>C9*C14</f>
        <v>0.75031792941877307</v>
      </c>
      <c r="D23" s="100">
        <f t="shared" ref="D23:N24" si="2">D9*D14</f>
        <v>0.75559993049885732</v>
      </c>
      <c r="E23" s="100">
        <f t="shared" si="2"/>
        <v>0.76325431371670027</v>
      </c>
      <c r="F23" s="100">
        <f t="shared" si="2"/>
        <v>0.74889125077734719</v>
      </c>
      <c r="G23" s="100">
        <f t="shared" si="2"/>
        <v>0.78047614307078061</v>
      </c>
      <c r="H23" s="100">
        <f t="shared" si="2"/>
        <v>0.78117252414823002</v>
      </c>
      <c r="I23" s="100">
        <f t="shared" si="2"/>
        <v>0.78553929418807911</v>
      </c>
      <c r="J23" s="100">
        <f t="shared" si="2"/>
        <v>0.75719740764772936</v>
      </c>
      <c r="K23" s="100">
        <f t="shared" si="2"/>
        <v>0.78766410196365266</v>
      </c>
      <c r="L23" s="100">
        <f t="shared" si="2"/>
        <v>0.76814368096812102</v>
      </c>
      <c r="M23" s="100">
        <f t="shared" si="2"/>
        <v>0.79056694159761609</v>
      </c>
      <c r="N23" s="100">
        <f t="shared" si="2"/>
        <v>0.79389041141579075</v>
      </c>
    </row>
    <row r="24" spans="2:14">
      <c r="B24" s="173" t="s">
        <v>109</v>
      </c>
      <c r="C24" s="100">
        <f>C10*C15</f>
        <v>0.6142547677034822</v>
      </c>
      <c r="D24" s="100">
        <f t="shared" si="2"/>
        <v>0.65449537454507156</v>
      </c>
      <c r="E24" s="100">
        <f t="shared" si="2"/>
        <v>0.62089970337021738</v>
      </c>
      <c r="F24" s="100">
        <f t="shared" si="2"/>
        <v>0.68465447237520849</v>
      </c>
      <c r="G24" s="100">
        <f t="shared" si="2"/>
        <v>0.65153019672886392</v>
      </c>
      <c r="H24" s="100">
        <f t="shared" si="2"/>
        <v>0.65589074508443146</v>
      </c>
      <c r="I24" s="100">
        <f t="shared" si="2"/>
        <v>0.71762885333683879</v>
      </c>
      <c r="J24" s="100">
        <f t="shared" si="2"/>
        <v>0.63827641594530249</v>
      </c>
      <c r="K24" s="100">
        <f t="shared" si="2"/>
        <v>0.70769132074801877</v>
      </c>
      <c r="L24" s="100">
        <f t="shared" si="2"/>
        <v>0.66327495323599894</v>
      </c>
      <c r="M24" s="100">
        <f t="shared" si="2"/>
        <v>0.71331893622362441</v>
      </c>
      <c r="N24" s="100">
        <f t="shared" si="2"/>
        <v>0.72827101944562311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0.8</v>
      </c>
      <c r="F29" s="100">
        <f>IF(F20&lt;=raw_materials!$D18,raw_materials!$C18,IF(F20&lt;=raw_materials!$F18,raw_materials!$E18,IF(F20&lt;=raw_materials!$H18,raw_materials!$G18,0)))</f>
        <v>0.8</v>
      </c>
      <c r="G29" s="100">
        <f>IF(G20&lt;=raw_materials!$D18,raw_materials!$C18,IF(G20&lt;=raw_materials!$F18,raw_materials!$E18,IF(G20&lt;=raw_materials!$H18,raw_materials!$G18,0)))</f>
        <v>0.8</v>
      </c>
      <c r="H29" s="100">
        <f>IF(H20&lt;=raw_materials!$D18,raw_materials!$C18,IF(H20&lt;=raw_materials!$F18,raw_materials!$E18,IF(H20&lt;=raw_materials!$H18,raw_materials!$G18,0)))</f>
        <v>1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0.8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1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1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1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0.8</v>
      </c>
      <c r="K30" s="100">
        <f>IF(K21&lt;=raw_materials!$D19,raw_materials!$C19,IF(K21&lt;=raw_materials!$F19,raw_materials!$E19,IF(K21&lt;=raw_materials!$H19,raw_materials!$G19,0)))</f>
        <v>1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0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0.8</v>
      </c>
      <c r="D32" s="100">
        <f>IF(D23&lt;=raw_materials!$D21,raw_materials!$C21,IF(D23&lt;=raw_materials!$F21,raw_materials!$E21,IF(D23&lt;=raw_materials!$H21,raw_materials!$G21,0)))</f>
        <v>0</v>
      </c>
      <c r="E32" s="100">
        <f>IF(E23&lt;=raw_materials!$D21,raw_materials!$C21,IF(E23&lt;=raw_materials!$F21,raw_materials!$E21,IF(E23&lt;=raw_materials!$H21,raw_materials!$G21,0)))</f>
        <v>0</v>
      </c>
      <c r="F32" s="100">
        <f>IF(F23&lt;=raw_materials!$D21,raw_materials!$C21,IF(F23&lt;=raw_materials!$F21,raw_materials!$E21,IF(F23&lt;=raw_materials!$H21,raw_materials!$G21,0)))</f>
        <v>0.8</v>
      </c>
      <c r="G32" s="100">
        <f>IF(G23&lt;=raw_materials!$D21,raw_materials!$C21,IF(G23&lt;=raw_materials!$F21,raw_materials!$E21,IF(G23&lt;=raw_materials!$H21,raw_materials!$G21,0)))</f>
        <v>0</v>
      </c>
      <c r="H32" s="100">
        <f>IF(H23&lt;=raw_materials!$D21,raw_materials!$C21,IF(H23&lt;=raw_materials!$F21,raw_materials!$E21,IF(H23&lt;=raw_materials!$H21,raw_materials!$G21,0)))</f>
        <v>0</v>
      </c>
      <c r="I32" s="100">
        <f>IF(I23&lt;=raw_materials!$D21,raw_materials!$C21,IF(I23&lt;=raw_materials!$F21,raw_materials!$E21,IF(I23&lt;=raw_materials!$H21,raw_materials!$G21,0)))</f>
        <v>0</v>
      </c>
      <c r="J32" s="100">
        <f>IF(J23&lt;=raw_materials!$D21,raw_materials!$C21,IF(J23&lt;=raw_materials!$F21,raw_materials!$E21,IF(J23&lt;=raw_materials!$H21,raw_materials!$G21,0)))</f>
        <v>0</v>
      </c>
      <c r="K32" s="100">
        <f>IF(K23&lt;=raw_materials!$D21,raw_materials!$C21,IF(K23&lt;=raw_materials!$F21,raw_materials!$E21,IF(K23&lt;=raw_materials!$H21,raw_materials!$G21,0)))</f>
        <v>0</v>
      </c>
      <c r="L32" s="100">
        <f>IF(L23&lt;=raw_materials!$D21,raw_materials!$C21,IF(L23&lt;=raw_materials!$F21,raw_materials!$E21,IF(L23&lt;=raw_materials!$H21,raw_materials!$G21,0)))</f>
        <v>0</v>
      </c>
      <c r="M32" s="100">
        <f>IF(M23&lt;=raw_materials!$D21,raw_materials!$C21,IF(M23&lt;=raw_materials!$F21,raw_materials!$E21,IF(M23&lt;=raw_materials!$H21,raw_materials!$G21,0)))</f>
        <v>0</v>
      </c>
      <c r="N32" s="100">
        <f>IF(N23&lt;=raw_materials!$D21,raw_materials!$C21,IF(N23&lt;=raw_materials!$F21,raw_materials!$E21,IF(N23&lt;=raw_materials!$H21,raw_materials!$G21,0)))</f>
        <v>0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1.2</v>
      </c>
      <c r="D33" s="100">
        <f>IF(D24&lt;=raw_materials!$D22,raw_materials!$C22,IF(D24&lt;=raw_materials!$F22,raw_materials!$E22,IF(D24&lt;=raw_materials!$H22,raw_materials!$G22,0)))</f>
        <v>1.2</v>
      </c>
      <c r="E33" s="100">
        <f>IF(E24&lt;=raw_materials!$D22,raw_materials!$C22,IF(E24&lt;=raw_materials!$F22,raw_materials!$E22,IF(E24&lt;=raw_materials!$H22,raw_materials!$G22,0)))</f>
        <v>1.2</v>
      </c>
      <c r="F33" s="100">
        <f>IF(F24&lt;=raw_materials!$D22,raw_materials!$C22,IF(F24&lt;=raw_materials!$F22,raw_materials!$E22,IF(F24&lt;=raw_materials!$H22,raw_materials!$G22,0)))</f>
        <v>1.2</v>
      </c>
      <c r="G33" s="100">
        <f>IF(G24&lt;=raw_materials!$D22,raw_materials!$C22,IF(G24&lt;=raw_materials!$F22,raw_materials!$E22,IF(G24&lt;=raw_materials!$H22,raw_materials!$G22,0)))</f>
        <v>1.2</v>
      </c>
      <c r="H33" s="100">
        <f>IF(H24&lt;=raw_materials!$D22,raw_materials!$C22,IF(H24&lt;=raw_materials!$F22,raw_materials!$E22,IF(H24&lt;=raw_materials!$H22,raw_materials!$G22,0)))</f>
        <v>1.2</v>
      </c>
      <c r="I33" s="100">
        <f>IF(I24&lt;=raw_materials!$D22,raw_materials!$C22,IF(I24&lt;=raw_materials!$F22,raw_materials!$E22,IF(I24&lt;=raw_materials!$H22,raw_materials!$G22,0)))</f>
        <v>1</v>
      </c>
      <c r="J33" s="100">
        <f>IF(J24&lt;=raw_materials!$D22,raw_materials!$C22,IF(J24&lt;=raw_materials!$F22,raw_materials!$E22,IF(J24&lt;=raw_materials!$H22,raw_materials!$G22,0)))</f>
        <v>1.2</v>
      </c>
      <c r="K33" s="100">
        <f>IF(K24&lt;=raw_materials!$D22,raw_materials!$C22,IF(K24&lt;=raw_materials!$F22,raw_materials!$E22,IF(K24&lt;=raw_materials!$H22,raw_materials!$G22,0)))</f>
        <v>1</v>
      </c>
      <c r="L33" s="100">
        <f>IF(L24&lt;=raw_materials!$D22,raw_materials!$C22,IF(L24&lt;=raw_materials!$F22,raw_materials!$E22,IF(L24&lt;=raw_materials!$H22,raw_materials!$G22,0)))</f>
        <v>1.2</v>
      </c>
      <c r="M33" s="100">
        <f>IF(M24&lt;=raw_materials!$D22,raw_materials!$C22,IF(M24&lt;=raw_materials!$F22,raw_materials!$E22,IF(M24&lt;=raw_materials!$H22,raw_materials!$G22,0)))</f>
        <v>1</v>
      </c>
      <c r="N33" s="100">
        <f>IF(N24&lt;=raw_materials!$D22,raw_materials!$C22,IF(N24&lt;=raw_materials!$F22,raw_materials!$E22,IF(N24&lt;=raw_materials!$H22,raw_materials!$G22,0)))</f>
        <v>1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17883.947080441183</v>
      </c>
      <c r="M38" s="100">
        <v>17922.183466705839</v>
      </c>
      <c r="N38" s="100">
        <v>25657.666324691218</v>
      </c>
      <c r="O38" s="100">
        <v>25712.128310447646</v>
      </c>
      <c r="P38" s="100">
        <v>25766.496428023554</v>
      </c>
      <c r="Q38" s="100">
        <v>25820.761922544945</v>
      </c>
      <c r="R38" s="100">
        <v>25874.916053205223</v>
      </c>
      <c r="S38" s="100">
        <v>25928.950094808049</v>
      </c>
      <c r="T38" s="100">
        <v>25982.855339308269</v>
      </c>
      <c r="U38" s="100">
        <v>26036.623097350748</v>
      </c>
      <c r="V38" s="100">
        <v>26090.24469980675</v>
      </c>
      <c r="W38" s="100">
        <v>26143.711499307632</v>
      </c>
      <c r="X38" s="100">
        <v>26197.014871775551</v>
      </c>
      <c r="Y38" s="100">
        <v>26250.146217950878</v>
      </c>
      <c r="Z38" s="100">
        <v>26303.096964916222</v>
      </c>
      <c r="AA38" s="100">
        <v>26355.858567616488</v>
      </c>
      <c r="AB38" s="100">
        <v>10563.36900415001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10748.485876291024</v>
      </c>
      <c r="AL38" s="100">
        <v>26921.341209603564</v>
      </c>
      <c r="AM38" s="100">
        <v>26971.178763785614</v>
      </c>
      <c r="AN38" s="100">
        <v>27020.719306543244</v>
      </c>
      <c r="AO38" s="100">
        <v>27069.954839740756</v>
      </c>
      <c r="AP38" s="100">
        <v>27118.877415268147</v>
      </c>
      <c r="AQ38" s="100">
        <v>27167.47913646403</v>
      </c>
      <c r="AR38" s="100">
        <v>27215.752159530173</v>
      </c>
      <c r="AS38" s="100">
        <v>27263.688694937566</v>
      </c>
      <c r="AT38" s="100">
        <v>27311.281008823513</v>
      </c>
      <c r="AU38" s="100">
        <v>27358.521424379818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15065.890051575743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10684.403185333371</v>
      </c>
      <c r="K39" s="100">
        <v>15296.282931388283</v>
      </c>
      <c r="L39" s="100">
        <v>15329.097497521014</v>
      </c>
      <c r="M39" s="100">
        <v>15361.87154289072</v>
      </c>
      <c r="N39" s="100">
        <v>1539.4599794814731</v>
      </c>
      <c r="O39" s="100">
        <v>1542.7276986268589</v>
      </c>
      <c r="P39" s="100">
        <v>1545.9897856814134</v>
      </c>
      <c r="Q39" s="100">
        <v>15492.457153526968</v>
      </c>
      <c r="R39" s="100">
        <v>15524.949631923135</v>
      </c>
      <c r="S39" s="100">
        <v>6222.9480227539325</v>
      </c>
      <c r="T39" s="100">
        <v>15589.713203584963</v>
      </c>
      <c r="U39" s="100">
        <v>10935.381700887314</v>
      </c>
      <c r="V39" s="100">
        <v>15654.14681988405</v>
      </c>
      <c r="W39" s="100">
        <v>15686.226899584581</v>
      </c>
      <c r="X39" s="100">
        <v>15718.208923065331</v>
      </c>
      <c r="Y39" s="100">
        <v>15750.087730770527</v>
      </c>
      <c r="Z39" s="100">
        <v>15781.858178949733</v>
      </c>
      <c r="AA39" s="100">
        <v>15813.515140569893</v>
      </c>
      <c r="AB39" s="100">
        <v>15845.053506225015</v>
      </c>
      <c r="AC39" s="100">
        <v>15876.468185043188</v>
      </c>
      <c r="AD39" s="100">
        <v>15907.754105590879</v>
      </c>
      <c r="AE39" s="100">
        <v>11157.234351741996</v>
      </c>
      <c r="AF39" s="100">
        <v>15969.919488737569</v>
      </c>
      <c r="AG39" s="100">
        <v>16000.788913757913</v>
      </c>
      <c r="AH39" s="100">
        <v>16031.509507137089</v>
      </c>
      <c r="AI39" s="100">
        <v>6424.8305232357943</v>
      </c>
      <c r="AJ39" s="100">
        <v>1609.2484380626422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11369.381032691117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6566.0451418511566</v>
      </c>
      <c r="AV39" s="100">
        <v>16443.241393938872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5010.9805028023011</v>
      </c>
      <c r="D40" s="100">
        <v>5021.9633505252477</v>
      </c>
      <c r="E40" s="100">
        <v>5032.946782562517</v>
      </c>
      <c r="F40" s="100">
        <v>5043.9290374091042</v>
      </c>
      <c r="G40" s="100">
        <v>5054.9083529701256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5109.6991658403376</v>
      </c>
      <c r="M40" s="100">
        <v>3584.4366933411679</v>
      </c>
      <c r="N40" s="100">
        <v>3592.07328545677</v>
      </c>
      <c r="O40" s="100">
        <v>5142.4256620895294</v>
      </c>
      <c r="P40" s="100">
        <v>5153.2992856047113</v>
      </c>
      <c r="Q40" s="100">
        <v>2065.6609538035959</v>
      </c>
      <c r="R40" s="100">
        <v>3622.4882474487313</v>
      </c>
      <c r="S40" s="100">
        <v>5185.7900189616103</v>
      </c>
      <c r="T40" s="100">
        <v>5196.5710678616542</v>
      </c>
      <c r="U40" s="100">
        <v>5207.3246194701496</v>
      </c>
      <c r="V40" s="100">
        <v>5218.0489399613498</v>
      </c>
      <c r="W40" s="100">
        <v>5228.7422998615266</v>
      </c>
      <c r="X40" s="100">
        <v>5239.40297435511</v>
      </c>
      <c r="Y40" s="100">
        <v>5250.0292435901756</v>
      </c>
      <c r="Z40" s="100">
        <v>5260.6193929832443</v>
      </c>
      <c r="AA40" s="100">
        <v>2108.4686854093188</v>
      </c>
      <c r="AB40" s="100">
        <v>5281.6845020750052</v>
      </c>
      <c r="AC40" s="100">
        <v>5292.156061681063</v>
      </c>
      <c r="AD40" s="100">
        <v>5302.5847018636268</v>
      </c>
      <c r="AE40" s="100">
        <v>2125.1874955699041</v>
      </c>
      <c r="AF40" s="100">
        <v>532.3306496245857</v>
      </c>
      <c r="AG40" s="100">
        <v>5333.5963045859717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5452.7377389875128</v>
      </c>
      <c r="AT40" s="100">
        <v>5462.2562017647024</v>
      </c>
      <c r="AU40" s="100">
        <v>5471.7042848759638</v>
      </c>
      <c r="AV40" s="100">
        <v>5481.0804646462902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3019.7680695375102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3065.8194995042027</v>
      </c>
      <c r="M41" s="100">
        <v>2150.6620160047005</v>
      </c>
      <c r="N41" s="100">
        <v>2155.243971274062</v>
      </c>
      <c r="O41" s="100">
        <v>2159.818778077602</v>
      </c>
      <c r="P41" s="100">
        <v>3091.9795713628264</v>
      </c>
      <c r="Q41" s="100">
        <v>3098.4914307053937</v>
      </c>
      <c r="R41" s="100">
        <v>3104.9899263846269</v>
      </c>
      <c r="S41" s="100">
        <v>3111.4740113769658</v>
      </c>
      <c r="T41" s="100">
        <v>3117.9426407169926</v>
      </c>
      <c r="U41" s="100">
        <v>2187.076340177463</v>
      </c>
      <c r="V41" s="100">
        <v>2191.5805547837667</v>
      </c>
      <c r="W41" s="100">
        <v>2196.071765941841</v>
      </c>
      <c r="X41" s="100">
        <v>2200.549249229146</v>
      </c>
      <c r="Y41" s="100">
        <v>2205.0122823078736</v>
      </c>
      <c r="Z41" s="100">
        <v>3156.3716357899466</v>
      </c>
      <c r="AA41" s="100">
        <v>316.27030281139787</v>
      </c>
      <c r="AB41" s="100">
        <v>316.90107012450034</v>
      </c>
      <c r="AC41" s="100">
        <v>317.52936370086377</v>
      </c>
      <c r="AD41" s="100">
        <v>3181.5508211181759</v>
      </c>
      <c r="AE41" s="100">
        <v>3187.7812433548561</v>
      </c>
      <c r="AF41" s="100">
        <v>2235.7887284232597</v>
      </c>
      <c r="AG41" s="100">
        <v>2240.1104479261076</v>
      </c>
      <c r="AH41" s="100">
        <v>3206.3019014274178</v>
      </c>
      <c r="AI41" s="100">
        <v>3212.4152616178967</v>
      </c>
      <c r="AJ41" s="100">
        <v>3218.496876125284</v>
      </c>
      <c r="AK41" s="100">
        <v>1289.8183051549229</v>
      </c>
      <c r="AL41" s="100">
        <v>3230.5609451524278</v>
      </c>
      <c r="AM41" s="100">
        <v>3236.5414516542737</v>
      </c>
      <c r="AN41" s="100">
        <v>3242.486316785189</v>
      </c>
      <c r="AO41" s="100">
        <v>2273.8762065382234</v>
      </c>
      <c r="AP41" s="100">
        <v>3254.2652898321776</v>
      </c>
      <c r="AQ41" s="100">
        <v>3260.0974963756835</v>
      </c>
      <c r="AR41" s="100">
        <v>3265.8902591436208</v>
      </c>
      <c r="AS41" s="100">
        <v>1308.6570573570032</v>
      </c>
      <c r="AT41" s="100">
        <v>2294.1476047411747</v>
      </c>
      <c r="AU41" s="100">
        <v>3283.0225709255783</v>
      </c>
      <c r="AV41" s="100">
        <v>3288.648278787774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2663.3892969026256</v>
      </c>
      <c r="D48" s="100">
        <v>2663.3892969026256</v>
      </c>
      <c r="E48" s="100">
        <v>2663.3892969026256</v>
      </c>
      <c r="F48" s="100">
        <v>2663.3892969026256</v>
      </c>
      <c r="G48" s="100">
        <v>2663.3892969026256</v>
      </c>
      <c r="H48" s="100">
        <v>2663.3892969026256</v>
      </c>
      <c r="I48" s="100">
        <v>2663.3892969026256</v>
      </c>
      <c r="J48" s="100">
        <v>2663.3892969026256</v>
      </c>
      <c r="K48" s="100">
        <v>2663.3892969026256</v>
      </c>
      <c r="L48" s="100">
        <v>2663.3892969026256</v>
      </c>
      <c r="M48" s="100">
        <v>2663.3892969026256</v>
      </c>
      <c r="N48" s="100">
        <v>2663.3892969026256</v>
      </c>
      <c r="O48" s="100">
        <v>2663.3892969026256</v>
      </c>
      <c r="P48" s="100">
        <v>2663.3892969026256</v>
      </c>
      <c r="Q48" s="100">
        <v>2663.3892969026256</v>
      </c>
      <c r="R48" s="100">
        <v>2663.3892969026256</v>
      </c>
      <c r="S48" s="100">
        <v>2663.3892969026256</v>
      </c>
      <c r="T48" s="100">
        <v>2663.3892969026256</v>
      </c>
      <c r="U48" s="100">
        <v>2663.3892969026256</v>
      </c>
      <c r="V48" s="100">
        <v>2663.3892969026256</v>
      </c>
      <c r="W48" s="100">
        <v>2663.3892969026256</v>
      </c>
      <c r="X48" s="100">
        <v>2663.3892969026256</v>
      </c>
      <c r="Y48" s="100">
        <v>2663.3892969026256</v>
      </c>
      <c r="Z48" s="100">
        <v>2663.3892969026256</v>
      </c>
      <c r="AA48" s="100">
        <v>2663.3892969026256</v>
      </c>
      <c r="AB48" s="100">
        <v>2663.3892969026256</v>
      </c>
      <c r="AC48" s="100">
        <v>2663.3892969026256</v>
      </c>
      <c r="AD48" s="100">
        <v>2663.3892969026256</v>
      </c>
      <c r="AE48" s="100">
        <v>2663.3892969026256</v>
      </c>
      <c r="AF48" s="100">
        <v>2663.3892969026256</v>
      </c>
      <c r="AG48" s="100">
        <v>2663.3892969026256</v>
      </c>
      <c r="AH48" s="100">
        <v>2663.3892969026256</v>
      </c>
      <c r="AI48" s="100">
        <v>2663.3892969026256</v>
      </c>
      <c r="AJ48" s="100">
        <v>2663.3892969026256</v>
      </c>
      <c r="AK48" s="100">
        <v>2663.3892969026256</v>
      </c>
      <c r="AL48" s="100">
        <v>2663.3892969026256</v>
      </c>
      <c r="AM48" s="100">
        <v>2663.3892969026256</v>
      </c>
      <c r="AN48" s="100">
        <v>2663.3892969026256</v>
      </c>
      <c r="AO48" s="100">
        <v>2663.3892969026256</v>
      </c>
      <c r="AP48" s="100">
        <v>2663.3892969026256</v>
      </c>
      <c r="AQ48" s="100">
        <v>2663.3892969026256</v>
      </c>
      <c r="AR48" s="100">
        <v>2663.3892969026256</v>
      </c>
      <c r="AS48" s="100">
        <v>2663.3892969026256</v>
      </c>
      <c r="AT48" s="100">
        <v>2663.3892969026256</v>
      </c>
      <c r="AU48" s="100">
        <v>2663.3892969026256</v>
      </c>
      <c r="AV48" s="100">
        <v>2663.3892969026256</v>
      </c>
      <c r="AW48" s="100">
        <v>2663.3892969026256</v>
      </c>
      <c r="AX48" s="100">
        <v>2663.3892969026256</v>
      </c>
    </row>
    <row r="49" spans="2:51">
      <c r="B49" s="99" t="s">
        <v>105</v>
      </c>
      <c r="C49" s="100">
        <v>1.6883967608061894E-20</v>
      </c>
      <c r="D49" s="100">
        <v>1.6883967608061894E-20</v>
      </c>
      <c r="E49" s="100">
        <v>1.6883967608061894E-20</v>
      </c>
      <c r="F49" s="100">
        <v>1.6883967608061894E-20</v>
      </c>
      <c r="G49" s="100">
        <v>1.6883967608061894E-20</v>
      </c>
      <c r="H49" s="100">
        <v>1.6883967608061894E-20</v>
      </c>
      <c r="I49" s="100">
        <v>1.6883967608061894E-20</v>
      </c>
      <c r="J49" s="100">
        <v>1.6883967608061894E-20</v>
      </c>
      <c r="K49" s="100">
        <v>1.3507174086449516E-20</v>
      </c>
      <c r="L49" s="100">
        <v>1.3507174086449516E-20</v>
      </c>
      <c r="M49" s="100">
        <v>1.3507174086449516E-20</v>
      </c>
      <c r="N49" s="100">
        <v>1.3507174086449516E-20</v>
      </c>
      <c r="O49" s="100">
        <v>1.3507174086449516E-20</v>
      </c>
      <c r="P49" s="100">
        <v>1.3507174086449516E-20</v>
      </c>
      <c r="Q49" s="100">
        <v>1.3507174086449516E-20</v>
      </c>
      <c r="R49" s="100">
        <v>1.3507174086449516E-20</v>
      </c>
      <c r="S49" s="100">
        <v>1.3507174086449516E-20</v>
      </c>
      <c r="T49" s="100">
        <v>1.3507174086449516E-20</v>
      </c>
      <c r="U49" s="100">
        <v>1.3507174086449516E-20</v>
      </c>
      <c r="V49" s="100">
        <v>1.3507174086449516E-20</v>
      </c>
      <c r="W49" s="100">
        <v>1.6883967608061894E-20</v>
      </c>
      <c r="X49" s="100">
        <v>1.6883967608061894E-20</v>
      </c>
      <c r="Y49" s="100">
        <v>1.6883967608061894E-20</v>
      </c>
      <c r="Z49" s="100">
        <v>1.6883967608061894E-20</v>
      </c>
      <c r="AA49" s="100">
        <v>1.6883967608061894E-20</v>
      </c>
      <c r="AB49" s="100">
        <v>1.6883967608061894E-20</v>
      </c>
      <c r="AC49" s="100">
        <v>1.6883967608061894E-20</v>
      </c>
      <c r="AD49" s="100">
        <v>1.6883967608061894E-20</v>
      </c>
      <c r="AE49" s="100">
        <v>1.6883967608061894E-20</v>
      </c>
      <c r="AF49" s="100">
        <v>1.6883967608061894E-20</v>
      </c>
      <c r="AG49" s="100">
        <v>1.6883967608061894E-20</v>
      </c>
      <c r="AH49" s="100">
        <v>1.6883967608061894E-20</v>
      </c>
      <c r="AI49" s="100">
        <v>1.3507174086449516E-20</v>
      </c>
      <c r="AJ49" s="100">
        <v>1.3507174086449516E-20</v>
      </c>
      <c r="AK49" s="100">
        <v>1.3507174086449516E-20</v>
      </c>
      <c r="AL49" s="100">
        <v>1.3507174086449516E-20</v>
      </c>
      <c r="AM49" s="100">
        <v>1.6883967608061894E-20</v>
      </c>
      <c r="AN49" s="100">
        <v>1.6883967608061894E-20</v>
      </c>
      <c r="AO49" s="100">
        <v>1.6883967608061894E-20</v>
      </c>
      <c r="AP49" s="100">
        <v>1.6883967608061894E-20</v>
      </c>
      <c r="AQ49" s="100">
        <v>1.6883967608061894E-20</v>
      </c>
      <c r="AR49" s="100">
        <v>1.6883967608061894E-20</v>
      </c>
      <c r="AS49" s="100">
        <v>1.6883967608061894E-20</v>
      </c>
      <c r="AT49" s="100">
        <v>1.6883967608061894E-20</v>
      </c>
      <c r="AU49" s="100">
        <v>1.6883967608061894E-20</v>
      </c>
      <c r="AV49" s="100">
        <v>1.6883967608061894E-20</v>
      </c>
      <c r="AW49" s="100">
        <v>1.6883967608061894E-20</v>
      </c>
      <c r="AX49" s="100">
        <v>1.6883967608061894E-20</v>
      </c>
    </row>
    <row r="50" spans="2:51">
      <c r="B50" s="99" t="s">
        <v>106</v>
      </c>
      <c r="C50" s="100">
        <v>160</v>
      </c>
      <c r="D50" s="100">
        <v>160</v>
      </c>
      <c r="E50" s="100">
        <v>160</v>
      </c>
      <c r="F50" s="100">
        <v>160</v>
      </c>
      <c r="G50" s="100">
        <v>160</v>
      </c>
      <c r="H50" s="100">
        <v>160</v>
      </c>
      <c r="I50" s="100">
        <v>160</v>
      </c>
      <c r="J50" s="100">
        <v>160</v>
      </c>
      <c r="K50" s="100">
        <v>160</v>
      </c>
      <c r="L50" s="100">
        <v>160</v>
      </c>
      <c r="M50" s="100">
        <v>160</v>
      </c>
      <c r="N50" s="100">
        <v>160</v>
      </c>
      <c r="O50" s="100">
        <v>160</v>
      </c>
      <c r="P50" s="100">
        <v>160</v>
      </c>
      <c r="Q50" s="100">
        <v>160</v>
      </c>
      <c r="R50" s="100">
        <v>160</v>
      </c>
      <c r="S50" s="100">
        <v>160</v>
      </c>
      <c r="T50" s="100">
        <v>160</v>
      </c>
      <c r="U50" s="100">
        <v>160</v>
      </c>
      <c r="V50" s="100">
        <v>160</v>
      </c>
      <c r="W50" s="100">
        <v>160</v>
      </c>
      <c r="X50" s="100">
        <v>160</v>
      </c>
      <c r="Y50" s="100">
        <v>160</v>
      </c>
      <c r="Z50" s="100">
        <v>160</v>
      </c>
      <c r="AA50" s="100">
        <v>160</v>
      </c>
      <c r="AB50" s="100">
        <v>160</v>
      </c>
      <c r="AC50" s="100">
        <v>160</v>
      </c>
      <c r="AD50" s="100">
        <v>160</v>
      </c>
      <c r="AE50" s="100">
        <v>128</v>
      </c>
      <c r="AF50" s="100">
        <v>128</v>
      </c>
      <c r="AG50" s="100">
        <v>128</v>
      </c>
      <c r="AH50" s="100">
        <v>128</v>
      </c>
      <c r="AI50" s="100">
        <v>160</v>
      </c>
      <c r="AJ50" s="100">
        <v>160</v>
      </c>
      <c r="AK50" s="100">
        <v>160</v>
      </c>
      <c r="AL50" s="100">
        <v>160</v>
      </c>
      <c r="AM50" s="100">
        <v>160</v>
      </c>
      <c r="AN50" s="100">
        <v>160</v>
      </c>
      <c r="AO50" s="100">
        <v>160</v>
      </c>
      <c r="AP50" s="100">
        <v>160</v>
      </c>
      <c r="AQ50" s="100">
        <v>160</v>
      </c>
      <c r="AR50" s="100">
        <v>160</v>
      </c>
      <c r="AS50" s="100">
        <v>160</v>
      </c>
      <c r="AT50" s="100">
        <v>160</v>
      </c>
      <c r="AU50" s="100">
        <v>160</v>
      </c>
      <c r="AV50" s="100">
        <v>160</v>
      </c>
      <c r="AW50" s="100">
        <v>160</v>
      </c>
      <c r="AX50" s="100">
        <v>160</v>
      </c>
      <c r="AY50" s="112"/>
    </row>
    <row r="51" spans="2:51">
      <c r="B51" s="99" t="s">
        <v>107</v>
      </c>
      <c r="C51" s="100">
        <v>789.99999999999932</v>
      </c>
      <c r="D51" s="100">
        <v>789.99999999999932</v>
      </c>
      <c r="E51" s="100">
        <v>789.99999999999932</v>
      </c>
      <c r="F51" s="100">
        <v>789.99999999999932</v>
      </c>
      <c r="G51" s="100">
        <v>789.99999999999932</v>
      </c>
      <c r="H51" s="100">
        <v>789.99999999999932</v>
      </c>
      <c r="I51" s="100">
        <v>789.99999999999932</v>
      </c>
      <c r="J51" s="100">
        <v>789.99999999999932</v>
      </c>
      <c r="K51" s="100">
        <v>789.99999999999932</v>
      </c>
      <c r="L51" s="100">
        <v>789.99999999999932</v>
      </c>
      <c r="M51" s="100">
        <v>789.99999999999932</v>
      </c>
      <c r="N51" s="100">
        <v>789.99999999999932</v>
      </c>
      <c r="O51" s="100">
        <v>789.99999999999932</v>
      </c>
      <c r="P51" s="100">
        <v>789.99999999999932</v>
      </c>
      <c r="Q51" s="100">
        <v>789.99999999999932</v>
      </c>
      <c r="R51" s="100">
        <v>789.99999999999932</v>
      </c>
      <c r="S51" s="100">
        <v>789.99999999999932</v>
      </c>
      <c r="T51" s="100">
        <v>789.99999999999932</v>
      </c>
      <c r="U51" s="100">
        <v>789.99999999999932</v>
      </c>
      <c r="V51" s="100">
        <v>789.99999999999932</v>
      </c>
      <c r="W51" s="100">
        <v>789.99999999999932</v>
      </c>
      <c r="X51" s="100">
        <v>789.99999999999932</v>
      </c>
      <c r="Y51" s="100">
        <v>789.99999999999932</v>
      </c>
      <c r="Z51" s="100">
        <v>789.99999999999932</v>
      </c>
      <c r="AA51" s="100">
        <v>0</v>
      </c>
      <c r="AB51" s="100">
        <v>0</v>
      </c>
      <c r="AC51" s="100">
        <v>0</v>
      </c>
      <c r="AD51" s="100">
        <v>0</v>
      </c>
      <c r="AE51" s="100">
        <v>789.99999999999932</v>
      </c>
      <c r="AF51" s="100">
        <v>789.99999999999932</v>
      </c>
      <c r="AG51" s="100">
        <v>789.99999999999932</v>
      </c>
      <c r="AH51" s="100">
        <v>789.99999999999932</v>
      </c>
      <c r="AI51" s="100">
        <v>789.99999999999932</v>
      </c>
      <c r="AJ51" s="100">
        <v>789.99999999999932</v>
      </c>
      <c r="AK51" s="100">
        <v>789.99999999999932</v>
      </c>
      <c r="AL51" s="100">
        <v>789.99999999999932</v>
      </c>
      <c r="AM51" s="100">
        <v>789.99999999999932</v>
      </c>
      <c r="AN51" s="100">
        <v>789.99999999999932</v>
      </c>
      <c r="AO51" s="100">
        <v>789.99999999999932</v>
      </c>
      <c r="AP51" s="100">
        <v>789.99999999999932</v>
      </c>
      <c r="AQ51" s="100">
        <v>789.99999999999932</v>
      </c>
      <c r="AR51" s="100">
        <v>789.99999999999932</v>
      </c>
      <c r="AS51" s="100">
        <v>789.99999999999932</v>
      </c>
      <c r="AT51" s="100">
        <v>789.99999999999932</v>
      </c>
      <c r="AU51" s="100">
        <v>789.99999999999932</v>
      </c>
      <c r="AV51" s="100">
        <v>789.99999999999932</v>
      </c>
      <c r="AW51" s="100">
        <v>789.99999999999932</v>
      </c>
      <c r="AX51" s="100">
        <v>789.99999999999932</v>
      </c>
      <c r="AY51" s="111"/>
    </row>
    <row r="52" spans="2:51">
      <c r="B52" s="99" t="s">
        <v>108</v>
      </c>
      <c r="C52" s="100">
        <v>1.4757563921264928E-20</v>
      </c>
      <c r="D52" s="100">
        <v>1.4757563921264928E-20</v>
      </c>
      <c r="E52" s="100">
        <v>1.4757563921264928E-20</v>
      </c>
      <c r="F52" s="100">
        <v>1.4757563921264928E-20</v>
      </c>
      <c r="G52" s="100">
        <v>0</v>
      </c>
      <c r="H52" s="100">
        <v>0</v>
      </c>
      <c r="I52" s="100">
        <v>0</v>
      </c>
      <c r="J52" s="100">
        <v>0</v>
      </c>
      <c r="K52" s="100">
        <v>0</v>
      </c>
      <c r="L52" s="100">
        <v>0</v>
      </c>
      <c r="M52" s="100">
        <v>0</v>
      </c>
      <c r="N52" s="100">
        <v>0</v>
      </c>
      <c r="O52" s="100">
        <v>1.4757563921264928E-20</v>
      </c>
      <c r="P52" s="100">
        <v>1.4757563921264928E-20</v>
      </c>
      <c r="Q52" s="100">
        <v>1.4757563921264928E-20</v>
      </c>
      <c r="R52" s="100">
        <v>1.4757563921264928E-20</v>
      </c>
      <c r="S52" s="100">
        <v>0</v>
      </c>
      <c r="T52" s="100">
        <v>0</v>
      </c>
      <c r="U52" s="100">
        <v>0</v>
      </c>
      <c r="V52" s="100">
        <v>0</v>
      </c>
      <c r="W52" s="100">
        <v>0</v>
      </c>
      <c r="X52" s="100">
        <v>0</v>
      </c>
      <c r="Y52" s="100">
        <v>0</v>
      </c>
      <c r="Z52" s="100">
        <v>0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>
        <v>0</v>
      </c>
      <c r="AH52" s="100">
        <v>0</v>
      </c>
      <c r="AI52" s="100">
        <v>0</v>
      </c>
      <c r="AJ52" s="100">
        <v>0</v>
      </c>
      <c r="AK52" s="100">
        <v>0</v>
      </c>
      <c r="AL52" s="100">
        <v>0</v>
      </c>
      <c r="AM52" s="100">
        <v>0</v>
      </c>
      <c r="AN52" s="100">
        <v>0</v>
      </c>
      <c r="AO52" s="100">
        <v>0</v>
      </c>
      <c r="AP52" s="100">
        <v>0</v>
      </c>
      <c r="AQ52" s="100">
        <v>0</v>
      </c>
      <c r="AR52" s="100">
        <v>0</v>
      </c>
      <c r="AS52" s="100">
        <v>0</v>
      </c>
      <c r="AT52" s="100">
        <v>0</v>
      </c>
      <c r="AU52" s="100">
        <v>0</v>
      </c>
      <c r="AV52" s="100">
        <v>0</v>
      </c>
      <c r="AW52" s="100">
        <v>0</v>
      </c>
      <c r="AX52" s="100">
        <v>0</v>
      </c>
    </row>
    <row r="53" spans="2:51">
      <c r="B53" s="99" t="s">
        <v>109</v>
      </c>
      <c r="C53" s="100">
        <v>4.4633636525946379E-20</v>
      </c>
      <c r="D53" s="100">
        <v>4.4633636525946379E-20</v>
      </c>
      <c r="E53" s="100">
        <v>4.4633636525946379E-20</v>
      </c>
      <c r="F53" s="100">
        <v>4.4633636525946379E-20</v>
      </c>
      <c r="G53" s="100">
        <v>4.4633636525946379E-20</v>
      </c>
      <c r="H53" s="100">
        <v>4.4633636525946379E-20</v>
      </c>
      <c r="I53" s="100">
        <v>4.4633636525946379E-20</v>
      </c>
      <c r="J53" s="100">
        <v>4.4633636525946379E-20</v>
      </c>
      <c r="K53" s="100">
        <v>4.4633636525946379E-20</v>
      </c>
      <c r="L53" s="100">
        <v>4.4633636525946379E-20</v>
      </c>
      <c r="M53" s="100">
        <v>4.4633636525946379E-20</v>
      </c>
      <c r="N53" s="100">
        <v>4.4633636525946379E-20</v>
      </c>
      <c r="O53" s="100">
        <v>4.4633636525946379E-20</v>
      </c>
      <c r="P53" s="100">
        <v>4.4633636525946379E-20</v>
      </c>
      <c r="Q53" s="100">
        <v>4.4633636525946379E-20</v>
      </c>
      <c r="R53" s="100">
        <v>4.4633636525946379E-20</v>
      </c>
      <c r="S53" s="100">
        <v>4.4633636525946379E-20</v>
      </c>
      <c r="T53" s="100">
        <v>4.4633636525946379E-20</v>
      </c>
      <c r="U53" s="100">
        <v>4.4633636525946379E-20</v>
      </c>
      <c r="V53" s="100">
        <v>4.4633636525946379E-20</v>
      </c>
      <c r="W53" s="100">
        <v>4.4633636525946379E-20</v>
      </c>
      <c r="X53" s="100">
        <v>4.4633636525946379E-20</v>
      </c>
      <c r="Y53" s="100">
        <v>4.4633636525946379E-20</v>
      </c>
      <c r="Z53" s="100">
        <v>4.4633636525946379E-20</v>
      </c>
      <c r="AA53" s="100">
        <v>3.7194697104955316E-20</v>
      </c>
      <c r="AB53" s="100">
        <v>3.7194697104955316E-20</v>
      </c>
      <c r="AC53" s="100">
        <v>3.7194697104955316E-20</v>
      </c>
      <c r="AD53" s="100">
        <v>3.7194697104955316E-20</v>
      </c>
      <c r="AE53" s="100">
        <v>4.4633636525946379E-20</v>
      </c>
      <c r="AF53" s="100">
        <v>4.4633636525946379E-20</v>
      </c>
      <c r="AG53" s="100">
        <v>4.4633636525946379E-20</v>
      </c>
      <c r="AH53" s="100">
        <v>4.4633636525946379E-20</v>
      </c>
      <c r="AI53" s="100">
        <v>3.7194697104955316E-20</v>
      </c>
      <c r="AJ53" s="100">
        <v>3.7194697104955316E-20</v>
      </c>
      <c r="AK53" s="100">
        <v>3.7194697104955316E-20</v>
      </c>
      <c r="AL53" s="100">
        <v>3.7194697104955316E-20</v>
      </c>
      <c r="AM53" s="100">
        <v>4.4633636525946379E-20</v>
      </c>
      <c r="AN53" s="100">
        <v>4.4633636525946379E-20</v>
      </c>
      <c r="AO53" s="100">
        <v>4.4633636525946379E-20</v>
      </c>
      <c r="AP53" s="100">
        <v>4.4633636525946379E-20</v>
      </c>
      <c r="AQ53" s="100">
        <v>3.7194697104955316E-20</v>
      </c>
      <c r="AR53" s="100">
        <v>3.7194697104955316E-20</v>
      </c>
      <c r="AS53" s="100">
        <v>3.7194697104955316E-20</v>
      </c>
      <c r="AT53" s="100">
        <v>3.7194697104955316E-20</v>
      </c>
      <c r="AU53" s="100">
        <v>3.7194697104955316E-20</v>
      </c>
      <c r="AV53" s="100">
        <v>3.7194697104955316E-20</v>
      </c>
      <c r="AW53" s="100">
        <v>3.7194697104955316E-20</v>
      </c>
      <c r="AX53" s="100">
        <v>3.7194697104955316E-20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2995951.9018315948</v>
      </c>
      <c r="D58" s="100">
        <v>2995951.9018315948</v>
      </c>
      <c r="E58" s="100">
        <v>2995951.9018315948</v>
      </c>
      <c r="F58" s="100">
        <v>2995951.9018315948</v>
      </c>
      <c r="G58" s="100">
        <v>3871137.0614152676</v>
      </c>
      <c r="H58" s="100">
        <v>3871137.0614152676</v>
      </c>
      <c r="I58" s="100">
        <v>3871137.0614152676</v>
      </c>
      <c r="J58" s="100">
        <v>3871137.0614152676</v>
      </c>
      <c r="K58" s="100">
        <v>3471943.157277883</v>
      </c>
      <c r="L58" s="100">
        <v>3471943.157277883</v>
      </c>
      <c r="M58" s="100">
        <v>3471943.157277883</v>
      </c>
      <c r="N58" s="100">
        <v>3471943.157277883</v>
      </c>
      <c r="O58" s="100">
        <v>3458655.2828334314</v>
      </c>
      <c r="P58" s="100">
        <v>3458655.2828334314</v>
      </c>
      <c r="Q58" s="100">
        <v>3458655.2828334314</v>
      </c>
      <c r="R58" s="100">
        <v>3458655.2828334314</v>
      </c>
      <c r="S58" s="100">
        <v>3742808.8961995277</v>
      </c>
      <c r="T58" s="100">
        <v>3742808.8961995277</v>
      </c>
      <c r="U58" s="100">
        <v>3742808.8961995277</v>
      </c>
      <c r="V58" s="100">
        <v>3742808.8961995277</v>
      </c>
      <c r="W58" s="100">
        <v>3933600.679398064</v>
      </c>
      <c r="X58" s="100">
        <v>3933600.679398064</v>
      </c>
      <c r="Y58" s="100">
        <v>3933600.679398064</v>
      </c>
      <c r="Z58" s="100">
        <v>3933600.679398064</v>
      </c>
      <c r="AA58" s="100">
        <v>3164047.4536130726</v>
      </c>
      <c r="AB58" s="100">
        <v>3164047.4536130726</v>
      </c>
      <c r="AC58" s="100">
        <v>3164047.4536130726</v>
      </c>
      <c r="AD58" s="100">
        <v>3164047.4536130726</v>
      </c>
      <c r="AE58" s="100">
        <v>2981272.9681187598</v>
      </c>
      <c r="AF58" s="100">
        <v>2981272.9681187598</v>
      </c>
      <c r="AG58" s="100">
        <v>2981272.9681187598</v>
      </c>
      <c r="AH58" s="100">
        <v>2981272.9681187598</v>
      </c>
      <c r="AI58" s="100">
        <v>3636219.4370306595</v>
      </c>
      <c r="AJ58" s="100">
        <v>3636219.4370306595</v>
      </c>
      <c r="AK58" s="100">
        <v>3636219.4370306595</v>
      </c>
      <c r="AL58" s="100">
        <v>3636219.4370306595</v>
      </c>
      <c r="AM58" s="100">
        <v>3621846.5992367947</v>
      </c>
      <c r="AN58" s="100">
        <v>3621846.5992367947</v>
      </c>
      <c r="AO58" s="100">
        <v>3621846.5992367947</v>
      </c>
      <c r="AP58" s="100">
        <v>3621846.5992367947</v>
      </c>
      <c r="AQ58" s="100">
        <v>3476807.1138665653</v>
      </c>
      <c r="AR58" s="100">
        <v>3476807.1138665653</v>
      </c>
      <c r="AS58" s="100">
        <v>3476807.1138665653</v>
      </c>
      <c r="AT58" s="100">
        <v>3476807.1138665653</v>
      </c>
      <c r="AU58" s="100">
        <v>3755010.6374967457</v>
      </c>
      <c r="AV58" s="100">
        <v>3755010.6374967457</v>
      </c>
      <c r="AW58" s="100">
        <v>3755010.6374967457</v>
      </c>
      <c r="AX58" s="100">
        <v>3755010.6374967457</v>
      </c>
    </row>
    <row r="59" spans="2:51">
      <c r="B59" s="105" t="s">
        <v>105</v>
      </c>
      <c r="C59" s="100">
        <v>2.2780790529242631E-17</v>
      </c>
      <c r="D59" s="100">
        <v>2.2780790529242631E-17</v>
      </c>
      <c r="E59" s="100">
        <v>2.2780790529242631E-17</v>
      </c>
      <c r="F59" s="100">
        <v>2.2780790529242631E-17</v>
      </c>
      <c r="G59" s="100">
        <v>2.3140218077489474E-17</v>
      </c>
      <c r="H59" s="100">
        <v>2.3140218077489474E-17</v>
      </c>
      <c r="I59" s="100">
        <v>2.3140218077489474E-17</v>
      </c>
      <c r="J59" s="100">
        <v>2.3140218077489474E-17</v>
      </c>
      <c r="K59" s="100">
        <v>2.085250663006799E-17</v>
      </c>
      <c r="L59" s="100">
        <v>2.085250663006799E-17</v>
      </c>
      <c r="M59" s="100">
        <v>2.085250663006799E-17</v>
      </c>
      <c r="N59" s="100">
        <v>2.085250663006799E-17</v>
      </c>
      <c r="O59" s="100">
        <v>2.3966863538747905E-17</v>
      </c>
      <c r="P59" s="100">
        <v>2.3966863538747905E-17</v>
      </c>
      <c r="Q59" s="100">
        <v>2.3966863538747905E-17</v>
      </c>
      <c r="R59" s="100">
        <v>2.3966863538747905E-17</v>
      </c>
      <c r="S59" s="100">
        <v>2.1026343464860151E-17</v>
      </c>
      <c r="T59" s="100">
        <v>2.1026343464860151E-17</v>
      </c>
      <c r="U59" s="100">
        <v>2.1026343464860151E-17</v>
      </c>
      <c r="V59" s="100">
        <v>2.1026343464860151E-17</v>
      </c>
      <c r="W59" s="100">
        <v>2.2853679006002963E-17</v>
      </c>
      <c r="X59" s="100">
        <v>2.2853679006002963E-17</v>
      </c>
      <c r="Y59" s="100">
        <v>2.2853679006002963E-17</v>
      </c>
      <c r="Z59" s="100">
        <v>2.2853679006002963E-17</v>
      </c>
      <c r="AA59" s="100">
        <v>2.3627239038291719E-17</v>
      </c>
      <c r="AB59" s="100">
        <v>2.3627239038291719E-17</v>
      </c>
      <c r="AC59" s="100">
        <v>2.3627239038291719E-17</v>
      </c>
      <c r="AD59" s="100">
        <v>2.3627239038291719E-17</v>
      </c>
      <c r="AE59" s="100">
        <v>2.2229097224384808E-17</v>
      </c>
      <c r="AF59" s="100">
        <v>2.2229097224384808E-17</v>
      </c>
      <c r="AG59" s="100">
        <v>2.2229097224384808E-17</v>
      </c>
      <c r="AH59" s="100">
        <v>2.2229097224384808E-17</v>
      </c>
      <c r="AI59" s="100">
        <v>2.104054966778818E-17</v>
      </c>
      <c r="AJ59" s="100">
        <v>2.104054966778818E-17</v>
      </c>
      <c r="AK59" s="100">
        <v>2.104054966778818E-17</v>
      </c>
      <c r="AL59" s="100">
        <v>2.104054966778818E-17</v>
      </c>
      <c r="AM59" s="100">
        <v>2.4202698540328689E-17</v>
      </c>
      <c r="AN59" s="100">
        <v>2.4202698540328689E-17</v>
      </c>
      <c r="AO59" s="100">
        <v>2.4202698540328689E-17</v>
      </c>
      <c r="AP59" s="100">
        <v>2.4202698540328689E-17</v>
      </c>
      <c r="AQ59" s="100">
        <v>2.2663564112179647E-17</v>
      </c>
      <c r="AR59" s="100">
        <v>2.2663564112179647E-17</v>
      </c>
      <c r="AS59" s="100">
        <v>2.2663564112179647E-17</v>
      </c>
      <c r="AT59" s="100">
        <v>2.2663564112179647E-17</v>
      </c>
      <c r="AU59" s="100">
        <v>2.335870825716877E-17</v>
      </c>
      <c r="AV59" s="100">
        <v>2.335870825716877E-17</v>
      </c>
      <c r="AW59" s="100">
        <v>2.335870825716877E-17</v>
      </c>
      <c r="AX59" s="100">
        <v>2.335870825716877E-17</v>
      </c>
    </row>
    <row r="60" spans="2:51">
      <c r="B60" s="105" t="s">
        <v>106</v>
      </c>
      <c r="C60" s="100">
        <v>227720.43187851549</v>
      </c>
      <c r="D60" s="100">
        <v>227720.43187851549</v>
      </c>
      <c r="E60" s="100">
        <v>227720.43187851549</v>
      </c>
      <c r="F60" s="100">
        <v>227720.43187851549</v>
      </c>
      <c r="G60" s="100">
        <v>227916.37525066306</v>
      </c>
      <c r="H60" s="100">
        <v>227916.37525066306</v>
      </c>
      <c r="I60" s="100">
        <v>227916.37525066306</v>
      </c>
      <c r="J60" s="100">
        <v>227916.37525066306</v>
      </c>
      <c r="K60" s="100">
        <v>259655.43975230827</v>
      </c>
      <c r="L60" s="100">
        <v>259655.43975230827</v>
      </c>
      <c r="M60" s="100">
        <v>259655.43975230827</v>
      </c>
      <c r="N60" s="100">
        <v>259655.43975230827</v>
      </c>
      <c r="O60" s="100">
        <v>260718.87096459744</v>
      </c>
      <c r="P60" s="100">
        <v>260718.87096459744</v>
      </c>
      <c r="Q60" s="100">
        <v>260718.87096459744</v>
      </c>
      <c r="R60" s="100">
        <v>260718.87096459744</v>
      </c>
      <c r="S60" s="100">
        <v>234493.96787899057</v>
      </c>
      <c r="T60" s="100">
        <v>234493.96787899057</v>
      </c>
      <c r="U60" s="100">
        <v>234493.96787899057</v>
      </c>
      <c r="V60" s="100">
        <v>234493.96787899057</v>
      </c>
      <c r="W60" s="100">
        <v>244024.70458234721</v>
      </c>
      <c r="X60" s="100">
        <v>244024.70458234721</v>
      </c>
      <c r="Y60" s="100">
        <v>244024.70458234721</v>
      </c>
      <c r="Z60" s="100">
        <v>244024.70458234721</v>
      </c>
      <c r="AA60" s="100">
        <v>250828.91462788612</v>
      </c>
      <c r="AB60" s="100">
        <v>250828.91462788612</v>
      </c>
      <c r="AC60" s="100">
        <v>250828.91462788612</v>
      </c>
      <c r="AD60" s="100">
        <v>250828.91462788612</v>
      </c>
      <c r="AE60" s="100">
        <v>237258.02397597418</v>
      </c>
      <c r="AF60" s="100">
        <v>237258.02397597418</v>
      </c>
      <c r="AG60" s="100">
        <v>237258.02397597418</v>
      </c>
      <c r="AH60" s="100">
        <v>237258.02397597418</v>
      </c>
      <c r="AI60" s="100">
        <v>235628.83425418223</v>
      </c>
      <c r="AJ60" s="100">
        <v>235628.83425418223</v>
      </c>
      <c r="AK60" s="100">
        <v>235628.83425418223</v>
      </c>
      <c r="AL60" s="100">
        <v>235628.83425418223</v>
      </c>
      <c r="AM60" s="100">
        <v>234770.60310527874</v>
      </c>
      <c r="AN60" s="100">
        <v>234770.60310527874</v>
      </c>
      <c r="AO60" s="100">
        <v>234770.60310527874</v>
      </c>
      <c r="AP60" s="100">
        <v>234770.60310527874</v>
      </c>
      <c r="AQ60" s="100">
        <v>228042.00550043923</v>
      </c>
      <c r="AR60" s="100">
        <v>228042.00550043923</v>
      </c>
      <c r="AS60" s="100">
        <v>228042.00550043923</v>
      </c>
      <c r="AT60" s="100">
        <v>228042.00550043923</v>
      </c>
      <c r="AU60" s="100">
        <v>236356.38582127195</v>
      </c>
      <c r="AV60" s="100">
        <v>236356.38582127195</v>
      </c>
      <c r="AW60" s="100">
        <v>236356.38582127195</v>
      </c>
      <c r="AX60" s="100">
        <v>236356.38582127195</v>
      </c>
    </row>
    <row r="61" spans="2:51">
      <c r="B61" s="105" t="s">
        <v>107</v>
      </c>
      <c r="C61" s="100">
        <v>1027478.1773771154</v>
      </c>
      <c r="D61" s="100">
        <v>1027478.1773771154</v>
      </c>
      <c r="E61" s="100">
        <v>1027478.1773771154</v>
      </c>
      <c r="F61" s="100">
        <v>1027478.1773771154</v>
      </c>
      <c r="G61" s="100">
        <v>1050952.4935612616</v>
      </c>
      <c r="H61" s="100">
        <v>1050952.4935612616</v>
      </c>
      <c r="I61" s="100">
        <v>1050952.4935612616</v>
      </c>
      <c r="J61" s="100">
        <v>1050952.4935612616</v>
      </c>
      <c r="K61" s="100">
        <v>1179913.7802398289</v>
      </c>
      <c r="L61" s="100">
        <v>1179913.7802398289</v>
      </c>
      <c r="M61" s="100">
        <v>1179913.7802398289</v>
      </c>
      <c r="N61" s="100">
        <v>1179913.7802398289</v>
      </c>
      <c r="O61" s="100">
        <v>1069945.7476219928</v>
      </c>
      <c r="P61" s="100">
        <v>1069945.7476219928</v>
      </c>
      <c r="Q61" s="100">
        <v>1069945.7476219928</v>
      </c>
      <c r="R61" s="100">
        <v>1069945.7476219928</v>
      </c>
      <c r="S61" s="100">
        <v>1159463.2837189529</v>
      </c>
      <c r="T61" s="100">
        <v>1159463.2837189529</v>
      </c>
      <c r="U61" s="100">
        <v>1159463.2837189529</v>
      </c>
      <c r="V61" s="100">
        <v>1159463.2837189529</v>
      </c>
      <c r="W61" s="100">
        <v>1205008.6516419784</v>
      </c>
      <c r="X61" s="100">
        <v>1205008.6516419784</v>
      </c>
      <c r="Y61" s="100">
        <v>1205008.6516419784</v>
      </c>
      <c r="Z61" s="100">
        <v>1205008.6516419784</v>
      </c>
      <c r="AA61" s="100">
        <v>0</v>
      </c>
      <c r="AB61" s="100">
        <v>0</v>
      </c>
      <c r="AC61" s="100">
        <v>0</v>
      </c>
      <c r="AD61" s="100">
        <v>0</v>
      </c>
      <c r="AE61" s="100">
        <v>1144160.20066089</v>
      </c>
      <c r="AF61" s="100">
        <v>1144160.20066089</v>
      </c>
      <c r="AG61" s="100">
        <v>1144160.20066089</v>
      </c>
      <c r="AH61" s="100">
        <v>1144160.20066089</v>
      </c>
      <c r="AI61" s="100">
        <v>1105619.9660678909</v>
      </c>
      <c r="AJ61" s="100">
        <v>1105619.9660678909</v>
      </c>
      <c r="AK61" s="100">
        <v>1105619.9660678909</v>
      </c>
      <c r="AL61" s="100">
        <v>1105619.9660678909</v>
      </c>
      <c r="AM61" s="100">
        <v>1106024.4024950496</v>
      </c>
      <c r="AN61" s="100">
        <v>1106024.4024950496</v>
      </c>
      <c r="AO61" s="100">
        <v>1106024.4024950496</v>
      </c>
      <c r="AP61" s="100">
        <v>1106024.4024950496</v>
      </c>
      <c r="AQ61" s="100">
        <v>1185403.0584549832</v>
      </c>
      <c r="AR61" s="100">
        <v>1185403.0584549832</v>
      </c>
      <c r="AS61" s="100">
        <v>1185403.0584549832</v>
      </c>
      <c r="AT61" s="100">
        <v>1185403.0584549832</v>
      </c>
      <c r="AU61" s="100">
        <v>1064398.879555285</v>
      </c>
      <c r="AV61" s="100">
        <v>1064398.879555285</v>
      </c>
      <c r="AW61" s="100">
        <v>1064398.879555285</v>
      </c>
      <c r="AX61" s="100">
        <v>1064398.879555285</v>
      </c>
    </row>
    <row r="62" spans="2:51">
      <c r="B62" s="105" t="s">
        <v>108</v>
      </c>
      <c r="C62" s="100">
        <v>2.214572960933738E-17</v>
      </c>
      <c r="D62" s="100">
        <v>2.214572960933738E-17</v>
      </c>
      <c r="E62" s="100">
        <v>2.214572960933738E-17</v>
      </c>
      <c r="F62" s="100">
        <v>2.214572960933738E-17</v>
      </c>
      <c r="G62" s="100">
        <v>0</v>
      </c>
      <c r="H62" s="100">
        <v>0</v>
      </c>
      <c r="I62" s="100">
        <v>0</v>
      </c>
      <c r="J62" s="100">
        <v>0</v>
      </c>
      <c r="K62" s="100">
        <v>0</v>
      </c>
      <c r="L62" s="100">
        <v>0</v>
      </c>
      <c r="M62" s="100">
        <v>0</v>
      </c>
      <c r="N62" s="100">
        <v>0</v>
      </c>
      <c r="O62" s="100">
        <v>2.2103621006845489E-17</v>
      </c>
      <c r="P62" s="100">
        <v>2.2103621006845489E-17</v>
      </c>
      <c r="Q62" s="100">
        <v>2.2103621006845489E-17</v>
      </c>
      <c r="R62" s="100">
        <v>2.2103621006845489E-17</v>
      </c>
      <c r="S62" s="100">
        <v>0</v>
      </c>
      <c r="T62" s="100">
        <v>0</v>
      </c>
      <c r="U62" s="100">
        <v>0</v>
      </c>
      <c r="V62" s="100">
        <v>0</v>
      </c>
      <c r="W62" s="100">
        <v>0</v>
      </c>
      <c r="X62" s="100">
        <v>0</v>
      </c>
      <c r="Y62" s="100">
        <v>0</v>
      </c>
      <c r="Z62" s="100">
        <v>0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  <c r="AQ62" s="100">
        <v>0</v>
      </c>
      <c r="AR62" s="100">
        <v>0</v>
      </c>
      <c r="AS62" s="100">
        <v>0</v>
      </c>
      <c r="AT62" s="100">
        <v>0</v>
      </c>
      <c r="AU62" s="100">
        <v>0</v>
      </c>
      <c r="AV62" s="100">
        <v>0</v>
      </c>
      <c r="AW62" s="100">
        <v>0</v>
      </c>
      <c r="AX62" s="100">
        <v>0</v>
      </c>
    </row>
    <row r="63" spans="2:51">
      <c r="B63" s="105" t="s">
        <v>109</v>
      </c>
      <c r="C63" s="100">
        <v>5.4832848072013705E-17</v>
      </c>
      <c r="D63" s="100">
        <v>5.4832848072013705E-17</v>
      </c>
      <c r="E63" s="100">
        <v>5.4832848072013705E-17</v>
      </c>
      <c r="F63" s="100">
        <v>5.4832848072013705E-17</v>
      </c>
      <c r="G63" s="100">
        <v>5.8425017310715727E-17</v>
      </c>
      <c r="H63" s="100">
        <v>5.8425017310715727E-17</v>
      </c>
      <c r="I63" s="100">
        <v>5.8425017310715727E-17</v>
      </c>
      <c r="J63" s="100">
        <v>5.8425017310715727E-17</v>
      </c>
      <c r="K63" s="100">
        <v>5.542602335858841E-17</v>
      </c>
      <c r="L63" s="100">
        <v>5.542602335858841E-17</v>
      </c>
      <c r="M63" s="100">
        <v>5.542602335858841E-17</v>
      </c>
      <c r="N63" s="100">
        <v>5.542602335858841E-17</v>
      </c>
      <c r="O63" s="100">
        <v>6.1117237731717302E-17</v>
      </c>
      <c r="P63" s="100">
        <v>6.1117237731717302E-17</v>
      </c>
      <c r="Q63" s="100">
        <v>6.1117237731717302E-17</v>
      </c>
      <c r="R63" s="100">
        <v>6.1117237731717302E-17</v>
      </c>
      <c r="S63" s="100">
        <v>5.81603239729489E-17</v>
      </c>
      <c r="T63" s="100">
        <v>5.81603239729489E-17</v>
      </c>
      <c r="U63" s="100">
        <v>5.81603239729489E-17</v>
      </c>
      <c r="V63" s="100">
        <v>5.81603239729489E-17</v>
      </c>
      <c r="W63" s="100">
        <v>5.8549578233661337E-17</v>
      </c>
      <c r="X63" s="100">
        <v>5.8549578233661337E-17</v>
      </c>
      <c r="Y63" s="100">
        <v>5.8549578233661337E-17</v>
      </c>
      <c r="Z63" s="100">
        <v>5.8549578233661337E-17</v>
      </c>
      <c r="AA63" s="100">
        <v>5.3383975667280242E-17</v>
      </c>
      <c r="AB63" s="100">
        <v>5.3383975667280242E-17</v>
      </c>
      <c r="AC63" s="100">
        <v>5.3383975667280242E-17</v>
      </c>
      <c r="AD63" s="100">
        <v>5.3383975667280242E-17</v>
      </c>
      <c r="AE63" s="100">
        <v>5.6977195104772798E-17</v>
      </c>
      <c r="AF63" s="100">
        <v>5.6977195104772798E-17</v>
      </c>
      <c r="AG63" s="100">
        <v>5.6977195104772798E-17</v>
      </c>
      <c r="AH63" s="100">
        <v>5.6977195104772798E-17</v>
      </c>
      <c r="AI63" s="100">
        <v>5.2644728638056677E-17</v>
      </c>
      <c r="AJ63" s="100">
        <v>5.2644728638056677E-17</v>
      </c>
      <c r="AK63" s="100">
        <v>5.2644728638056677E-17</v>
      </c>
      <c r="AL63" s="100">
        <v>5.2644728638056677E-17</v>
      </c>
      <c r="AM63" s="100">
        <v>5.9208746358999311E-17</v>
      </c>
      <c r="AN63" s="100">
        <v>5.9208746358999311E-17</v>
      </c>
      <c r="AO63" s="100">
        <v>5.9208746358999311E-17</v>
      </c>
      <c r="AP63" s="100">
        <v>5.9208746358999311E-17</v>
      </c>
      <c r="AQ63" s="100">
        <v>5.3063363544133297E-17</v>
      </c>
      <c r="AR63" s="100">
        <v>5.3063363544133297E-17</v>
      </c>
      <c r="AS63" s="100">
        <v>5.3063363544133297E-17</v>
      </c>
      <c r="AT63" s="100">
        <v>5.3063363544133297E-17</v>
      </c>
      <c r="AU63" s="100">
        <v>5.417563995719395E-17</v>
      </c>
      <c r="AV63" s="100">
        <v>5.417563995719395E-17</v>
      </c>
      <c r="AW63" s="100">
        <v>5.417563995719395E-17</v>
      </c>
      <c r="AX63" s="100">
        <v>5.417563995719395E-17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0.30926843410678456</v>
      </c>
      <c r="D67" s="100">
        <v>0.30926843410678456</v>
      </c>
      <c r="E67" s="100">
        <v>0.30926843410678456</v>
      </c>
      <c r="F67" s="100">
        <v>0.30926843410678456</v>
      </c>
      <c r="G67" s="100">
        <v>0.30926843410678456</v>
      </c>
      <c r="H67" s="100">
        <v>0.30926843410678456</v>
      </c>
      <c r="I67" s="100">
        <v>0.30926843410678456</v>
      </c>
      <c r="J67" s="100">
        <v>0.30926843410678456</v>
      </c>
      <c r="K67" s="100">
        <v>0.30926843410678456</v>
      </c>
      <c r="L67" s="100">
        <v>0.30926843410678456</v>
      </c>
      <c r="M67" s="100">
        <v>0.30926843410678456</v>
      </c>
      <c r="N67" s="100">
        <v>0.30926843410678456</v>
      </c>
    </row>
    <row r="68" spans="1:14">
      <c r="B68" s="99" t="s">
        <v>330</v>
      </c>
      <c r="C68" s="100">
        <v>0.43367559735066946</v>
      </c>
      <c r="D68" s="100">
        <v>0.43367559735066946</v>
      </c>
      <c r="E68" s="100">
        <v>0.43367559735066946</v>
      </c>
      <c r="F68" s="100">
        <v>0.43367559735066946</v>
      </c>
      <c r="G68" s="100">
        <v>0.43367559735066946</v>
      </c>
      <c r="H68" s="100">
        <v>0.43367559735066946</v>
      </c>
      <c r="I68" s="100">
        <v>0.43367559735066946</v>
      </c>
      <c r="J68" s="100">
        <v>0.43367559735066946</v>
      </c>
      <c r="K68" s="100">
        <v>0.43367559735066946</v>
      </c>
      <c r="L68" s="100">
        <v>0.43367559735066946</v>
      </c>
      <c r="M68" s="100">
        <v>0.43367559735066946</v>
      </c>
      <c r="N68" s="100">
        <v>0.43367559735066946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20.188279073111953</v>
      </c>
      <c r="D72" s="100">
        <v>42.980610563302911</v>
      </c>
      <c r="E72" s="100">
        <v>74.383392544574519</v>
      </c>
    </row>
    <row r="73" spans="1:14">
      <c r="B73" s="105" t="s">
        <v>93</v>
      </c>
      <c r="C73" s="100">
        <v>20.188279073111953</v>
      </c>
      <c r="D73" s="100">
        <v>42.980610563302911</v>
      </c>
      <c r="E73" s="100">
        <v>74.383392544574519</v>
      </c>
    </row>
    <row r="74" spans="1:14">
      <c r="B74" s="105" t="s">
        <v>94</v>
      </c>
      <c r="C74" s="100">
        <v>20.188279073111953</v>
      </c>
      <c r="D74" s="100">
        <v>42.980610563302911</v>
      </c>
      <c r="E74" s="100">
        <v>74.383392544574519</v>
      </c>
    </row>
    <row r="75" spans="1:14">
      <c r="B75" s="105" t="s">
        <v>95</v>
      </c>
      <c r="C75" s="100">
        <v>20.188279073111953</v>
      </c>
      <c r="D75" s="100">
        <v>42.980610563302911</v>
      </c>
      <c r="E75" s="100">
        <v>74.383392544574519</v>
      </c>
    </row>
    <row r="76" spans="1:14">
      <c r="B76" s="105" t="s">
        <v>96</v>
      </c>
      <c r="C76" s="100">
        <v>20.188279073111953</v>
      </c>
      <c r="D76" s="100">
        <v>42.980610563302911</v>
      </c>
      <c r="E76" s="100">
        <v>74.383392544574519</v>
      </c>
    </row>
    <row r="77" spans="1:14">
      <c r="B77" s="105" t="s">
        <v>97</v>
      </c>
      <c r="C77" s="100">
        <v>20.188279073111953</v>
      </c>
      <c r="D77" s="100">
        <v>42.980610563302911</v>
      </c>
      <c r="E77" s="100">
        <v>74.383392544574519</v>
      </c>
    </row>
    <row r="78" spans="1:14">
      <c r="B78" s="105" t="s">
        <v>98</v>
      </c>
      <c r="C78" s="100">
        <v>20.188279073111953</v>
      </c>
      <c r="D78" s="100">
        <v>42.980610563302911</v>
      </c>
      <c r="E78" s="100">
        <v>74.383392544574519</v>
      </c>
    </row>
    <row r="79" spans="1:14">
      <c r="B79" s="105" t="s">
        <v>99</v>
      </c>
      <c r="C79" s="100">
        <v>20.188279073111953</v>
      </c>
      <c r="D79" s="100">
        <v>42.980610563302911</v>
      </c>
      <c r="E79" s="100">
        <v>74.383392544574519</v>
      </c>
    </row>
    <row r="80" spans="1:14">
      <c r="B80" s="105" t="s">
        <v>100</v>
      </c>
      <c r="C80" s="100">
        <v>20.188279073111953</v>
      </c>
      <c r="D80" s="100">
        <v>42.980610563302911</v>
      </c>
      <c r="E80" s="100">
        <v>74.383392544574519</v>
      </c>
    </row>
    <row r="81" spans="2:50">
      <c r="B81" s="105" t="s">
        <v>101</v>
      </c>
      <c r="C81" s="100">
        <v>20.188279073111953</v>
      </c>
      <c r="D81" s="100">
        <v>42.980610563302911</v>
      </c>
      <c r="E81" s="100">
        <v>74.383392544574519</v>
      </c>
    </row>
    <row r="82" spans="2:50">
      <c r="B82" s="105" t="s">
        <v>102</v>
      </c>
      <c r="C82" s="100">
        <v>20.188279073111953</v>
      </c>
      <c r="D82" s="100">
        <v>42.980610563302911</v>
      </c>
      <c r="E82" s="100">
        <v>74.383392544574519</v>
      </c>
    </row>
    <row r="83" spans="2:50">
      <c r="B83" s="105" t="s">
        <v>103</v>
      </c>
      <c r="C83" s="100">
        <v>20.188279073111953</v>
      </c>
      <c r="D83" s="100">
        <v>42.980610563302911</v>
      </c>
      <c r="E83" s="100">
        <v>74.383392544574519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2663.4666140111522</v>
      </c>
      <c r="D88" s="100">
        <f>D48+$C$67/4</f>
        <v>2663.4666140111522</v>
      </c>
      <c r="E88" s="100">
        <f>E48+$C$67/4</f>
        <v>2663.4666140111522</v>
      </c>
      <c r="F88" s="100">
        <f>F48+$C$67/4</f>
        <v>2663.4666140111522</v>
      </c>
      <c r="G88" s="100">
        <f>G48+$D$67/4</f>
        <v>2663.4666140111522</v>
      </c>
      <c r="H88" s="100">
        <f>H48+$D$67/4</f>
        <v>2663.4666140111522</v>
      </c>
      <c r="I88" s="100">
        <f>I48+$D$67/4</f>
        <v>2663.4666140111522</v>
      </c>
      <c r="J88" s="100">
        <f>J48+$D$67/4</f>
        <v>2663.4666140111522</v>
      </c>
      <c r="K88" s="100">
        <f>K48+$E$67/4</f>
        <v>2663.4666140111522</v>
      </c>
      <c r="L88" s="100">
        <f>L48+$E$67/4</f>
        <v>2663.4666140111522</v>
      </c>
      <c r="M88" s="100">
        <f>M48+$E$67/4</f>
        <v>2663.4666140111522</v>
      </c>
      <c r="N88" s="100">
        <f>N48+$E$67/4</f>
        <v>2663.4666140111522</v>
      </c>
      <c r="O88" s="100">
        <f>O48+$F$67/4</f>
        <v>2663.4666140111522</v>
      </c>
      <c r="P88" s="100">
        <f>P48+$F$67/4</f>
        <v>2663.4666140111522</v>
      </c>
      <c r="Q88" s="100">
        <f>Q48+$F$67/4</f>
        <v>2663.4666140111522</v>
      </c>
      <c r="R88" s="100">
        <f>R48+$F$67/4</f>
        <v>2663.4666140111522</v>
      </c>
      <c r="S88" s="100">
        <f>S48+$G$67/4</f>
        <v>2663.4666140111522</v>
      </c>
      <c r="T88" s="100">
        <f>T48+$G$67/4</f>
        <v>2663.4666140111522</v>
      </c>
      <c r="U88" s="100">
        <f>U48+$G$67/4</f>
        <v>2663.4666140111522</v>
      </c>
      <c r="V88" s="100">
        <f>V48+$G$67/4</f>
        <v>2663.4666140111522</v>
      </c>
      <c r="W88" s="100">
        <f>W48+$H$67/4</f>
        <v>2663.4666140111522</v>
      </c>
      <c r="X88" s="100">
        <f>X48+$H$67/4</f>
        <v>2663.4666140111522</v>
      </c>
      <c r="Y88" s="100">
        <f>Y48+$H$67/4</f>
        <v>2663.4666140111522</v>
      </c>
      <c r="Z88" s="100">
        <f>Z48+$H$67/4</f>
        <v>2663.4666140111522</v>
      </c>
      <c r="AA88" s="100">
        <f>AA48+$I$67/4</f>
        <v>2663.4666140111522</v>
      </c>
      <c r="AB88" s="100">
        <f>AB48+$I$67/4</f>
        <v>2663.4666140111522</v>
      </c>
      <c r="AC88" s="100">
        <f>AC48+$I$67/4</f>
        <v>2663.4666140111522</v>
      </c>
      <c r="AD88" s="100">
        <f>AD48+$I$67/4</f>
        <v>2663.4666140111522</v>
      </c>
      <c r="AE88" s="100">
        <f>AE48+$J$67/4</f>
        <v>2663.4666140111522</v>
      </c>
      <c r="AF88" s="100">
        <f>AF48+$J$67/4</f>
        <v>2663.4666140111522</v>
      </c>
      <c r="AG88" s="100">
        <f>AG48+$J$67/4</f>
        <v>2663.4666140111522</v>
      </c>
      <c r="AH88" s="100">
        <f>AH48+$J$67/4</f>
        <v>2663.4666140111522</v>
      </c>
      <c r="AI88" s="100">
        <f>AI48+$K$67/4</f>
        <v>2663.4666140111522</v>
      </c>
      <c r="AJ88" s="100">
        <f>AJ48+$K$67/4</f>
        <v>2663.4666140111522</v>
      </c>
      <c r="AK88" s="100">
        <f>AK48+$K$67/4</f>
        <v>2663.4666140111522</v>
      </c>
      <c r="AL88" s="100">
        <f>AL48+$K$67/4</f>
        <v>2663.4666140111522</v>
      </c>
      <c r="AM88" s="100">
        <f>AM48+$L$67/4</f>
        <v>2663.4666140111522</v>
      </c>
      <c r="AN88" s="100">
        <f>AN48+$L$67/4</f>
        <v>2663.4666140111522</v>
      </c>
      <c r="AO88" s="100">
        <f>AO48+$L$67/4</f>
        <v>2663.4666140111522</v>
      </c>
      <c r="AP88" s="100">
        <f>AP48+$L$67/4</f>
        <v>2663.4666140111522</v>
      </c>
      <c r="AQ88" s="100">
        <f>AQ48+$M$67/4</f>
        <v>2663.4666140111522</v>
      </c>
      <c r="AR88" s="100">
        <f>AR48+$M$67/4</f>
        <v>2663.4666140111522</v>
      </c>
      <c r="AS88" s="100">
        <f>AS48+$M$67/4</f>
        <v>2663.4666140111522</v>
      </c>
      <c r="AT88" s="100">
        <f>AT48+$M$67/4</f>
        <v>2663.4666140111522</v>
      </c>
      <c r="AU88" s="100">
        <f>AU48+$N$67/4</f>
        <v>2663.4666140111522</v>
      </c>
      <c r="AV88" s="100">
        <f>AV48+$N$67/4</f>
        <v>2663.4666140111522</v>
      </c>
      <c r="AW88" s="100">
        <f>AW48+$N$67/4</f>
        <v>2663.4666140111522</v>
      </c>
      <c r="AX88" s="100">
        <f>AX48+$N$67/4</f>
        <v>2663.4666140111522</v>
      </c>
    </row>
    <row r="89" spans="2:50">
      <c r="B89" s="99" t="s">
        <v>105</v>
      </c>
      <c r="C89" s="100">
        <f>C49</f>
        <v>1.6883967608061894E-20</v>
      </c>
      <c r="D89" s="100">
        <f t="shared" ref="D89:AX93" si="3">D49</f>
        <v>1.6883967608061894E-20</v>
      </c>
      <c r="E89" s="100">
        <f t="shared" si="3"/>
        <v>1.6883967608061894E-20</v>
      </c>
      <c r="F89" s="100">
        <f t="shared" si="3"/>
        <v>1.6883967608061894E-20</v>
      </c>
      <c r="G89" s="100">
        <f t="shared" si="3"/>
        <v>1.6883967608061894E-20</v>
      </c>
      <c r="H89" s="100">
        <f t="shared" si="3"/>
        <v>1.6883967608061894E-20</v>
      </c>
      <c r="I89" s="100">
        <f t="shared" si="3"/>
        <v>1.6883967608061894E-20</v>
      </c>
      <c r="J89" s="100">
        <f t="shared" si="3"/>
        <v>1.6883967608061894E-20</v>
      </c>
      <c r="K89" s="100">
        <f t="shared" si="3"/>
        <v>1.3507174086449516E-20</v>
      </c>
      <c r="L89" s="100">
        <f t="shared" si="3"/>
        <v>1.3507174086449516E-20</v>
      </c>
      <c r="M89" s="100">
        <f t="shared" si="3"/>
        <v>1.3507174086449516E-20</v>
      </c>
      <c r="N89" s="100">
        <f t="shared" si="3"/>
        <v>1.3507174086449516E-20</v>
      </c>
      <c r="O89" s="100">
        <f t="shared" si="3"/>
        <v>1.3507174086449516E-20</v>
      </c>
      <c r="P89" s="100">
        <f t="shared" si="3"/>
        <v>1.3507174086449516E-20</v>
      </c>
      <c r="Q89" s="100">
        <f t="shared" si="3"/>
        <v>1.3507174086449516E-20</v>
      </c>
      <c r="R89" s="100">
        <f t="shared" si="3"/>
        <v>1.3507174086449516E-20</v>
      </c>
      <c r="S89" s="100">
        <f t="shared" si="3"/>
        <v>1.3507174086449516E-20</v>
      </c>
      <c r="T89" s="100">
        <f t="shared" si="3"/>
        <v>1.3507174086449516E-20</v>
      </c>
      <c r="U89" s="100">
        <f t="shared" si="3"/>
        <v>1.3507174086449516E-20</v>
      </c>
      <c r="V89" s="100">
        <f t="shared" si="3"/>
        <v>1.3507174086449516E-20</v>
      </c>
      <c r="W89" s="100">
        <f t="shared" si="3"/>
        <v>1.6883967608061894E-20</v>
      </c>
      <c r="X89" s="100">
        <f t="shared" si="3"/>
        <v>1.6883967608061894E-20</v>
      </c>
      <c r="Y89" s="100">
        <f t="shared" si="3"/>
        <v>1.6883967608061894E-20</v>
      </c>
      <c r="Z89" s="100">
        <f t="shared" si="3"/>
        <v>1.6883967608061894E-20</v>
      </c>
      <c r="AA89" s="100">
        <f t="shared" si="3"/>
        <v>1.6883967608061894E-20</v>
      </c>
      <c r="AB89" s="100">
        <f t="shared" si="3"/>
        <v>1.6883967608061894E-20</v>
      </c>
      <c r="AC89" s="100">
        <f t="shared" si="3"/>
        <v>1.6883967608061894E-20</v>
      </c>
      <c r="AD89" s="100">
        <f t="shared" si="3"/>
        <v>1.6883967608061894E-20</v>
      </c>
      <c r="AE89" s="100">
        <f t="shared" si="3"/>
        <v>1.6883967608061894E-20</v>
      </c>
      <c r="AF89" s="100">
        <f t="shared" si="3"/>
        <v>1.6883967608061894E-20</v>
      </c>
      <c r="AG89" s="100">
        <f t="shared" si="3"/>
        <v>1.6883967608061894E-20</v>
      </c>
      <c r="AH89" s="100">
        <f t="shared" si="3"/>
        <v>1.6883967608061894E-20</v>
      </c>
      <c r="AI89" s="100">
        <f t="shared" si="3"/>
        <v>1.3507174086449516E-20</v>
      </c>
      <c r="AJ89" s="100">
        <f t="shared" si="3"/>
        <v>1.3507174086449516E-20</v>
      </c>
      <c r="AK89" s="100">
        <f t="shared" si="3"/>
        <v>1.3507174086449516E-20</v>
      </c>
      <c r="AL89" s="100">
        <f t="shared" si="3"/>
        <v>1.3507174086449516E-20</v>
      </c>
      <c r="AM89" s="100">
        <f t="shared" si="3"/>
        <v>1.6883967608061894E-20</v>
      </c>
      <c r="AN89" s="100">
        <f t="shared" si="3"/>
        <v>1.6883967608061894E-20</v>
      </c>
      <c r="AO89" s="100">
        <f t="shared" si="3"/>
        <v>1.6883967608061894E-20</v>
      </c>
      <c r="AP89" s="100">
        <f t="shared" si="3"/>
        <v>1.6883967608061894E-20</v>
      </c>
      <c r="AQ89" s="100">
        <f t="shared" si="3"/>
        <v>1.6883967608061894E-20</v>
      </c>
      <c r="AR89" s="100">
        <f t="shared" si="3"/>
        <v>1.6883967608061894E-20</v>
      </c>
      <c r="AS89" s="100">
        <f t="shared" si="3"/>
        <v>1.6883967608061894E-20</v>
      </c>
      <c r="AT89" s="100">
        <f t="shared" si="3"/>
        <v>1.6883967608061894E-20</v>
      </c>
      <c r="AU89" s="100">
        <f t="shared" si="3"/>
        <v>1.6883967608061894E-20</v>
      </c>
      <c r="AV89" s="100">
        <f t="shared" si="3"/>
        <v>1.6883967608061894E-20</v>
      </c>
      <c r="AW89" s="100">
        <f t="shared" si="3"/>
        <v>1.6883967608061894E-20</v>
      </c>
      <c r="AX89" s="100">
        <f t="shared" si="3"/>
        <v>1.6883967608061894E-20</v>
      </c>
    </row>
    <row r="90" spans="2:50">
      <c r="B90" s="99" t="s">
        <v>106</v>
      </c>
      <c r="C90" s="100">
        <f t="shared" ref="C90:R93" si="4">C50</f>
        <v>160</v>
      </c>
      <c r="D90" s="100">
        <f t="shared" si="4"/>
        <v>160</v>
      </c>
      <c r="E90" s="100">
        <f t="shared" si="4"/>
        <v>160</v>
      </c>
      <c r="F90" s="100">
        <f t="shared" si="4"/>
        <v>160</v>
      </c>
      <c r="G90" s="100">
        <f t="shared" si="4"/>
        <v>160</v>
      </c>
      <c r="H90" s="100">
        <f t="shared" si="4"/>
        <v>160</v>
      </c>
      <c r="I90" s="100">
        <f t="shared" si="4"/>
        <v>160</v>
      </c>
      <c r="J90" s="100">
        <f t="shared" si="4"/>
        <v>160</v>
      </c>
      <c r="K90" s="100">
        <f t="shared" si="4"/>
        <v>160</v>
      </c>
      <c r="L90" s="100">
        <f t="shared" si="4"/>
        <v>160</v>
      </c>
      <c r="M90" s="100">
        <f t="shared" si="4"/>
        <v>160</v>
      </c>
      <c r="N90" s="100">
        <f t="shared" si="4"/>
        <v>160</v>
      </c>
      <c r="O90" s="100">
        <f t="shared" si="4"/>
        <v>160</v>
      </c>
      <c r="P90" s="100">
        <f t="shared" si="4"/>
        <v>160</v>
      </c>
      <c r="Q90" s="100">
        <f t="shared" si="4"/>
        <v>160</v>
      </c>
      <c r="R90" s="100">
        <f t="shared" si="4"/>
        <v>160</v>
      </c>
      <c r="S90" s="100">
        <f t="shared" si="3"/>
        <v>160</v>
      </c>
      <c r="T90" s="100">
        <f t="shared" si="3"/>
        <v>160</v>
      </c>
      <c r="U90" s="100">
        <f t="shared" si="3"/>
        <v>160</v>
      </c>
      <c r="V90" s="100">
        <f t="shared" si="3"/>
        <v>160</v>
      </c>
      <c r="W90" s="100">
        <f t="shared" si="3"/>
        <v>160</v>
      </c>
      <c r="X90" s="100">
        <f t="shared" si="3"/>
        <v>160</v>
      </c>
      <c r="Y90" s="100">
        <f t="shared" si="3"/>
        <v>160</v>
      </c>
      <c r="Z90" s="100">
        <f t="shared" si="3"/>
        <v>160</v>
      </c>
      <c r="AA90" s="100">
        <f t="shared" si="3"/>
        <v>160</v>
      </c>
      <c r="AB90" s="100">
        <f t="shared" si="3"/>
        <v>160</v>
      </c>
      <c r="AC90" s="100">
        <f t="shared" si="3"/>
        <v>160</v>
      </c>
      <c r="AD90" s="100">
        <f t="shared" si="3"/>
        <v>160</v>
      </c>
      <c r="AE90" s="100">
        <f t="shared" si="3"/>
        <v>128</v>
      </c>
      <c r="AF90" s="100">
        <f t="shared" si="3"/>
        <v>128</v>
      </c>
      <c r="AG90" s="100">
        <f t="shared" si="3"/>
        <v>128</v>
      </c>
      <c r="AH90" s="100">
        <f t="shared" si="3"/>
        <v>128</v>
      </c>
      <c r="AI90" s="100">
        <f t="shared" si="3"/>
        <v>160</v>
      </c>
      <c r="AJ90" s="100">
        <f t="shared" si="3"/>
        <v>160</v>
      </c>
      <c r="AK90" s="100">
        <f t="shared" si="3"/>
        <v>160</v>
      </c>
      <c r="AL90" s="100">
        <f t="shared" si="3"/>
        <v>160</v>
      </c>
      <c r="AM90" s="100">
        <f t="shared" si="3"/>
        <v>160</v>
      </c>
      <c r="AN90" s="100">
        <f t="shared" si="3"/>
        <v>160</v>
      </c>
      <c r="AO90" s="100">
        <f t="shared" si="3"/>
        <v>160</v>
      </c>
      <c r="AP90" s="100">
        <f t="shared" si="3"/>
        <v>160</v>
      </c>
      <c r="AQ90" s="100">
        <f t="shared" si="3"/>
        <v>160</v>
      </c>
      <c r="AR90" s="100">
        <f t="shared" si="3"/>
        <v>160</v>
      </c>
      <c r="AS90" s="100">
        <f t="shared" si="3"/>
        <v>160</v>
      </c>
      <c r="AT90" s="100">
        <f t="shared" si="3"/>
        <v>160</v>
      </c>
      <c r="AU90" s="100">
        <f t="shared" si="3"/>
        <v>160</v>
      </c>
      <c r="AV90" s="100">
        <f t="shared" si="3"/>
        <v>160</v>
      </c>
      <c r="AW90" s="100">
        <f t="shared" si="3"/>
        <v>160</v>
      </c>
      <c r="AX90" s="100">
        <f t="shared" si="3"/>
        <v>160</v>
      </c>
    </row>
    <row r="91" spans="2:50">
      <c r="B91" s="99" t="s">
        <v>107</v>
      </c>
      <c r="C91" s="100">
        <f t="shared" si="4"/>
        <v>789.99999999999932</v>
      </c>
      <c r="D91" s="100">
        <f t="shared" si="3"/>
        <v>789.99999999999932</v>
      </c>
      <c r="E91" s="100">
        <f t="shared" si="3"/>
        <v>789.99999999999932</v>
      </c>
      <c r="F91" s="100">
        <f t="shared" si="3"/>
        <v>789.99999999999932</v>
      </c>
      <c r="G91" s="100">
        <f t="shared" si="3"/>
        <v>789.99999999999932</v>
      </c>
      <c r="H91" s="100">
        <f t="shared" si="3"/>
        <v>789.99999999999932</v>
      </c>
      <c r="I91" s="100">
        <f t="shared" si="3"/>
        <v>789.99999999999932</v>
      </c>
      <c r="J91" s="100">
        <f t="shared" si="3"/>
        <v>789.99999999999932</v>
      </c>
      <c r="K91" s="100">
        <f t="shared" si="3"/>
        <v>789.99999999999932</v>
      </c>
      <c r="L91" s="100">
        <f t="shared" si="3"/>
        <v>789.99999999999932</v>
      </c>
      <c r="M91" s="100">
        <f t="shared" si="3"/>
        <v>789.99999999999932</v>
      </c>
      <c r="N91" s="100">
        <f t="shared" si="3"/>
        <v>789.99999999999932</v>
      </c>
      <c r="O91" s="100">
        <f t="shared" si="3"/>
        <v>789.99999999999932</v>
      </c>
      <c r="P91" s="100">
        <f t="shared" si="3"/>
        <v>789.99999999999932</v>
      </c>
      <c r="Q91" s="100">
        <f t="shared" si="3"/>
        <v>789.99999999999932</v>
      </c>
      <c r="R91" s="100">
        <f t="shared" si="3"/>
        <v>789.99999999999932</v>
      </c>
      <c r="S91" s="100">
        <f t="shared" si="3"/>
        <v>789.99999999999932</v>
      </c>
      <c r="T91" s="100">
        <f t="shared" si="3"/>
        <v>789.99999999999932</v>
      </c>
      <c r="U91" s="100">
        <f t="shared" si="3"/>
        <v>789.99999999999932</v>
      </c>
      <c r="V91" s="100">
        <f t="shared" si="3"/>
        <v>789.99999999999932</v>
      </c>
      <c r="W91" s="100">
        <f t="shared" si="3"/>
        <v>789.99999999999932</v>
      </c>
      <c r="X91" s="100">
        <f t="shared" si="3"/>
        <v>789.99999999999932</v>
      </c>
      <c r="Y91" s="100">
        <f t="shared" si="3"/>
        <v>789.99999999999932</v>
      </c>
      <c r="Z91" s="100">
        <f t="shared" si="3"/>
        <v>789.99999999999932</v>
      </c>
      <c r="AA91" s="100">
        <f t="shared" si="3"/>
        <v>0</v>
      </c>
      <c r="AB91" s="100">
        <f t="shared" si="3"/>
        <v>0</v>
      </c>
      <c r="AC91" s="100">
        <f t="shared" si="3"/>
        <v>0</v>
      </c>
      <c r="AD91" s="100">
        <f t="shared" si="3"/>
        <v>0</v>
      </c>
      <c r="AE91" s="100">
        <f t="shared" si="3"/>
        <v>789.99999999999932</v>
      </c>
      <c r="AF91" s="100">
        <f t="shared" si="3"/>
        <v>789.99999999999932</v>
      </c>
      <c r="AG91" s="100">
        <f t="shared" si="3"/>
        <v>789.99999999999932</v>
      </c>
      <c r="AH91" s="100">
        <f t="shared" si="3"/>
        <v>789.99999999999932</v>
      </c>
      <c r="AI91" s="100">
        <f t="shared" si="3"/>
        <v>789.99999999999932</v>
      </c>
      <c r="AJ91" s="100">
        <f t="shared" si="3"/>
        <v>789.99999999999932</v>
      </c>
      <c r="AK91" s="100">
        <f t="shared" si="3"/>
        <v>789.99999999999932</v>
      </c>
      <c r="AL91" s="100">
        <f t="shared" si="3"/>
        <v>789.99999999999932</v>
      </c>
      <c r="AM91" s="100">
        <f t="shared" si="3"/>
        <v>789.99999999999932</v>
      </c>
      <c r="AN91" s="100">
        <f t="shared" si="3"/>
        <v>789.99999999999932</v>
      </c>
      <c r="AO91" s="100">
        <f t="shared" si="3"/>
        <v>789.99999999999932</v>
      </c>
      <c r="AP91" s="100">
        <f t="shared" si="3"/>
        <v>789.99999999999932</v>
      </c>
      <c r="AQ91" s="100">
        <f t="shared" si="3"/>
        <v>789.99999999999932</v>
      </c>
      <c r="AR91" s="100">
        <f t="shared" si="3"/>
        <v>789.99999999999932</v>
      </c>
      <c r="AS91" s="100">
        <f t="shared" si="3"/>
        <v>789.99999999999932</v>
      </c>
      <c r="AT91" s="100">
        <f t="shared" si="3"/>
        <v>789.99999999999932</v>
      </c>
      <c r="AU91" s="100">
        <f t="shared" si="3"/>
        <v>789.99999999999932</v>
      </c>
      <c r="AV91" s="100">
        <f t="shared" si="3"/>
        <v>789.99999999999932</v>
      </c>
      <c r="AW91" s="100">
        <f t="shared" si="3"/>
        <v>789.99999999999932</v>
      </c>
      <c r="AX91" s="100">
        <f t="shared" si="3"/>
        <v>789.99999999999932</v>
      </c>
    </row>
    <row r="92" spans="2:50">
      <c r="B92" s="99" t="s">
        <v>108</v>
      </c>
      <c r="C92" s="100">
        <f t="shared" si="4"/>
        <v>1.4757563921264928E-20</v>
      </c>
      <c r="D92" s="100">
        <f t="shared" si="4"/>
        <v>1.4757563921264928E-20</v>
      </c>
      <c r="E92" s="100">
        <f t="shared" si="4"/>
        <v>1.4757563921264928E-20</v>
      </c>
      <c r="F92" s="100">
        <f t="shared" si="4"/>
        <v>1.4757563921264928E-20</v>
      </c>
      <c r="G92" s="100">
        <f t="shared" si="4"/>
        <v>0</v>
      </c>
      <c r="H92" s="100">
        <f t="shared" si="4"/>
        <v>0</v>
      </c>
      <c r="I92" s="100">
        <f t="shared" si="4"/>
        <v>0</v>
      </c>
      <c r="J92" s="100">
        <f t="shared" si="4"/>
        <v>0</v>
      </c>
      <c r="K92" s="100">
        <f t="shared" si="4"/>
        <v>0</v>
      </c>
      <c r="L92" s="100">
        <f t="shared" si="4"/>
        <v>0</v>
      </c>
      <c r="M92" s="100">
        <f t="shared" si="4"/>
        <v>0</v>
      </c>
      <c r="N92" s="100">
        <f t="shared" si="4"/>
        <v>0</v>
      </c>
      <c r="O92" s="100">
        <f t="shared" si="4"/>
        <v>1.4757563921264928E-20</v>
      </c>
      <c r="P92" s="100">
        <f t="shared" si="4"/>
        <v>1.4757563921264928E-20</v>
      </c>
      <c r="Q92" s="100">
        <f t="shared" si="4"/>
        <v>1.4757563921264928E-20</v>
      </c>
      <c r="R92" s="100">
        <f t="shared" si="4"/>
        <v>1.4757563921264928E-20</v>
      </c>
      <c r="S92" s="100">
        <f t="shared" si="3"/>
        <v>0</v>
      </c>
      <c r="T92" s="100">
        <f t="shared" si="3"/>
        <v>0</v>
      </c>
      <c r="U92" s="100">
        <f t="shared" si="3"/>
        <v>0</v>
      </c>
      <c r="V92" s="100">
        <f t="shared" si="3"/>
        <v>0</v>
      </c>
      <c r="W92" s="100">
        <f t="shared" si="3"/>
        <v>0</v>
      </c>
      <c r="X92" s="100">
        <f t="shared" si="3"/>
        <v>0</v>
      </c>
      <c r="Y92" s="100">
        <f t="shared" si="3"/>
        <v>0</v>
      </c>
      <c r="Z92" s="100">
        <f t="shared" si="3"/>
        <v>0</v>
      </c>
      <c r="AA92" s="100">
        <f t="shared" si="3"/>
        <v>0</v>
      </c>
      <c r="AB92" s="100">
        <f t="shared" si="3"/>
        <v>0</v>
      </c>
      <c r="AC92" s="100">
        <f t="shared" si="3"/>
        <v>0</v>
      </c>
      <c r="AD92" s="100">
        <f t="shared" si="3"/>
        <v>0</v>
      </c>
      <c r="AE92" s="100">
        <f t="shared" si="3"/>
        <v>0</v>
      </c>
      <c r="AF92" s="100">
        <f t="shared" si="3"/>
        <v>0</v>
      </c>
      <c r="AG92" s="100">
        <f t="shared" si="3"/>
        <v>0</v>
      </c>
      <c r="AH92" s="100">
        <f t="shared" si="3"/>
        <v>0</v>
      </c>
      <c r="AI92" s="100">
        <f t="shared" si="3"/>
        <v>0</v>
      </c>
      <c r="AJ92" s="100">
        <f t="shared" si="3"/>
        <v>0</v>
      </c>
      <c r="AK92" s="100">
        <f t="shared" si="3"/>
        <v>0</v>
      </c>
      <c r="AL92" s="100">
        <f t="shared" si="3"/>
        <v>0</v>
      </c>
      <c r="AM92" s="100">
        <f t="shared" si="3"/>
        <v>0</v>
      </c>
      <c r="AN92" s="100">
        <f t="shared" si="3"/>
        <v>0</v>
      </c>
      <c r="AO92" s="100">
        <f t="shared" si="3"/>
        <v>0</v>
      </c>
      <c r="AP92" s="100">
        <f t="shared" si="3"/>
        <v>0</v>
      </c>
      <c r="AQ92" s="100">
        <f t="shared" si="3"/>
        <v>0</v>
      </c>
      <c r="AR92" s="100">
        <f t="shared" si="3"/>
        <v>0</v>
      </c>
      <c r="AS92" s="100">
        <f t="shared" si="3"/>
        <v>0</v>
      </c>
      <c r="AT92" s="100">
        <f t="shared" si="3"/>
        <v>0</v>
      </c>
      <c r="AU92" s="100">
        <f t="shared" si="3"/>
        <v>0</v>
      </c>
      <c r="AV92" s="100">
        <f t="shared" si="3"/>
        <v>0</v>
      </c>
      <c r="AW92" s="100">
        <f t="shared" si="3"/>
        <v>0</v>
      </c>
      <c r="AX92" s="100">
        <f t="shared" si="3"/>
        <v>0</v>
      </c>
    </row>
    <row r="93" spans="2:50">
      <c r="B93" s="99" t="s">
        <v>109</v>
      </c>
      <c r="C93" s="100">
        <f t="shared" si="4"/>
        <v>4.4633636525946379E-20</v>
      </c>
      <c r="D93" s="100">
        <f t="shared" si="4"/>
        <v>4.4633636525946379E-20</v>
      </c>
      <c r="E93" s="100">
        <f t="shared" si="4"/>
        <v>4.4633636525946379E-20</v>
      </c>
      <c r="F93" s="100">
        <f t="shared" si="4"/>
        <v>4.4633636525946379E-20</v>
      </c>
      <c r="G93" s="100">
        <f t="shared" si="4"/>
        <v>4.4633636525946379E-20</v>
      </c>
      <c r="H93" s="100">
        <f t="shared" si="4"/>
        <v>4.4633636525946379E-20</v>
      </c>
      <c r="I93" s="100">
        <f t="shared" si="4"/>
        <v>4.4633636525946379E-20</v>
      </c>
      <c r="J93" s="100">
        <f t="shared" si="4"/>
        <v>4.4633636525946379E-20</v>
      </c>
      <c r="K93" s="100">
        <f t="shared" si="4"/>
        <v>4.4633636525946379E-20</v>
      </c>
      <c r="L93" s="100">
        <f t="shared" si="4"/>
        <v>4.4633636525946379E-20</v>
      </c>
      <c r="M93" s="100">
        <f t="shared" si="4"/>
        <v>4.4633636525946379E-20</v>
      </c>
      <c r="N93" s="100">
        <f t="shared" si="4"/>
        <v>4.4633636525946379E-20</v>
      </c>
      <c r="O93" s="100">
        <f t="shared" si="4"/>
        <v>4.4633636525946379E-20</v>
      </c>
      <c r="P93" s="100">
        <f t="shared" si="4"/>
        <v>4.4633636525946379E-20</v>
      </c>
      <c r="Q93" s="100">
        <f t="shared" si="4"/>
        <v>4.4633636525946379E-20</v>
      </c>
      <c r="R93" s="100">
        <f t="shared" si="4"/>
        <v>4.4633636525946379E-20</v>
      </c>
      <c r="S93" s="100">
        <f t="shared" si="3"/>
        <v>4.4633636525946379E-20</v>
      </c>
      <c r="T93" s="100">
        <f t="shared" si="3"/>
        <v>4.4633636525946379E-20</v>
      </c>
      <c r="U93" s="100">
        <f t="shared" si="3"/>
        <v>4.4633636525946379E-20</v>
      </c>
      <c r="V93" s="100">
        <f t="shared" si="3"/>
        <v>4.4633636525946379E-20</v>
      </c>
      <c r="W93" s="100">
        <f t="shared" si="3"/>
        <v>4.4633636525946379E-20</v>
      </c>
      <c r="X93" s="100">
        <f t="shared" si="3"/>
        <v>4.4633636525946379E-20</v>
      </c>
      <c r="Y93" s="100">
        <f t="shared" si="3"/>
        <v>4.4633636525946379E-20</v>
      </c>
      <c r="Z93" s="100">
        <f t="shared" si="3"/>
        <v>4.4633636525946379E-20</v>
      </c>
      <c r="AA93" s="100">
        <f t="shared" si="3"/>
        <v>3.7194697104955316E-20</v>
      </c>
      <c r="AB93" s="100">
        <f t="shared" si="3"/>
        <v>3.7194697104955316E-20</v>
      </c>
      <c r="AC93" s="100">
        <f t="shared" si="3"/>
        <v>3.7194697104955316E-20</v>
      </c>
      <c r="AD93" s="100">
        <f t="shared" si="3"/>
        <v>3.7194697104955316E-20</v>
      </c>
      <c r="AE93" s="100">
        <f t="shared" si="3"/>
        <v>4.4633636525946379E-20</v>
      </c>
      <c r="AF93" s="100">
        <f t="shared" si="3"/>
        <v>4.4633636525946379E-20</v>
      </c>
      <c r="AG93" s="100">
        <f t="shared" si="3"/>
        <v>4.4633636525946379E-20</v>
      </c>
      <c r="AH93" s="100">
        <f t="shared" si="3"/>
        <v>4.4633636525946379E-20</v>
      </c>
      <c r="AI93" s="100">
        <f t="shared" si="3"/>
        <v>3.7194697104955316E-20</v>
      </c>
      <c r="AJ93" s="100">
        <f t="shared" si="3"/>
        <v>3.7194697104955316E-20</v>
      </c>
      <c r="AK93" s="100">
        <f t="shared" si="3"/>
        <v>3.7194697104955316E-20</v>
      </c>
      <c r="AL93" s="100">
        <f t="shared" si="3"/>
        <v>3.7194697104955316E-20</v>
      </c>
      <c r="AM93" s="100">
        <f t="shared" si="3"/>
        <v>4.4633636525946379E-20</v>
      </c>
      <c r="AN93" s="100">
        <f t="shared" si="3"/>
        <v>4.4633636525946379E-20</v>
      </c>
      <c r="AO93" s="100">
        <f t="shared" si="3"/>
        <v>4.4633636525946379E-20</v>
      </c>
      <c r="AP93" s="100">
        <f t="shared" si="3"/>
        <v>4.4633636525946379E-20</v>
      </c>
      <c r="AQ93" s="100">
        <f t="shared" si="3"/>
        <v>3.7194697104955316E-20</v>
      </c>
      <c r="AR93" s="100">
        <f t="shared" si="3"/>
        <v>3.7194697104955316E-20</v>
      </c>
      <c r="AS93" s="100">
        <f t="shared" si="3"/>
        <v>3.7194697104955316E-20</v>
      </c>
      <c r="AT93" s="100">
        <f t="shared" si="3"/>
        <v>3.7194697104955316E-20</v>
      </c>
      <c r="AU93" s="100">
        <f t="shared" si="3"/>
        <v>3.7194697104955316E-20</v>
      </c>
      <c r="AV93" s="100">
        <f t="shared" si="3"/>
        <v>3.7194697104955316E-20</v>
      </c>
      <c r="AW93" s="100">
        <f t="shared" si="3"/>
        <v>3.7194697104955316E-20</v>
      </c>
      <c r="AX93" s="100">
        <f t="shared" si="3"/>
        <v>3.7194697104955316E-20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5.6934253206597562E-18</v>
      </c>
      <c r="D98" s="100">
        <v>5.6934253206597562E-18</v>
      </c>
      <c r="E98" s="100">
        <v>5.6934253206597562E-18</v>
      </c>
      <c r="F98" s="100">
        <v>5.6934253206597562E-18</v>
      </c>
      <c r="G98" s="100">
        <v>5.6934253206597562E-18</v>
      </c>
      <c r="H98" s="100">
        <v>5.6934253206597562E-18</v>
      </c>
      <c r="I98" s="100">
        <v>5.6934253206597562E-18</v>
      </c>
      <c r="J98" s="100">
        <v>5.6934253206597562E-18</v>
      </c>
      <c r="K98" s="100">
        <v>5.6934253206597562E-18</v>
      </c>
      <c r="L98" s="100">
        <v>5.6934253206597562E-18</v>
      </c>
      <c r="M98" s="100">
        <v>5.6934253206597562E-18</v>
      </c>
      <c r="N98" s="100">
        <v>5.6934253206597562E-18</v>
      </c>
      <c r="O98" s="100">
        <v>5.6934253206597562E-18</v>
      </c>
      <c r="P98" s="100">
        <v>5.6934253206597562E-18</v>
      </c>
      <c r="Q98" s="100">
        <v>5.6934253206597562E-18</v>
      </c>
      <c r="R98" s="100">
        <v>5.6934253206597562E-18</v>
      </c>
      <c r="S98" s="100">
        <v>5.6934253206597562E-18</v>
      </c>
      <c r="T98" s="100">
        <v>5.6934253206597562E-18</v>
      </c>
      <c r="U98" s="100">
        <v>5.6934253206597562E-18</v>
      </c>
      <c r="V98" s="100">
        <v>5.6934253206597562E-18</v>
      </c>
      <c r="W98" s="100">
        <v>5.6934253206597562E-18</v>
      </c>
      <c r="X98" s="100">
        <v>5.6934253206597562E-18</v>
      </c>
      <c r="Y98" s="100">
        <v>5.6934253206597562E-18</v>
      </c>
      <c r="Z98" s="100">
        <v>5.6934253206597562E-18</v>
      </c>
      <c r="AA98" s="100">
        <v>5.6934253206597562E-18</v>
      </c>
      <c r="AB98" s="100">
        <v>5.6934253206597562E-18</v>
      </c>
      <c r="AC98" s="100">
        <v>5.6934253206597562E-18</v>
      </c>
      <c r="AD98" s="100">
        <v>5.6934253206597562E-18</v>
      </c>
      <c r="AE98" s="100">
        <v>5.6934253206597562E-18</v>
      </c>
      <c r="AF98" s="100">
        <v>5.6934253206597562E-18</v>
      </c>
      <c r="AG98" s="100">
        <v>5.6934253206597562E-18</v>
      </c>
      <c r="AH98" s="100">
        <v>5.6934253206597562E-18</v>
      </c>
      <c r="AI98" s="100">
        <v>5.6934253206597562E-18</v>
      </c>
      <c r="AJ98" s="100">
        <v>5.6934253206597562E-18</v>
      </c>
      <c r="AK98" s="100">
        <v>5.6934253206597562E-18</v>
      </c>
      <c r="AL98" s="100">
        <v>5.6934253206597562E-18</v>
      </c>
      <c r="AM98" s="100">
        <v>5.6934253206597562E-18</v>
      </c>
      <c r="AN98" s="100">
        <v>5.6934253206597562E-18</v>
      </c>
      <c r="AO98" s="100">
        <v>5.6934253206597562E-18</v>
      </c>
      <c r="AP98" s="100">
        <v>5.6934253206597562E-18</v>
      </c>
      <c r="AQ98" s="100">
        <v>5.6934253206597562E-18</v>
      </c>
      <c r="AR98" s="100">
        <v>5.6934253206597562E-18</v>
      </c>
      <c r="AS98" s="100">
        <v>5.6934253206597562E-18</v>
      </c>
      <c r="AT98" s="100">
        <v>5.6934253206597562E-18</v>
      </c>
      <c r="AU98" s="100">
        <v>5.6934253206597562E-18</v>
      </c>
      <c r="AV98" s="100">
        <v>5.6934253206597562E-18</v>
      </c>
      <c r="AW98" s="100">
        <v>5.6934253206597562E-18</v>
      </c>
      <c r="AX98" s="100">
        <v>5.6934253206597562E-18</v>
      </c>
    </row>
    <row r="99" spans="1:50">
      <c r="B99" s="105" t="s">
        <v>12</v>
      </c>
      <c r="C99" s="100">
        <v>411833.54977415607</v>
      </c>
      <c r="D99" s="100">
        <v>411833.54977415607</v>
      </c>
      <c r="E99" s="100">
        <v>411833.54977415607</v>
      </c>
      <c r="F99" s="100">
        <v>411833.54977415607</v>
      </c>
      <c r="G99" s="100">
        <v>411833.54977415607</v>
      </c>
      <c r="H99" s="100">
        <v>411833.54977415607</v>
      </c>
      <c r="I99" s="100">
        <v>411833.54977415607</v>
      </c>
      <c r="J99" s="100">
        <v>411833.54977415607</v>
      </c>
      <c r="K99" s="100">
        <v>411833.54977415607</v>
      </c>
      <c r="L99" s="100">
        <v>411833.54977415607</v>
      </c>
      <c r="M99" s="100">
        <v>411833.54977415607</v>
      </c>
      <c r="N99" s="100">
        <v>411833.54977415607</v>
      </c>
      <c r="O99" s="100">
        <v>411833.54977415607</v>
      </c>
      <c r="P99" s="100">
        <v>411833.54977415607</v>
      </c>
      <c r="Q99" s="100">
        <v>411833.54977415607</v>
      </c>
      <c r="R99" s="100">
        <v>411833.54977415607</v>
      </c>
      <c r="S99" s="100">
        <v>411833.54977415607</v>
      </c>
      <c r="T99" s="100">
        <v>411833.54977415607</v>
      </c>
      <c r="U99" s="100">
        <v>411833.54977415607</v>
      </c>
      <c r="V99" s="100">
        <v>411833.54977415607</v>
      </c>
      <c r="W99" s="100">
        <v>411833.54977415607</v>
      </c>
      <c r="X99" s="100">
        <v>411833.54977415607</v>
      </c>
      <c r="Y99" s="100">
        <v>411833.54977415607</v>
      </c>
      <c r="Z99" s="100">
        <v>411833.54977415607</v>
      </c>
      <c r="AA99" s="100">
        <v>411833.54977415607</v>
      </c>
      <c r="AB99" s="100">
        <v>411833.54977415607</v>
      </c>
      <c r="AC99" s="100">
        <v>411833.54977415607</v>
      </c>
      <c r="AD99" s="100">
        <v>411833.54977415607</v>
      </c>
      <c r="AE99" s="100">
        <v>411833.54977415607</v>
      </c>
      <c r="AF99" s="100">
        <v>411833.54977415607</v>
      </c>
      <c r="AG99" s="100">
        <v>411833.54977415607</v>
      </c>
      <c r="AH99" s="100">
        <v>411833.54977415607</v>
      </c>
      <c r="AI99" s="100">
        <v>411833.54977415607</v>
      </c>
      <c r="AJ99" s="100">
        <v>411833.54977415607</v>
      </c>
      <c r="AK99" s="100">
        <v>411833.54977415607</v>
      </c>
      <c r="AL99" s="100">
        <v>411833.54977415607</v>
      </c>
      <c r="AM99" s="100">
        <v>411833.54977415607</v>
      </c>
      <c r="AN99" s="100">
        <v>411833.54977415607</v>
      </c>
      <c r="AO99" s="100">
        <v>411833.54977415607</v>
      </c>
      <c r="AP99" s="100">
        <v>411833.54977415607</v>
      </c>
      <c r="AQ99" s="100">
        <v>411833.54977415607</v>
      </c>
      <c r="AR99" s="100">
        <v>411833.54977415607</v>
      </c>
      <c r="AS99" s="100">
        <v>411833.54977415607</v>
      </c>
      <c r="AT99" s="100">
        <v>411833.54977415607</v>
      </c>
      <c r="AU99" s="100">
        <v>411833.54977415607</v>
      </c>
      <c r="AV99" s="100">
        <v>411833.54977415607</v>
      </c>
      <c r="AW99" s="100">
        <v>411833.54977415607</v>
      </c>
      <c r="AX99" s="100">
        <v>411833.54977415607</v>
      </c>
    </row>
    <row r="100" spans="1:50">
      <c r="B100" s="105" t="s">
        <v>22</v>
      </c>
      <c r="C100" s="100">
        <v>4.4345994402882567E-19</v>
      </c>
      <c r="D100" s="100">
        <v>4.4345994402882567E-19</v>
      </c>
      <c r="E100" s="100">
        <v>4.4345994402882567E-19</v>
      </c>
      <c r="F100" s="100">
        <v>4.4345994402882567E-19</v>
      </c>
      <c r="G100" s="100">
        <v>4.4345994402882567E-19</v>
      </c>
      <c r="H100" s="100">
        <v>4.4345994402882567E-19</v>
      </c>
      <c r="I100" s="100">
        <v>4.4345994402882567E-19</v>
      </c>
      <c r="J100" s="100">
        <v>4.4345994402882567E-19</v>
      </c>
      <c r="K100" s="100">
        <v>4.4345994402882567E-19</v>
      </c>
      <c r="L100" s="100">
        <v>4.4345994402882567E-19</v>
      </c>
      <c r="M100" s="100">
        <v>4.4345994402882567E-19</v>
      </c>
      <c r="N100" s="100">
        <v>4.4345994402882567E-19</v>
      </c>
      <c r="O100" s="100">
        <v>4.4345994402882567E-19</v>
      </c>
      <c r="P100" s="100">
        <v>4.4345994402882567E-19</v>
      </c>
      <c r="Q100" s="100">
        <v>4.4345994402882567E-19</v>
      </c>
      <c r="R100" s="100">
        <v>4.4345994402882567E-19</v>
      </c>
      <c r="S100" s="100">
        <v>4.4345994402882567E-19</v>
      </c>
      <c r="T100" s="100">
        <v>4.4345994402882567E-19</v>
      </c>
      <c r="U100" s="100">
        <v>4.4345994402882567E-19</v>
      </c>
      <c r="V100" s="100">
        <v>4.4345994402882567E-19</v>
      </c>
      <c r="W100" s="100">
        <v>4.4345994402882567E-19</v>
      </c>
      <c r="X100" s="100">
        <v>4.4345994402882567E-19</v>
      </c>
      <c r="Y100" s="100">
        <v>4.4345994402882567E-19</v>
      </c>
      <c r="Z100" s="100">
        <v>4.4345994402882567E-19</v>
      </c>
      <c r="AA100" s="100">
        <v>4.4345994402882567E-19</v>
      </c>
      <c r="AB100" s="100">
        <v>4.4345994402882567E-19</v>
      </c>
      <c r="AC100" s="100">
        <v>4.4345994402882567E-19</v>
      </c>
      <c r="AD100" s="100">
        <v>4.4345994402882567E-19</v>
      </c>
      <c r="AE100" s="100">
        <v>4.4345994402882567E-19</v>
      </c>
      <c r="AF100" s="100">
        <v>4.4345994402882567E-19</v>
      </c>
      <c r="AG100" s="100">
        <v>4.4345994402882567E-19</v>
      </c>
      <c r="AH100" s="100">
        <v>4.4345994402882567E-19</v>
      </c>
      <c r="AI100" s="100">
        <v>4.4345994402882567E-19</v>
      </c>
      <c r="AJ100" s="100">
        <v>4.4345994402882567E-19</v>
      </c>
      <c r="AK100" s="100">
        <v>4.4345994402882567E-19</v>
      </c>
      <c r="AL100" s="100">
        <v>4.4345994402882567E-19</v>
      </c>
      <c r="AM100" s="100">
        <v>4.4345994402882567E-19</v>
      </c>
      <c r="AN100" s="100">
        <v>4.4345994402882567E-19</v>
      </c>
      <c r="AO100" s="100">
        <v>4.4345994402882567E-19</v>
      </c>
      <c r="AP100" s="100">
        <v>4.4345994402882567E-19</v>
      </c>
      <c r="AQ100" s="100">
        <v>4.4345994402882567E-19</v>
      </c>
      <c r="AR100" s="100">
        <v>4.4345994402882567E-19</v>
      </c>
      <c r="AS100" s="100">
        <v>4.4345994402882567E-19</v>
      </c>
      <c r="AT100" s="100">
        <v>4.4345994402882567E-19</v>
      </c>
      <c r="AU100" s="100">
        <v>4.4345994402882567E-19</v>
      </c>
      <c r="AV100" s="100">
        <v>4.4345994402882567E-19</v>
      </c>
      <c r="AW100" s="100">
        <v>4.4345994402882567E-19</v>
      </c>
      <c r="AX100" s="100">
        <v>4.4345994402882567E-19</v>
      </c>
    </row>
    <row r="101" spans="1:50">
      <c r="B101" s="105" t="s">
        <v>46</v>
      </c>
      <c r="C101" s="100">
        <v>3.3242157186175205E-18</v>
      </c>
      <c r="D101" s="100">
        <v>3.3242157186175205E-18</v>
      </c>
      <c r="E101" s="100">
        <v>3.3242157186175205E-18</v>
      </c>
      <c r="F101" s="100">
        <v>3.3242157186175205E-18</v>
      </c>
      <c r="G101" s="100">
        <v>3.3242157186175205E-18</v>
      </c>
      <c r="H101" s="100">
        <v>3.3242157186175205E-18</v>
      </c>
      <c r="I101" s="100">
        <v>3.3242157186175205E-18</v>
      </c>
      <c r="J101" s="100">
        <v>3.3242157186175205E-18</v>
      </c>
      <c r="K101" s="100">
        <v>3.3242157186175205E-18</v>
      </c>
      <c r="L101" s="100">
        <v>3.3242157186175205E-18</v>
      </c>
      <c r="M101" s="100">
        <v>3.3242157186175205E-18</v>
      </c>
      <c r="N101" s="100">
        <v>3.3242157186175205E-18</v>
      </c>
      <c r="O101" s="100">
        <v>3.3242157186175205E-18</v>
      </c>
      <c r="P101" s="100">
        <v>3.3242157186175205E-18</v>
      </c>
      <c r="Q101" s="100">
        <v>3.3242157186175205E-18</v>
      </c>
      <c r="R101" s="100">
        <v>3.3242157186175205E-18</v>
      </c>
      <c r="S101" s="100">
        <v>3.3242157186175205E-18</v>
      </c>
      <c r="T101" s="100">
        <v>3.3242157186175205E-18</v>
      </c>
      <c r="U101" s="100">
        <v>3.3242157186175205E-18</v>
      </c>
      <c r="V101" s="100">
        <v>3.3242157186175205E-18</v>
      </c>
      <c r="W101" s="100">
        <v>3.3242157186175205E-18</v>
      </c>
      <c r="X101" s="100">
        <v>3.3242157186175205E-18</v>
      </c>
      <c r="Y101" s="100">
        <v>3.3242157186175205E-18</v>
      </c>
      <c r="Z101" s="100">
        <v>3.3242157186175205E-18</v>
      </c>
      <c r="AA101" s="100">
        <v>3.3242157186175205E-18</v>
      </c>
      <c r="AB101" s="100">
        <v>3.3242157186175205E-18</v>
      </c>
      <c r="AC101" s="100">
        <v>3.3242157186175205E-18</v>
      </c>
      <c r="AD101" s="100">
        <v>3.3242157186175205E-18</v>
      </c>
      <c r="AE101" s="100">
        <v>3.3242157186175205E-18</v>
      </c>
      <c r="AF101" s="100">
        <v>3.3242157186175205E-18</v>
      </c>
      <c r="AG101" s="100">
        <v>3.3242157186175205E-18</v>
      </c>
      <c r="AH101" s="100">
        <v>3.3242157186175205E-18</v>
      </c>
      <c r="AI101" s="100">
        <v>3.3242157186175205E-18</v>
      </c>
      <c r="AJ101" s="100">
        <v>3.3242157186175205E-18</v>
      </c>
      <c r="AK101" s="100">
        <v>3.3242157186175205E-18</v>
      </c>
      <c r="AL101" s="100">
        <v>3.3242157186175205E-18</v>
      </c>
      <c r="AM101" s="100">
        <v>3.3242157186175205E-18</v>
      </c>
      <c r="AN101" s="100">
        <v>3.3242157186175205E-18</v>
      </c>
      <c r="AO101" s="100">
        <v>3.3242157186175205E-18</v>
      </c>
      <c r="AP101" s="100">
        <v>3.3242157186175205E-18</v>
      </c>
      <c r="AQ101" s="100">
        <v>3.3242157186175205E-18</v>
      </c>
      <c r="AR101" s="100">
        <v>3.3242157186175205E-18</v>
      </c>
      <c r="AS101" s="100">
        <v>3.3242157186175205E-18</v>
      </c>
      <c r="AT101" s="100">
        <v>3.3242157186175205E-18</v>
      </c>
      <c r="AU101" s="100">
        <v>3.3242157186175205E-18</v>
      </c>
      <c r="AV101" s="100">
        <v>3.3242157186175205E-18</v>
      </c>
      <c r="AW101" s="100">
        <v>3.3242157186175205E-18</v>
      </c>
      <c r="AX101" s="100">
        <v>3.3242157186175205E-18</v>
      </c>
    </row>
    <row r="102" spans="1:50">
      <c r="B102" s="105" t="s">
        <v>59</v>
      </c>
      <c r="C102" s="100">
        <v>264306.78126065666</v>
      </c>
      <c r="D102" s="100">
        <v>264306.78126065666</v>
      </c>
      <c r="E102" s="100">
        <v>264306.78126065666</v>
      </c>
      <c r="F102" s="100">
        <v>264306.78126065666</v>
      </c>
      <c r="G102" s="100">
        <v>264306.78126065666</v>
      </c>
      <c r="H102" s="100">
        <v>264306.78126065666</v>
      </c>
      <c r="I102" s="100">
        <v>264306.78126065666</v>
      </c>
      <c r="J102" s="100">
        <v>264306.78126065666</v>
      </c>
      <c r="K102" s="100">
        <v>264306.78126065666</v>
      </c>
      <c r="L102" s="100">
        <v>264306.78126065666</v>
      </c>
      <c r="M102" s="100">
        <v>264306.78126065666</v>
      </c>
      <c r="N102" s="100">
        <v>264306.78126065666</v>
      </c>
      <c r="O102" s="100">
        <v>264306.78126065666</v>
      </c>
      <c r="P102" s="100">
        <v>264306.78126065666</v>
      </c>
      <c r="Q102" s="100">
        <v>264306.78126065666</v>
      </c>
      <c r="R102" s="100">
        <v>264306.78126065666</v>
      </c>
      <c r="S102" s="100">
        <v>264306.78126065666</v>
      </c>
      <c r="T102" s="100">
        <v>264306.78126065666</v>
      </c>
      <c r="U102" s="100">
        <v>264306.78126065666</v>
      </c>
      <c r="V102" s="100">
        <v>264306.78126065666</v>
      </c>
      <c r="W102" s="100">
        <v>264306.78126065666</v>
      </c>
      <c r="X102" s="100">
        <v>264306.78126065666</v>
      </c>
      <c r="Y102" s="100">
        <v>264306.78126065666</v>
      </c>
      <c r="Z102" s="100">
        <v>264306.78126065666</v>
      </c>
      <c r="AA102" s="100">
        <v>264306.78126065666</v>
      </c>
      <c r="AB102" s="100">
        <v>264306.78126065666</v>
      </c>
      <c r="AC102" s="100">
        <v>264306.78126065666</v>
      </c>
      <c r="AD102" s="100">
        <v>264306.78126065666</v>
      </c>
      <c r="AE102" s="100">
        <v>264306.78126065666</v>
      </c>
      <c r="AF102" s="100">
        <v>264306.78126065666</v>
      </c>
      <c r="AG102" s="100">
        <v>264306.78126065666</v>
      </c>
      <c r="AH102" s="100">
        <v>264306.78126065666</v>
      </c>
      <c r="AI102" s="100">
        <v>264306.78126065666</v>
      </c>
      <c r="AJ102" s="100">
        <v>264306.78126065666</v>
      </c>
      <c r="AK102" s="100">
        <v>264306.78126065666</v>
      </c>
      <c r="AL102" s="100">
        <v>264306.78126065666</v>
      </c>
      <c r="AM102" s="100">
        <v>264306.78126065666</v>
      </c>
      <c r="AN102" s="100">
        <v>264306.78126065666</v>
      </c>
      <c r="AO102" s="100">
        <v>264306.78126065666</v>
      </c>
      <c r="AP102" s="100">
        <v>264306.78126065666</v>
      </c>
      <c r="AQ102" s="100">
        <v>264306.78126065666</v>
      </c>
      <c r="AR102" s="100">
        <v>264306.78126065666</v>
      </c>
      <c r="AS102" s="100">
        <v>264306.78126065666</v>
      </c>
      <c r="AT102" s="100">
        <v>264306.78126065666</v>
      </c>
      <c r="AU102" s="100">
        <v>264306.78126065666</v>
      </c>
      <c r="AV102" s="100">
        <v>264306.78126065666</v>
      </c>
      <c r="AW102" s="100">
        <v>264306.78126065666</v>
      </c>
      <c r="AX102" s="100">
        <v>264306.78126065666</v>
      </c>
    </row>
    <row r="103" spans="1:50">
      <c r="B103" s="100" t="s">
        <v>278</v>
      </c>
      <c r="C103" s="105">
        <f>SUM(C$98:C$102)</f>
        <v>676140.33103481273</v>
      </c>
      <c r="D103" s="105">
        <f t="shared" ref="D103:AX103" si="5">SUM(D$98:D$102)</f>
        <v>676140.33103481273</v>
      </c>
      <c r="E103" s="105">
        <f t="shared" si="5"/>
        <v>676140.33103481273</v>
      </c>
      <c r="F103" s="105">
        <f t="shared" si="5"/>
        <v>676140.33103481273</v>
      </c>
      <c r="G103" s="105">
        <f t="shared" si="5"/>
        <v>676140.33103481273</v>
      </c>
      <c r="H103" s="105">
        <f t="shared" si="5"/>
        <v>676140.33103481273</v>
      </c>
      <c r="I103" s="105">
        <f t="shared" si="5"/>
        <v>676140.33103481273</v>
      </c>
      <c r="J103" s="105">
        <f t="shared" si="5"/>
        <v>676140.33103481273</v>
      </c>
      <c r="K103" s="105">
        <f t="shared" si="5"/>
        <v>676140.33103481273</v>
      </c>
      <c r="L103" s="105">
        <f t="shared" si="5"/>
        <v>676140.33103481273</v>
      </c>
      <c r="M103" s="105">
        <f t="shared" si="5"/>
        <v>676140.33103481273</v>
      </c>
      <c r="N103" s="105">
        <f t="shared" si="5"/>
        <v>676140.33103481273</v>
      </c>
      <c r="O103" s="105">
        <f t="shared" si="5"/>
        <v>676140.33103481273</v>
      </c>
      <c r="P103" s="105">
        <f t="shared" si="5"/>
        <v>676140.33103481273</v>
      </c>
      <c r="Q103" s="105">
        <f t="shared" si="5"/>
        <v>676140.33103481273</v>
      </c>
      <c r="R103" s="105">
        <f t="shared" si="5"/>
        <v>676140.33103481273</v>
      </c>
      <c r="S103" s="105">
        <f t="shared" si="5"/>
        <v>676140.33103481273</v>
      </c>
      <c r="T103" s="105">
        <f t="shared" si="5"/>
        <v>676140.33103481273</v>
      </c>
      <c r="U103" s="105">
        <f t="shared" si="5"/>
        <v>676140.33103481273</v>
      </c>
      <c r="V103" s="105">
        <f t="shared" si="5"/>
        <v>676140.33103481273</v>
      </c>
      <c r="W103" s="105">
        <f t="shared" si="5"/>
        <v>676140.33103481273</v>
      </c>
      <c r="X103" s="105">
        <f t="shared" si="5"/>
        <v>676140.33103481273</v>
      </c>
      <c r="Y103" s="105">
        <f t="shared" si="5"/>
        <v>676140.33103481273</v>
      </c>
      <c r="Z103" s="105">
        <f t="shared" si="5"/>
        <v>676140.33103481273</v>
      </c>
      <c r="AA103" s="105">
        <f t="shared" si="5"/>
        <v>676140.33103481273</v>
      </c>
      <c r="AB103" s="105">
        <f t="shared" si="5"/>
        <v>676140.33103481273</v>
      </c>
      <c r="AC103" s="105">
        <f t="shared" si="5"/>
        <v>676140.33103481273</v>
      </c>
      <c r="AD103" s="105">
        <f t="shared" si="5"/>
        <v>676140.33103481273</v>
      </c>
      <c r="AE103" s="105">
        <f t="shared" si="5"/>
        <v>676140.33103481273</v>
      </c>
      <c r="AF103" s="105">
        <f t="shared" si="5"/>
        <v>676140.33103481273</v>
      </c>
      <c r="AG103" s="105">
        <f t="shared" si="5"/>
        <v>676140.33103481273</v>
      </c>
      <c r="AH103" s="105">
        <f t="shared" si="5"/>
        <v>676140.33103481273</v>
      </c>
      <c r="AI103" s="105">
        <f t="shared" si="5"/>
        <v>676140.33103481273</v>
      </c>
      <c r="AJ103" s="105">
        <f t="shared" si="5"/>
        <v>676140.33103481273</v>
      </c>
      <c r="AK103" s="105">
        <f t="shared" si="5"/>
        <v>676140.33103481273</v>
      </c>
      <c r="AL103" s="105">
        <f t="shared" si="5"/>
        <v>676140.33103481273</v>
      </c>
      <c r="AM103" s="105">
        <f t="shared" si="5"/>
        <v>676140.33103481273</v>
      </c>
      <c r="AN103" s="105">
        <f t="shared" si="5"/>
        <v>676140.33103481273</v>
      </c>
      <c r="AO103" s="105">
        <f t="shared" si="5"/>
        <v>676140.33103481273</v>
      </c>
      <c r="AP103" s="105">
        <f t="shared" si="5"/>
        <v>676140.33103481273</v>
      </c>
      <c r="AQ103" s="105">
        <f t="shared" si="5"/>
        <v>676140.33103481273</v>
      </c>
      <c r="AR103" s="105">
        <f t="shared" si="5"/>
        <v>676140.33103481273</v>
      </c>
      <c r="AS103" s="105">
        <f t="shared" si="5"/>
        <v>676140.33103481273</v>
      </c>
      <c r="AT103" s="105">
        <f t="shared" si="5"/>
        <v>676140.33103481273</v>
      </c>
      <c r="AU103" s="105">
        <f t="shared" si="5"/>
        <v>676140.33103481273</v>
      </c>
      <c r="AV103" s="105">
        <f t="shared" si="5"/>
        <v>676140.33103481273</v>
      </c>
      <c r="AW103" s="105">
        <f t="shared" si="5"/>
        <v>676140.33103481273</v>
      </c>
      <c r="AX103" s="105">
        <f t="shared" si="5"/>
        <v>676140.33103481273</v>
      </c>
    </row>
    <row r="104" spans="1:50">
      <c r="A104" s="105" t="s">
        <v>105</v>
      </c>
      <c r="B104" s="105" t="s">
        <v>10</v>
      </c>
      <c r="C104" s="100">
        <v>1.0331055218089766E-18</v>
      </c>
      <c r="D104" s="100">
        <v>1.0331055218089766E-18</v>
      </c>
      <c r="E104" s="100">
        <v>1.0331055218089766E-18</v>
      </c>
      <c r="F104" s="100">
        <v>1.0331055218089766E-18</v>
      </c>
      <c r="G104" s="100">
        <v>1.0331055218089766E-18</v>
      </c>
      <c r="H104" s="100">
        <v>1.0331055218089766E-18</v>
      </c>
      <c r="I104" s="100">
        <v>1.0331055218089766E-18</v>
      </c>
      <c r="J104" s="100">
        <v>1.0331055218089766E-18</v>
      </c>
      <c r="K104" s="100">
        <v>8.264844174471811E-19</v>
      </c>
      <c r="L104" s="100">
        <v>8.264844174471811E-19</v>
      </c>
      <c r="M104" s="100">
        <v>8.264844174471811E-19</v>
      </c>
      <c r="N104" s="100">
        <v>8.264844174471811E-19</v>
      </c>
      <c r="O104" s="100">
        <v>8.264844174471811E-19</v>
      </c>
      <c r="P104" s="100">
        <v>8.264844174471811E-19</v>
      </c>
      <c r="Q104" s="100">
        <v>8.264844174471811E-19</v>
      </c>
      <c r="R104" s="100">
        <v>8.264844174471811E-19</v>
      </c>
      <c r="S104" s="100">
        <v>8.264844174471811E-19</v>
      </c>
      <c r="T104" s="100">
        <v>8.264844174471811E-19</v>
      </c>
      <c r="U104" s="100">
        <v>8.264844174471811E-19</v>
      </c>
      <c r="V104" s="100">
        <v>8.264844174471811E-19</v>
      </c>
      <c r="W104" s="100">
        <v>1.0331055218089766E-18</v>
      </c>
      <c r="X104" s="100">
        <v>1.0331055218089766E-18</v>
      </c>
      <c r="Y104" s="100">
        <v>1.0331055218089766E-18</v>
      </c>
      <c r="Z104" s="100">
        <v>1.0331055218089766E-18</v>
      </c>
      <c r="AA104" s="100">
        <v>1.0331055218089766E-18</v>
      </c>
      <c r="AB104" s="100">
        <v>1.0331055218089766E-18</v>
      </c>
      <c r="AC104" s="100">
        <v>1.0331055218089766E-18</v>
      </c>
      <c r="AD104" s="100">
        <v>1.0331055218089766E-18</v>
      </c>
      <c r="AE104" s="100">
        <v>1.0331055218089766E-18</v>
      </c>
      <c r="AF104" s="100">
        <v>1.0331055218089766E-18</v>
      </c>
      <c r="AG104" s="100">
        <v>1.0331055218089766E-18</v>
      </c>
      <c r="AH104" s="100">
        <v>1.0331055218089766E-18</v>
      </c>
      <c r="AI104" s="100">
        <v>8.264844174471811E-19</v>
      </c>
      <c r="AJ104" s="100">
        <v>8.264844174471811E-19</v>
      </c>
      <c r="AK104" s="100">
        <v>8.264844174471811E-19</v>
      </c>
      <c r="AL104" s="100">
        <v>8.264844174471811E-19</v>
      </c>
      <c r="AM104" s="100">
        <v>1.0331055218089766E-18</v>
      </c>
      <c r="AN104" s="100">
        <v>1.0331055218089766E-18</v>
      </c>
      <c r="AO104" s="100">
        <v>1.0331055218089766E-18</v>
      </c>
      <c r="AP104" s="100">
        <v>1.0331055218089766E-18</v>
      </c>
      <c r="AQ104" s="100">
        <v>1.0331055218089766E-18</v>
      </c>
      <c r="AR104" s="100">
        <v>1.0331055218089766E-18</v>
      </c>
      <c r="AS104" s="100">
        <v>1.0331055218089766E-18</v>
      </c>
      <c r="AT104" s="100">
        <v>1.0331055218089766E-18</v>
      </c>
      <c r="AU104" s="100">
        <v>1.0331055218089766E-18</v>
      </c>
      <c r="AV104" s="100">
        <v>1.0331055218089766E-18</v>
      </c>
      <c r="AW104" s="100">
        <v>1.0331055218089766E-18</v>
      </c>
      <c r="AX104" s="100">
        <v>1.0331055218089766E-18</v>
      </c>
    </row>
    <row r="105" spans="1:50">
      <c r="B105" s="105" t="s">
        <v>12</v>
      </c>
      <c r="C105" s="100">
        <v>1.5235452410394176E-18</v>
      </c>
      <c r="D105" s="100">
        <v>1.5235452410394176E-18</v>
      </c>
      <c r="E105" s="100">
        <v>1.5235452410394176E-18</v>
      </c>
      <c r="F105" s="100">
        <v>1.5235452410394176E-18</v>
      </c>
      <c r="G105" s="100">
        <v>1.5235452410394176E-18</v>
      </c>
      <c r="H105" s="100">
        <v>1.5235452410394176E-18</v>
      </c>
      <c r="I105" s="100">
        <v>1.5235452410394176E-18</v>
      </c>
      <c r="J105" s="100">
        <v>1.5235452410394176E-18</v>
      </c>
      <c r="K105" s="100">
        <v>1.2188361928315339E-18</v>
      </c>
      <c r="L105" s="100">
        <v>1.2188361928315339E-18</v>
      </c>
      <c r="M105" s="100">
        <v>1.2188361928315339E-18</v>
      </c>
      <c r="N105" s="100">
        <v>1.2188361928315339E-18</v>
      </c>
      <c r="O105" s="100">
        <v>1.2188361928315339E-18</v>
      </c>
      <c r="P105" s="100">
        <v>1.2188361928315339E-18</v>
      </c>
      <c r="Q105" s="100">
        <v>1.2188361928315339E-18</v>
      </c>
      <c r="R105" s="100">
        <v>1.2188361928315339E-18</v>
      </c>
      <c r="S105" s="100">
        <v>1.2188361928315339E-18</v>
      </c>
      <c r="T105" s="100">
        <v>1.2188361928315339E-18</v>
      </c>
      <c r="U105" s="100">
        <v>1.2188361928315339E-18</v>
      </c>
      <c r="V105" s="100">
        <v>1.2188361928315339E-18</v>
      </c>
      <c r="W105" s="100">
        <v>1.5235452410394176E-18</v>
      </c>
      <c r="X105" s="100">
        <v>1.5235452410394176E-18</v>
      </c>
      <c r="Y105" s="100">
        <v>1.5235452410394176E-18</v>
      </c>
      <c r="Z105" s="100">
        <v>1.5235452410394176E-18</v>
      </c>
      <c r="AA105" s="100">
        <v>1.5235452410394176E-18</v>
      </c>
      <c r="AB105" s="100">
        <v>1.5235452410394176E-18</v>
      </c>
      <c r="AC105" s="100">
        <v>1.5235452410394176E-18</v>
      </c>
      <c r="AD105" s="100">
        <v>1.5235452410394176E-18</v>
      </c>
      <c r="AE105" s="100">
        <v>1.5235452410394176E-18</v>
      </c>
      <c r="AF105" s="100">
        <v>1.5235452410394176E-18</v>
      </c>
      <c r="AG105" s="100">
        <v>1.5235452410394176E-18</v>
      </c>
      <c r="AH105" s="100">
        <v>1.5235452410394176E-18</v>
      </c>
      <c r="AI105" s="100">
        <v>1.2188361928315339E-18</v>
      </c>
      <c r="AJ105" s="100">
        <v>1.2188361928315339E-18</v>
      </c>
      <c r="AK105" s="100">
        <v>1.2188361928315339E-18</v>
      </c>
      <c r="AL105" s="100">
        <v>1.2188361928315339E-18</v>
      </c>
      <c r="AM105" s="100">
        <v>1.5235452410394176E-18</v>
      </c>
      <c r="AN105" s="100">
        <v>1.5235452410394176E-18</v>
      </c>
      <c r="AO105" s="100">
        <v>1.5235452410394176E-18</v>
      </c>
      <c r="AP105" s="100">
        <v>1.5235452410394176E-18</v>
      </c>
      <c r="AQ105" s="100">
        <v>1.5235452410394176E-18</v>
      </c>
      <c r="AR105" s="100">
        <v>1.5235452410394176E-18</v>
      </c>
      <c r="AS105" s="100">
        <v>1.5235452410394176E-18</v>
      </c>
      <c r="AT105" s="100">
        <v>1.5235452410394176E-18</v>
      </c>
      <c r="AU105" s="100">
        <v>1.5235452410394176E-18</v>
      </c>
      <c r="AV105" s="100">
        <v>1.5235452410394176E-18</v>
      </c>
      <c r="AW105" s="100">
        <v>1.5235452410394176E-18</v>
      </c>
      <c r="AX105" s="100">
        <v>1.5235452410394176E-18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2.6489808664177119E-20</v>
      </c>
      <c r="D107" s="100">
        <v>2.6489808664177119E-20</v>
      </c>
      <c r="E107" s="100">
        <v>2.6489808664177119E-20</v>
      </c>
      <c r="F107" s="100">
        <v>2.6489808664177119E-20</v>
      </c>
      <c r="G107" s="100">
        <v>2.6489808664177119E-20</v>
      </c>
      <c r="H107" s="100">
        <v>2.6489808664177119E-20</v>
      </c>
      <c r="I107" s="100">
        <v>2.6489808664177119E-20</v>
      </c>
      <c r="J107" s="100">
        <v>2.6489808664177119E-20</v>
      </c>
      <c r="K107" s="100">
        <v>2.1191846931341694E-20</v>
      </c>
      <c r="L107" s="100">
        <v>2.1191846931341694E-20</v>
      </c>
      <c r="M107" s="100">
        <v>2.1191846931341694E-20</v>
      </c>
      <c r="N107" s="100">
        <v>2.1191846931341694E-20</v>
      </c>
      <c r="O107" s="100">
        <v>2.1191846931341694E-20</v>
      </c>
      <c r="P107" s="100">
        <v>2.1191846931341694E-20</v>
      </c>
      <c r="Q107" s="100">
        <v>2.1191846931341694E-20</v>
      </c>
      <c r="R107" s="100">
        <v>2.1191846931341694E-20</v>
      </c>
      <c r="S107" s="100">
        <v>2.1191846931341694E-20</v>
      </c>
      <c r="T107" s="100">
        <v>2.1191846931341694E-20</v>
      </c>
      <c r="U107" s="100">
        <v>2.1191846931341694E-20</v>
      </c>
      <c r="V107" s="100">
        <v>2.1191846931341694E-20</v>
      </c>
      <c r="W107" s="100">
        <v>2.6489808664177119E-20</v>
      </c>
      <c r="X107" s="100">
        <v>2.6489808664177119E-20</v>
      </c>
      <c r="Y107" s="100">
        <v>2.6489808664177119E-20</v>
      </c>
      <c r="Z107" s="100">
        <v>2.6489808664177119E-20</v>
      </c>
      <c r="AA107" s="100">
        <v>2.6489808664177119E-20</v>
      </c>
      <c r="AB107" s="100">
        <v>2.6489808664177119E-20</v>
      </c>
      <c r="AC107" s="100">
        <v>2.6489808664177119E-20</v>
      </c>
      <c r="AD107" s="100">
        <v>2.6489808664177119E-20</v>
      </c>
      <c r="AE107" s="100">
        <v>2.6489808664177119E-20</v>
      </c>
      <c r="AF107" s="100">
        <v>2.6489808664177119E-20</v>
      </c>
      <c r="AG107" s="100">
        <v>2.6489808664177119E-20</v>
      </c>
      <c r="AH107" s="100">
        <v>2.6489808664177119E-20</v>
      </c>
      <c r="AI107" s="100">
        <v>2.1191846931341694E-20</v>
      </c>
      <c r="AJ107" s="100">
        <v>2.1191846931341694E-20</v>
      </c>
      <c r="AK107" s="100">
        <v>2.1191846931341694E-20</v>
      </c>
      <c r="AL107" s="100">
        <v>2.1191846931341694E-20</v>
      </c>
      <c r="AM107" s="100">
        <v>2.6489808664177119E-20</v>
      </c>
      <c r="AN107" s="100">
        <v>2.6489808664177119E-20</v>
      </c>
      <c r="AO107" s="100">
        <v>2.6489808664177119E-20</v>
      </c>
      <c r="AP107" s="100">
        <v>2.6489808664177119E-20</v>
      </c>
      <c r="AQ107" s="100">
        <v>2.6489808664177119E-20</v>
      </c>
      <c r="AR107" s="100">
        <v>2.6489808664177119E-20</v>
      </c>
      <c r="AS107" s="100">
        <v>2.6489808664177119E-20</v>
      </c>
      <c r="AT107" s="100">
        <v>2.6489808664177119E-20</v>
      </c>
      <c r="AU107" s="100">
        <v>2.6489808664177119E-20</v>
      </c>
      <c r="AV107" s="100">
        <v>2.6489808664177119E-20</v>
      </c>
      <c r="AW107" s="100">
        <v>2.6489808664177119E-20</v>
      </c>
      <c r="AX107" s="100">
        <v>2.6489808664177119E-20</v>
      </c>
    </row>
    <row r="108" spans="1:50">
      <c r="B108" s="105" t="s">
        <v>59</v>
      </c>
      <c r="C108" s="100">
        <v>0</v>
      </c>
      <c r="D108" s="100">
        <v>0</v>
      </c>
      <c r="E108" s="100">
        <v>0</v>
      </c>
      <c r="F108" s="100">
        <v>0</v>
      </c>
      <c r="G108" s="100">
        <v>0</v>
      </c>
      <c r="H108" s="100">
        <v>0</v>
      </c>
      <c r="I108" s="100">
        <v>0</v>
      </c>
      <c r="J108" s="100">
        <v>0</v>
      </c>
      <c r="K108" s="100">
        <v>0</v>
      </c>
      <c r="L108" s="100">
        <v>0</v>
      </c>
      <c r="M108" s="100">
        <v>0</v>
      </c>
      <c r="N108" s="100">
        <v>0</v>
      </c>
      <c r="O108" s="100">
        <v>0</v>
      </c>
      <c r="P108" s="100">
        <v>0</v>
      </c>
      <c r="Q108" s="100">
        <v>0</v>
      </c>
      <c r="R108" s="100">
        <v>0</v>
      </c>
      <c r="S108" s="100">
        <v>0</v>
      </c>
      <c r="T108" s="100">
        <v>0</v>
      </c>
      <c r="U108" s="100">
        <v>0</v>
      </c>
      <c r="V108" s="100">
        <v>0</v>
      </c>
      <c r="W108" s="100">
        <v>0</v>
      </c>
      <c r="X108" s="100">
        <v>0</v>
      </c>
      <c r="Y108" s="100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>
        <v>0</v>
      </c>
      <c r="AH108" s="100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>
        <v>0</v>
      </c>
      <c r="AN108" s="100">
        <v>0</v>
      </c>
      <c r="AO108" s="100">
        <v>0</v>
      </c>
      <c r="AP108" s="100">
        <v>0</v>
      </c>
      <c r="AQ108" s="100">
        <v>0</v>
      </c>
      <c r="AR108" s="100">
        <v>0</v>
      </c>
      <c r="AS108" s="100">
        <v>0</v>
      </c>
      <c r="AT108" s="100">
        <v>0</v>
      </c>
      <c r="AU108" s="100">
        <v>0</v>
      </c>
      <c r="AV108" s="100">
        <v>0</v>
      </c>
      <c r="AW108" s="100">
        <v>0</v>
      </c>
      <c r="AX108" s="100">
        <v>0</v>
      </c>
    </row>
    <row r="109" spans="1:50">
      <c r="B109" s="101" t="s">
        <v>278</v>
      </c>
      <c r="C109" s="105">
        <f>SUM(C$104:C$108)</f>
        <v>2.5831405715125715E-18</v>
      </c>
      <c r="D109" s="105">
        <f t="shared" ref="D109:AX109" si="6">SUM(D$104:D$108)</f>
        <v>2.5831405715125715E-18</v>
      </c>
      <c r="E109" s="105">
        <f t="shared" si="6"/>
        <v>2.5831405715125715E-18</v>
      </c>
      <c r="F109" s="105">
        <f t="shared" si="6"/>
        <v>2.5831405715125715E-18</v>
      </c>
      <c r="G109" s="105">
        <f t="shared" si="6"/>
        <v>2.5831405715125715E-18</v>
      </c>
      <c r="H109" s="105">
        <f t="shared" si="6"/>
        <v>2.5831405715125715E-18</v>
      </c>
      <c r="I109" s="105">
        <f t="shared" si="6"/>
        <v>2.5831405715125715E-18</v>
      </c>
      <c r="J109" s="105">
        <f t="shared" si="6"/>
        <v>2.5831405715125715E-18</v>
      </c>
      <c r="K109" s="105">
        <f t="shared" si="6"/>
        <v>2.0665124572100565E-18</v>
      </c>
      <c r="L109" s="105">
        <f t="shared" si="6"/>
        <v>2.0665124572100565E-18</v>
      </c>
      <c r="M109" s="105">
        <f t="shared" si="6"/>
        <v>2.0665124572100565E-18</v>
      </c>
      <c r="N109" s="105">
        <f t="shared" si="6"/>
        <v>2.0665124572100565E-18</v>
      </c>
      <c r="O109" s="105">
        <f t="shared" si="6"/>
        <v>2.0665124572100565E-18</v>
      </c>
      <c r="P109" s="105">
        <f t="shared" si="6"/>
        <v>2.0665124572100565E-18</v>
      </c>
      <c r="Q109" s="105">
        <f t="shared" si="6"/>
        <v>2.0665124572100565E-18</v>
      </c>
      <c r="R109" s="105">
        <f t="shared" si="6"/>
        <v>2.0665124572100565E-18</v>
      </c>
      <c r="S109" s="105">
        <f t="shared" si="6"/>
        <v>2.0665124572100565E-18</v>
      </c>
      <c r="T109" s="105">
        <f t="shared" si="6"/>
        <v>2.0665124572100565E-18</v>
      </c>
      <c r="U109" s="105">
        <f t="shared" si="6"/>
        <v>2.0665124572100565E-18</v>
      </c>
      <c r="V109" s="105">
        <f t="shared" si="6"/>
        <v>2.0665124572100565E-18</v>
      </c>
      <c r="W109" s="105">
        <f t="shared" si="6"/>
        <v>2.5831405715125715E-18</v>
      </c>
      <c r="X109" s="105">
        <f t="shared" si="6"/>
        <v>2.5831405715125715E-18</v>
      </c>
      <c r="Y109" s="105">
        <f t="shared" si="6"/>
        <v>2.5831405715125715E-18</v>
      </c>
      <c r="Z109" s="105">
        <f t="shared" si="6"/>
        <v>2.5831405715125715E-18</v>
      </c>
      <c r="AA109" s="105">
        <f t="shared" si="6"/>
        <v>2.5831405715125715E-18</v>
      </c>
      <c r="AB109" s="105">
        <f t="shared" si="6"/>
        <v>2.5831405715125715E-18</v>
      </c>
      <c r="AC109" s="105">
        <f t="shared" si="6"/>
        <v>2.5831405715125715E-18</v>
      </c>
      <c r="AD109" s="105">
        <f t="shared" si="6"/>
        <v>2.5831405715125715E-18</v>
      </c>
      <c r="AE109" s="105">
        <f t="shared" si="6"/>
        <v>2.5831405715125715E-18</v>
      </c>
      <c r="AF109" s="105">
        <f t="shared" si="6"/>
        <v>2.5831405715125715E-18</v>
      </c>
      <c r="AG109" s="105">
        <f t="shared" si="6"/>
        <v>2.5831405715125715E-18</v>
      </c>
      <c r="AH109" s="105">
        <f t="shared" si="6"/>
        <v>2.5831405715125715E-18</v>
      </c>
      <c r="AI109" s="105">
        <f t="shared" si="6"/>
        <v>2.0665124572100565E-18</v>
      </c>
      <c r="AJ109" s="105">
        <f t="shared" si="6"/>
        <v>2.0665124572100565E-18</v>
      </c>
      <c r="AK109" s="105">
        <f t="shared" si="6"/>
        <v>2.0665124572100565E-18</v>
      </c>
      <c r="AL109" s="105">
        <f t="shared" si="6"/>
        <v>2.0665124572100565E-18</v>
      </c>
      <c r="AM109" s="105">
        <f t="shared" si="6"/>
        <v>2.5831405715125715E-18</v>
      </c>
      <c r="AN109" s="105">
        <f t="shared" si="6"/>
        <v>2.5831405715125715E-18</v>
      </c>
      <c r="AO109" s="105">
        <f t="shared" si="6"/>
        <v>2.5831405715125715E-18</v>
      </c>
      <c r="AP109" s="105">
        <f t="shared" si="6"/>
        <v>2.5831405715125715E-18</v>
      </c>
      <c r="AQ109" s="105">
        <f t="shared" si="6"/>
        <v>2.5831405715125715E-18</v>
      </c>
      <c r="AR109" s="105">
        <f t="shared" si="6"/>
        <v>2.5831405715125715E-18</v>
      </c>
      <c r="AS109" s="105">
        <f t="shared" si="6"/>
        <v>2.5831405715125715E-18</v>
      </c>
      <c r="AT109" s="105">
        <f t="shared" si="6"/>
        <v>2.5831405715125715E-18</v>
      </c>
      <c r="AU109" s="105">
        <f t="shared" si="6"/>
        <v>2.5831405715125715E-18</v>
      </c>
      <c r="AV109" s="105">
        <f t="shared" si="6"/>
        <v>2.5831405715125715E-18</v>
      </c>
      <c r="AW109" s="105">
        <f t="shared" si="6"/>
        <v>2.5831405715125715E-18</v>
      </c>
      <c r="AX109" s="105">
        <f t="shared" si="6"/>
        <v>2.5831405715125715E-18</v>
      </c>
    </row>
    <row r="110" spans="1:50">
      <c r="A110" s="105" t="s">
        <v>106</v>
      </c>
      <c r="B110" s="105" t="s">
        <v>10</v>
      </c>
      <c r="C110" s="100">
        <v>1.7421402731660261E-18</v>
      </c>
      <c r="D110" s="100">
        <v>1.7421402731660261E-18</v>
      </c>
      <c r="E110" s="100">
        <v>1.7421402731660261E-18</v>
      </c>
      <c r="F110" s="100">
        <v>1.7421402731660261E-18</v>
      </c>
      <c r="G110" s="100">
        <v>1.7421402731660261E-18</v>
      </c>
      <c r="H110" s="100">
        <v>1.7421402731660261E-18</v>
      </c>
      <c r="I110" s="100">
        <v>1.7421402731660261E-18</v>
      </c>
      <c r="J110" s="100">
        <v>1.7421402731660261E-18</v>
      </c>
      <c r="K110" s="100">
        <v>1.7421402731660261E-18</v>
      </c>
      <c r="L110" s="100">
        <v>1.7421402731660261E-18</v>
      </c>
      <c r="M110" s="100">
        <v>1.7421402731660261E-18</v>
      </c>
      <c r="N110" s="100">
        <v>1.7421402731660261E-18</v>
      </c>
      <c r="O110" s="100">
        <v>1.7421402731660261E-18</v>
      </c>
      <c r="P110" s="100">
        <v>1.7421402731660261E-18</v>
      </c>
      <c r="Q110" s="100">
        <v>1.7421402731660261E-18</v>
      </c>
      <c r="R110" s="100">
        <v>1.7421402731660261E-18</v>
      </c>
      <c r="S110" s="100">
        <v>1.7421402731660261E-18</v>
      </c>
      <c r="T110" s="100">
        <v>1.7421402731660261E-18</v>
      </c>
      <c r="U110" s="100">
        <v>1.7421402731660261E-18</v>
      </c>
      <c r="V110" s="100">
        <v>1.7421402731660261E-18</v>
      </c>
      <c r="W110" s="100">
        <v>1.7421402731660261E-18</v>
      </c>
      <c r="X110" s="100">
        <v>1.7421402731660261E-18</v>
      </c>
      <c r="Y110" s="100">
        <v>1.7421402731660261E-18</v>
      </c>
      <c r="Z110" s="100">
        <v>1.7421402731660261E-18</v>
      </c>
      <c r="AA110" s="100">
        <v>1.7421402731660261E-18</v>
      </c>
      <c r="AB110" s="100">
        <v>1.7421402731660261E-18</v>
      </c>
      <c r="AC110" s="100">
        <v>1.7421402731660261E-18</v>
      </c>
      <c r="AD110" s="100">
        <v>1.7421402731660261E-18</v>
      </c>
      <c r="AE110" s="100">
        <v>1.3937122185328209E-18</v>
      </c>
      <c r="AF110" s="100">
        <v>1.3937122185328209E-18</v>
      </c>
      <c r="AG110" s="100">
        <v>1.3937122185328209E-18</v>
      </c>
      <c r="AH110" s="100">
        <v>1.3937122185328209E-18</v>
      </c>
      <c r="AI110" s="100">
        <v>1.7421402731660261E-18</v>
      </c>
      <c r="AJ110" s="100">
        <v>1.7421402731660261E-18</v>
      </c>
      <c r="AK110" s="100">
        <v>1.7421402731660261E-18</v>
      </c>
      <c r="AL110" s="100">
        <v>1.7421402731660261E-18</v>
      </c>
      <c r="AM110" s="100">
        <v>1.7421402731660261E-18</v>
      </c>
      <c r="AN110" s="100">
        <v>1.7421402731660261E-18</v>
      </c>
      <c r="AO110" s="100">
        <v>1.7421402731660261E-18</v>
      </c>
      <c r="AP110" s="100">
        <v>1.7421402731660261E-18</v>
      </c>
      <c r="AQ110" s="100">
        <v>1.7421402731660261E-18</v>
      </c>
      <c r="AR110" s="100">
        <v>1.7421402731660261E-18</v>
      </c>
      <c r="AS110" s="100">
        <v>1.7421402731660261E-18</v>
      </c>
      <c r="AT110" s="100">
        <v>1.7421402731660261E-18</v>
      </c>
      <c r="AU110" s="100">
        <v>1.7421402731660261E-18</v>
      </c>
      <c r="AV110" s="100">
        <v>1.7421402731660261E-18</v>
      </c>
      <c r="AW110" s="100">
        <v>1.7421402731660261E-18</v>
      </c>
      <c r="AX110" s="100">
        <v>1.7421402731660261E-18</v>
      </c>
    </row>
    <row r="111" spans="1:50">
      <c r="B111" s="105" t="s">
        <v>12</v>
      </c>
      <c r="C111" s="100">
        <v>7.4214981856385426E-18</v>
      </c>
      <c r="D111" s="100">
        <v>7.4214981856385426E-18</v>
      </c>
      <c r="E111" s="100">
        <v>7.4214981856385426E-18</v>
      </c>
      <c r="F111" s="100">
        <v>7.4214981856385426E-18</v>
      </c>
      <c r="G111" s="100">
        <v>7.4214981856385426E-18</v>
      </c>
      <c r="H111" s="100">
        <v>7.4214981856385426E-18</v>
      </c>
      <c r="I111" s="100">
        <v>7.4214981856385426E-18</v>
      </c>
      <c r="J111" s="100">
        <v>7.4214981856385426E-18</v>
      </c>
      <c r="K111" s="100">
        <v>7.4214981856385426E-18</v>
      </c>
      <c r="L111" s="100">
        <v>7.4214981856385426E-18</v>
      </c>
      <c r="M111" s="100">
        <v>7.4214981856385426E-18</v>
      </c>
      <c r="N111" s="100">
        <v>7.4214981856385426E-18</v>
      </c>
      <c r="O111" s="100">
        <v>7.4214981856385426E-18</v>
      </c>
      <c r="P111" s="100">
        <v>7.4214981856385426E-18</v>
      </c>
      <c r="Q111" s="100">
        <v>7.4214981856385426E-18</v>
      </c>
      <c r="R111" s="100">
        <v>7.4214981856385426E-18</v>
      </c>
      <c r="S111" s="100">
        <v>7.4214981856385426E-18</v>
      </c>
      <c r="T111" s="100">
        <v>7.4214981856385426E-18</v>
      </c>
      <c r="U111" s="100">
        <v>7.4214981856385426E-18</v>
      </c>
      <c r="V111" s="100">
        <v>7.4214981856385426E-18</v>
      </c>
      <c r="W111" s="100">
        <v>7.4214981856385426E-18</v>
      </c>
      <c r="X111" s="100">
        <v>7.4214981856385426E-18</v>
      </c>
      <c r="Y111" s="100">
        <v>7.4214981856385426E-18</v>
      </c>
      <c r="Z111" s="100">
        <v>7.4214981856385426E-18</v>
      </c>
      <c r="AA111" s="100">
        <v>7.4214981856385426E-18</v>
      </c>
      <c r="AB111" s="100">
        <v>7.4214981856385426E-18</v>
      </c>
      <c r="AC111" s="100">
        <v>7.4214981856385426E-18</v>
      </c>
      <c r="AD111" s="100">
        <v>7.4214981856385426E-18</v>
      </c>
      <c r="AE111" s="100">
        <v>5.9371985485108344E-18</v>
      </c>
      <c r="AF111" s="100">
        <v>5.9371985485108344E-18</v>
      </c>
      <c r="AG111" s="100">
        <v>5.9371985485108344E-18</v>
      </c>
      <c r="AH111" s="100">
        <v>5.9371985485108344E-18</v>
      </c>
      <c r="AI111" s="100">
        <v>7.4214981856385426E-18</v>
      </c>
      <c r="AJ111" s="100">
        <v>7.4214981856385426E-18</v>
      </c>
      <c r="AK111" s="100">
        <v>7.4214981856385426E-18</v>
      </c>
      <c r="AL111" s="100">
        <v>7.4214981856385426E-18</v>
      </c>
      <c r="AM111" s="100">
        <v>7.4214981856385426E-18</v>
      </c>
      <c r="AN111" s="100">
        <v>7.4214981856385426E-18</v>
      </c>
      <c r="AO111" s="100">
        <v>7.4214981856385426E-18</v>
      </c>
      <c r="AP111" s="100">
        <v>7.4214981856385426E-18</v>
      </c>
      <c r="AQ111" s="100">
        <v>7.4214981856385426E-18</v>
      </c>
      <c r="AR111" s="100">
        <v>7.4214981856385426E-18</v>
      </c>
      <c r="AS111" s="100">
        <v>7.4214981856385426E-18</v>
      </c>
      <c r="AT111" s="100">
        <v>7.4214981856385426E-18</v>
      </c>
      <c r="AU111" s="100">
        <v>7.4214981856385426E-18</v>
      </c>
      <c r="AV111" s="100">
        <v>7.4214981856385426E-18</v>
      </c>
      <c r="AW111" s="100">
        <v>7.4214981856385426E-18</v>
      </c>
      <c r="AX111" s="100">
        <v>7.4214981856385426E-18</v>
      </c>
    </row>
    <row r="112" spans="1:50">
      <c r="B112" s="105" t="s">
        <v>22</v>
      </c>
      <c r="C112" s="100">
        <v>3379.2</v>
      </c>
      <c r="D112" s="100">
        <v>3379.2</v>
      </c>
      <c r="E112" s="100">
        <v>3379.2</v>
      </c>
      <c r="F112" s="100">
        <v>3379.2</v>
      </c>
      <c r="G112" s="100">
        <v>3379.2</v>
      </c>
      <c r="H112" s="100">
        <v>3379.2</v>
      </c>
      <c r="I112" s="100">
        <v>3379.2</v>
      </c>
      <c r="J112" s="100">
        <v>3379.2</v>
      </c>
      <c r="K112" s="100">
        <v>3379.2</v>
      </c>
      <c r="L112" s="100">
        <v>3379.2</v>
      </c>
      <c r="M112" s="100">
        <v>3379.2</v>
      </c>
      <c r="N112" s="100">
        <v>3379.2</v>
      </c>
      <c r="O112" s="100">
        <v>3379.2</v>
      </c>
      <c r="P112" s="100">
        <v>3379.2</v>
      </c>
      <c r="Q112" s="100">
        <v>3379.2</v>
      </c>
      <c r="R112" s="100">
        <v>3379.2</v>
      </c>
      <c r="S112" s="100">
        <v>3379.2</v>
      </c>
      <c r="T112" s="100">
        <v>3379.2</v>
      </c>
      <c r="U112" s="100">
        <v>3379.2</v>
      </c>
      <c r="V112" s="100">
        <v>3379.2</v>
      </c>
      <c r="W112" s="100">
        <v>3379.2</v>
      </c>
      <c r="X112" s="100">
        <v>3379.2</v>
      </c>
      <c r="Y112" s="100">
        <v>3379.2</v>
      </c>
      <c r="Z112" s="100">
        <v>3379.2</v>
      </c>
      <c r="AA112" s="100">
        <v>3379.2</v>
      </c>
      <c r="AB112" s="100">
        <v>3379.2</v>
      </c>
      <c r="AC112" s="100">
        <v>3379.2</v>
      </c>
      <c r="AD112" s="100">
        <v>3379.2</v>
      </c>
      <c r="AE112" s="100">
        <v>2703.36</v>
      </c>
      <c r="AF112" s="100">
        <v>2703.36</v>
      </c>
      <c r="AG112" s="100">
        <v>2703.36</v>
      </c>
      <c r="AH112" s="100">
        <v>2703.36</v>
      </c>
      <c r="AI112" s="100">
        <v>3379.2</v>
      </c>
      <c r="AJ112" s="100">
        <v>3379.2</v>
      </c>
      <c r="AK112" s="100">
        <v>3379.2</v>
      </c>
      <c r="AL112" s="100">
        <v>3379.2</v>
      </c>
      <c r="AM112" s="100">
        <v>3379.2</v>
      </c>
      <c r="AN112" s="100">
        <v>3379.2</v>
      </c>
      <c r="AO112" s="100">
        <v>3379.2</v>
      </c>
      <c r="AP112" s="100">
        <v>3379.2</v>
      </c>
      <c r="AQ112" s="100">
        <v>3379.2</v>
      </c>
      <c r="AR112" s="100">
        <v>3379.2</v>
      </c>
      <c r="AS112" s="100">
        <v>3379.2</v>
      </c>
      <c r="AT112" s="100">
        <v>3379.2</v>
      </c>
      <c r="AU112" s="100">
        <v>3379.2</v>
      </c>
      <c r="AV112" s="100">
        <v>3379.2</v>
      </c>
      <c r="AW112" s="100">
        <v>3379.2</v>
      </c>
      <c r="AX112" s="100">
        <v>3379.2</v>
      </c>
    </row>
    <row r="113" spans="1:50">
      <c r="B113" s="105" t="s">
        <v>46</v>
      </c>
      <c r="C113" s="100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0">
        <v>0</v>
      </c>
      <c r="L113" s="100">
        <v>0</v>
      </c>
      <c r="M113" s="100">
        <v>0</v>
      </c>
      <c r="N113" s="100">
        <v>0</v>
      </c>
      <c r="O113" s="100">
        <v>0</v>
      </c>
      <c r="P113" s="100">
        <v>0</v>
      </c>
      <c r="Q113" s="100">
        <v>0</v>
      </c>
      <c r="R113" s="100">
        <v>0</v>
      </c>
      <c r="S113" s="100">
        <v>0</v>
      </c>
      <c r="T113" s="100">
        <v>0</v>
      </c>
      <c r="U113" s="100">
        <v>0</v>
      </c>
      <c r="V113" s="100">
        <v>0</v>
      </c>
      <c r="W113" s="100">
        <v>0</v>
      </c>
      <c r="X113" s="100">
        <v>0</v>
      </c>
      <c r="Y113" s="100">
        <v>0</v>
      </c>
      <c r="Z113" s="100">
        <v>0</v>
      </c>
      <c r="AA113" s="100">
        <v>0</v>
      </c>
      <c r="AB113" s="100">
        <v>0</v>
      </c>
      <c r="AC113" s="100">
        <v>0</v>
      </c>
      <c r="AD113" s="100">
        <v>0</v>
      </c>
      <c r="AE113" s="100">
        <v>0</v>
      </c>
      <c r="AF113" s="100">
        <v>0</v>
      </c>
      <c r="AG113" s="100">
        <v>0</v>
      </c>
      <c r="AH113" s="100">
        <v>0</v>
      </c>
      <c r="AI113" s="100">
        <v>0</v>
      </c>
      <c r="AJ113" s="100">
        <v>0</v>
      </c>
      <c r="AK113" s="100">
        <v>0</v>
      </c>
      <c r="AL113" s="100">
        <v>0</v>
      </c>
      <c r="AM113" s="100">
        <v>0</v>
      </c>
      <c r="AN113" s="100">
        <v>0</v>
      </c>
      <c r="AO113" s="100">
        <v>0</v>
      </c>
      <c r="AP113" s="100">
        <v>0</v>
      </c>
      <c r="AQ113" s="100">
        <v>0</v>
      </c>
      <c r="AR113" s="100">
        <v>0</v>
      </c>
      <c r="AS113" s="100">
        <v>0</v>
      </c>
      <c r="AT113" s="100">
        <v>0</v>
      </c>
      <c r="AU113" s="100">
        <v>0</v>
      </c>
      <c r="AV113" s="100">
        <v>0</v>
      </c>
      <c r="AW113" s="100">
        <v>0</v>
      </c>
      <c r="AX113" s="100">
        <v>0</v>
      </c>
    </row>
    <row r="114" spans="1:50">
      <c r="B114" s="105" t="s">
        <v>59</v>
      </c>
      <c r="C114" s="100">
        <v>5.1672317343968976E-19</v>
      </c>
      <c r="D114" s="100">
        <v>5.1672317343968976E-19</v>
      </c>
      <c r="E114" s="100">
        <v>5.1672317343968976E-19</v>
      </c>
      <c r="F114" s="100">
        <v>5.1672317343968976E-19</v>
      </c>
      <c r="G114" s="100">
        <v>5.1672317343968976E-19</v>
      </c>
      <c r="H114" s="100">
        <v>5.1672317343968976E-19</v>
      </c>
      <c r="I114" s="100">
        <v>5.1672317343968976E-19</v>
      </c>
      <c r="J114" s="100">
        <v>5.1672317343968976E-19</v>
      </c>
      <c r="K114" s="100">
        <v>5.1672317343968976E-19</v>
      </c>
      <c r="L114" s="100">
        <v>5.1672317343968976E-19</v>
      </c>
      <c r="M114" s="100">
        <v>5.1672317343968976E-19</v>
      </c>
      <c r="N114" s="100">
        <v>5.1672317343968976E-19</v>
      </c>
      <c r="O114" s="100">
        <v>5.1672317343968976E-19</v>
      </c>
      <c r="P114" s="100">
        <v>5.1672317343968976E-19</v>
      </c>
      <c r="Q114" s="100">
        <v>5.1672317343968976E-19</v>
      </c>
      <c r="R114" s="100">
        <v>5.1672317343968976E-19</v>
      </c>
      <c r="S114" s="100">
        <v>5.1672317343968976E-19</v>
      </c>
      <c r="T114" s="100">
        <v>5.1672317343968976E-19</v>
      </c>
      <c r="U114" s="100">
        <v>5.1672317343968976E-19</v>
      </c>
      <c r="V114" s="100">
        <v>5.1672317343968976E-19</v>
      </c>
      <c r="W114" s="100">
        <v>5.1672317343968976E-19</v>
      </c>
      <c r="X114" s="100">
        <v>5.1672317343968976E-19</v>
      </c>
      <c r="Y114" s="100">
        <v>5.1672317343968976E-19</v>
      </c>
      <c r="Z114" s="100">
        <v>5.1672317343968976E-19</v>
      </c>
      <c r="AA114" s="100">
        <v>5.1672317343968976E-19</v>
      </c>
      <c r="AB114" s="100">
        <v>5.1672317343968976E-19</v>
      </c>
      <c r="AC114" s="100">
        <v>5.1672317343968976E-19</v>
      </c>
      <c r="AD114" s="100">
        <v>5.1672317343968976E-19</v>
      </c>
      <c r="AE114" s="100">
        <v>4.1337853875175178E-19</v>
      </c>
      <c r="AF114" s="100">
        <v>4.1337853875175178E-19</v>
      </c>
      <c r="AG114" s="100">
        <v>4.1337853875175178E-19</v>
      </c>
      <c r="AH114" s="100">
        <v>4.1337853875175178E-19</v>
      </c>
      <c r="AI114" s="100">
        <v>5.1672317343968976E-19</v>
      </c>
      <c r="AJ114" s="100">
        <v>5.1672317343968976E-19</v>
      </c>
      <c r="AK114" s="100">
        <v>5.1672317343968976E-19</v>
      </c>
      <c r="AL114" s="100">
        <v>5.1672317343968976E-19</v>
      </c>
      <c r="AM114" s="100">
        <v>5.1672317343968976E-19</v>
      </c>
      <c r="AN114" s="100">
        <v>5.1672317343968976E-19</v>
      </c>
      <c r="AO114" s="100">
        <v>5.1672317343968976E-19</v>
      </c>
      <c r="AP114" s="100">
        <v>5.1672317343968976E-19</v>
      </c>
      <c r="AQ114" s="100">
        <v>5.1672317343968976E-19</v>
      </c>
      <c r="AR114" s="100">
        <v>5.1672317343968976E-19</v>
      </c>
      <c r="AS114" s="100">
        <v>5.1672317343968976E-19</v>
      </c>
      <c r="AT114" s="100">
        <v>5.1672317343968976E-19</v>
      </c>
      <c r="AU114" s="100">
        <v>5.1672317343968976E-19</v>
      </c>
      <c r="AV114" s="100">
        <v>5.1672317343968976E-19</v>
      </c>
      <c r="AW114" s="100">
        <v>5.1672317343968976E-19</v>
      </c>
      <c r="AX114" s="100">
        <v>5.1672317343968976E-19</v>
      </c>
    </row>
    <row r="115" spans="1:50">
      <c r="B115" s="100" t="s">
        <v>278</v>
      </c>
      <c r="C115" s="105">
        <f>SUM(C$110:C$114)</f>
        <v>3379.2</v>
      </c>
      <c r="D115" s="105">
        <f t="shared" ref="D115:AX115" si="7">SUM(D$110:D$114)</f>
        <v>3379.2</v>
      </c>
      <c r="E115" s="105">
        <f t="shared" si="7"/>
        <v>3379.2</v>
      </c>
      <c r="F115" s="105">
        <f t="shared" si="7"/>
        <v>3379.2</v>
      </c>
      <c r="G115" s="105">
        <f t="shared" si="7"/>
        <v>3379.2</v>
      </c>
      <c r="H115" s="105">
        <f t="shared" si="7"/>
        <v>3379.2</v>
      </c>
      <c r="I115" s="105">
        <f t="shared" si="7"/>
        <v>3379.2</v>
      </c>
      <c r="J115" s="105">
        <f t="shared" si="7"/>
        <v>3379.2</v>
      </c>
      <c r="K115" s="105">
        <f t="shared" si="7"/>
        <v>3379.2</v>
      </c>
      <c r="L115" s="105">
        <f t="shared" si="7"/>
        <v>3379.2</v>
      </c>
      <c r="M115" s="105">
        <f t="shared" si="7"/>
        <v>3379.2</v>
      </c>
      <c r="N115" s="105">
        <f t="shared" si="7"/>
        <v>3379.2</v>
      </c>
      <c r="O115" s="105">
        <f t="shared" si="7"/>
        <v>3379.2</v>
      </c>
      <c r="P115" s="105">
        <f t="shared" si="7"/>
        <v>3379.2</v>
      </c>
      <c r="Q115" s="105">
        <f t="shared" si="7"/>
        <v>3379.2</v>
      </c>
      <c r="R115" s="105">
        <f t="shared" si="7"/>
        <v>3379.2</v>
      </c>
      <c r="S115" s="105">
        <f t="shared" si="7"/>
        <v>3379.2</v>
      </c>
      <c r="T115" s="105">
        <f t="shared" si="7"/>
        <v>3379.2</v>
      </c>
      <c r="U115" s="105">
        <f t="shared" si="7"/>
        <v>3379.2</v>
      </c>
      <c r="V115" s="105">
        <f t="shared" si="7"/>
        <v>3379.2</v>
      </c>
      <c r="W115" s="105">
        <f t="shared" si="7"/>
        <v>3379.2</v>
      </c>
      <c r="X115" s="105">
        <f t="shared" si="7"/>
        <v>3379.2</v>
      </c>
      <c r="Y115" s="105">
        <f t="shared" si="7"/>
        <v>3379.2</v>
      </c>
      <c r="Z115" s="105">
        <f t="shared" si="7"/>
        <v>3379.2</v>
      </c>
      <c r="AA115" s="105">
        <f t="shared" si="7"/>
        <v>3379.2</v>
      </c>
      <c r="AB115" s="105">
        <f t="shared" si="7"/>
        <v>3379.2</v>
      </c>
      <c r="AC115" s="105">
        <f t="shared" si="7"/>
        <v>3379.2</v>
      </c>
      <c r="AD115" s="105">
        <f t="shared" si="7"/>
        <v>3379.2</v>
      </c>
      <c r="AE115" s="105">
        <f t="shared" si="7"/>
        <v>2703.36</v>
      </c>
      <c r="AF115" s="105">
        <f t="shared" si="7"/>
        <v>2703.36</v>
      </c>
      <c r="AG115" s="105">
        <f t="shared" si="7"/>
        <v>2703.36</v>
      </c>
      <c r="AH115" s="105">
        <f t="shared" si="7"/>
        <v>2703.36</v>
      </c>
      <c r="AI115" s="105">
        <f t="shared" si="7"/>
        <v>3379.2</v>
      </c>
      <c r="AJ115" s="105">
        <f t="shared" si="7"/>
        <v>3379.2</v>
      </c>
      <c r="AK115" s="105">
        <f t="shared" si="7"/>
        <v>3379.2</v>
      </c>
      <c r="AL115" s="105">
        <f t="shared" si="7"/>
        <v>3379.2</v>
      </c>
      <c r="AM115" s="105">
        <f t="shared" si="7"/>
        <v>3379.2</v>
      </c>
      <c r="AN115" s="105">
        <f t="shared" si="7"/>
        <v>3379.2</v>
      </c>
      <c r="AO115" s="105">
        <f t="shared" si="7"/>
        <v>3379.2</v>
      </c>
      <c r="AP115" s="105">
        <f t="shared" si="7"/>
        <v>3379.2</v>
      </c>
      <c r="AQ115" s="105">
        <f t="shared" si="7"/>
        <v>3379.2</v>
      </c>
      <c r="AR115" s="105">
        <f t="shared" si="7"/>
        <v>3379.2</v>
      </c>
      <c r="AS115" s="105">
        <f t="shared" si="7"/>
        <v>3379.2</v>
      </c>
      <c r="AT115" s="105">
        <f t="shared" si="7"/>
        <v>3379.2</v>
      </c>
      <c r="AU115" s="105">
        <f t="shared" si="7"/>
        <v>3379.2</v>
      </c>
      <c r="AV115" s="105">
        <f t="shared" si="7"/>
        <v>3379.2</v>
      </c>
      <c r="AW115" s="105">
        <f t="shared" si="7"/>
        <v>3379.2</v>
      </c>
      <c r="AX115" s="105">
        <f t="shared" si="7"/>
        <v>3379.2</v>
      </c>
    </row>
    <row r="116" spans="1:50">
      <c r="A116" s="105" t="s">
        <v>107</v>
      </c>
      <c r="B116" s="105" t="s">
        <v>10</v>
      </c>
      <c r="C116" s="100">
        <v>11615.999999999987</v>
      </c>
      <c r="D116" s="100">
        <v>11615.999999999987</v>
      </c>
      <c r="E116" s="100">
        <v>11615.999999999987</v>
      </c>
      <c r="F116" s="100">
        <v>11615.999999999987</v>
      </c>
      <c r="G116" s="100">
        <v>11615.999999999987</v>
      </c>
      <c r="H116" s="100">
        <v>11615.999999999987</v>
      </c>
      <c r="I116" s="100">
        <v>11615.999999999987</v>
      </c>
      <c r="J116" s="100">
        <v>11615.999999999987</v>
      </c>
      <c r="K116" s="100">
        <v>11615.999999999987</v>
      </c>
      <c r="L116" s="100">
        <v>11615.999999999987</v>
      </c>
      <c r="M116" s="100">
        <v>11615.999999999987</v>
      </c>
      <c r="N116" s="100">
        <v>11615.999999999987</v>
      </c>
      <c r="O116" s="100">
        <v>11615.999999999987</v>
      </c>
      <c r="P116" s="100">
        <v>11615.999999999987</v>
      </c>
      <c r="Q116" s="100">
        <v>11615.999999999987</v>
      </c>
      <c r="R116" s="100">
        <v>11615.999999999987</v>
      </c>
      <c r="S116" s="100">
        <v>11615.999999999987</v>
      </c>
      <c r="T116" s="100">
        <v>11615.999999999987</v>
      </c>
      <c r="U116" s="100">
        <v>11615.999999999987</v>
      </c>
      <c r="V116" s="100">
        <v>11615.999999999987</v>
      </c>
      <c r="W116" s="100">
        <v>11615.999999999987</v>
      </c>
      <c r="X116" s="100">
        <v>11615.999999999987</v>
      </c>
      <c r="Y116" s="100">
        <v>11615.999999999987</v>
      </c>
      <c r="Z116" s="100">
        <v>11615.999999999987</v>
      </c>
      <c r="AA116" s="100">
        <v>0</v>
      </c>
      <c r="AB116" s="100">
        <v>0</v>
      </c>
      <c r="AC116" s="100">
        <v>0</v>
      </c>
      <c r="AD116" s="100">
        <v>0</v>
      </c>
      <c r="AE116" s="100">
        <v>11615.999999999987</v>
      </c>
      <c r="AF116" s="100">
        <v>11615.999999999987</v>
      </c>
      <c r="AG116" s="100">
        <v>11615.999999999987</v>
      </c>
      <c r="AH116" s="100">
        <v>11615.999999999987</v>
      </c>
      <c r="AI116" s="100">
        <v>11615.999999999987</v>
      </c>
      <c r="AJ116" s="100">
        <v>11615.999999999987</v>
      </c>
      <c r="AK116" s="100">
        <v>11615.999999999987</v>
      </c>
      <c r="AL116" s="100">
        <v>11615.999999999987</v>
      </c>
      <c r="AM116" s="100">
        <v>11615.999999999987</v>
      </c>
      <c r="AN116" s="100">
        <v>11615.999999999987</v>
      </c>
      <c r="AO116" s="100">
        <v>11615.999999999987</v>
      </c>
      <c r="AP116" s="100">
        <v>11615.999999999987</v>
      </c>
      <c r="AQ116" s="100">
        <v>11615.999999999987</v>
      </c>
      <c r="AR116" s="100">
        <v>11615.999999999987</v>
      </c>
      <c r="AS116" s="100">
        <v>11615.999999999987</v>
      </c>
      <c r="AT116" s="100">
        <v>11615.999999999987</v>
      </c>
      <c r="AU116" s="100">
        <v>11615.999999999987</v>
      </c>
      <c r="AV116" s="100">
        <v>11615.999999999987</v>
      </c>
      <c r="AW116" s="100">
        <v>11615.999999999987</v>
      </c>
      <c r="AX116" s="100">
        <v>11615.999999999987</v>
      </c>
    </row>
    <row r="117" spans="1:50">
      <c r="B117" s="105" t="s">
        <v>12</v>
      </c>
      <c r="C117" s="100">
        <v>5.8507340254911145E-18</v>
      </c>
      <c r="D117" s="100">
        <v>5.8507340254911145E-18</v>
      </c>
      <c r="E117" s="100">
        <v>5.8507340254911145E-18</v>
      </c>
      <c r="F117" s="100">
        <v>5.8507340254911145E-18</v>
      </c>
      <c r="G117" s="100">
        <v>5.8507340254911145E-18</v>
      </c>
      <c r="H117" s="100">
        <v>5.8507340254911145E-18</v>
      </c>
      <c r="I117" s="100">
        <v>5.8507340254911145E-18</v>
      </c>
      <c r="J117" s="100">
        <v>5.8507340254911145E-18</v>
      </c>
      <c r="K117" s="100">
        <v>5.8507340254911145E-18</v>
      </c>
      <c r="L117" s="100">
        <v>5.8507340254911145E-18</v>
      </c>
      <c r="M117" s="100">
        <v>5.8507340254911145E-18</v>
      </c>
      <c r="N117" s="100">
        <v>5.8507340254911145E-18</v>
      </c>
      <c r="O117" s="100">
        <v>5.8507340254911145E-18</v>
      </c>
      <c r="P117" s="100">
        <v>5.8507340254911145E-18</v>
      </c>
      <c r="Q117" s="100">
        <v>5.8507340254911145E-18</v>
      </c>
      <c r="R117" s="100">
        <v>5.8507340254911145E-18</v>
      </c>
      <c r="S117" s="100">
        <v>5.8507340254911145E-18</v>
      </c>
      <c r="T117" s="100">
        <v>5.8507340254911145E-18</v>
      </c>
      <c r="U117" s="100">
        <v>5.8507340254911145E-18</v>
      </c>
      <c r="V117" s="100">
        <v>5.8507340254911145E-18</v>
      </c>
      <c r="W117" s="100">
        <v>5.8507340254911145E-18</v>
      </c>
      <c r="X117" s="100">
        <v>5.8507340254911145E-18</v>
      </c>
      <c r="Y117" s="100">
        <v>5.8507340254911145E-18</v>
      </c>
      <c r="Z117" s="100">
        <v>5.8507340254911145E-18</v>
      </c>
      <c r="AA117" s="100">
        <v>0</v>
      </c>
      <c r="AB117" s="100">
        <v>0</v>
      </c>
      <c r="AC117" s="100">
        <v>0</v>
      </c>
      <c r="AD117" s="100">
        <v>0</v>
      </c>
      <c r="AE117" s="100">
        <v>5.8507340254911145E-18</v>
      </c>
      <c r="AF117" s="100">
        <v>5.8507340254911145E-18</v>
      </c>
      <c r="AG117" s="100">
        <v>5.8507340254911145E-18</v>
      </c>
      <c r="AH117" s="100">
        <v>5.8507340254911145E-18</v>
      </c>
      <c r="AI117" s="100">
        <v>5.8507340254911145E-18</v>
      </c>
      <c r="AJ117" s="100">
        <v>5.8507340254911145E-18</v>
      </c>
      <c r="AK117" s="100">
        <v>5.8507340254911145E-18</v>
      </c>
      <c r="AL117" s="100">
        <v>5.8507340254911145E-18</v>
      </c>
      <c r="AM117" s="100">
        <v>5.8507340254911145E-18</v>
      </c>
      <c r="AN117" s="100">
        <v>5.8507340254911145E-18</v>
      </c>
      <c r="AO117" s="100">
        <v>5.8507340254911145E-18</v>
      </c>
      <c r="AP117" s="100">
        <v>5.8507340254911145E-18</v>
      </c>
      <c r="AQ117" s="100">
        <v>5.8507340254911145E-18</v>
      </c>
      <c r="AR117" s="100">
        <v>5.8507340254911145E-18</v>
      </c>
      <c r="AS117" s="100">
        <v>5.8507340254911145E-18</v>
      </c>
      <c r="AT117" s="100">
        <v>5.8507340254911145E-18</v>
      </c>
      <c r="AU117" s="100">
        <v>5.8507340254911145E-18</v>
      </c>
      <c r="AV117" s="100">
        <v>5.8507340254911145E-18</v>
      </c>
      <c r="AW117" s="100">
        <v>5.8507340254911145E-18</v>
      </c>
      <c r="AX117" s="100">
        <v>5.8507340254911145E-18</v>
      </c>
    </row>
    <row r="118" spans="1:50">
      <c r="B118" s="105" t="s">
        <v>22</v>
      </c>
      <c r="C118" s="100">
        <v>4.4866749474476354E-19</v>
      </c>
      <c r="D118" s="100">
        <v>4.4866749474476354E-19</v>
      </c>
      <c r="E118" s="100">
        <v>4.4866749474476354E-19</v>
      </c>
      <c r="F118" s="100">
        <v>4.4866749474476354E-19</v>
      </c>
      <c r="G118" s="100">
        <v>4.4866749474476354E-19</v>
      </c>
      <c r="H118" s="100">
        <v>4.4866749474476354E-19</v>
      </c>
      <c r="I118" s="100">
        <v>4.4866749474476354E-19</v>
      </c>
      <c r="J118" s="100">
        <v>4.4866749474476354E-19</v>
      </c>
      <c r="K118" s="100">
        <v>4.4866749474476354E-19</v>
      </c>
      <c r="L118" s="100">
        <v>4.4866749474476354E-19</v>
      </c>
      <c r="M118" s="100">
        <v>4.4866749474476354E-19</v>
      </c>
      <c r="N118" s="100">
        <v>4.4866749474476354E-19</v>
      </c>
      <c r="O118" s="100">
        <v>4.4866749474476354E-19</v>
      </c>
      <c r="P118" s="100">
        <v>4.4866749474476354E-19</v>
      </c>
      <c r="Q118" s="100">
        <v>4.4866749474476354E-19</v>
      </c>
      <c r="R118" s="100">
        <v>4.4866749474476354E-19</v>
      </c>
      <c r="S118" s="100">
        <v>4.4866749474476354E-19</v>
      </c>
      <c r="T118" s="100">
        <v>4.4866749474476354E-19</v>
      </c>
      <c r="U118" s="100">
        <v>4.4866749474476354E-19</v>
      </c>
      <c r="V118" s="100">
        <v>4.4866749474476354E-19</v>
      </c>
      <c r="W118" s="100">
        <v>4.4866749474476354E-19</v>
      </c>
      <c r="X118" s="100">
        <v>4.4866749474476354E-19</v>
      </c>
      <c r="Y118" s="100">
        <v>4.4866749474476354E-19</v>
      </c>
      <c r="Z118" s="100">
        <v>4.4866749474476354E-19</v>
      </c>
      <c r="AA118" s="100">
        <v>0</v>
      </c>
      <c r="AB118" s="100">
        <v>0</v>
      </c>
      <c r="AC118" s="100">
        <v>0</v>
      </c>
      <c r="AD118" s="100">
        <v>0</v>
      </c>
      <c r="AE118" s="100">
        <v>4.4866749474476354E-19</v>
      </c>
      <c r="AF118" s="100">
        <v>4.4866749474476354E-19</v>
      </c>
      <c r="AG118" s="100">
        <v>4.4866749474476354E-19</v>
      </c>
      <c r="AH118" s="100">
        <v>4.4866749474476354E-19</v>
      </c>
      <c r="AI118" s="100">
        <v>4.4866749474476354E-19</v>
      </c>
      <c r="AJ118" s="100">
        <v>4.4866749474476354E-19</v>
      </c>
      <c r="AK118" s="100">
        <v>4.4866749474476354E-19</v>
      </c>
      <c r="AL118" s="100">
        <v>4.4866749474476354E-19</v>
      </c>
      <c r="AM118" s="100">
        <v>4.4866749474476354E-19</v>
      </c>
      <c r="AN118" s="100">
        <v>4.4866749474476354E-19</v>
      </c>
      <c r="AO118" s="100">
        <v>4.4866749474476354E-19</v>
      </c>
      <c r="AP118" s="100">
        <v>4.4866749474476354E-19</v>
      </c>
      <c r="AQ118" s="100">
        <v>4.4866749474476354E-19</v>
      </c>
      <c r="AR118" s="100">
        <v>4.4866749474476354E-19</v>
      </c>
      <c r="AS118" s="100">
        <v>4.4866749474476354E-19</v>
      </c>
      <c r="AT118" s="100">
        <v>4.4866749474476354E-19</v>
      </c>
      <c r="AU118" s="100">
        <v>4.4866749474476354E-19</v>
      </c>
      <c r="AV118" s="100">
        <v>4.4866749474476354E-19</v>
      </c>
      <c r="AW118" s="100">
        <v>4.4866749474476354E-19</v>
      </c>
      <c r="AX118" s="100">
        <v>4.4866749474476354E-19</v>
      </c>
    </row>
    <row r="119" spans="1:50">
      <c r="B119" s="105" t="s">
        <v>46</v>
      </c>
      <c r="C119" s="100">
        <v>543.40000000000009</v>
      </c>
      <c r="D119" s="100">
        <v>543.40000000000009</v>
      </c>
      <c r="E119" s="100">
        <v>543.40000000000009</v>
      </c>
      <c r="F119" s="100">
        <v>543.40000000000009</v>
      </c>
      <c r="G119" s="100">
        <v>543.40000000000009</v>
      </c>
      <c r="H119" s="100">
        <v>543.40000000000009</v>
      </c>
      <c r="I119" s="100">
        <v>543.40000000000009</v>
      </c>
      <c r="J119" s="100">
        <v>543.40000000000009</v>
      </c>
      <c r="K119" s="100">
        <v>543.40000000000009</v>
      </c>
      <c r="L119" s="100">
        <v>543.40000000000009</v>
      </c>
      <c r="M119" s="100">
        <v>543.40000000000009</v>
      </c>
      <c r="N119" s="100">
        <v>543.40000000000009</v>
      </c>
      <c r="O119" s="100">
        <v>543.40000000000009</v>
      </c>
      <c r="P119" s="100">
        <v>543.40000000000009</v>
      </c>
      <c r="Q119" s="100">
        <v>543.40000000000009</v>
      </c>
      <c r="R119" s="100">
        <v>543.40000000000009</v>
      </c>
      <c r="S119" s="100">
        <v>543.40000000000009</v>
      </c>
      <c r="T119" s="100">
        <v>543.40000000000009</v>
      </c>
      <c r="U119" s="100">
        <v>543.40000000000009</v>
      </c>
      <c r="V119" s="100">
        <v>543.40000000000009</v>
      </c>
      <c r="W119" s="100">
        <v>543.40000000000009</v>
      </c>
      <c r="X119" s="100">
        <v>543.40000000000009</v>
      </c>
      <c r="Y119" s="100">
        <v>543.40000000000009</v>
      </c>
      <c r="Z119" s="100">
        <v>543.40000000000009</v>
      </c>
      <c r="AA119" s="100">
        <v>0</v>
      </c>
      <c r="AB119" s="100">
        <v>0</v>
      </c>
      <c r="AC119" s="100">
        <v>0</v>
      </c>
      <c r="AD119" s="100">
        <v>0</v>
      </c>
      <c r="AE119" s="100">
        <v>543.40000000000009</v>
      </c>
      <c r="AF119" s="100">
        <v>543.40000000000009</v>
      </c>
      <c r="AG119" s="100">
        <v>543.40000000000009</v>
      </c>
      <c r="AH119" s="100">
        <v>543.40000000000009</v>
      </c>
      <c r="AI119" s="100">
        <v>543.40000000000009</v>
      </c>
      <c r="AJ119" s="100">
        <v>543.40000000000009</v>
      </c>
      <c r="AK119" s="100">
        <v>543.40000000000009</v>
      </c>
      <c r="AL119" s="100">
        <v>543.40000000000009</v>
      </c>
      <c r="AM119" s="100">
        <v>543.40000000000009</v>
      </c>
      <c r="AN119" s="100">
        <v>543.40000000000009</v>
      </c>
      <c r="AO119" s="100">
        <v>543.40000000000009</v>
      </c>
      <c r="AP119" s="100">
        <v>543.40000000000009</v>
      </c>
      <c r="AQ119" s="100">
        <v>543.40000000000009</v>
      </c>
      <c r="AR119" s="100">
        <v>543.40000000000009</v>
      </c>
      <c r="AS119" s="100">
        <v>543.40000000000009</v>
      </c>
      <c r="AT119" s="100">
        <v>543.40000000000009</v>
      </c>
      <c r="AU119" s="100">
        <v>543.40000000000009</v>
      </c>
      <c r="AV119" s="100">
        <v>543.40000000000009</v>
      </c>
      <c r="AW119" s="100">
        <v>543.40000000000009</v>
      </c>
      <c r="AX119" s="100">
        <v>543.40000000000009</v>
      </c>
    </row>
    <row r="120" spans="1:50">
      <c r="B120" s="105" t="s">
        <v>59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0</v>
      </c>
      <c r="U120" s="100">
        <v>0</v>
      </c>
      <c r="V120" s="100">
        <v>0</v>
      </c>
      <c r="W120" s="100">
        <v>0</v>
      </c>
      <c r="X120" s="100">
        <v>0</v>
      </c>
      <c r="Y120" s="100">
        <v>0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  <c r="AQ120" s="100">
        <v>0</v>
      </c>
      <c r="AR120" s="100">
        <v>0</v>
      </c>
      <c r="AS120" s="100">
        <v>0</v>
      </c>
      <c r="AT120" s="100">
        <v>0</v>
      </c>
      <c r="AU120" s="100">
        <v>0</v>
      </c>
      <c r="AV120" s="100">
        <v>0</v>
      </c>
      <c r="AW120" s="100">
        <v>0</v>
      </c>
      <c r="AX120" s="100">
        <v>0</v>
      </c>
    </row>
    <row r="121" spans="1:50">
      <c r="B121" s="100" t="s">
        <v>278</v>
      </c>
      <c r="C121" s="105">
        <f>SUM(C$116:C$120)</f>
        <v>12159.399999999987</v>
      </c>
      <c r="D121" s="105">
        <f t="shared" ref="D121:AX121" si="8">SUM(D$116:D$120)</f>
        <v>12159.399999999987</v>
      </c>
      <c r="E121" s="105">
        <f t="shared" si="8"/>
        <v>12159.399999999987</v>
      </c>
      <c r="F121" s="105">
        <f t="shared" si="8"/>
        <v>12159.399999999987</v>
      </c>
      <c r="G121" s="105">
        <f t="shared" si="8"/>
        <v>12159.399999999987</v>
      </c>
      <c r="H121" s="105">
        <f t="shared" si="8"/>
        <v>12159.399999999987</v>
      </c>
      <c r="I121" s="105">
        <f t="shared" si="8"/>
        <v>12159.399999999987</v>
      </c>
      <c r="J121" s="105">
        <f t="shared" si="8"/>
        <v>12159.399999999987</v>
      </c>
      <c r="K121" s="105">
        <f t="shared" si="8"/>
        <v>12159.399999999987</v>
      </c>
      <c r="L121" s="105">
        <f t="shared" si="8"/>
        <v>12159.399999999987</v>
      </c>
      <c r="M121" s="105">
        <f t="shared" si="8"/>
        <v>12159.399999999987</v>
      </c>
      <c r="N121" s="105">
        <f t="shared" si="8"/>
        <v>12159.399999999987</v>
      </c>
      <c r="O121" s="105">
        <f t="shared" si="8"/>
        <v>12159.399999999987</v>
      </c>
      <c r="P121" s="105">
        <f t="shared" si="8"/>
        <v>12159.399999999987</v>
      </c>
      <c r="Q121" s="105">
        <f t="shared" si="8"/>
        <v>12159.399999999987</v>
      </c>
      <c r="R121" s="105">
        <f t="shared" si="8"/>
        <v>12159.399999999987</v>
      </c>
      <c r="S121" s="105">
        <f t="shared" si="8"/>
        <v>12159.399999999987</v>
      </c>
      <c r="T121" s="105">
        <f t="shared" si="8"/>
        <v>12159.399999999987</v>
      </c>
      <c r="U121" s="105">
        <f t="shared" si="8"/>
        <v>12159.399999999987</v>
      </c>
      <c r="V121" s="105">
        <f t="shared" si="8"/>
        <v>12159.399999999987</v>
      </c>
      <c r="W121" s="105">
        <f t="shared" si="8"/>
        <v>12159.399999999987</v>
      </c>
      <c r="X121" s="105">
        <f t="shared" si="8"/>
        <v>12159.399999999987</v>
      </c>
      <c r="Y121" s="105">
        <f t="shared" si="8"/>
        <v>12159.399999999987</v>
      </c>
      <c r="Z121" s="105">
        <f t="shared" si="8"/>
        <v>12159.399999999987</v>
      </c>
      <c r="AA121" s="105">
        <f t="shared" si="8"/>
        <v>0</v>
      </c>
      <c r="AB121" s="105">
        <f t="shared" si="8"/>
        <v>0</v>
      </c>
      <c r="AC121" s="105">
        <f t="shared" si="8"/>
        <v>0</v>
      </c>
      <c r="AD121" s="105">
        <f t="shared" si="8"/>
        <v>0</v>
      </c>
      <c r="AE121" s="105">
        <f t="shared" si="8"/>
        <v>12159.399999999987</v>
      </c>
      <c r="AF121" s="105">
        <f t="shared" si="8"/>
        <v>12159.399999999987</v>
      </c>
      <c r="AG121" s="105">
        <f t="shared" si="8"/>
        <v>12159.399999999987</v>
      </c>
      <c r="AH121" s="105">
        <f t="shared" si="8"/>
        <v>12159.399999999987</v>
      </c>
      <c r="AI121" s="105">
        <f t="shared" si="8"/>
        <v>12159.399999999987</v>
      </c>
      <c r="AJ121" s="105">
        <f t="shared" si="8"/>
        <v>12159.399999999987</v>
      </c>
      <c r="AK121" s="105">
        <f t="shared" si="8"/>
        <v>12159.399999999987</v>
      </c>
      <c r="AL121" s="105">
        <f t="shared" si="8"/>
        <v>12159.399999999987</v>
      </c>
      <c r="AM121" s="105">
        <f t="shared" si="8"/>
        <v>12159.399999999987</v>
      </c>
      <c r="AN121" s="105">
        <f t="shared" si="8"/>
        <v>12159.399999999987</v>
      </c>
      <c r="AO121" s="105">
        <f t="shared" si="8"/>
        <v>12159.399999999987</v>
      </c>
      <c r="AP121" s="105">
        <f t="shared" si="8"/>
        <v>12159.399999999987</v>
      </c>
      <c r="AQ121" s="105">
        <f t="shared" si="8"/>
        <v>12159.399999999987</v>
      </c>
      <c r="AR121" s="105">
        <f t="shared" si="8"/>
        <v>12159.399999999987</v>
      </c>
      <c r="AS121" s="105">
        <f t="shared" si="8"/>
        <v>12159.399999999987</v>
      </c>
      <c r="AT121" s="105">
        <f t="shared" si="8"/>
        <v>12159.399999999987</v>
      </c>
      <c r="AU121" s="105">
        <f t="shared" si="8"/>
        <v>12159.399999999987</v>
      </c>
      <c r="AV121" s="105">
        <f t="shared" si="8"/>
        <v>12159.399999999987</v>
      </c>
      <c r="AW121" s="105">
        <f t="shared" si="8"/>
        <v>12159.399999999987</v>
      </c>
      <c r="AX121" s="105">
        <f t="shared" si="8"/>
        <v>12159.399999999987</v>
      </c>
    </row>
    <row r="122" spans="1:50">
      <c r="A122" s="105" t="s">
        <v>108</v>
      </c>
      <c r="B122" s="105" t="s">
        <v>10</v>
      </c>
      <c r="C122" s="100">
        <v>6.6585808041156325E-19</v>
      </c>
      <c r="D122" s="100">
        <v>6.6585808041156325E-19</v>
      </c>
      <c r="E122" s="100">
        <v>6.6585808041156325E-19</v>
      </c>
      <c r="F122" s="100">
        <v>6.6585808041156325E-19</v>
      </c>
      <c r="G122" s="100">
        <v>0</v>
      </c>
      <c r="H122" s="100">
        <v>0</v>
      </c>
      <c r="I122" s="100">
        <v>0</v>
      </c>
      <c r="J122" s="100">
        <v>0</v>
      </c>
      <c r="K122" s="100">
        <v>0</v>
      </c>
      <c r="L122" s="100">
        <v>0</v>
      </c>
      <c r="M122" s="100">
        <v>0</v>
      </c>
      <c r="N122" s="100">
        <v>0</v>
      </c>
      <c r="O122" s="100">
        <v>6.6585808041156325E-19</v>
      </c>
      <c r="P122" s="100">
        <v>6.6585808041156325E-19</v>
      </c>
      <c r="Q122" s="100">
        <v>6.6585808041156325E-19</v>
      </c>
      <c r="R122" s="100">
        <v>6.6585808041156325E-19</v>
      </c>
      <c r="S122" s="100">
        <v>0</v>
      </c>
      <c r="T122" s="100">
        <v>0</v>
      </c>
      <c r="U122" s="100">
        <v>0</v>
      </c>
      <c r="V122" s="100">
        <v>0</v>
      </c>
      <c r="W122" s="100">
        <v>0</v>
      </c>
      <c r="X122" s="100">
        <v>0</v>
      </c>
      <c r="Y122" s="100">
        <v>0</v>
      </c>
      <c r="Z122" s="100">
        <v>0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  <c r="AQ122" s="100">
        <v>0</v>
      </c>
      <c r="AR122" s="100">
        <v>0</v>
      </c>
      <c r="AS122" s="100">
        <v>0</v>
      </c>
      <c r="AT122" s="100">
        <v>0</v>
      </c>
      <c r="AU122" s="100">
        <v>0</v>
      </c>
      <c r="AV122" s="100">
        <v>0</v>
      </c>
      <c r="AW122" s="100">
        <v>0</v>
      </c>
      <c r="AX122" s="100">
        <v>0</v>
      </c>
    </row>
    <row r="123" spans="1:50">
      <c r="B123" s="105" t="s">
        <v>12</v>
      </c>
      <c r="C123" s="100">
        <v>2.5420063203231387E-18</v>
      </c>
      <c r="D123" s="100">
        <v>2.5420063203231387E-18</v>
      </c>
      <c r="E123" s="100">
        <v>2.5420063203231387E-18</v>
      </c>
      <c r="F123" s="100">
        <v>2.5420063203231387E-18</v>
      </c>
      <c r="G123" s="100">
        <v>0</v>
      </c>
      <c r="H123" s="100">
        <v>0</v>
      </c>
      <c r="I123" s="100">
        <v>0</v>
      </c>
      <c r="J123" s="100">
        <v>0</v>
      </c>
      <c r="K123" s="100">
        <v>0</v>
      </c>
      <c r="L123" s="100">
        <v>0</v>
      </c>
      <c r="M123" s="100">
        <v>0</v>
      </c>
      <c r="N123" s="100">
        <v>0</v>
      </c>
      <c r="O123" s="100">
        <v>2.5420063203231387E-18</v>
      </c>
      <c r="P123" s="100">
        <v>2.5420063203231387E-18</v>
      </c>
      <c r="Q123" s="100">
        <v>2.5420063203231387E-18</v>
      </c>
      <c r="R123" s="100">
        <v>2.5420063203231387E-18</v>
      </c>
      <c r="S123" s="100">
        <v>0</v>
      </c>
      <c r="T123" s="100">
        <v>0</v>
      </c>
      <c r="U123" s="100">
        <v>0</v>
      </c>
      <c r="V123" s="100">
        <v>0</v>
      </c>
      <c r="W123" s="100">
        <v>0</v>
      </c>
      <c r="X123" s="100">
        <v>0</v>
      </c>
      <c r="Y123" s="100">
        <v>0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  <c r="AQ123" s="100">
        <v>0</v>
      </c>
      <c r="AR123" s="100">
        <v>0</v>
      </c>
      <c r="AS123" s="100">
        <v>0</v>
      </c>
      <c r="AT123" s="100">
        <v>0</v>
      </c>
      <c r="AU123" s="100">
        <v>0</v>
      </c>
      <c r="AV123" s="100">
        <v>0</v>
      </c>
      <c r="AW123" s="100">
        <v>0</v>
      </c>
      <c r="AX123" s="100">
        <v>0</v>
      </c>
    </row>
    <row r="124" spans="1:50">
      <c r="B124" s="105" t="s">
        <v>22</v>
      </c>
      <c r="C124" s="100">
        <v>3.5476843263909224E-19</v>
      </c>
      <c r="D124" s="100">
        <v>3.5476843263909224E-19</v>
      </c>
      <c r="E124" s="100">
        <v>3.5476843263909224E-19</v>
      </c>
      <c r="F124" s="100">
        <v>3.5476843263909224E-19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3.5476843263909224E-19</v>
      </c>
      <c r="P124" s="100">
        <v>3.5476843263909224E-19</v>
      </c>
      <c r="Q124" s="100">
        <v>3.5476843263909224E-19</v>
      </c>
      <c r="R124" s="100">
        <v>3.5476843263909224E-19</v>
      </c>
      <c r="S124" s="100">
        <v>0</v>
      </c>
      <c r="T124" s="100">
        <v>0</v>
      </c>
      <c r="U124" s="100">
        <v>0</v>
      </c>
      <c r="V124" s="100">
        <v>0</v>
      </c>
      <c r="W124" s="100">
        <v>0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  <c r="AQ124" s="100">
        <v>0</v>
      </c>
      <c r="AR124" s="100">
        <v>0</v>
      </c>
      <c r="AS124" s="100">
        <v>0</v>
      </c>
      <c r="AT124" s="100">
        <v>0</v>
      </c>
      <c r="AU124" s="100">
        <v>0</v>
      </c>
      <c r="AV124" s="100">
        <v>0</v>
      </c>
      <c r="AW124" s="100">
        <v>0</v>
      </c>
      <c r="AX124" s="100">
        <v>0</v>
      </c>
    </row>
    <row r="125" spans="1:50">
      <c r="B125" s="105" t="s">
        <v>46</v>
      </c>
      <c r="C125" s="100">
        <v>4.693008690958406E-19</v>
      </c>
      <c r="D125" s="100">
        <v>4.693008690958406E-19</v>
      </c>
      <c r="E125" s="100">
        <v>4.693008690958406E-19</v>
      </c>
      <c r="F125" s="100">
        <v>4.693008690958406E-19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4.693008690958406E-19</v>
      </c>
      <c r="P125" s="100">
        <v>4.693008690958406E-19</v>
      </c>
      <c r="Q125" s="100">
        <v>4.693008690958406E-19</v>
      </c>
      <c r="R125" s="100">
        <v>4.693008690958406E-19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4.313096419300125E-19</v>
      </c>
      <c r="D126" s="100">
        <v>4.313096419300125E-19</v>
      </c>
      <c r="E126" s="100">
        <v>4.313096419300125E-19</v>
      </c>
      <c r="F126" s="100">
        <v>4.313096419300125E-19</v>
      </c>
      <c r="G126" s="100">
        <v>0</v>
      </c>
      <c r="H126" s="100">
        <v>0</v>
      </c>
      <c r="I126" s="100">
        <v>0</v>
      </c>
      <c r="J126" s="100">
        <v>0</v>
      </c>
      <c r="K126" s="100">
        <v>0</v>
      </c>
      <c r="L126" s="100">
        <v>0</v>
      </c>
      <c r="M126" s="100">
        <v>0</v>
      </c>
      <c r="N126" s="100">
        <v>0</v>
      </c>
      <c r="O126" s="100">
        <v>4.313096419300125E-19</v>
      </c>
      <c r="P126" s="100">
        <v>4.313096419300125E-19</v>
      </c>
      <c r="Q126" s="100">
        <v>4.313096419300125E-19</v>
      </c>
      <c r="R126" s="100">
        <v>4.313096419300125E-19</v>
      </c>
      <c r="S126" s="100">
        <v>0</v>
      </c>
      <c r="T126" s="100">
        <v>0</v>
      </c>
      <c r="U126" s="100">
        <v>0</v>
      </c>
      <c r="V126" s="100">
        <v>0</v>
      </c>
      <c r="W126" s="100">
        <v>0</v>
      </c>
      <c r="X126" s="100">
        <v>0</v>
      </c>
      <c r="Y126" s="100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>
        <v>0</v>
      </c>
      <c r="AH126" s="100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>
        <v>0</v>
      </c>
      <c r="AN126" s="100">
        <v>0</v>
      </c>
      <c r="AO126" s="100">
        <v>0</v>
      </c>
      <c r="AP126" s="100">
        <v>0</v>
      </c>
      <c r="AQ126" s="100">
        <v>0</v>
      </c>
      <c r="AR126" s="100">
        <v>0</v>
      </c>
      <c r="AS126" s="100">
        <v>0</v>
      </c>
      <c r="AT126" s="100">
        <v>0</v>
      </c>
      <c r="AU126" s="100">
        <v>0</v>
      </c>
      <c r="AV126" s="100">
        <v>0</v>
      </c>
      <c r="AW126" s="100">
        <v>0</v>
      </c>
      <c r="AX126" s="100">
        <v>0</v>
      </c>
    </row>
    <row r="127" spans="1:50">
      <c r="B127" s="100" t="s">
        <v>278</v>
      </c>
      <c r="C127" s="105">
        <f>SUM(C$122:C$126)</f>
        <v>4.4632433443996468E-18</v>
      </c>
      <c r="D127" s="105">
        <f t="shared" ref="D127:AX127" si="9">SUM(D$122:D$126)</f>
        <v>4.4632433443996468E-18</v>
      </c>
      <c r="E127" s="105">
        <f t="shared" si="9"/>
        <v>4.4632433443996468E-18</v>
      </c>
      <c r="F127" s="105">
        <f t="shared" si="9"/>
        <v>4.4632433443996468E-18</v>
      </c>
      <c r="G127" s="105">
        <f t="shared" si="9"/>
        <v>0</v>
      </c>
      <c r="H127" s="105">
        <f t="shared" si="9"/>
        <v>0</v>
      </c>
      <c r="I127" s="105">
        <f t="shared" si="9"/>
        <v>0</v>
      </c>
      <c r="J127" s="105">
        <f t="shared" si="9"/>
        <v>0</v>
      </c>
      <c r="K127" s="105">
        <f t="shared" si="9"/>
        <v>0</v>
      </c>
      <c r="L127" s="105">
        <f t="shared" si="9"/>
        <v>0</v>
      </c>
      <c r="M127" s="105">
        <f t="shared" si="9"/>
        <v>0</v>
      </c>
      <c r="N127" s="105">
        <f t="shared" si="9"/>
        <v>0</v>
      </c>
      <c r="O127" s="105">
        <f t="shared" si="9"/>
        <v>4.4632433443996468E-18</v>
      </c>
      <c r="P127" s="105">
        <f t="shared" si="9"/>
        <v>4.4632433443996468E-18</v>
      </c>
      <c r="Q127" s="105">
        <f t="shared" si="9"/>
        <v>4.4632433443996468E-18</v>
      </c>
      <c r="R127" s="105">
        <f t="shared" si="9"/>
        <v>4.4632433443996468E-18</v>
      </c>
      <c r="S127" s="105">
        <f t="shared" si="9"/>
        <v>0</v>
      </c>
      <c r="T127" s="105">
        <f t="shared" si="9"/>
        <v>0</v>
      </c>
      <c r="U127" s="105">
        <f t="shared" si="9"/>
        <v>0</v>
      </c>
      <c r="V127" s="105">
        <f t="shared" si="9"/>
        <v>0</v>
      </c>
      <c r="W127" s="105">
        <f t="shared" si="9"/>
        <v>0</v>
      </c>
      <c r="X127" s="105">
        <f t="shared" si="9"/>
        <v>0</v>
      </c>
      <c r="Y127" s="105">
        <f t="shared" si="9"/>
        <v>0</v>
      </c>
      <c r="Z127" s="105">
        <f t="shared" si="9"/>
        <v>0</v>
      </c>
      <c r="AA127" s="105">
        <f t="shared" si="9"/>
        <v>0</v>
      </c>
      <c r="AB127" s="105">
        <f t="shared" si="9"/>
        <v>0</v>
      </c>
      <c r="AC127" s="105">
        <f t="shared" si="9"/>
        <v>0</v>
      </c>
      <c r="AD127" s="105">
        <f t="shared" si="9"/>
        <v>0</v>
      </c>
      <c r="AE127" s="105">
        <f t="shared" si="9"/>
        <v>0</v>
      </c>
      <c r="AF127" s="105">
        <f t="shared" si="9"/>
        <v>0</v>
      </c>
      <c r="AG127" s="105">
        <f t="shared" si="9"/>
        <v>0</v>
      </c>
      <c r="AH127" s="105">
        <f t="shared" si="9"/>
        <v>0</v>
      </c>
      <c r="AI127" s="105">
        <f t="shared" si="9"/>
        <v>0</v>
      </c>
      <c r="AJ127" s="105">
        <f t="shared" si="9"/>
        <v>0</v>
      </c>
      <c r="AK127" s="105">
        <f t="shared" si="9"/>
        <v>0</v>
      </c>
      <c r="AL127" s="105">
        <f t="shared" si="9"/>
        <v>0</v>
      </c>
      <c r="AM127" s="105">
        <f t="shared" si="9"/>
        <v>0</v>
      </c>
      <c r="AN127" s="105">
        <f t="shared" si="9"/>
        <v>0</v>
      </c>
      <c r="AO127" s="105">
        <f t="shared" si="9"/>
        <v>0</v>
      </c>
      <c r="AP127" s="105">
        <f t="shared" si="9"/>
        <v>0</v>
      </c>
      <c r="AQ127" s="105">
        <f t="shared" si="9"/>
        <v>0</v>
      </c>
      <c r="AR127" s="105">
        <f t="shared" si="9"/>
        <v>0</v>
      </c>
      <c r="AS127" s="105">
        <f t="shared" si="9"/>
        <v>0</v>
      </c>
      <c r="AT127" s="105">
        <f t="shared" si="9"/>
        <v>0</v>
      </c>
      <c r="AU127" s="105">
        <f t="shared" si="9"/>
        <v>0</v>
      </c>
      <c r="AV127" s="105">
        <f t="shared" si="9"/>
        <v>0</v>
      </c>
      <c r="AW127" s="105">
        <f t="shared" si="9"/>
        <v>0</v>
      </c>
      <c r="AX127" s="105">
        <f t="shared" si="9"/>
        <v>0</v>
      </c>
    </row>
    <row r="128" spans="1:50">
      <c r="A128" s="105" t="s">
        <v>109</v>
      </c>
      <c r="B128" s="105" t="s">
        <v>10</v>
      </c>
      <c r="C128" s="100">
        <v>7.2476441124978682E-18</v>
      </c>
      <c r="D128" s="100">
        <v>7.2476441124978682E-18</v>
      </c>
      <c r="E128" s="100">
        <v>7.2476441124978682E-18</v>
      </c>
      <c r="F128" s="100">
        <v>7.2476441124978682E-18</v>
      </c>
      <c r="G128" s="100">
        <v>7.2476441124978682E-18</v>
      </c>
      <c r="H128" s="100">
        <v>7.2476441124978682E-18</v>
      </c>
      <c r="I128" s="100">
        <v>7.2476441124978682E-18</v>
      </c>
      <c r="J128" s="100">
        <v>7.2476441124978682E-18</v>
      </c>
      <c r="K128" s="100">
        <v>7.2476441124978682E-18</v>
      </c>
      <c r="L128" s="100">
        <v>7.2476441124978682E-18</v>
      </c>
      <c r="M128" s="100">
        <v>7.2476441124978682E-18</v>
      </c>
      <c r="N128" s="100">
        <v>7.2476441124978682E-18</v>
      </c>
      <c r="O128" s="100">
        <v>7.2476441124978682E-18</v>
      </c>
      <c r="P128" s="100">
        <v>7.2476441124978682E-18</v>
      </c>
      <c r="Q128" s="100">
        <v>7.2476441124978682E-18</v>
      </c>
      <c r="R128" s="100">
        <v>7.2476441124978682E-18</v>
      </c>
      <c r="S128" s="100">
        <v>7.2476441124978682E-18</v>
      </c>
      <c r="T128" s="100">
        <v>7.2476441124978682E-18</v>
      </c>
      <c r="U128" s="100">
        <v>7.2476441124978682E-18</v>
      </c>
      <c r="V128" s="100">
        <v>7.2476441124978682E-18</v>
      </c>
      <c r="W128" s="100">
        <v>7.2476441124978682E-18</v>
      </c>
      <c r="X128" s="100">
        <v>7.2476441124978682E-18</v>
      </c>
      <c r="Y128" s="100">
        <v>7.2476441124978682E-18</v>
      </c>
      <c r="Z128" s="100">
        <v>7.2476441124978682E-18</v>
      </c>
      <c r="AA128" s="100">
        <v>6.0397034270815576E-18</v>
      </c>
      <c r="AB128" s="100">
        <v>6.0397034270815576E-18</v>
      </c>
      <c r="AC128" s="100">
        <v>6.0397034270815576E-18</v>
      </c>
      <c r="AD128" s="100">
        <v>6.0397034270815576E-18</v>
      </c>
      <c r="AE128" s="100">
        <v>7.2476441124978682E-18</v>
      </c>
      <c r="AF128" s="100">
        <v>7.2476441124978682E-18</v>
      </c>
      <c r="AG128" s="100">
        <v>7.2476441124978682E-18</v>
      </c>
      <c r="AH128" s="100">
        <v>7.2476441124978682E-18</v>
      </c>
      <c r="AI128" s="100">
        <v>6.0397034270815576E-18</v>
      </c>
      <c r="AJ128" s="100">
        <v>6.0397034270815576E-18</v>
      </c>
      <c r="AK128" s="100">
        <v>6.0397034270815576E-18</v>
      </c>
      <c r="AL128" s="100">
        <v>6.0397034270815576E-18</v>
      </c>
      <c r="AM128" s="100">
        <v>7.2476441124978682E-18</v>
      </c>
      <c r="AN128" s="100">
        <v>7.2476441124978682E-18</v>
      </c>
      <c r="AO128" s="100">
        <v>7.2476441124978682E-18</v>
      </c>
      <c r="AP128" s="100">
        <v>7.2476441124978682E-18</v>
      </c>
      <c r="AQ128" s="100">
        <v>6.0397034270815576E-18</v>
      </c>
      <c r="AR128" s="100">
        <v>6.0397034270815576E-18</v>
      </c>
      <c r="AS128" s="100">
        <v>6.0397034270815576E-18</v>
      </c>
      <c r="AT128" s="100">
        <v>6.0397034270815576E-18</v>
      </c>
      <c r="AU128" s="100">
        <v>6.0397034270815576E-18</v>
      </c>
      <c r="AV128" s="100">
        <v>6.0397034270815576E-18</v>
      </c>
      <c r="AW128" s="100">
        <v>6.0397034270815576E-18</v>
      </c>
      <c r="AX128" s="100">
        <v>6.0397034270815576E-18</v>
      </c>
    </row>
    <row r="129" spans="2:50">
      <c r="B129" s="105" t="s">
        <v>12</v>
      </c>
      <c r="C129" s="100">
        <v>7.0987762466666582E-18</v>
      </c>
      <c r="D129" s="100">
        <v>7.0987762466666582E-18</v>
      </c>
      <c r="E129" s="100">
        <v>7.0987762466666582E-18</v>
      </c>
      <c r="F129" s="100">
        <v>7.0987762466666582E-18</v>
      </c>
      <c r="G129" s="100">
        <v>7.0987762466666582E-18</v>
      </c>
      <c r="H129" s="100">
        <v>7.0987762466666582E-18</v>
      </c>
      <c r="I129" s="100">
        <v>7.0987762466666582E-18</v>
      </c>
      <c r="J129" s="100">
        <v>7.0987762466666582E-18</v>
      </c>
      <c r="K129" s="100">
        <v>7.0987762466666582E-18</v>
      </c>
      <c r="L129" s="100">
        <v>7.0987762466666582E-18</v>
      </c>
      <c r="M129" s="100">
        <v>7.0987762466666582E-18</v>
      </c>
      <c r="N129" s="100">
        <v>7.0987762466666582E-18</v>
      </c>
      <c r="O129" s="100">
        <v>7.0987762466666582E-18</v>
      </c>
      <c r="P129" s="100">
        <v>7.0987762466666582E-18</v>
      </c>
      <c r="Q129" s="100">
        <v>7.0987762466666582E-18</v>
      </c>
      <c r="R129" s="100">
        <v>7.0987762466666582E-18</v>
      </c>
      <c r="S129" s="100">
        <v>7.0987762466666582E-18</v>
      </c>
      <c r="T129" s="100">
        <v>7.0987762466666582E-18</v>
      </c>
      <c r="U129" s="100">
        <v>7.0987762466666582E-18</v>
      </c>
      <c r="V129" s="100">
        <v>7.0987762466666582E-18</v>
      </c>
      <c r="W129" s="100">
        <v>7.0987762466666582E-18</v>
      </c>
      <c r="X129" s="100">
        <v>7.0987762466666582E-18</v>
      </c>
      <c r="Y129" s="100">
        <v>7.0987762466666582E-18</v>
      </c>
      <c r="Z129" s="100">
        <v>7.0987762466666582E-18</v>
      </c>
      <c r="AA129" s="100">
        <v>5.9156468722222162E-18</v>
      </c>
      <c r="AB129" s="100">
        <v>5.9156468722222162E-18</v>
      </c>
      <c r="AC129" s="100">
        <v>5.9156468722222162E-18</v>
      </c>
      <c r="AD129" s="100">
        <v>5.9156468722222162E-18</v>
      </c>
      <c r="AE129" s="100">
        <v>7.0987762466666582E-18</v>
      </c>
      <c r="AF129" s="100">
        <v>7.0987762466666582E-18</v>
      </c>
      <c r="AG129" s="100">
        <v>7.0987762466666582E-18</v>
      </c>
      <c r="AH129" s="100">
        <v>7.0987762466666582E-18</v>
      </c>
      <c r="AI129" s="100">
        <v>5.9156468722222162E-18</v>
      </c>
      <c r="AJ129" s="100">
        <v>5.9156468722222162E-18</v>
      </c>
      <c r="AK129" s="100">
        <v>5.9156468722222162E-18</v>
      </c>
      <c r="AL129" s="100">
        <v>5.9156468722222162E-18</v>
      </c>
      <c r="AM129" s="100">
        <v>7.0987762466666582E-18</v>
      </c>
      <c r="AN129" s="100">
        <v>7.0987762466666582E-18</v>
      </c>
      <c r="AO129" s="100">
        <v>7.0987762466666582E-18</v>
      </c>
      <c r="AP129" s="100">
        <v>7.0987762466666582E-18</v>
      </c>
      <c r="AQ129" s="100">
        <v>5.9156468722222162E-18</v>
      </c>
      <c r="AR129" s="100">
        <v>5.9156468722222162E-18</v>
      </c>
      <c r="AS129" s="100">
        <v>5.9156468722222162E-18</v>
      </c>
      <c r="AT129" s="100">
        <v>5.9156468722222162E-18</v>
      </c>
      <c r="AU129" s="100">
        <v>5.9156468722222162E-18</v>
      </c>
      <c r="AV129" s="100">
        <v>5.9156468722222162E-18</v>
      </c>
      <c r="AW129" s="100">
        <v>5.9156468722222162E-18</v>
      </c>
      <c r="AX129" s="100">
        <v>5.9156468722222162E-18</v>
      </c>
    </row>
    <row r="130" spans="2:50">
      <c r="B130" s="105" t="s">
        <v>22</v>
      </c>
      <c r="C130" s="100">
        <v>3.9911460771558783E-19</v>
      </c>
      <c r="D130" s="100">
        <v>3.9911460771558783E-19</v>
      </c>
      <c r="E130" s="100">
        <v>3.9911460771558783E-19</v>
      </c>
      <c r="F130" s="100">
        <v>3.9911460771558783E-19</v>
      </c>
      <c r="G130" s="100">
        <v>3.9911460771558783E-19</v>
      </c>
      <c r="H130" s="100">
        <v>3.9911460771558783E-19</v>
      </c>
      <c r="I130" s="100">
        <v>3.9911460771558783E-19</v>
      </c>
      <c r="J130" s="100">
        <v>3.9911460771558783E-19</v>
      </c>
      <c r="K130" s="100">
        <v>3.9911460771558783E-19</v>
      </c>
      <c r="L130" s="100">
        <v>3.9911460771558783E-19</v>
      </c>
      <c r="M130" s="100">
        <v>3.9911460771558783E-19</v>
      </c>
      <c r="N130" s="100">
        <v>3.9911460771558783E-19</v>
      </c>
      <c r="O130" s="100">
        <v>3.9911460771558783E-19</v>
      </c>
      <c r="P130" s="100">
        <v>3.9911460771558783E-19</v>
      </c>
      <c r="Q130" s="100">
        <v>3.9911460771558783E-19</v>
      </c>
      <c r="R130" s="100">
        <v>3.9911460771558783E-19</v>
      </c>
      <c r="S130" s="100">
        <v>3.9911460771558783E-19</v>
      </c>
      <c r="T130" s="100">
        <v>3.9911460771558783E-19</v>
      </c>
      <c r="U130" s="100">
        <v>3.9911460771558783E-19</v>
      </c>
      <c r="V130" s="100">
        <v>3.9911460771558783E-19</v>
      </c>
      <c r="W130" s="100">
        <v>3.9911460771558783E-19</v>
      </c>
      <c r="X130" s="100">
        <v>3.9911460771558783E-19</v>
      </c>
      <c r="Y130" s="100">
        <v>3.9911460771558783E-19</v>
      </c>
      <c r="Z130" s="100">
        <v>3.9911460771558783E-19</v>
      </c>
      <c r="AA130" s="100">
        <v>3.325955064296565E-19</v>
      </c>
      <c r="AB130" s="100">
        <v>3.325955064296565E-19</v>
      </c>
      <c r="AC130" s="100">
        <v>3.325955064296565E-19</v>
      </c>
      <c r="AD130" s="100">
        <v>3.325955064296565E-19</v>
      </c>
      <c r="AE130" s="100">
        <v>3.9911460771558783E-19</v>
      </c>
      <c r="AF130" s="100">
        <v>3.9911460771558783E-19</v>
      </c>
      <c r="AG130" s="100">
        <v>3.9911460771558783E-19</v>
      </c>
      <c r="AH130" s="100">
        <v>3.9911460771558783E-19</v>
      </c>
      <c r="AI130" s="100">
        <v>3.325955064296565E-19</v>
      </c>
      <c r="AJ130" s="100">
        <v>3.325955064296565E-19</v>
      </c>
      <c r="AK130" s="100">
        <v>3.325955064296565E-19</v>
      </c>
      <c r="AL130" s="100">
        <v>3.325955064296565E-19</v>
      </c>
      <c r="AM130" s="100">
        <v>3.9911460771558783E-19</v>
      </c>
      <c r="AN130" s="100">
        <v>3.9911460771558783E-19</v>
      </c>
      <c r="AO130" s="100">
        <v>3.9911460771558783E-19</v>
      </c>
      <c r="AP130" s="100">
        <v>3.9911460771558783E-19</v>
      </c>
      <c r="AQ130" s="100">
        <v>3.325955064296565E-19</v>
      </c>
      <c r="AR130" s="100">
        <v>3.325955064296565E-19</v>
      </c>
      <c r="AS130" s="100">
        <v>3.325955064296565E-19</v>
      </c>
      <c r="AT130" s="100">
        <v>3.325955064296565E-19</v>
      </c>
      <c r="AU130" s="100">
        <v>3.325955064296565E-19</v>
      </c>
      <c r="AV130" s="100">
        <v>3.325955064296565E-19</v>
      </c>
      <c r="AW130" s="100">
        <v>3.325955064296565E-19</v>
      </c>
      <c r="AX130" s="100">
        <v>3.325955064296565E-19</v>
      </c>
    </row>
    <row r="131" spans="2:50">
      <c r="B131" s="105" t="s">
        <v>46</v>
      </c>
      <c r="C131" s="100">
        <v>1.6425539418627936E-18</v>
      </c>
      <c r="D131" s="100">
        <v>1.6425539418627936E-18</v>
      </c>
      <c r="E131" s="100">
        <v>1.6425539418627936E-18</v>
      </c>
      <c r="F131" s="100">
        <v>1.6425539418627936E-18</v>
      </c>
      <c r="G131" s="100">
        <v>1.6425539418627936E-18</v>
      </c>
      <c r="H131" s="100">
        <v>1.6425539418627936E-18</v>
      </c>
      <c r="I131" s="100">
        <v>1.6425539418627936E-18</v>
      </c>
      <c r="J131" s="100">
        <v>1.6425539418627936E-18</v>
      </c>
      <c r="K131" s="100">
        <v>1.6425539418627936E-18</v>
      </c>
      <c r="L131" s="100">
        <v>1.6425539418627936E-18</v>
      </c>
      <c r="M131" s="100">
        <v>1.6425539418627936E-18</v>
      </c>
      <c r="N131" s="100">
        <v>1.6425539418627936E-18</v>
      </c>
      <c r="O131" s="100">
        <v>1.6425539418627936E-18</v>
      </c>
      <c r="P131" s="100">
        <v>1.6425539418627936E-18</v>
      </c>
      <c r="Q131" s="100">
        <v>1.6425539418627936E-18</v>
      </c>
      <c r="R131" s="100">
        <v>1.6425539418627936E-18</v>
      </c>
      <c r="S131" s="100">
        <v>1.6425539418627936E-18</v>
      </c>
      <c r="T131" s="100">
        <v>1.6425539418627936E-18</v>
      </c>
      <c r="U131" s="100">
        <v>1.6425539418627936E-18</v>
      </c>
      <c r="V131" s="100">
        <v>1.6425539418627936E-18</v>
      </c>
      <c r="W131" s="100">
        <v>1.6425539418627936E-18</v>
      </c>
      <c r="X131" s="100">
        <v>1.6425539418627936E-18</v>
      </c>
      <c r="Y131" s="100">
        <v>1.6425539418627936E-18</v>
      </c>
      <c r="Z131" s="100">
        <v>1.6425539418627936E-18</v>
      </c>
      <c r="AA131" s="100">
        <v>1.368794951552328E-18</v>
      </c>
      <c r="AB131" s="100">
        <v>1.368794951552328E-18</v>
      </c>
      <c r="AC131" s="100">
        <v>1.368794951552328E-18</v>
      </c>
      <c r="AD131" s="100">
        <v>1.368794951552328E-18</v>
      </c>
      <c r="AE131" s="100">
        <v>1.6425539418627936E-18</v>
      </c>
      <c r="AF131" s="100">
        <v>1.6425539418627936E-18</v>
      </c>
      <c r="AG131" s="100">
        <v>1.6425539418627936E-18</v>
      </c>
      <c r="AH131" s="100">
        <v>1.6425539418627936E-18</v>
      </c>
      <c r="AI131" s="100">
        <v>1.368794951552328E-18</v>
      </c>
      <c r="AJ131" s="100">
        <v>1.368794951552328E-18</v>
      </c>
      <c r="AK131" s="100">
        <v>1.368794951552328E-18</v>
      </c>
      <c r="AL131" s="100">
        <v>1.368794951552328E-18</v>
      </c>
      <c r="AM131" s="100">
        <v>1.6425539418627936E-18</v>
      </c>
      <c r="AN131" s="100">
        <v>1.6425539418627936E-18</v>
      </c>
      <c r="AO131" s="100">
        <v>1.6425539418627936E-18</v>
      </c>
      <c r="AP131" s="100">
        <v>1.6425539418627936E-18</v>
      </c>
      <c r="AQ131" s="100">
        <v>1.368794951552328E-18</v>
      </c>
      <c r="AR131" s="100">
        <v>1.368794951552328E-18</v>
      </c>
      <c r="AS131" s="100">
        <v>1.368794951552328E-18</v>
      </c>
      <c r="AT131" s="100">
        <v>1.368794951552328E-18</v>
      </c>
      <c r="AU131" s="100">
        <v>1.368794951552328E-18</v>
      </c>
      <c r="AV131" s="100">
        <v>1.368794951552328E-18</v>
      </c>
      <c r="AW131" s="100">
        <v>1.368794951552328E-18</v>
      </c>
      <c r="AX131" s="100">
        <v>1.368794951552328E-18</v>
      </c>
    </row>
    <row r="132" spans="2:50">
      <c r="B132" s="105" t="s">
        <v>59</v>
      </c>
      <c r="C132" s="100">
        <v>0</v>
      </c>
      <c r="D132" s="100">
        <v>0</v>
      </c>
      <c r="E132" s="100">
        <v>0</v>
      </c>
      <c r="F132" s="100">
        <v>0</v>
      </c>
      <c r="G132" s="100">
        <v>0</v>
      </c>
      <c r="H132" s="100">
        <v>0</v>
      </c>
      <c r="I132" s="100">
        <v>0</v>
      </c>
      <c r="J132" s="100">
        <v>0</v>
      </c>
      <c r="K132" s="100">
        <v>0</v>
      </c>
      <c r="L132" s="100">
        <v>0</v>
      </c>
      <c r="M132" s="100">
        <v>0</v>
      </c>
      <c r="N132" s="100">
        <v>0</v>
      </c>
      <c r="O132" s="100">
        <v>0</v>
      </c>
      <c r="P132" s="100">
        <v>0</v>
      </c>
      <c r="Q132" s="100">
        <v>0</v>
      </c>
      <c r="R132" s="100">
        <v>0</v>
      </c>
      <c r="S132" s="100">
        <v>0</v>
      </c>
      <c r="T132" s="100">
        <v>0</v>
      </c>
      <c r="U132" s="100">
        <v>0</v>
      </c>
      <c r="V132" s="100">
        <v>0</v>
      </c>
      <c r="W132" s="100">
        <v>0</v>
      </c>
      <c r="X132" s="100">
        <v>0</v>
      </c>
      <c r="Y132" s="100">
        <v>0</v>
      </c>
      <c r="Z132" s="100">
        <v>0</v>
      </c>
      <c r="AA132" s="100">
        <v>0</v>
      </c>
      <c r="AB132" s="100">
        <v>0</v>
      </c>
      <c r="AC132" s="100">
        <v>0</v>
      </c>
      <c r="AD132" s="100">
        <v>0</v>
      </c>
      <c r="AE132" s="100">
        <v>0</v>
      </c>
      <c r="AF132" s="100">
        <v>0</v>
      </c>
      <c r="AG132" s="100">
        <v>0</v>
      </c>
      <c r="AH132" s="100">
        <v>0</v>
      </c>
      <c r="AI132" s="100">
        <v>0</v>
      </c>
      <c r="AJ132" s="100">
        <v>0</v>
      </c>
      <c r="AK132" s="100">
        <v>0</v>
      </c>
      <c r="AL132" s="100">
        <v>0</v>
      </c>
      <c r="AM132" s="100">
        <v>0</v>
      </c>
      <c r="AN132" s="100">
        <v>0</v>
      </c>
      <c r="AO132" s="100">
        <v>0</v>
      </c>
      <c r="AP132" s="100">
        <v>0</v>
      </c>
      <c r="AQ132" s="100">
        <v>0</v>
      </c>
      <c r="AR132" s="100">
        <v>0</v>
      </c>
      <c r="AS132" s="100">
        <v>0</v>
      </c>
      <c r="AT132" s="100">
        <v>0</v>
      </c>
      <c r="AU132" s="100">
        <v>0</v>
      </c>
      <c r="AV132" s="100">
        <v>0</v>
      </c>
      <c r="AW132" s="100">
        <v>0</v>
      </c>
      <c r="AX132" s="100">
        <v>0</v>
      </c>
    </row>
    <row r="133" spans="2:50">
      <c r="B133" s="100" t="s">
        <v>278</v>
      </c>
      <c r="C133" s="105">
        <f>SUM(C$128:C$132)</f>
        <v>1.6388088908742907E-17</v>
      </c>
      <c r="D133" s="105">
        <f t="shared" ref="D133:AX133" si="10">SUM(D$128:D$132)</f>
        <v>1.6388088908742907E-17</v>
      </c>
      <c r="E133" s="105">
        <f t="shared" si="10"/>
        <v>1.6388088908742907E-17</v>
      </c>
      <c r="F133" s="105">
        <f t="shared" si="10"/>
        <v>1.6388088908742907E-17</v>
      </c>
      <c r="G133" s="105">
        <f t="shared" si="10"/>
        <v>1.6388088908742907E-17</v>
      </c>
      <c r="H133" s="105">
        <f t="shared" si="10"/>
        <v>1.6388088908742907E-17</v>
      </c>
      <c r="I133" s="105">
        <f t="shared" si="10"/>
        <v>1.6388088908742907E-17</v>
      </c>
      <c r="J133" s="105">
        <f t="shared" si="10"/>
        <v>1.6388088908742907E-17</v>
      </c>
      <c r="K133" s="105">
        <f t="shared" si="10"/>
        <v>1.6388088908742907E-17</v>
      </c>
      <c r="L133" s="105">
        <f t="shared" si="10"/>
        <v>1.6388088908742907E-17</v>
      </c>
      <c r="M133" s="105">
        <f t="shared" si="10"/>
        <v>1.6388088908742907E-17</v>
      </c>
      <c r="N133" s="105">
        <f t="shared" si="10"/>
        <v>1.6388088908742907E-17</v>
      </c>
      <c r="O133" s="105">
        <f t="shared" si="10"/>
        <v>1.6388088908742907E-17</v>
      </c>
      <c r="P133" s="105">
        <f t="shared" si="10"/>
        <v>1.6388088908742907E-17</v>
      </c>
      <c r="Q133" s="105">
        <f t="shared" si="10"/>
        <v>1.6388088908742907E-17</v>
      </c>
      <c r="R133" s="105">
        <f t="shared" si="10"/>
        <v>1.6388088908742907E-17</v>
      </c>
      <c r="S133" s="105">
        <f t="shared" si="10"/>
        <v>1.6388088908742907E-17</v>
      </c>
      <c r="T133" s="105">
        <f t="shared" si="10"/>
        <v>1.6388088908742907E-17</v>
      </c>
      <c r="U133" s="105">
        <f t="shared" si="10"/>
        <v>1.6388088908742907E-17</v>
      </c>
      <c r="V133" s="105">
        <f t="shared" si="10"/>
        <v>1.6388088908742907E-17</v>
      </c>
      <c r="W133" s="105">
        <f t="shared" si="10"/>
        <v>1.6388088908742907E-17</v>
      </c>
      <c r="X133" s="105">
        <f t="shared" si="10"/>
        <v>1.6388088908742907E-17</v>
      </c>
      <c r="Y133" s="105">
        <f t="shared" si="10"/>
        <v>1.6388088908742907E-17</v>
      </c>
      <c r="Z133" s="105">
        <f t="shared" si="10"/>
        <v>1.6388088908742907E-17</v>
      </c>
      <c r="AA133" s="105">
        <f t="shared" si="10"/>
        <v>1.365674075728576E-17</v>
      </c>
      <c r="AB133" s="105">
        <f t="shared" si="10"/>
        <v>1.365674075728576E-17</v>
      </c>
      <c r="AC133" s="105">
        <f t="shared" si="10"/>
        <v>1.365674075728576E-17</v>
      </c>
      <c r="AD133" s="105">
        <f t="shared" si="10"/>
        <v>1.365674075728576E-17</v>
      </c>
      <c r="AE133" s="105">
        <f t="shared" si="10"/>
        <v>1.6388088908742907E-17</v>
      </c>
      <c r="AF133" s="105">
        <f t="shared" si="10"/>
        <v>1.6388088908742907E-17</v>
      </c>
      <c r="AG133" s="105">
        <f t="shared" si="10"/>
        <v>1.6388088908742907E-17</v>
      </c>
      <c r="AH133" s="105">
        <f t="shared" si="10"/>
        <v>1.6388088908742907E-17</v>
      </c>
      <c r="AI133" s="105">
        <f t="shared" si="10"/>
        <v>1.365674075728576E-17</v>
      </c>
      <c r="AJ133" s="105">
        <f t="shared" si="10"/>
        <v>1.365674075728576E-17</v>
      </c>
      <c r="AK133" s="105">
        <f t="shared" si="10"/>
        <v>1.365674075728576E-17</v>
      </c>
      <c r="AL133" s="105">
        <f t="shared" si="10"/>
        <v>1.365674075728576E-17</v>
      </c>
      <c r="AM133" s="105">
        <f t="shared" si="10"/>
        <v>1.6388088908742907E-17</v>
      </c>
      <c r="AN133" s="105">
        <f t="shared" si="10"/>
        <v>1.6388088908742907E-17</v>
      </c>
      <c r="AO133" s="105">
        <f t="shared" si="10"/>
        <v>1.6388088908742907E-17</v>
      </c>
      <c r="AP133" s="105">
        <f t="shared" si="10"/>
        <v>1.6388088908742907E-17</v>
      </c>
      <c r="AQ133" s="105">
        <f t="shared" si="10"/>
        <v>1.365674075728576E-17</v>
      </c>
      <c r="AR133" s="105">
        <f t="shared" si="10"/>
        <v>1.365674075728576E-17</v>
      </c>
      <c r="AS133" s="105">
        <f t="shared" si="10"/>
        <v>1.365674075728576E-17</v>
      </c>
      <c r="AT133" s="105">
        <f t="shared" si="10"/>
        <v>1.365674075728576E-17</v>
      </c>
      <c r="AU133" s="105">
        <f t="shared" si="10"/>
        <v>1.365674075728576E-17</v>
      </c>
      <c r="AV133" s="105">
        <f t="shared" si="10"/>
        <v>1.365674075728576E-17</v>
      </c>
      <c r="AW133" s="105">
        <f t="shared" si="10"/>
        <v>1.365674075728576E-17</v>
      </c>
      <c r="AX133" s="105">
        <f t="shared" si="10"/>
        <v>1.365674075728576E-17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599.99999999999932</v>
      </c>
      <c r="E7" s="144">
        <v>599.99999999999932</v>
      </c>
      <c r="F7" s="144">
        <v>599.99999999999932</v>
      </c>
      <c r="G7" s="144">
        <v>599.99999999999932</v>
      </c>
      <c r="H7" s="144">
        <v>599.99999999999932</v>
      </c>
      <c r="I7" s="144">
        <v>599.99999999999932</v>
      </c>
      <c r="J7" s="144">
        <v>599.99999999999932</v>
      </c>
      <c r="K7" s="144">
        <v>599.99999999999932</v>
      </c>
      <c r="L7" s="144">
        <v>599.99999999999932</v>
      </c>
      <c r="M7" s="144">
        <v>599.99999999999932</v>
      </c>
      <c r="N7" s="144">
        <v>599.99999999999932</v>
      </c>
      <c r="O7" s="144">
        <v>599.99999999999932</v>
      </c>
      <c r="P7" s="144">
        <v>599.99999999999932</v>
      </c>
      <c r="Q7" s="144">
        <v>599.99999999999932</v>
      </c>
      <c r="R7" s="144">
        <v>599.99999999999932</v>
      </c>
      <c r="S7" s="144">
        <v>599.99999999999932</v>
      </c>
      <c r="T7" s="144">
        <v>599.99999999999932</v>
      </c>
      <c r="U7" s="144">
        <v>599.99999999999932</v>
      </c>
      <c r="V7" s="144">
        <v>599.99999999999932</v>
      </c>
      <c r="W7" s="144">
        <v>599.99999999999932</v>
      </c>
      <c r="X7" s="144">
        <v>599.99999999999932</v>
      </c>
      <c r="Y7" s="144">
        <v>599.99999999999932</v>
      </c>
      <c r="Z7" s="144">
        <v>599.99999999999932</v>
      </c>
      <c r="AA7" s="144">
        <v>599.99999999999932</v>
      </c>
      <c r="AB7" s="144">
        <v>4.0517419617874035E-20</v>
      </c>
      <c r="AC7" s="144">
        <v>4.0517419617874035E-20</v>
      </c>
      <c r="AD7" s="144">
        <v>4.0517419617874035E-20</v>
      </c>
      <c r="AE7" s="144">
        <v>4.0517419617874035E-20</v>
      </c>
      <c r="AF7" s="144">
        <v>599.99999999999932</v>
      </c>
      <c r="AG7" s="144">
        <v>599.99999999999932</v>
      </c>
      <c r="AH7" s="144">
        <v>599.99999999999932</v>
      </c>
      <c r="AI7" s="144">
        <v>599.99999999999932</v>
      </c>
      <c r="AJ7" s="144">
        <v>599.99999999999932</v>
      </c>
      <c r="AK7" s="144">
        <v>599.99999999999932</v>
      </c>
      <c r="AL7" s="144">
        <v>599.99999999999932</v>
      </c>
      <c r="AM7" s="144">
        <v>599.99999999999932</v>
      </c>
      <c r="AN7" s="144">
        <v>599.99999999999932</v>
      </c>
      <c r="AO7" s="144">
        <v>599.99999999999932</v>
      </c>
      <c r="AP7" s="144">
        <v>599.99999999999932</v>
      </c>
      <c r="AQ7" s="144">
        <v>599.99999999999932</v>
      </c>
      <c r="AR7" s="144">
        <v>599.99999999999932</v>
      </c>
      <c r="AS7" s="144">
        <v>599.99999999999932</v>
      </c>
      <c r="AT7" s="144">
        <v>599.99999999999932</v>
      </c>
      <c r="AU7" s="144">
        <v>599.99999999999932</v>
      </c>
      <c r="AV7" s="144">
        <v>599.99999999999932</v>
      </c>
      <c r="AW7" s="144">
        <v>599.99999999999932</v>
      </c>
      <c r="AX7" s="144">
        <v>599.99999999999932</v>
      </c>
      <c r="AY7" s="144">
        <v>599.99999999999932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599.99999999999864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599.99999999999864</v>
      </c>
      <c r="M10" s="144">
        <f t="shared" si="0"/>
        <v>0</v>
      </c>
      <c r="N10" s="144">
        <f t="shared" si="0"/>
        <v>0</v>
      </c>
      <c r="O10" s="144">
        <f t="shared" si="0"/>
        <v>599.99999999999864</v>
      </c>
      <c r="P10" s="144">
        <f t="shared" si="0"/>
        <v>599.99999999999864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2399.9999999999945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599.99999999999977</v>
      </c>
      <c r="D13" s="138">
        <f t="shared" ref="D13:AY13" si="1">D$7-D$10</f>
        <v>599.99999999999932</v>
      </c>
      <c r="E13" s="138">
        <f t="shared" si="1"/>
        <v>0</v>
      </c>
      <c r="F13" s="138">
        <f t="shared" si="1"/>
        <v>599.99999999999932</v>
      </c>
      <c r="G13" s="138">
        <f t="shared" si="1"/>
        <v>599.99999999999932</v>
      </c>
      <c r="H13" s="138">
        <f t="shared" si="1"/>
        <v>599.99999999999932</v>
      </c>
      <c r="I13" s="138">
        <f t="shared" si="1"/>
        <v>599.99999999999932</v>
      </c>
      <c r="J13" s="138">
        <f t="shared" si="1"/>
        <v>599.99999999999932</v>
      </c>
      <c r="K13" s="138">
        <f t="shared" si="1"/>
        <v>599.99999999999932</v>
      </c>
      <c r="L13" s="138">
        <f t="shared" si="1"/>
        <v>0</v>
      </c>
      <c r="M13" s="138">
        <f t="shared" si="1"/>
        <v>599.99999999999932</v>
      </c>
      <c r="N13" s="138">
        <f t="shared" si="1"/>
        <v>599.99999999999932</v>
      </c>
      <c r="O13" s="138">
        <f t="shared" si="1"/>
        <v>0</v>
      </c>
      <c r="P13" s="138">
        <f t="shared" si="1"/>
        <v>0</v>
      </c>
      <c r="Q13" s="138">
        <f t="shared" si="1"/>
        <v>599.99999999999932</v>
      </c>
      <c r="R13" s="138">
        <f t="shared" si="1"/>
        <v>599.99999999999932</v>
      </c>
      <c r="S13" s="138">
        <f t="shared" si="1"/>
        <v>599.99999999999932</v>
      </c>
      <c r="T13" s="138">
        <f t="shared" si="1"/>
        <v>599.99999999999932</v>
      </c>
      <c r="U13" s="138">
        <f t="shared" si="1"/>
        <v>599.99999999999932</v>
      </c>
      <c r="V13" s="138">
        <f t="shared" si="1"/>
        <v>599.99999999999932</v>
      </c>
      <c r="W13" s="138">
        <f t="shared" si="1"/>
        <v>599.99999999999932</v>
      </c>
      <c r="X13" s="138">
        <f t="shared" si="1"/>
        <v>599.99999999999932</v>
      </c>
      <c r="Y13" s="138">
        <f t="shared" si="1"/>
        <v>599.99999999999932</v>
      </c>
      <c r="Z13" s="138">
        <f t="shared" si="1"/>
        <v>599.99999999999932</v>
      </c>
      <c r="AA13" s="138">
        <f t="shared" si="1"/>
        <v>599.99999999999932</v>
      </c>
      <c r="AB13" s="138">
        <f t="shared" si="1"/>
        <v>4.0517419617874035E-20</v>
      </c>
      <c r="AC13" s="138">
        <f t="shared" si="1"/>
        <v>4.0517419617874035E-20</v>
      </c>
      <c r="AD13" s="138">
        <f t="shared" si="1"/>
        <v>4.0517419617874035E-20</v>
      </c>
      <c r="AE13" s="138">
        <f t="shared" si="1"/>
        <v>4.0517419617874035E-20</v>
      </c>
      <c r="AF13" s="138">
        <f t="shared" si="1"/>
        <v>599.99999999999932</v>
      </c>
      <c r="AG13" s="138">
        <f t="shared" si="1"/>
        <v>599.99999999999932</v>
      </c>
      <c r="AH13" s="138">
        <f t="shared" si="1"/>
        <v>599.99999999999932</v>
      </c>
      <c r="AI13" s="138">
        <f t="shared" si="1"/>
        <v>599.99999999999932</v>
      </c>
      <c r="AJ13" s="138">
        <f t="shared" si="1"/>
        <v>599.99999999999932</v>
      </c>
      <c r="AK13" s="138">
        <f t="shared" si="1"/>
        <v>599.99999999999932</v>
      </c>
      <c r="AL13" s="138">
        <f t="shared" si="1"/>
        <v>599.99999999999932</v>
      </c>
      <c r="AM13" s="138">
        <f t="shared" si="1"/>
        <v>599.99999999999932</v>
      </c>
      <c r="AN13" s="138">
        <f t="shared" si="1"/>
        <v>599.99999999999932</v>
      </c>
      <c r="AO13" s="138">
        <f t="shared" si="1"/>
        <v>599.99999999999932</v>
      </c>
      <c r="AP13" s="138">
        <f t="shared" si="1"/>
        <v>599.99999999999932</v>
      </c>
      <c r="AQ13" s="138">
        <f t="shared" si="1"/>
        <v>599.99999999999932</v>
      </c>
      <c r="AR13" s="138">
        <f t="shared" si="1"/>
        <v>599.99999999999932</v>
      </c>
      <c r="AS13" s="138">
        <f t="shared" si="1"/>
        <v>599.99999999999932</v>
      </c>
      <c r="AT13" s="138">
        <f t="shared" si="1"/>
        <v>599.99999999999932</v>
      </c>
      <c r="AU13" s="138">
        <f t="shared" si="1"/>
        <v>599.99999999999932</v>
      </c>
      <c r="AV13" s="138">
        <f t="shared" si="1"/>
        <v>599.99999999999932</v>
      </c>
      <c r="AW13" s="138">
        <f t="shared" si="1"/>
        <v>599.99999999999932</v>
      </c>
      <c r="AX13" s="138">
        <f t="shared" si="1"/>
        <v>599.99999999999932</v>
      </c>
      <c r="AY13" s="138">
        <f t="shared" si="1"/>
        <v>599.99999999999932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599.99999999999932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599.99999999999932</v>
      </c>
      <c r="M14" s="106">
        <f t="shared" si="2"/>
        <v>0</v>
      </c>
      <c r="N14" s="106">
        <f t="shared" si="2"/>
        <v>0</v>
      </c>
      <c r="O14" s="106">
        <f t="shared" si="2"/>
        <v>599.99999999999932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599.99999999999932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 t="s">
        <v>339</v>
      </c>
      <c r="E20" s="117"/>
      <c r="F20" s="117"/>
      <c r="G20" s="117"/>
      <c r="H20" s="117"/>
      <c r="I20" s="117"/>
      <c r="J20" s="117"/>
      <c r="K20" s="117" t="s">
        <v>339</v>
      </c>
      <c r="L20" s="117"/>
      <c r="M20" s="117"/>
      <c r="N20" s="117" t="s">
        <v>339</v>
      </c>
      <c r="O20" s="117" t="s">
        <v>339</v>
      </c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0.46824476868137532</v>
      </c>
      <c r="C21" s="156" t="s">
        <v>293</v>
      </c>
      <c r="D21" s="106">
        <f>IF(C$20="Yes",0,SUM(C$13:C$16)*$B$21)</f>
        <v>280.94686120882511</v>
      </c>
      <c r="E21" s="106">
        <f t="shared" ref="E21:AY21" si="3">IF(D$20="Yes",0,SUM(D$13:D$16)*$B$21)</f>
        <v>0</v>
      </c>
      <c r="F21" s="106">
        <f t="shared" si="3"/>
        <v>280.94686120882488</v>
      </c>
      <c r="G21" s="106">
        <f t="shared" si="3"/>
        <v>280.94686120882488</v>
      </c>
      <c r="H21" s="106">
        <f t="shared" si="3"/>
        <v>280.94686120882488</v>
      </c>
      <c r="I21" s="106">
        <f t="shared" si="3"/>
        <v>280.94686120882488</v>
      </c>
      <c r="J21" s="106">
        <f t="shared" si="3"/>
        <v>280.94686120882488</v>
      </c>
      <c r="K21" s="106">
        <f t="shared" si="3"/>
        <v>280.94686120882488</v>
      </c>
      <c r="L21" s="106">
        <f t="shared" si="3"/>
        <v>0</v>
      </c>
      <c r="M21" s="106">
        <f t="shared" si="3"/>
        <v>280.94686120882488</v>
      </c>
      <c r="N21" s="106">
        <f t="shared" si="3"/>
        <v>280.94686120882488</v>
      </c>
      <c r="O21" s="106">
        <f t="shared" si="3"/>
        <v>0</v>
      </c>
      <c r="P21" s="106">
        <f t="shared" si="3"/>
        <v>0</v>
      </c>
      <c r="Q21" s="106">
        <f t="shared" si="3"/>
        <v>280.94686120882488</v>
      </c>
      <c r="R21" s="106">
        <f t="shared" si="3"/>
        <v>280.94686120882488</v>
      </c>
      <c r="S21" s="106">
        <f t="shared" si="3"/>
        <v>280.94686120882488</v>
      </c>
      <c r="T21" s="106">
        <f t="shared" si="3"/>
        <v>280.94686120882488</v>
      </c>
      <c r="U21" s="106">
        <f t="shared" si="3"/>
        <v>280.94686120882488</v>
      </c>
      <c r="V21" s="106">
        <f t="shared" si="3"/>
        <v>280.94686120882488</v>
      </c>
      <c r="W21" s="106">
        <f t="shared" si="3"/>
        <v>280.94686120882488</v>
      </c>
      <c r="X21" s="106">
        <f t="shared" si="3"/>
        <v>280.94686120882488</v>
      </c>
      <c r="Y21" s="106">
        <f t="shared" si="3"/>
        <v>280.94686120882488</v>
      </c>
      <c r="Z21" s="106">
        <f t="shared" si="3"/>
        <v>280.94686120882488</v>
      </c>
      <c r="AA21" s="106">
        <f t="shared" si="3"/>
        <v>280.94686120882488</v>
      </c>
      <c r="AB21" s="106">
        <f t="shared" si="3"/>
        <v>280.94686120882488</v>
      </c>
      <c r="AC21" s="106">
        <f t="shared" si="3"/>
        <v>1.8972069776537646E-20</v>
      </c>
      <c r="AD21" s="106">
        <f t="shared" si="3"/>
        <v>1.8972069776537646E-20</v>
      </c>
      <c r="AE21" s="106">
        <f t="shared" si="3"/>
        <v>1.8972069776537646E-20</v>
      </c>
      <c r="AF21" s="106">
        <f t="shared" si="3"/>
        <v>1.8972069776537646E-20</v>
      </c>
      <c r="AG21" s="106">
        <f t="shared" si="3"/>
        <v>280.94686120882488</v>
      </c>
      <c r="AH21" s="106">
        <f t="shared" si="3"/>
        <v>280.94686120882488</v>
      </c>
      <c r="AI21" s="106">
        <f t="shared" si="3"/>
        <v>280.94686120882488</v>
      </c>
      <c r="AJ21" s="106">
        <f t="shared" si="3"/>
        <v>280.94686120882488</v>
      </c>
      <c r="AK21" s="106">
        <f t="shared" si="3"/>
        <v>280.94686120882488</v>
      </c>
      <c r="AL21" s="106">
        <f t="shared" si="3"/>
        <v>280.94686120882488</v>
      </c>
      <c r="AM21" s="106">
        <f t="shared" si="3"/>
        <v>280.94686120882488</v>
      </c>
      <c r="AN21" s="106">
        <f t="shared" si="3"/>
        <v>280.94686120882488</v>
      </c>
      <c r="AO21" s="106">
        <f t="shared" si="3"/>
        <v>280.94686120882488</v>
      </c>
      <c r="AP21" s="106">
        <f t="shared" si="3"/>
        <v>280.94686120882488</v>
      </c>
      <c r="AQ21" s="106">
        <f t="shared" si="3"/>
        <v>280.94686120882488</v>
      </c>
      <c r="AR21" s="106">
        <f t="shared" si="3"/>
        <v>280.94686120882488</v>
      </c>
      <c r="AS21" s="106">
        <f t="shared" si="3"/>
        <v>280.94686120882488</v>
      </c>
      <c r="AT21" s="106">
        <f t="shared" si="3"/>
        <v>280.94686120882488</v>
      </c>
      <c r="AU21" s="106">
        <f t="shared" si="3"/>
        <v>280.94686120882488</v>
      </c>
      <c r="AV21" s="106">
        <f t="shared" si="3"/>
        <v>280.94686120882488</v>
      </c>
      <c r="AW21" s="106">
        <f t="shared" si="3"/>
        <v>280.94686120882488</v>
      </c>
      <c r="AX21" s="106">
        <f t="shared" si="3"/>
        <v>280.94686120882488</v>
      </c>
      <c r="AY21" s="106">
        <f t="shared" si="3"/>
        <v>280.94686120882488</v>
      </c>
      <c r="AZ21" s="157">
        <f>SUM($D21:$AY21)</f>
        <v>11237.874448352988</v>
      </c>
    </row>
    <row r="22" spans="1:52" s="110" customFormat="1">
      <c r="A22" s="158" t="s">
        <v>123</v>
      </c>
      <c r="B22" s="159">
        <f>1-$B$21</f>
        <v>0.53175523131862468</v>
      </c>
      <c r="C22" s="159" t="s">
        <v>293</v>
      </c>
      <c r="D22" s="114">
        <f>IF(C$20="Yes",0,SUM(C$13:C$16)*$B$22)</f>
        <v>319.05313879117466</v>
      </c>
      <c r="E22" s="114">
        <f t="shared" ref="E22:AY22" si="4">IF(D$20="Yes",0,SUM(D$13:D$16)*$B$22)</f>
        <v>0</v>
      </c>
      <c r="F22" s="114">
        <f t="shared" si="4"/>
        <v>319.05313879117443</v>
      </c>
      <c r="G22" s="114">
        <f t="shared" si="4"/>
        <v>319.05313879117443</v>
      </c>
      <c r="H22" s="114">
        <f t="shared" si="4"/>
        <v>319.05313879117443</v>
      </c>
      <c r="I22" s="114">
        <f t="shared" si="4"/>
        <v>319.05313879117443</v>
      </c>
      <c r="J22" s="114">
        <f t="shared" si="4"/>
        <v>319.05313879117443</v>
      </c>
      <c r="K22" s="114">
        <f t="shared" si="4"/>
        <v>319.05313879117443</v>
      </c>
      <c r="L22" s="114">
        <f t="shared" si="4"/>
        <v>0</v>
      </c>
      <c r="M22" s="114">
        <f t="shared" si="4"/>
        <v>319.05313879117443</v>
      </c>
      <c r="N22" s="114">
        <f t="shared" si="4"/>
        <v>319.05313879117443</v>
      </c>
      <c r="O22" s="114">
        <f t="shared" si="4"/>
        <v>0</v>
      </c>
      <c r="P22" s="114">
        <f t="shared" si="4"/>
        <v>0</v>
      </c>
      <c r="Q22" s="114">
        <f t="shared" si="4"/>
        <v>319.05313879117443</v>
      </c>
      <c r="R22" s="114">
        <f t="shared" si="4"/>
        <v>319.05313879117443</v>
      </c>
      <c r="S22" s="114">
        <f t="shared" si="4"/>
        <v>319.05313879117443</v>
      </c>
      <c r="T22" s="114">
        <f t="shared" si="4"/>
        <v>319.05313879117443</v>
      </c>
      <c r="U22" s="114">
        <f t="shared" si="4"/>
        <v>319.05313879117443</v>
      </c>
      <c r="V22" s="114">
        <f t="shared" si="4"/>
        <v>319.05313879117443</v>
      </c>
      <c r="W22" s="114">
        <f t="shared" si="4"/>
        <v>319.05313879117443</v>
      </c>
      <c r="X22" s="114">
        <f t="shared" si="4"/>
        <v>319.05313879117443</v>
      </c>
      <c r="Y22" s="114">
        <f t="shared" si="4"/>
        <v>319.05313879117443</v>
      </c>
      <c r="Z22" s="114">
        <f t="shared" si="4"/>
        <v>319.05313879117443</v>
      </c>
      <c r="AA22" s="114">
        <f t="shared" si="4"/>
        <v>319.05313879117443</v>
      </c>
      <c r="AB22" s="114">
        <f t="shared" si="4"/>
        <v>319.05313879117443</v>
      </c>
      <c r="AC22" s="114">
        <f t="shared" si="4"/>
        <v>2.1545349841336389E-20</v>
      </c>
      <c r="AD22" s="114">
        <f t="shared" si="4"/>
        <v>2.1545349841336389E-20</v>
      </c>
      <c r="AE22" s="114">
        <f t="shared" si="4"/>
        <v>2.1545349841336389E-20</v>
      </c>
      <c r="AF22" s="114">
        <f t="shared" si="4"/>
        <v>2.1545349841336389E-20</v>
      </c>
      <c r="AG22" s="114">
        <f t="shared" si="4"/>
        <v>319.05313879117443</v>
      </c>
      <c r="AH22" s="114">
        <f t="shared" si="4"/>
        <v>319.05313879117443</v>
      </c>
      <c r="AI22" s="114">
        <f t="shared" si="4"/>
        <v>319.05313879117443</v>
      </c>
      <c r="AJ22" s="114">
        <f t="shared" si="4"/>
        <v>319.05313879117443</v>
      </c>
      <c r="AK22" s="114">
        <f t="shared" si="4"/>
        <v>319.05313879117443</v>
      </c>
      <c r="AL22" s="114">
        <f t="shared" si="4"/>
        <v>319.05313879117443</v>
      </c>
      <c r="AM22" s="114">
        <f t="shared" si="4"/>
        <v>319.05313879117443</v>
      </c>
      <c r="AN22" s="114">
        <f t="shared" si="4"/>
        <v>319.05313879117443</v>
      </c>
      <c r="AO22" s="114">
        <f t="shared" si="4"/>
        <v>319.05313879117443</v>
      </c>
      <c r="AP22" s="114">
        <f t="shared" si="4"/>
        <v>319.05313879117443</v>
      </c>
      <c r="AQ22" s="114">
        <f t="shared" si="4"/>
        <v>319.05313879117443</v>
      </c>
      <c r="AR22" s="114">
        <f t="shared" si="4"/>
        <v>319.05313879117443</v>
      </c>
      <c r="AS22" s="114">
        <f t="shared" si="4"/>
        <v>319.05313879117443</v>
      </c>
      <c r="AT22" s="114">
        <f t="shared" si="4"/>
        <v>319.05313879117443</v>
      </c>
      <c r="AU22" s="114">
        <f t="shared" si="4"/>
        <v>319.05313879117443</v>
      </c>
      <c r="AV22" s="114">
        <f t="shared" si="4"/>
        <v>319.05313879117443</v>
      </c>
      <c r="AW22" s="114">
        <f t="shared" si="4"/>
        <v>319.05313879117443</v>
      </c>
      <c r="AX22" s="114">
        <f t="shared" si="4"/>
        <v>319.05313879117443</v>
      </c>
      <c r="AY22" s="114">
        <f t="shared" si="4"/>
        <v>319.05313879117443</v>
      </c>
      <c r="AZ22" s="141">
        <f t="shared" ref="AZ22:AZ30" si="5">SUM($D22:$AY22)</f>
        <v>12762.12555164697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561893.72241765028</v>
      </c>
      <c r="E23" s="100">
        <f t="shared" ref="E23:AY23" si="6">E$21*$B$23</f>
        <v>0</v>
      </c>
      <c r="F23" s="100">
        <f t="shared" si="6"/>
        <v>561893.72241764981</v>
      </c>
      <c r="G23" s="100">
        <f t="shared" si="6"/>
        <v>561893.72241764981</v>
      </c>
      <c r="H23" s="100">
        <f t="shared" si="6"/>
        <v>561893.72241764981</v>
      </c>
      <c r="I23" s="100">
        <f t="shared" si="6"/>
        <v>561893.72241764981</v>
      </c>
      <c r="J23" s="100">
        <f t="shared" si="6"/>
        <v>561893.72241764981</v>
      </c>
      <c r="K23" s="100">
        <f t="shared" si="6"/>
        <v>561893.72241764981</v>
      </c>
      <c r="L23" s="100">
        <f t="shared" si="6"/>
        <v>0</v>
      </c>
      <c r="M23" s="100">
        <f t="shared" si="6"/>
        <v>561893.72241764981</v>
      </c>
      <c r="N23" s="100">
        <f t="shared" si="6"/>
        <v>561893.72241764981</v>
      </c>
      <c r="O23" s="100">
        <f t="shared" si="6"/>
        <v>0</v>
      </c>
      <c r="P23" s="100">
        <f t="shared" si="6"/>
        <v>0</v>
      </c>
      <c r="Q23" s="100">
        <f t="shared" si="6"/>
        <v>561893.72241764981</v>
      </c>
      <c r="R23" s="100">
        <f t="shared" si="6"/>
        <v>561893.72241764981</v>
      </c>
      <c r="S23" s="100">
        <f t="shared" si="6"/>
        <v>561893.72241764981</v>
      </c>
      <c r="T23" s="100">
        <f t="shared" si="6"/>
        <v>561893.72241764981</v>
      </c>
      <c r="U23" s="100">
        <f t="shared" si="6"/>
        <v>561893.72241764981</v>
      </c>
      <c r="V23" s="100">
        <f t="shared" si="6"/>
        <v>561893.72241764981</v>
      </c>
      <c r="W23" s="100">
        <f t="shared" si="6"/>
        <v>561893.72241764981</v>
      </c>
      <c r="X23" s="100">
        <f t="shared" si="6"/>
        <v>561893.72241764981</v>
      </c>
      <c r="Y23" s="100">
        <f t="shared" si="6"/>
        <v>561893.72241764981</v>
      </c>
      <c r="Z23" s="100">
        <f t="shared" si="6"/>
        <v>561893.72241764981</v>
      </c>
      <c r="AA23" s="100">
        <f t="shared" si="6"/>
        <v>561893.72241764981</v>
      </c>
      <c r="AB23" s="100">
        <f t="shared" si="6"/>
        <v>561893.72241764981</v>
      </c>
      <c r="AC23" s="100">
        <f t="shared" si="6"/>
        <v>3.7944139553075292E-17</v>
      </c>
      <c r="AD23" s="100">
        <f t="shared" si="6"/>
        <v>3.7944139553075292E-17</v>
      </c>
      <c r="AE23" s="100">
        <f t="shared" si="6"/>
        <v>3.7944139553075292E-17</v>
      </c>
      <c r="AF23" s="100">
        <f t="shared" si="6"/>
        <v>3.7944139553075292E-17</v>
      </c>
      <c r="AG23" s="100">
        <f t="shared" si="6"/>
        <v>561893.72241764981</v>
      </c>
      <c r="AH23" s="100">
        <f t="shared" si="6"/>
        <v>561893.72241764981</v>
      </c>
      <c r="AI23" s="100">
        <f t="shared" si="6"/>
        <v>561893.72241764981</v>
      </c>
      <c r="AJ23" s="100">
        <f t="shared" si="6"/>
        <v>561893.72241764981</v>
      </c>
      <c r="AK23" s="100">
        <f t="shared" si="6"/>
        <v>561893.72241764981</v>
      </c>
      <c r="AL23" s="100">
        <f t="shared" si="6"/>
        <v>561893.72241764981</v>
      </c>
      <c r="AM23" s="100">
        <f t="shared" si="6"/>
        <v>561893.72241764981</v>
      </c>
      <c r="AN23" s="100">
        <f t="shared" si="6"/>
        <v>561893.72241764981</v>
      </c>
      <c r="AO23" s="100">
        <f t="shared" si="6"/>
        <v>561893.72241764981</v>
      </c>
      <c r="AP23" s="100">
        <f t="shared" si="6"/>
        <v>561893.72241764981</v>
      </c>
      <c r="AQ23" s="100">
        <f t="shared" si="6"/>
        <v>561893.72241764981</v>
      </c>
      <c r="AR23" s="100">
        <f t="shared" si="6"/>
        <v>561893.72241764981</v>
      </c>
      <c r="AS23" s="100">
        <f t="shared" si="6"/>
        <v>561893.72241764981</v>
      </c>
      <c r="AT23" s="100">
        <f t="shared" si="6"/>
        <v>561893.72241764981</v>
      </c>
      <c r="AU23" s="100">
        <f t="shared" si="6"/>
        <v>561893.72241764981</v>
      </c>
      <c r="AV23" s="100">
        <f t="shared" si="6"/>
        <v>561893.72241764981</v>
      </c>
      <c r="AW23" s="100">
        <f t="shared" si="6"/>
        <v>561893.72241764981</v>
      </c>
      <c r="AX23" s="100">
        <f t="shared" si="6"/>
        <v>561893.72241764981</v>
      </c>
      <c r="AY23" s="100">
        <f t="shared" si="6"/>
        <v>561893.72241764981</v>
      </c>
      <c r="AZ23" s="139">
        <f t="shared" si="5"/>
        <v>22475748.89670597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319053.13879117469</v>
      </c>
      <c r="E24" s="106">
        <f t="shared" ref="E24:AY24" si="7">E$22*$B$24</f>
        <v>0</v>
      </c>
      <c r="F24" s="106">
        <f t="shared" si="7"/>
        <v>319053.13879117445</v>
      </c>
      <c r="G24" s="106">
        <f t="shared" si="7"/>
        <v>319053.13879117445</v>
      </c>
      <c r="H24" s="106">
        <f t="shared" si="7"/>
        <v>319053.13879117445</v>
      </c>
      <c r="I24" s="106">
        <f t="shared" si="7"/>
        <v>319053.13879117445</v>
      </c>
      <c r="J24" s="106">
        <f t="shared" si="7"/>
        <v>319053.13879117445</v>
      </c>
      <c r="K24" s="106">
        <f t="shared" si="7"/>
        <v>319053.13879117445</v>
      </c>
      <c r="L24" s="106">
        <f t="shared" si="7"/>
        <v>0</v>
      </c>
      <c r="M24" s="106">
        <f t="shared" si="7"/>
        <v>319053.13879117445</v>
      </c>
      <c r="N24" s="106">
        <f t="shared" si="7"/>
        <v>319053.13879117445</v>
      </c>
      <c r="O24" s="106">
        <f t="shared" si="7"/>
        <v>0</v>
      </c>
      <c r="P24" s="106">
        <f t="shared" si="7"/>
        <v>0</v>
      </c>
      <c r="Q24" s="106">
        <f t="shared" si="7"/>
        <v>319053.13879117445</v>
      </c>
      <c r="R24" s="106">
        <f t="shared" si="7"/>
        <v>319053.13879117445</v>
      </c>
      <c r="S24" s="106">
        <f t="shared" si="7"/>
        <v>319053.13879117445</v>
      </c>
      <c r="T24" s="106">
        <f t="shared" si="7"/>
        <v>319053.13879117445</v>
      </c>
      <c r="U24" s="106">
        <f t="shared" si="7"/>
        <v>319053.13879117445</v>
      </c>
      <c r="V24" s="106">
        <f t="shared" si="7"/>
        <v>319053.13879117445</v>
      </c>
      <c r="W24" s="106">
        <f t="shared" si="7"/>
        <v>319053.13879117445</v>
      </c>
      <c r="X24" s="106">
        <f t="shared" si="7"/>
        <v>319053.13879117445</v>
      </c>
      <c r="Y24" s="106">
        <f t="shared" si="7"/>
        <v>319053.13879117445</v>
      </c>
      <c r="Z24" s="106">
        <f t="shared" si="7"/>
        <v>319053.13879117445</v>
      </c>
      <c r="AA24" s="106">
        <f t="shared" si="7"/>
        <v>319053.13879117445</v>
      </c>
      <c r="AB24" s="106">
        <f t="shared" si="7"/>
        <v>319053.13879117445</v>
      </c>
      <c r="AC24" s="106">
        <f t="shared" si="7"/>
        <v>2.154534984133639E-17</v>
      </c>
      <c r="AD24" s="106">
        <f t="shared" si="7"/>
        <v>2.154534984133639E-17</v>
      </c>
      <c r="AE24" s="106">
        <f t="shared" si="7"/>
        <v>2.154534984133639E-17</v>
      </c>
      <c r="AF24" s="106">
        <f t="shared" si="7"/>
        <v>2.154534984133639E-17</v>
      </c>
      <c r="AG24" s="106">
        <f t="shared" si="7"/>
        <v>319053.13879117445</v>
      </c>
      <c r="AH24" s="106">
        <f t="shared" si="7"/>
        <v>319053.13879117445</v>
      </c>
      <c r="AI24" s="106">
        <f t="shared" si="7"/>
        <v>319053.13879117445</v>
      </c>
      <c r="AJ24" s="106">
        <f t="shared" si="7"/>
        <v>319053.13879117445</v>
      </c>
      <c r="AK24" s="106">
        <f t="shared" si="7"/>
        <v>319053.13879117445</v>
      </c>
      <c r="AL24" s="106">
        <f t="shared" si="7"/>
        <v>319053.13879117445</v>
      </c>
      <c r="AM24" s="106">
        <f t="shared" si="7"/>
        <v>319053.13879117445</v>
      </c>
      <c r="AN24" s="106">
        <f t="shared" si="7"/>
        <v>319053.13879117445</v>
      </c>
      <c r="AO24" s="106">
        <f t="shared" si="7"/>
        <v>319053.13879117445</v>
      </c>
      <c r="AP24" s="106">
        <f t="shared" si="7"/>
        <v>319053.13879117445</v>
      </c>
      <c r="AQ24" s="106">
        <f t="shared" si="7"/>
        <v>319053.13879117445</v>
      </c>
      <c r="AR24" s="106">
        <f t="shared" si="7"/>
        <v>319053.13879117445</v>
      </c>
      <c r="AS24" s="106">
        <f t="shared" si="7"/>
        <v>319053.13879117445</v>
      </c>
      <c r="AT24" s="106">
        <f t="shared" si="7"/>
        <v>319053.13879117445</v>
      </c>
      <c r="AU24" s="106">
        <f t="shared" si="7"/>
        <v>319053.13879117445</v>
      </c>
      <c r="AV24" s="106">
        <f t="shared" si="7"/>
        <v>319053.13879117445</v>
      </c>
      <c r="AW24" s="106">
        <f t="shared" si="7"/>
        <v>319053.13879117445</v>
      </c>
      <c r="AX24" s="106">
        <f t="shared" si="7"/>
        <v>319053.13879117445</v>
      </c>
      <c r="AY24" s="106">
        <f t="shared" si="7"/>
        <v>319053.13879117445</v>
      </c>
      <c r="AZ24" s="141">
        <f t="shared" si="5"/>
        <v>12762125.551646972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21</v>
      </c>
      <c r="D27" s="124">
        <f>C$27-C$28+C$29</f>
        <v>1</v>
      </c>
      <c r="E27" s="124">
        <f t="shared" ref="E27:AY27" si="8">D27-D28+D29</f>
        <v>21</v>
      </c>
      <c r="F27" s="124">
        <f t="shared" si="8"/>
        <v>22</v>
      </c>
      <c r="G27" s="124">
        <f t="shared" si="8"/>
        <v>1</v>
      </c>
      <c r="H27" s="124">
        <f t="shared" si="8"/>
        <v>21</v>
      </c>
      <c r="I27" s="124">
        <f t="shared" si="8"/>
        <v>1</v>
      </c>
      <c r="J27" s="124">
        <f t="shared" si="8"/>
        <v>21</v>
      </c>
      <c r="K27" s="124">
        <f t="shared" si="8"/>
        <v>1</v>
      </c>
      <c r="L27" s="124">
        <f t="shared" si="8"/>
        <v>21</v>
      </c>
      <c r="M27" s="124">
        <f t="shared" si="8"/>
        <v>22</v>
      </c>
      <c r="N27" s="124">
        <f t="shared" si="8"/>
        <v>1</v>
      </c>
      <c r="O27" s="124">
        <f t="shared" si="8"/>
        <v>21</v>
      </c>
      <c r="P27" s="124">
        <f t="shared" si="8"/>
        <v>22</v>
      </c>
      <c r="Q27" s="124">
        <f t="shared" si="8"/>
        <v>22</v>
      </c>
      <c r="R27" s="124">
        <f t="shared" si="8"/>
        <v>1</v>
      </c>
      <c r="S27" s="124">
        <f t="shared" si="8"/>
        <v>21</v>
      </c>
      <c r="T27" s="124">
        <f t="shared" si="8"/>
        <v>1</v>
      </c>
      <c r="U27" s="124">
        <f t="shared" si="8"/>
        <v>21</v>
      </c>
      <c r="V27" s="124">
        <f t="shared" si="8"/>
        <v>1</v>
      </c>
      <c r="W27" s="124">
        <f t="shared" si="8"/>
        <v>21</v>
      </c>
      <c r="X27" s="124">
        <f t="shared" si="8"/>
        <v>1</v>
      </c>
      <c r="Y27" s="124">
        <f t="shared" si="8"/>
        <v>21</v>
      </c>
      <c r="Z27" s="124">
        <f t="shared" si="8"/>
        <v>1</v>
      </c>
      <c r="AA27" s="124">
        <f t="shared" si="8"/>
        <v>21</v>
      </c>
      <c r="AB27" s="124">
        <f t="shared" si="8"/>
        <v>1</v>
      </c>
      <c r="AC27" s="124">
        <f t="shared" si="8"/>
        <v>21</v>
      </c>
      <c r="AD27" s="124">
        <f t="shared" si="8"/>
        <v>20</v>
      </c>
      <c r="AE27" s="124">
        <f t="shared" si="8"/>
        <v>20</v>
      </c>
      <c r="AF27" s="124">
        <f t="shared" si="8"/>
        <v>20</v>
      </c>
      <c r="AG27" s="124">
        <f t="shared" si="8"/>
        <v>20</v>
      </c>
      <c r="AH27" s="124">
        <f t="shared" si="8"/>
        <v>2</v>
      </c>
      <c r="AI27" s="124">
        <f t="shared" si="8"/>
        <v>20</v>
      </c>
      <c r="AJ27" s="124">
        <f t="shared" si="8"/>
        <v>2</v>
      </c>
      <c r="AK27" s="124">
        <f t="shared" si="8"/>
        <v>20</v>
      </c>
      <c r="AL27" s="124">
        <f t="shared" si="8"/>
        <v>2</v>
      </c>
      <c r="AM27" s="124">
        <f t="shared" si="8"/>
        <v>20</v>
      </c>
      <c r="AN27" s="124">
        <f t="shared" si="8"/>
        <v>2</v>
      </c>
      <c r="AO27" s="124">
        <f t="shared" si="8"/>
        <v>20</v>
      </c>
      <c r="AP27" s="124">
        <f t="shared" si="8"/>
        <v>2</v>
      </c>
      <c r="AQ27" s="124">
        <f t="shared" si="8"/>
        <v>20</v>
      </c>
      <c r="AR27" s="124">
        <f t="shared" si="8"/>
        <v>2</v>
      </c>
      <c r="AS27" s="124">
        <f t="shared" si="8"/>
        <v>20</v>
      </c>
      <c r="AT27" s="124">
        <f t="shared" si="8"/>
        <v>2</v>
      </c>
      <c r="AU27" s="124">
        <f t="shared" si="8"/>
        <v>20</v>
      </c>
      <c r="AV27" s="124">
        <f t="shared" si="8"/>
        <v>2</v>
      </c>
      <c r="AW27" s="124">
        <f t="shared" si="8"/>
        <v>20</v>
      </c>
      <c r="AX27" s="124">
        <f t="shared" si="8"/>
        <v>2</v>
      </c>
      <c r="AY27" s="164">
        <f t="shared" si="8"/>
        <v>20</v>
      </c>
      <c r="AZ27" s="106"/>
    </row>
    <row r="28" spans="1:52">
      <c r="B28" s="165" t="s">
        <v>310</v>
      </c>
      <c r="C28" s="110">
        <v>21</v>
      </c>
      <c r="D28" s="110">
        <v>1</v>
      </c>
      <c r="E28" s="110">
        <v>0</v>
      </c>
      <c r="F28" s="110">
        <v>21</v>
      </c>
      <c r="G28" s="110">
        <v>1</v>
      </c>
      <c r="H28" s="110">
        <v>21</v>
      </c>
      <c r="I28" s="110">
        <v>1</v>
      </c>
      <c r="J28" s="110">
        <v>21</v>
      </c>
      <c r="K28" s="110">
        <v>1</v>
      </c>
      <c r="L28" s="110">
        <v>0</v>
      </c>
      <c r="M28" s="110">
        <v>21</v>
      </c>
      <c r="N28" s="110">
        <v>1</v>
      </c>
      <c r="O28" s="110">
        <v>0</v>
      </c>
      <c r="P28" s="110">
        <v>0</v>
      </c>
      <c r="Q28" s="110">
        <v>21</v>
      </c>
      <c r="R28" s="110">
        <v>1</v>
      </c>
      <c r="S28" s="110">
        <v>21</v>
      </c>
      <c r="T28" s="110">
        <v>1</v>
      </c>
      <c r="U28" s="110">
        <v>21</v>
      </c>
      <c r="V28" s="110">
        <v>1</v>
      </c>
      <c r="W28" s="110">
        <v>21</v>
      </c>
      <c r="X28" s="110">
        <v>1</v>
      </c>
      <c r="Y28" s="110">
        <v>21</v>
      </c>
      <c r="Z28" s="110">
        <v>1</v>
      </c>
      <c r="AA28" s="110">
        <v>21</v>
      </c>
      <c r="AB28" s="110">
        <v>1</v>
      </c>
      <c r="AC28" s="110">
        <v>2</v>
      </c>
      <c r="AD28" s="110">
        <v>2</v>
      </c>
      <c r="AE28" s="110">
        <v>2</v>
      </c>
      <c r="AF28" s="110">
        <v>2</v>
      </c>
      <c r="AG28" s="110">
        <v>20</v>
      </c>
      <c r="AH28" s="110">
        <v>2</v>
      </c>
      <c r="AI28" s="110">
        <v>20</v>
      </c>
      <c r="AJ28" s="110">
        <v>2</v>
      </c>
      <c r="AK28" s="110">
        <v>20</v>
      </c>
      <c r="AL28" s="110">
        <v>2</v>
      </c>
      <c r="AM28" s="110">
        <v>20</v>
      </c>
      <c r="AN28" s="110">
        <v>2</v>
      </c>
      <c r="AO28" s="110">
        <v>20</v>
      </c>
      <c r="AP28" s="110">
        <v>2</v>
      </c>
      <c r="AQ28" s="110">
        <v>20</v>
      </c>
      <c r="AR28" s="110">
        <v>2</v>
      </c>
      <c r="AS28" s="110">
        <v>20</v>
      </c>
      <c r="AT28" s="110">
        <v>2</v>
      </c>
      <c r="AU28" s="110">
        <v>20</v>
      </c>
      <c r="AV28" s="110">
        <v>2</v>
      </c>
      <c r="AW28" s="110">
        <v>20</v>
      </c>
      <c r="AX28" s="110">
        <v>2</v>
      </c>
      <c r="AY28" s="166">
        <v>20</v>
      </c>
      <c r="AZ28" s="106"/>
    </row>
    <row r="29" spans="1:52">
      <c r="B29" s="136" t="s">
        <v>311</v>
      </c>
      <c r="C29" s="125">
        <v>1</v>
      </c>
      <c r="D29" s="125">
        <f>C$28</f>
        <v>21</v>
      </c>
      <c r="E29" s="125">
        <f t="shared" ref="E29:AY29" si="9">D$28</f>
        <v>1</v>
      </c>
      <c r="F29" s="125">
        <f t="shared" si="9"/>
        <v>0</v>
      </c>
      <c r="G29" s="125">
        <f t="shared" si="9"/>
        <v>21</v>
      </c>
      <c r="H29" s="125">
        <f t="shared" si="9"/>
        <v>1</v>
      </c>
      <c r="I29" s="125">
        <f t="shared" si="9"/>
        <v>21</v>
      </c>
      <c r="J29" s="125">
        <f t="shared" si="9"/>
        <v>1</v>
      </c>
      <c r="K29" s="125">
        <f t="shared" si="9"/>
        <v>21</v>
      </c>
      <c r="L29" s="125">
        <f t="shared" si="9"/>
        <v>1</v>
      </c>
      <c r="M29" s="125">
        <f t="shared" si="9"/>
        <v>0</v>
      </c>
      <c r="N29" s="125">
        <f t="shared" si="9"/>
        <v>21</v>
      </c>
      <c r="O29" s="125">
        <f t="shared" si="9"/>
        <v>1</v>
      </c>
      <c r="P29" s="125">
        <f t="shared" si="9"/>
        <v>0</v>
      </c>
      <c r="Q29" s="125">
        <f t="shared" si="9"/>
        <v>0</v>
      </c>
      <c r="R29" s="125">
        <f t="shared" si="9"/>
        <v>21</v>
      </c>
      <c r="S29" s="125">
        <f t="shared" si="9"/>
        <v>1</v>
      </c>
      <c r="T29" s="125">
        <f t="shared" si="9"/>
        <v>21</v>
      </c>
      <c r="U29" s="125">
        <f t="shared" si="9"/>
        <v>1</v>
      </c>
      <c r="V29" s="125">
        <f t="shared" si="9"/>
        <v>21</v>
      </c>
      <c r="W29" s="125">
        <f t="shared" si="9"/>
        <v>1</v>
      </c>
      <c r="X29" s="125">
        <f t="shared" si="9"/>
        <v>21</v>
      </c>
      <c r="Y29" s="125">
        <f t="shared" si="9"/>
        <v>1</v>
      </c>
      <c r="Z29" s="125">
        <f t="shared" si="9"/>
        <v>21</v>
      </c>
      <c r="AA29" s="125">
        <f t="shared" si="9"/>
        <v>1</v>
      </c>
      <c r="AB29" s="125">
        <f t="shared" si="9"/>
        <v>21</v>
      </c>
      <c r="AC29" s="125">
        <f t="shared" si="9"/>
        <v>1</v>
      </c>
      <c r="AD29" s="125">
        <f t="shared" si="9"/>
        <v>2</v>
      </c>
      <c r="AE29" s="125">
        <f t="shared" si="9"/>
        <v>2</v>
      </c>
      <c r="AF29" s="125">
        <f t="shared" si="9"/>
        <v>2</v>
      </c>
      <c r="AG29" s="125">
        <f t="shared" si="9"/>
        <v>2</v>
      </c>
      <c r="AH29" s="125">
        <f t="shared" si="9"/>
        <v>20</v>
      </c>
      <c r="AI29" s="125">
        <f t="shared" si="9"/>
        <v>2</v>
      </c>
      <c r="AJ29" s="125">
        <f t="shared" si="9"/>
        <v>20</v>
      </c>
      <c r="AK29" s="125">
        <f t="shared" si="9"/>
        <v>2</v>
      </c>
      <c r="AL29" s="125">
        <f t="shared" si="9"/>
        <v>20</v>
      </c>
      <c r="AM29" s="125">
        <f t="shared" si="9"/>
        <v>2</v>
      </c>
      <c r="AN29" s="125">
        <f t="shared" si="9"/>
        <v>20</v>
      </c>
      <c r="AO29" s="125">
        <f t="shared" si="9"/>
        <v>2</v>
      </c>
      <c r="AP29" s="125">
        <f t="shared" si="9"/>
        <v>20</v>
      </c>
      <c r="AQ29" s="125">
        <f t="shared" si="9"/>
        <v>2</v>
      </c>
      <c r="AR29" s="125">
        <f t="shared" si="9"/>
        <v>20</v>
      </c>
      <c r="AS29" s="125">
        <f t="shared" si="9"/>
        <v>2</v>
      </c>
      <c r="AT29" s="125">
        <f t="shared" si="9"/>
        <v>20</v>
      </c>
      <c r="AU29" s="125">
        <f t="shared" si="9"/>
        <v>2</v>
      </c>
      <c r="AV29" s="125">
        <f t="shared" si="9"/>
        <v>20</v>
      </c>
      <c r="AW29" s="125">
        <f t="shared" si="9"/>
        <v>2</v>
      </c>
      <c r="AX29" s="125">
        <f t="shared" si="9"/>
        <v>20</v>
      </c>
      <c r="AY29" s="167">
        <f t="shared" si="9"/>
        <v>2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10</v>
      </c>
      <c r="E30" s="117">
        <f t="shared" ref="E30:AY30" si="10">E$27*$B$30</f>
        <v>210</v>
      </c>
      <c r="F30" s="117">
        <f t="shared" si="10"/>
        <v>220</v>
      </c>
      <c r="G30" s="117">
        <f t="shared" si="10"/>
        <v>10</v>
      </c>
      <c r="H30" s="117">
        <f t="shared" si="10"/>
        <v>210</v>
      </c>
      <c r="I30" s="117">
        <f t="shared" si="10"/>
        <v>10</v>
      </c>
      <c r="J30" s="117">
        <f t="shared" si="10"/>
        <v>210</v>
      </c>
      <c r="K30" s="117">
        <f t="shared" si="10"/>
        <v>10</v>
      </c>
      <c r="L30" s="117">
        <f t="shared" si="10"/>
        <v>210</v>
      </c>
      <c r="M30" s="117">
        <f t="shared" si="10"/>
        <v>220</v>
      </c>
      <c r="N30" s="117">
        <f t="shared" si="10"/>
        <v>10</v>
      </c>
      <c r="O30" s="117">
        <f t="shared" si="10"/>
        <v>210</v>
      </c>
      <c r="P30" s="117">
        <f t="shared" si="10"/>
        <v>220</v>
      </c>
      <c r="Q30" s="117">
        <f t="shared" si="10"/>
        <v>220</v>
      </c>
      <c r="R30" s="117">
        <f>R$27*$B$30</f>
        <v>10</v>
      </c>
      <c r="S30" s="117">
        <f t="shared" si="10"/>
        <v>210</v>
      </c>
      <c r="T30" s="117">
        <f t="shared" si="10"/>
        <v>10</v>
      </c>
      <c r="U30" s="117">
        <f t="shared" si="10"/>
        <v>210</v>
      </c>
      <c r="V30" s="117">
        <f t="shared" si="10"/>
        <v>10</v>
      </c>
      <c r="W30" s="117">
        <f t="shared" si="10"/>
        <v>210</v>
      </c>
      <c r="X30" s="117">
        <f t="shared" si="10"/>
        <v>10</v>
      </c>
      <c r="Y30" s="117">
        <f t="shared" si="10"/>
        <v>210</v>
      </c>
      <c r="Z30" s="117">
        <f t="shared" si="10"/>
        <v>10</v>
      </c>
      <c r="AA30" s="117">
        <f t="shared" si="10"/>
        <v>210</v>
      </c>
      <c r="AB30" s="117">
        <f t="shared" si="10"/>
        <v>10</v>
      </c>
      <c r="AC30" s="117">
        <f t="shared" si="10"/>
        <v>210</v>
      </c>
      <c r="AD30" s="117">
        <f t="shared" si="10"/>
        <v>200</v>
      </c>
      <c r="AE30" s="117">
        <f>AE$27*$B$30</f>
        <v>200</v>
      </c>
      <c r="AF30" s="117">
        <f t="shared" si="10"/>
        <v>200</v>
      </c>
      <c r="AG30" s="117">
        <f t="shared" si="10"/>
        <v>200</v>
      </c>
      <c r="AH30" s="117">
        <f t="shared" si="10"/>
        <v>20</v>
      </c>
      <c r="AI30" s="117">
        <f t="shared" si="10"/>
        <v>200</v>
      </c>
      <c r="AJ30" s="117">
        <f t="shared" si="10"/>
        <v>20</v>
      </c>
      <c r="AK30" s="117">
        <f t="shared" si="10"/>
        <v>200</v>
      </c>
      <c r="AL30" s="117">
        <f t="shared" si="10"/>
        <v>20</v>
      </c>
      <c r="AM30" s="117">
        <f t="shared" si="10"/>
        <v>200</v>
      </c>
      <c r="AN30" s="117">
        <f t="shared" si="10"/>
        <v>20</v>
      </c>
      <c r="AO30" s="117">
        <f t="shared" si="10"/>
        <v>200</v>
      </c>
      <c r="AP30" s="117">
        <f t="shared" si="10"/>
        <v>20</v>
      </c>
      <c r="AQ30" s="117">
        <f t="shared" si="10"/>
        <v>200</v>
      </c>
      <c r="AR30" s="117">
        <f t="shared" si="10"/>
        <v>20</v>
      </c>
      <c r="AS30" s="117">
        <f t="shared" si="10"/>
        <v>200</v>
      </c>
      <c r="AT30" s="117">
        <f t="shared" si="10"/>
        <v>20</v>
      </c>
      <c r="AU30" s="117">
        <f t="shared" si="10"/>
        <v>200</v>
      </c>
      <c r="AV30" s="117">
        <f t="shared" si="10"/>
        <v>20</v>
      </c>
      <c r="AW30" s="117">
        <f t="shared" si="10"/>
        <v>200</v>
      </c>
      <c r="AX30" s="117">
        <f t="shared" si="10"/>
        <v>20</v>
      </c>
      <c r="AY30" s="117">
        <f t="shared" si="10"/>
        <v>200</v>
      </c>
      <c r="AZ30" s="141">
        <f t="shared" si="5"/>
        <v>6080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110.94686120882497</v>
      </c>
      <c r="E33" s="124">
        <f>E$21*shipping_manufacturing!$D$27/100</f>
        <v>0</v>
      </c>
      <c r="F33" s="124">
        <f>F$21*shipping_manufacturing!$D$27/100</f>
        <v>110.94686120882488</v>
      </c>
      <c r="G33" s="124">
        <f>G$21*shipping_manufacturing!$D$27/100</f>
        <v>110.94686120882488</v>
      </c>
      <c r="H33" s="124">
        <f>H$21*shipping_manufacturing!$D$27/100</f>
        <v>110.94686120882488</v>
      </c>
      <c r="I33" s="124">
        <f>I$21*shipping_manufacturing!$D$27/100</f>
        <v>110.94686120882488</v>
      </c>
      <c r="J33" s="124">
        <f>J$21*shipping_manufacturing!$D$27/100</f>
        <v>110.94686120882488</v>
      </c>
      <c r="K33" s="124">
        <f>K$21*shipping_manufacturing!$D$27/100</f>
        <v>110.94686120882488</v>
      </c>
      <c r="L33" s="124">
        <f>L$21*shipping_manufacturing!$D$27/100</f>
        <v>0</v>
      </c>
      <c r="M33" s="124">
        <f>M$21*shipping_manufacturing!$D$27/100</f>
        <v>110.94686120882488</v>
      </c>
      <c r="N33" s="124">
        <f>N$21*shipping_manufacturing!$D$27/100</f>
        <v>110.94686120882488</v>
      </c>
      <c r="O33" s="124">
        <f>O$21*shipping_manufacturing!$D$27/100</f>
        <v>0</v>
      </c>
      <c r="P33" s="124">
        <f>P$21*shipping_manufacturing!$D$27/100</f>
        <v>0</v>
      </c>
      <c r="Q33" s="124">
        <f>Q$21*shipping_manufacturing!$D$27/100</f>
        <v>110.94686120882488</v>
      </c>
      <c r="R33" s="124">
        <f>R$21*shipping_manufacturing!$D$27/100</f>
        <v>110.94686120882488</v>
      </c>
      <c r="S33" s="124">
        <f>S$21*shipping_manufacturing!$D$27/100</f>
        <v>110.94686120882488</v>
      </c>
      <c r="T33" s="124">
        <f>T$21*shipping_manufacturing!$D$27/100</f>
        <v>110.94686120882488</v>
      </c>
      <c r="U33" s="124">
        <f>U$21*shipping_manufacturing!$D$27/100</f>
        <v>110.94686120882488</v>
      </c>
      <c r="V33" s="124">
        <f>V$21*shipping_manufacturing!$D$27/100</f>
        <v>110.94686120882488</v>
      </c>
      <c r="W33" s="124">
        <f>W$21*shipping_manufacturing!$D$27/100</f>
        <v>110.94686120882488</v>
      </c>
      <c r="X33" s="124">
        <f>X$21*shipping_manufacturing!$D$27/100</f>
        <v>110.94686120882488</v>
      </c>
      <c r="Y33" s="124">
        <f>Y$21*shipping_manufacturing!$D$27/100</f>
        <v>110.94686120882488</v>
      </c>
      <c r="Z33" s="124">
        <f>Z$21*shipping_manufacturing!$D$27/100</f>
        <v>110.94686120882488</v>
      </c>
      <c r="AA33" s="124">
        <f>AA$21*shipping_manufacturing!$D$27/100</f>
        <v>110.94686120882488</v>
      </c>
      <c r="AB33" s="124">
        <f>AB$21*shipping_manufacturing!$D$27/100</f>
        <v>110.94686120882488</v>
      </c>
      <c r="AC33" s="124">
        <f>AC$21*shipping_manufacturing!$D$27/100</f>
        <v>7.492134218139991E-21</v>
      </c>
      <c r="AD33" s="124">
        <f>AD$21*shipping_manufacturing!$D$27/100</f>
        <v>7.492134218139991E-21</v>
      </c>
      <c r="AE33" s="124">
        <f>AE$21*shipping_manufacturing!$D$27/100</f>
        <v>7.492134218139991E-21</v>
      </c>
      <c r="AF33" s="124">
        <f>AF$21*shipping_manufacturing!$D$27/100</f>
        <v>7.492134218139991E-21</v>
      </c>
      <c r="AG33" s="124">
        <f>AG$21*shipping_manufacturing!$D$27/100</f>
        <v>110.94686120882488</v>
      </c>
      <c r="AH33" s="124">
        <f>AH$21*shipping_manufacturing!$D$27/100</f>
        <v>110.94686120882488</v>
      </c>
      <c r="AI33" s="124">
        <f>AI$21*shipping_manufacturing!$D$27/100</f>
        <v>110.94686120882488</v>
      </c>
      <c r="AJ33" s="124">
        <f>AJ$21*shipping_manufacturing!$D$27/100</f>
        <v>110.94686120882488</v>
      </c>
      <c r="AK33" s="124">
        <f>AK$21*shipping_manufacturing!$D$27/100</f>
        <v>110.94686120882488</v>
      </c>
      <c r="AL33" s="124">
        <f>AL$21*shipping_manufacturing!$D$27/100</f>
        <v>110.94686120882488</v>
      </c>
      <c r="AM33" s="124">
        <f>AM$21*shipping_manufacturing!$D$27/100</f>
        <v>110.94686120882488</v>
      </c>
      <c r="AN33" s="124">
        <f>AN$21*shipping_manufacturing!$D$27/100</f>
        <v>110.94686120882488</v>
      </c>
      <c r="AO33" s="124">
        <f>AO$21*shipping_manufacturing!$D$27/100</f>
        <v>110.94686120882488</v>
      </c>
      <c r="AP33" s="124">
        <f>AP$21*shipping_manufacturing!$D$27/100</f>
        <v>110.94686120882488</v>
      </c>
      <c r="AQ33" s="124">
        <f>AQ$21*shipping_manufacturing!$D$27/100</f>
        <v>110.94686120882488</v>
      </c>
      <c r="AR33" s="124">
        <f>AR$21*shipping_manufacturing!$D$27/100</f>
        <v>110.94686120882488</v>
      </c>
      <c r="AS33" s="124">
        <f>AS$21*shipping_manufacturing!$D$27/100</f>
        <v>110.94686120882488</v>
      </c>
      <c r="AT33" s="124">
        <f>AT$21*shipping_manufacturing!$D$27/100</f>
        <v>110.94686120882488</v>
      </c>
      <c r="AU33" s="124">
        <f>AU$21*shipping_manufacturing!$D$27/100</f>
        <v>110.94686120882488</v>
      </c>
      <c r="AV33" s="124">
        <f>AV$21*shipping_manufacturing!$D$27/100</f>
        <v>110.94686120882488</v>
      </c>
      <c r="AW33" s="124">
        <f>AW$21*shipping_manufacturing!$D$27/100</f>
        <v>110.94686120882488</v>
      </c>
      <c r="AX33" s="124">
        <f>AX$21*shipping_manufacturing!$D$27/100</f>
        <v>110.94686120882488</v>
      </c>
      <c r="AY33" s="124">
        <f>AY$21*shipping_manufacturing!$D$27/100</f>
        <v>110.94686120882488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108.26047419074139</v>
      </c>
      <c r="E34" s="110">
        <f>E$22*shipping_manufacturing!$E$27/100</f>
        <v>0</v>
      </c>
      <c r="F34" s="110">
        <f>F$22*shipping_manufacturing!$E$27/100</f>
        <v>108.26047419074129</v>
      </c>
      <c r="G34" s="110">
        <f>G$22*shipping_manufacturing!$E$27/100</f>
        <v>108.26047419074129</v>
      </c>
      <c r="H34" s="110">
        <f>H$22*shipping_manufacturing!$E$27/100</f>
        <v>108.26047419074129</v>
      </c>
      <c r="I34" s="110">
        <f>I$22*shipping_manufacturing!$E$27/100</f>
        <v>108.26047419074129</v>
      </c>
      <c r="J34" s="110">
        <f>J$22*shipping_manufacturing!$E$27/100</f>
        <v>108.26047419074129</v>
      </c>
      <c r="K34" s="110">
        <f>K$22*shipping_manufacturing!$E$27/100</f>
        <v>108.26047419074129</v>
      </c>
      <c r="L34" s="110">
        <f>L$22*shipping_manufacturing!$E$27/100</f>
        <v>0</v>
      </c>
      <c r="M34" s="110">
        <f>M$22*shipping_manufacturing!$E$27/100</f>
        <v>108.26047419074129</v>
      </c>
      <c r="N34" s="110">
        <f>N$22*shipping_manufacturing!$E$27/100</f>
        <v>108.26047419074129</v>
      </c>
      <c r="O34" s="110">
        <f>O$22*shipping_manufacturing!$E$27/100</f>
        <v>0</v>
      </c>
      <c r="P34" s="110">
        <f>P$22*shipping_manufacturing!$E$27/100</f>
        <v>0</v>
      </c>
      <c r="Q34" s="110">
        <f>Q$22*shipping_manufacturing!$E$27/100</f>
        <v>108.26047419074129</v>
      </c>
      <c r="R34" s="110">
        <f>R$22*shipping_manufacturing!$E$27/100</f>
        <v>108.26047419074129</v>
      </c>
      <c r="S34" s="110">
        <f>S$22*shipping_manufacturing!$E$27/100</f>
        <v>108.26047419074129</v>
      </c>
      <c r="T34" s="110">
        <f>T$22*shipping_manufacturing!$E$27/100</f>
        <v>108.26047419074129</v>
      </c>
      <c r="U34" s="110">
        <f>U$22*shipping_manufacturing!$E$27/100</f>
        <v>108.26047419074129</v>
      </c>
      <c r="V34" s="110">
        <f>V$22*shipping_manufacturing!$E$27/100</f>
        <v>108.26047419074129</v>
      </c>
      <c r="W34" s="110">
        <f>W$22*shipping_manufacturing!$E$27/100</f>
        <v>108.26047419074129</v>
      </c>
      <c r="X34" s="110">
        <f>X$22*shipping_manufacturing!$E$27/100</f>
        <v>108.26047419074129</v>
      </c>
      <c r="Y34" s="110">
        <f>Y$22*shipping_manufacturing!$E$27/100</f>
        <v>108.26047419074129</v>
      </c>
      <c r="Z34" s="110">
        <f>Z$22*shipping_manufacturing!$E$27/100</f>
        <v>108.26047419074129</v>
      </c>
      <c r="AA34" s="110">
        <f>AA$22*shipping_manufacturing!$E$27/100</f>
        <v>108.26047419074129</v>
      </c>
      <c r="AB34" s="110">
        <f>AB$22*shipping_manufacturing!$E$27/100</f>
        <v>108.26047419074129</v>
      </c>
      <c r="AC34" s="110">
        <f>AC$22*shipping_manufacturing!$E$27/100</f>
        <v>7.3107251013604884E-21</v>
      </c>
      <c r="AD34" s="110">
        <f>AD$22*shipping_manufacturing!$E$27/100</f>
        <v>7.3107251013604884E-21</v>
      </c>
      <c r="AE34" s="110">
        <f>AE$22*shipping_manufacturing!$E$27/100</f>
        <v>7.3107251013604884E-21</v>
      </c>
      <c r="AF34" s="110">
        <f>AF$22*shipping_manufacturing!$E$27/100</f>
        <v>7.3107251013604884E-21</v>
      </c>
      <c r="AG34" s="110">
        <f>AG$22*shipping_manufacturing!$E$27/100</f>
        <v>108.26047419074129</v>
      </c>
      <c r="AH34" s="110">
        <f>AH$22*shipping_manufacturing!$E$27/100</f>
        <v>108.26047419074129</v>
      </c>
      <c r="AI34" s="110">
        <f>AI$22*shipping_manufacturing!$E$27/100</f>
        <v>108.26047419074129</v>
      </c>
      <c r="AJ34" s="110">
        <f>AJ$22*shipping_manufacturing!$E$27/100</f>
        <v>108.26047419074129</v>
      </c>
      <c r="AK34" s="110">
        <f>AK$22*shipping_manufacturing!$E$27/100</f>
        <v>108.26047419074129</v>
      </c>
      <c r="AL34" s="110">
        <f>AL$22*shipping_manufacturing!$E$27/100</f>
        <v>108.26047419074129</v>
      </c>
      <c r="AM34" s="110">
        <f>AM$22*shipping_manufacturing!$E$27/100</f>
        <v>108.26047419074129</v>
      </c>
      <c r="AN34" s="110">
        <f>AN$22*shipping_manufacturing!$E$27/100</f>
        <v>108.26047419074129</v>
      </c>
      <c r="AO34" s="110">
        <f>AO$22*shipping_manufacturing!$E$27/100</f>
        <v>108.26047419074129</v>
      </c>
      <c r="AP34" s="110">
        <f>AP$22*shipping_manufacturing!$E$27/100</f>
        <v>108.26047419074129</v>
      </c>
      <c r="AQ34" s="110">
        <f>AQ$22*shipping_manufacturing!$E$27/100</f>
        <v>108.26047419074129</v>
      </c>
      <c r="AR34" s="110">
        <f>AR$22*shipping_manufacturing!$E$27/100</f>
        <v>108.26047419074129</v>
      </c>
      <c r="AS34" s="110">
        <f>AS$22*shipping_manufacturing!$E$27/100</f>
        <v>108.26047419074129</v>
      </c>
      <c r="AT34" s="110">
        <f>AT$22*shipping_manufacturing!$E$27/100</f>
        <v>108.26047419074129</v>
      </c>
      <c r="AU34" s="110">
        <f>AU$22*shipping_manufacturing!$E$27/100</f>
        <v>108.26047419074129</v>
      </c>
      <c r="AV34" s="110">
        <f>AV$22*shipping_manufacturing!$E$27/100</f>
        <v>108.26047419074129</v>
      </c>
      <c r="AW34" s="110">
        <f>AW$22*shipping_manufacturing!$E$27/100</f>
        <v>108.26047419074129</v>
      </c>
      <c r="AX34" s="110">
        <f>AX$22*shipping_manufacturing!$E$27/100</f>
        <v>108.26047419074129</v>
      </c>
      <c r="AY34" s="110">
        <f>AY$22*shipping_manufacturing!$E$27/100</f>
        <v>108.26047419074129</v>
      </c>
    </row>
    <row r="35" spans="1:52">
      <c r="A35" s="110">
        <v>1225</v>
      </c>
      <c r="B35" s="165" t="s">
        <v>343</v>
      </c>
      <c r="C35" s="110"/>
      <c r="D35" s="110">
        <f>SUM(D33:D34)</f>
        <v>219.20733539956638</v>
      </c>
      <c r="E35" s="110">
        <f t="shared" ref="E35:AY35" si="11">SUM(E33:E34)</f>
        <v>0</v>
      </c>
      <c r="F35" s="110">
        <f t="shared" si="11"/>
        <v>219.20733539956618</v>
      </c>
      <c r="G35" s="110">
        <f t="shared" si="11"/>
        <v>219.20733539956618</v>
      </c>
      <c r="H35" s="110">
        <f t="shared" si="11"/>
        <v>219.20733539956618</v>
      </c>
      <c r="I35" s="110">
        <f t="shared" si="11"/>
        <v>219.20733539956618</v>
      </c>
      <c r="J35" s="110">
        <f t="shared" si="11"/>
        <v>219.20733539956618</v>
      </c>
      <c r="K35" s="110">
        <f t="shared" si="11"/>
        <v>219.20733539956618</v>
      </c>
      <c r="L35" s="110">
        <f t="shared" si="11"/>
        <v>0</v>
      </c>
      <c r="M35" s="110">
        <f t="shared" si="11"/>
        <v>219.20733539956618</v>
      </c>
      <c r="N35" s="110">
        <f t="shared" si="11"/>
        <v>219.20733539956618</v>
      </c>
      <c r="O35" s="110">
        <f t="shared" si="11"/>
        <v>0</v>
      </c>
      <c r="P35" s="110">
        <f t="shared" si="11"/>
        <v>0</v>
      </c>
      <c r="Q35" s="110">
        <f t="shared" si="11"/>
        <v>219.20733539956618</v>
      </c>
      <c r="R35" s="110">
        <f t="shared" si="11"/>
        <v>219.20733539956618</v>
      </c>
      <c r="S35" s="110">
        <f t="shared" si="11"/>
        <v>219.20733539956618</v>
      </c>
      <c r="T35" s="110">
        <f t="shared" si="11"/>
        <v>219.20733539956618</v>
      </c>
      <c r="U35" s="110">
        <f t="shared" si="11"/>
        <v>219.20733539956618</v>
      </c>
      <c r="V35" s="110">
        <f t="shared" si="11"/>
        <v>219.20733539956618</v>
      </c>
      <c r="W35" s="110">
        <f t="shared" si="11"/>
        <v>219.20733539956618</v>
      </c>
      <c r="X35" s="110">
        <f t="shared" si="11"/>
        <v>219.20733539956618</v>
      </c>
      <c r="Y35" s="110">
        <f t="shared" si="11"/>
        <v>219.20733539956618</v>
      </c>
      <c r="Z35" s="110">
        <f t="shared" si="11"/>
        <v>219.20733539956618</v>
      </c>
      <c r="AA35" s="110">
        <f t="shared" si="11"/>
        <v>219.20733539956618</v>
      </c>
      <c r="AB35" s="110">
        <f t="shared" si="11"/>
        <v>219.20733539956618</v>
      </c>
      <c r="AC35" s="110">
        <f t="shared" si="11"/>
        <v>1.4802859319500481E-20</v>
      </c>
      <c r="AD35" s="110">
        <f t="shared" si="11"/>
        <v>1.4802859319500481E-20</v>
      </c>
      <c r="AE35" s="110">
        <f t="shared" si="11"/>
        <v>1.4802859319500481E-20</v>
      </c>
      <c r="AF35" s="110">
        <f t="shared" si="11"/>
        <v>1.4802859319500481E-20</v>
      </c>
      <c r="AG35" s="110">
        <f t="shared" si="11"/>
        <v>219.20733539956618</v>
      </c>
      <c r="AH35" s="110">
        <f t="shared" si="11"/>
        <v>219.20733539956618</v>
      </c>
      <c r="AI35" s="110">
        <f t="shared" si="11"/>
        <v>219.20733539956618</v>
      </c>
      <c r="AJ35" s="110">
        <f t="shared" si="11"/>
        <v>219.20733539956618</v>
      </c>
      <c r="AK35" s="110">
        <f t="shared" si="11"/>
        <v>219.20733539956618</v>
      </c>
      <c r="AL35" s="110">
        <f t="shared" si="11"/>
        <v>219.20733539956618</v>
      </c>
      <c r="AM35" s="110">
        <f t="shared" si="11"/>
        <v>219.20733539956618</v>
      </c>
      <c r="AN35" s="110">
        <f t="shared" si="11"/>
        <v>219.20733539956618</v>
      </c>
      <c r="AO35" s="110">
        <f t="shared" si="11"/>
        <v>219.20733539956618</v>
      </c>
      <c r="AP35" s="110">
        <f t="shared" si="11"/>
        <v>219.20733539956618</v>
      </c>
      <c r="AQ35" s="110">
        <f t="shared" si="11"/>
        <v>219.20733539956618</v>
      </c>
      <c r="AR35" s="110">
        <f t="shared" si="11"/>
        <v>219.20733539956618</v>
      </c>
      <c r="AS35" s="110">
        <f t="shared" si="11"/>
        <v>219.20733539956618</v>
      </c>
      <c r="AT35" s="110">
        <f t="shared" si="11"/>
        <v>219.20733539956618</v>
      </c>
      <c r="AU35" s="110">
        <f t="shared" si="11"/>
        <v>219.20733539956618</v>
      </c>
      <c r="AV35" s="110">
        <f t="shared" si="11"/>
        <v>219.20733539956618</v>
      </c>
      <c r="AW35" s="110">
        <f t="shared" si="11"/>
        <v>219.20733539956618</v>
      </c>
      <c r="AX35" s="110">
        <f t="shared" si="11"/>
        <v>219.20733539956618</v>
      </c>
      <c r="AY35" s="110">
        <f t="shared" si="11"/>
        <v>219.20733539956618</v>
      </c>
    </row>
    <row r="36" spans="1:52">
      <c r="A36" s="110"/>
      <c r="B36" s="165" t="s">
        <v>344</v>
      </c>
      <c r="C36" s="110"/>
      <c r="D36" s="110"/>
      <c r="E36" s="110"/>
      <c r="F36" s="110">
        <v>110.94686120882488</v>
      </c>
      <c r="G36" s="110"/>
      <c r="H36" s="110">
        <v>110.94686120882488</v>
      </c>
      <c r="I36" s="110"/>
      <c r="J36" s="110">
        <v>110.94686120882488</v>
      </c>
      <c r="K36" s="110"/>
      <c r="L36" s="110"/>
      <c r="M36" s="110">
        <v>110.94686120882488</v>
      </c>
      <c r="N36" s="110"/>
      <c r="O36" s="110"/>
      <c r="P36" s="110"/>
      <c r="Q36" s="110">
        <v>110.94686120882488</v>
      </c>
      <c r="R36" s="110"/>
      <c r="S36" s="110">
        <v>110.94686120882488</v>
      </c>
      <c r="T36" s="110"/>
      <c r="U36" s="110">
        <v>110.94686120882488</v>
      </c>
      <c r="V36" s="110"/>
      <c r="W36" s="110">
        <v>110.94686120882488</v>
      </c>
      <c r="X36" s="110"/>
      <c r="Y36" s="110">
        <v>110.94686120882488</v>
      </c>
      <c r="Z36" s="110"/>
      <c r="AA36" s="110">
        <v>110.94686120882488</v>
      </c>
      <c r="AB36" s="110"/>
      <c r="AC36" s="110">
        <v>7.492134218139991E-21</v>
      </c>
      <c r="AD36" s="110">
        <v>7.492134218139991E-21</v>
      </c>
      <c r="AE36" s="110">
        <v>7.492134218139991E-21</v>
      </c>
      <c r="AF36" s="110">
        <v>7.492134218139991E-21</v>
      </c>
      <c r="AG36" s="110">
        <v>106.28677553780135</v>
      </c>
      <c r="AH36" s="110"/>
      <c r="AI36" s="110">
        <v>106.28677553780135</v>
      </c>
      <c r="AJ36" s="110"/>
      <c r="AK36" s="110">
        <v>106.28677553780135</v>
      </c>
      <c r="AL36" s="110"/>
      <c r="AM36" s="110">
        <v>106.28677553780135</v>
      </c>
      <c r="AN36" s="110"/>
      <c r="AO36" s="110">
        <v>106.28677553780135</v>
      </c>
      <c r="AP36" s="110"/>
      <c r="AQ36" s="110">
        <v>106.28677553780135</v>
      </c>
      <c r="AR36" s="110"/>
      <c r="AS36" s="110">
        <v>106.28677553780135</v>
      </c>
      <c r="AT36" s="110"/>
      <c r="AU36" s="110">
        <v>106.28677553780135</v>
      </c>
      <c r="AV36" s="110"/>
      <c r="AW36" s="110">
        <v>106.28677553780135</v>
      </c>
      <c r="AX36" s="110"/>
      <c r="AY36" s="110">
        <v>106.28677553780135</v>
      </c>
    </row>
    <row r="37" spans="1:52">
      <c r="A37" s="110"/>
      <c r="B37" s="165" t="s">
        <v>345</v>
      </c>
      <c r="C37" s="110"/>
      <c r="D37" s="110"/>
      <c r="E37" s="110"/>
      <c r="F37" s="110">
        <v>108.26047419074129</v>
      </c>
      <c r="G37" s="110"/>
      <c r="H37" s="110">
        <v>108.26047419074129</v>
      </c>
      <c r="I37" s="110"/>
      <c r="J37" s="110">
        <v>108.26047419074129</v>
      </c>
      <c r="K37" s="110"/>
      <c r="L37" s="110"/>
      <c r="M37" s="110">
        <v>108.26047419074129</v>
      </c>
      <c r="N37" s="110"/>
      <c r="O37" s="110"/>
      <c r="P37" s="110"/>
      <c r="Q37" s="110">
        <v>108.26047419074129</v>
      </c>
      <c r="R37" s="110"/>
      <c r="S37" s="110">
        <v>108.26047419074129</v>
      </c>
      <c r="T37" s="110"/>
      <c r="U37" s="110">
        <v>108.26047419074129</v>
      </c>
      <c r="V37" s="110"/>
      <c r="W37" s="110">
        <v>108.26047419074129</v>
      </c>
      <c r="X37" s="110"/>
      <c r="Y37" s="110">
        <v>108.26047419074129</v>
      </c>
      <c r="Z37" s="110"/>
      <c r="AA37" s="110">
        <v>108.26047419074129</v>
      </c>
      <c r="AB37" s="110"/>
      <c r="AC37" s="110">
        <v>7.3107251013604884E-21</v>
      </c>
      <c r="AD37" s="110">
        <v>7.3107251013604884E-21</v>
      </c>
      <c r="AE37" s="110">
        <v>7.3107251013604884E-21</v>
      </c>
      <c r="AF37" s="110">
        <v>7.3107251013604884E-21</v>
      </c>
      <c r="AG37" s="110">
        <v>103.71322446219865</v>
      </c>
      <c r="AH37" s="110"/>
      <c r="AI37" s="110">
        <v>103.71322446219865</v>
      </c>
      <c r="AJ37" s="110"/>
      <c r="AK37" s="110">
        <v>103.71322446219865</v>
      </c>
      <c r="AL37" s="110"/>
      <c r="AM37" s="110">
        <v>103.71322446219865</v>
      </c>
      <c r="AN37" s="110"/>
      <c r="AO37" s="110">
        <v>103.71322446219865</v>
      </c>
      <c r="AP37" s="110"/>
      <c r="AQ37" s="110">
        <v>103.71322446219865</v>
      </c>
      <c r="AR37" s="110"/>
      <c r="AS37" s="110">
        <v>103.71322446219865</v>
      </c>
      <c r="AT37" s="110"/>
      <c r="AU37" s="110">
        <v>103.71322446219865</v>
      </c>
      <c r="AV37" s="110"/>
      <c r="AW37" s="110">
        <v>103.71322446219865</v>
      </c>
      <c r="AX37" s="110"/>
      <c r="AY37" s="110">
        <v>103.71322446219865</v>
      </c>
    </row>
    <row r="38" spans="1:52">
      <c r="A38" s="110"/>
      <c r="B38" s="165" t="s">
        <v>346</v>
      </c>
      <c r="C38" s="110"/>
      <c r="D38" s="110"/>
      <c r="E38" s="110"/>
      <c r="F38" s="110">
        <v>8</v>
      </c>
      <c r="G38" s="110"/>
      <c r="H38" s="110">
        <v>8</v>
      </c>
      <c r="I38" s="110"/>
      <c r="J38" s="110">
        <v>8</v>
      </c>
      <c r="K38" s="110"/>
      <c r="L38" s="110"/>
      <c r="M38" s="110">
        <v>8</v>
      </c>
      <c r="N38" s="110"/>
      <c r="O38" s="110"/>
      <c r="P38" s="110"/>
      <c r="Q38" s="110">
        <v>8</v>
      </c>
      <c r="R38" s="110"/>
      <c r="S38" s="110">
        <v>8</v>
      </c>
      <c r="T38" s="110"/>
      <c r="U38" s="110">
        <v>8</v>
      </c>
      <c r="V38" s="110"/>
      <c r="W38" s="110">
        <v>8</v>
      </c>
      <c r="X38" s="110"/>
      <c r="Y38" s="110">
        <v>8</v>
      </c>
      <c r="Z38" s="110"/>
      <c r="AA38" s="110">
        <v>8</v>
      </c>
      <c r="AB38" s="110"/>
      <c r="AC38" s="110">
        <v>1</v>
      </c>
      <c r="AD38" s="110">
        <v>1</v>
      </c>
      <c r="AE38" s="110">
        <v>1</v>
      </c>
      <c r="AF38" s="110">
        <v>1</v>
      </c>
      <c r="AG38" s="110">
        <v>7</v>
      </c>
      <c r="AH38" s="110"/>
      <c r="AI38" s="110">
        <v>7</v>
      </c>
      <c r="AJ38" s="110"/>
      <c r="AK38" s="110">
        <v>7</v>
      </c>
      <c r="AL38" s="110"/>
      <c r="AM38" s="110">
        <v>7</v>
      </c>
      <c r="AN38" s="110"/>
      <c r="AO38" s="110">
        <v>7</v>
      </c>
      <c r="AP38" s="110"/>
      <c r="AQ38" s="110">
        <v>7</v>
      </c>
      <c r="AR38" s="110"/>
      <c r="AS38" s="110">
        <v>7</v>
      </c>
      <c r="AT38" s="110"/>
      <c r="AU38" s="110">
        <v>7</v>
      </c>
      <c r="AV38" s="110"/>
      <c r="AW38" s="110">
        <v>7</v>
      </c>
      <c r="AX38" s="110"/>
      <c r="AY38" s="110">
        <v>7</v>
      </c>
    </row>
    <row r="39" spans="1:52">
      <c r="A39" s="110"/>
      <c r="B39" s="165" t="s">
        <v>347</v>
      </c>
      <c r="C39" s="110"/>
      <c r="D39" s="110">
        <f>D33-D36</f>
        <v>110.94686120882497</v>
      </c>
      <c r="E39" s="110">
        <f t="shared" ref="E39:AY39" si="12">E33-E36</f>
        <v>0</v>
      </c>
      <c r="F39" s="110">
        <f t="shared" si="12"/>
        <v>0</v>
      </c>
      <c r="G39" s="110">
        <f t="shared" si="12"/>
        <v>110.94686120882488</v>
      </c>
      <c r="H39" s="110">
        <f t="shared" si="12"/>
        <v>0</v>
      </c>
      <c r="I39" s="110">
        <f t="shared" si="12"/>
        <v>110.94686120882488</v>
      </c>
      <c r="J39" s="110">
        <f t="shared" si="12"/>
        <v>0</v>
      </c>
      <c r="K39" s="110">
        <f t="shared" si="12"/>
        <v>110.94686120882488</v>
      </c>
      <c r="L39" s="110">
        <f t="shared" si="12"/>
        <v>0</v>
      </c>
      <c r="M39" s="110">
        <f t="shared" si="12"/>
        <v>0</v>
      </c>
      <c r="N39" s="110">
        <f t="shared" si="12"/>
        <v>110.94686120882488</v>
      </c>
      <c r="O39" s="110">
        <f t="shared" si="12"/>
        <v>0</v>
      </c>
      <c r="P39" s="110">
        <f t="shared" si="12"/>
        <v>0</v>
      </c>
      <c r="Q39" s="110">
        <f t="shared" si="12"/>
        <v>0</v>
      </c>
      <c r="R39" s="110">
        <f t="shared" si="12"/>
        <v>110.94686120882488</v>
      </c>
      <c r="S39" s="110">
        <f t="shared" si="12"/>
        <v>0</v>
      </c>
      <c r="T39" s="110">
        <f t="shared" si="12"/>
        <v>110.94686120882488</v>
      </c>
      <c r="U39" s="110">
        <f t="shared" si="12"/>
        <v>0</v>
      </c>
      <c r="V39" s="110">
        <f t="shared" si="12"/>
        <v>110.94686120882488</v>
      </c>
      <c r="W39" s="110">
        <f t="shared" si="12"/>
        <v>0</v>
      </c>
      <c r="X39" s="110">
        <f t="shared" si="12"/>
        <v>110.94686120882488</v>
      </c>
      <c r="Y39" s="110">
        <f t="shared" si="12"/>
        <v>0</v>
      </c>
      <c r="Z39" s="110">
        <f t="shared" si="12"/>
        <v>110.94686120882488</v>
      </c>
      <c r="AA39" s="110">
        <f t="shared" si="12"/>
        <v>0</v>
      </c>
      <c r="AB39" s="110">
        <f t="shared" si="12"/>
        <v>110.94686120882488</v>
      </c>
      <c r="AC39" s="110">
        <f t="shared" si="12"/>
        <v>0</v>
      </c>
      <c r="AD39" s="110">
        <f t="shared" si="12"/>
        <v>0</v>
      </c>
      <c r="AE39" s="110">
        <f t="shared" si="12"/>
        <v>0</v>
      </c>
      <c r="AF39" s="110">
        <f t="shared" si="12"/>
        <v>0</v>
      </c>
      <c r="AG39" s="110">
        <f t="shared" si="12"/>
        <v>4.6600856710235377</v>
      </c>
      <c r="AH39" s="110">
        <f t="shared" si="12"/>
        <v>110.94686120882488</v>
      </c>
      <c r="AI39" s="110">
        <f t="shared" si="12"/>
        <v>4.6600856710235377</v>
      </c>
      <c r="AJ39" s="110">
        <f t="shared" si="12"/>
        <v>110.94686120882488</v>
      </c>
      <c r="AK39" s="110">
        <f t="shared" si="12"/>
        <v>4.6600856710235377</v>
      </c>
      <c r="AL39" s="110">
        <f t="shared" si="12"/>
        <v>110.94686120882488</v>
      </c>
      <c r="AM39" s="110">
        <f t="shared" si="12"/>
        <v>4.6600856710235377</v>
      </c>
      <c r="AN39" s="110">
        <f t="shared" si="12"/>
        <v>110.94686120882488</v>
      </c>
      <c r="AO39" s="110">
        <f t="shared" si="12"/>
        <v>4.6600856710235377</v>
      </c>
      <c r="AP39" s="110">
        <f t="shared" si="12"/>
        <v>110.94686120882488</v>
      </c>
      <c r="AQ39" s="110">
        <f t="shared" si="12"/>
        <v>4.6600856710235377</v>
      </c>
      <c r="AR39" s="110">
        <f t="shared" si="12"/>
        <v>110.94686120882488</v>
      </c>
      <c r="AS39" s="110">
        <f t="shared" si="12"/>
        <v>4.6600856710235377</v>
      </c>
      <c r="AT39" s="110">
        <f t="shared" si="12"/>
        <v>110.94686120882488</v>
      </c>
      <c r="AU39" s="110">
        <f t="shared" si="12"/>
        <v>4.6600856710235377</v>
      </c>
      <c r="AV39" s="110">
        <f t="shared" si="12"/>
        <v>110.94686120882488</v>
      </c>
      <c r="AW39" s="110">
        <f t="shared" si="12"/>
        <v>4.6600856710235377</v>
      </c>
      <c r="AX39" s="110">
        <f t="shared" si="12"/>
        <v>110.94686120882488</v>
      </c>
      <c r="AY39" s="110">
        <f t="shared" si="12"/>
        <v>4.6600856710235377</v>
      </c>
    </row>
    <row r="40" spans="1:52">
      <c r="A40" s="110"/>
      <c r="B40" s="165" t="s">
        <v>348</v>
      </c>
      <c r="C40" s="110"/>
      <c r="D40" s="110">
        <f>D34-D37</f>
        <v>108.26047419074139</v>
      </c>
      <c r="E40" s="110">
        <f t="shared" ref="E40:AY40" si="13">E34-E37</f>
        <v>0</v>
      </c>
      <c r="F40" s="110">
        <f t="shared" si="13"/>
        <v>0</v>
      </c>
      <c r="G40" s="110">
        <f t="shared" si="13"/>
        <v>108.26047419074129</v>
      </c>
      <c r="H40" s="110">
        <f t="shared" si="13"/>
        <v>0</v>
      </c>
      <c r="I40" s="110">
        <f t="shared" si="13"/>
        <v>108.26047419074129</v>
      </c>
      <c r="J40" s="110">
        <f t="shared" si="13"/>
        <v>0</v>
      </c>
      <c r="K40" s="110">
        <f t="shared" si="13"/>
        <v>108.26047419074129</v>
      </c>
      <c r="L40" s="110">
        <f t="shared" si="13"/>
        <v>0</v>
      </c>
      <c r="M40" s="110">
        <f t="shared" si="13"/>
        <v>0</v>
      </c>
      <c r="N40" s="110">
        <f t="shared" si="13"/>
        <v>108.26047419074129</v>
      </c>
      <c r="O40" s="110">
        <f t="shared" si="13"/>
        <v>0</v>
      </c>
      <c r="P40" s="110">
        <f t="shared" si="13"/>
        <v>0</v>
      </c>
      <c r="Q40" s="110">
        <f t="shared" si="13"/>
        <v>0</v>
      </c>
      <c r="R40" s="110">
        <f t="shared" si="13"/>
        <v>108.26047419074129</v>
      </c>
      <c r="S40" s="110">
        <f t="shared" si="13"/>
        <v>0</v>
      </c>
      <c r="T40" s="110">
        <f t="shared" si="13"/>
        <v>108.26047419074129</v>
      </c>
      <c r="U40" s="110">
        <f t="shared" si="13"/>
        <v>0</v>
      </c>
      <c r="V40" s="110">
        <f t="shared" si="13"/>
        <v>108.26047419074129</v>
      </c>
      <c r="W40" s="110">
        <f t="shared" si="13"/>
        <v>0</v>
      </c>
      <c r="X40" s="110">
        <f t="shared" si="13"/>
        <v>108.26047419074129</v>
      </c>
      <c r="Y40" s="110">
        <f t="shared" si="13"/>
        <v>0</v>
      </c>
      <c r="Z40" s="110">
        <f t="shared" si="13"/>
        <v>108.26047419074129</v>
      </c>
      <c r="AA40" s="110">
        <f t="shared" si="13"/>
        <v>0</v>
      </c>
      <c r="AB40" s="110">
        <f t="shared" si="13"/>
        <v>108.26047419074129</v>
      </c>
      <c r="AC40" s="110">
        <f t="shared" si="13"/>
        <v>0</v>
      </c>
      <c r="AD40" s="110">
        <f t="shared" si="13"/>
        <v>0</v>
      </c>
      <c r="AE40" s="110">
        <f t="shared" si="13"/>
        <v>0</v>
      </c>
      <c r="AF40" s="110">
        <f t="shared" si="13"/>
        <v>0</v>
      </c>
      <c r="AG40" s="110">
        <f t="shared" si="13"/>
        <v>4.5472497285426385</v>
      </c>
      <c r="AH40" s="110">
        <f t="shared" si="13"/>
        <v>108.26047419074129</v>
      </c>
      <c r="AI40" s="110">
        <f t="shared" si="13"/>
        <v>4.5472497285426385</v>
      </c>
      <c r="AJ40" s="110">
        <f t="shared" si="13"/>
        <v>108.26047419074129</v>
      </c>
      <c r="AK40" s="110">
        <f t="shared" si="13"/>
        <v>4.5472497285426385</v>
      </c>
      <c r="AL40" s="110">
        <f t="shared" si="13"/>
        <v>108.26047419074129</v>
      </c>
      <c r="AM40" s="110">
        <f t="shared" si="13"/>
        <v>4.5472497285426385</v>
      </c>
      <c r="AN40" s="110">
        <f t="shared" si="13"/>
        <v>108.26047419074129</v>
      </c>
      <c r="AO40" s="110">
        <f t="shared" si="13"/>
        <v>4.5472497285426385</v>
      </c>
      <c r="AP40" s="110">
        <f t="shared" si="13"/>
        <v>108.26047419074129</v>
      </c>
      <c r="AQ40" s="110">
        <f t="shared" si="13"/>
        <v>4.5472497285426385</v>
      </c>
      <c r="AR40" s="110">
        <f t="shared" si="13"/>
        <v>108.26047419074129</v>
      </c>
      <c r="AS40" s="110">
        <f t="shared" si="13"/>
        <v>4.5472497285426385</v>
      </c>
      <c r="AT40" s="110">
        <f t="shared" si="13"/>
        <v>108.26047419074129</v>
      </c>
      <c r="AU40" s="110">
        <f t="shared" si="13"/>
        <v>4.5472497285426385</v>
      </c>
      <c r="AV40" s="110">
        <f t="shared" si="13"/>
        <v>108.26047419074129</v>
      </c>
      <c r="AW40" s="110">
        <f t="shared" si="13"/>
        <v>4.5472497285426385</v>
      </c>
      <c r="AX40" s="110">
        <f t="shared" si="13"/>
        <v>108.26047419074129</v>
      </c>
      <c r="AY40" s="110">
        <f t="shared" si="13"/>
        <v>4.5472497285426385</v>
      </c>
    </row>
    <row r="41" spans="1:52">
      <c r="A41" s="110"/>
      <c r="B41" s="165" t="s">
        <v>349</v>
      </c>
      <c r="C41" s="110"/>
      <c r="D41" s="110">
        <v>2</v>
      </c>
      <c r="E41" s="110">
        <v>1</v>
      </c>
      <c r="F41" s="110">
        <v>2</v>
      </c>
      <c r="G41" s="110">
        <v>2</v>
      </c>
      <c r="H41" s="110">
        <v>1</v>
      </c>
      <c r="I41" s="110">
        <v>1</v>
      </c>
      <c r="J41" s="110">
        <v>1</v>
      </c>
      <c r="K41" s="110">
        <v>1</v>
      </c>
      <c r="L41" s="110">
        <v>2</v>
      </c>
      <c r="M41" s="110">
        <v>1</v>
      </c>
      <c r="N41" s="110">
        <v>1</v>
      </c>
      <c r="O41" s="110">
        <v>2</v>
      </c>
      <c r="P41" s="110">
        <v>1</v>
      </c>
      <c r="Q41" s="110">
        <v>2</v>
      </c>
      <c r="R41" s="110">
        <v>2</v>
      </c>
      <c r="S41" s="110">
        <v>2</v>
      </c>
      <c r="T41" s="110">
        <v>1</v>
      </c>
      <c r="U41" s="110">
        <v>1</v>
      </c>
      <c r="V41" s="110">
        <v>2</v>
      </c>
      <c r="W41" s="110">
        <v>3</v>
      </c>
      <c r="X41" s="110">
        <v>2</v>
      </c>
      <c r="Y41" s="110">
        <v>1</v>
      </c>
      <c r="Z41" s="110">
        <v>2</v>
      </c>
      <c r="AA41" s="110">
        <v>1</v>
      </c>
      <c r="AB41" s="110">
        <v>3</v>
      </c>
      <c r="AC41" s="110">
        <v>1</v>
      </c>
      <c r="AD41" s="110">
        <v>1</v>
      </c>
      <c r="AE41" s="110">
        <v>1</v>
      </c>
      <c r="AF41" s="110">
        <v>1</v>
      </c>
      <c r="AG41" s="110">
        <v>2</v>
      </c>
      <c r="AH41" s="110">
        <v>1</v>
      </c>
      <c r="AI41" s="110">
        <v>1</v>
      </c>
      <c r="AJ41" s="110">
        <v>2</v>
      </c>
      <c r="AK41" s="110">
        <v>1</v>
      </c>
      <c r="AL41" s="110">
        <v>2</v>
      </c>
      <c r="AM41" s="110">
        <v>2</v>
      </c>
      <c r="AN41" s="110">
        <v>2</v>
      </c>
      <c r="AO41" s="110">
        <v>1</v>
      </c>
      <c r="AP41" s="110">
        <v>1</v>
      </c>
      <c r="AQ41" s="110">
        <v>2</v>
      </c>
      <c r="AR41" s="110">
        <v>1</v>
      </c>
      <c r="AS41" s="110">
        <v>2</v>
      </c>
      <c r="AT41" s="110">
        <v>1</v>
      </c>
      <c r="AU41" s="110">
        <v>2</v>
      </c>
      <c r="AV41" s="110">
        <v>1</v>
      </c>
      <c r="AW41" s="110">
        <v>1</v>
      </c>
      <c r="AX41" s="110">
        <v>1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352800</v>
      </c>
      <c r="G42" s="110">
        <v>0</v>
      </c>
      <c r="H42" s="110">
        <v>352800</v>
      </c>
      <c r="I42" s="110">
        <v>0</v>
      </c>
      <c r="J42" s="110">
        <v>352800</v>
      </c>
      <c r="K42" s="110">
        <v>0</v>
      </c>
      <c r="L42" s="110">
        <v>0</v>
      </c>
      <c r="M42" s="110">
        <v>352800</v>
      </c>
      <c r="N42" s="110">
        <v>0</v>
      </c>
      <c r="O42" s="110">
        <v>0</v>
      </c>
      <c r="P42" s="110">
        <v>0</v>
      </c>
      <c r="Q42" s="110">
        <v>352800</v>
      </c>
      <c r="R42" s="110">
        <v>0</v>
      </c>
      <c r="S42" s="110">
        <v>352800</v>
      </c>
      <c r="T42" s="110">
        <v>0</v>
      </c>
      <c r="U42" s="110">
        <v>352800</v>
      </c>
      <c r="V42" s="110">
        <v>0</v>
      </c>
      <c r="W42" s="110">
        <v>352800</v>
      </c>
      <c r="X42" s="110">
        <v>0</v>
      </c>
      <c r="Y42" s="110">
        <v>352800</v>
      </c>
      <c r="Z42" s="110">
        <v>0</v>
      </c>
      <c r="AA42" s="110">
        <v>352800</v>
      </c>
      <c r="AB42" s="110">
        <v>0</v>
      </c>
      <c r="AC42" s="110">
        <v>44100</v>
      </c>
      <c r="AD42" s="110">
        <v>44100</v>
      </c>
      <c r="AE42" s="110">
        <v>44100</v>
      </c>
      <c r="AF42" s="110">
        <v>44100</v>
      </c>
      <c r="AG42" s="110">
        <v>308700</v>
      </c>
      <c r="AH42" s="110">
        <v>0</v>
      </c>
      <c r="AI42" s="110">
        <v>308700</v>
      </c>
      <c r="AJ42" s="110">
        <v>0</v>
      </c>
      <c r="AK42" s="110">
        <v>308700</v>
      </c>
      <c r="AL42" s="110">
        <v>0</v>
      </c>
      <c r="AM42" s="110">
        <v>308700</v>
      </c>
      <c r="AN42" s="110">
        <v>0</v>
      </c>
      <c r="AO42" s="110">
        <v>308700</v>
      </c>
      <c r="AP42" s="110">
        <v>0</v>
      </c>
      <c r="AQ42" s="110">
        <v>308700</v>
      </c>
      <c r="AR42" s="110">
        <v>0</v>
      </c>
      <c r="AS42" s="110">
        <v>308700</v>
      </c>
      <c r="AT42" s="110">
        <v>0</v>
      </c>
      <c r="AU42" s="110">
        <v>308700</v>
      </c>
      <c r="AV42" s="110">
        <v>0</v>
      </c>
      <c r="AW42" s="110">
        <v>308700</v>
      </c>
      <c r="AX42" s="110">
        <v>0</v>
      </c>
      <c r="AY42" s="110">
        <v>308700</v>
      </c>
      <c r="AZ42" s="100">
        <f>SUM($D$42:$AY$42)</f>
        <v>6791400</v>
      </c>
    </row>
    <row r="43" spans="1:52">
      <c r="A43" s="110"/>
      <c r="B43" s="178" t="s">
        <v>351</v>
      </c>
      <c r="C43" s="110"/>
      <c r="D43" s="110">
        <v>174543.84081190472</v>
      </c>
      <c r="E43" s="110">
        <v>0</v>
      </c>
      <c r="F43" s="110">
        <v>0</v>
      </c>
      <c r="G43" s="110">
        <v>174543.84081190458</v>
      </c>
      <c r="H43" s="110">
        <v>0</v>
      </c>
      <c r="I43" s="110">
        <v>174543.84081190458</v>
      </c>
      <c r="J43" s="110">
        <v>0</v>
      </c>
      <c r="K43" s="110">
        <v>174543.84081190458</v>
      </c>
      <c r="L43" s="110">
        <v>0</v>
      </c>
      <c r="M43" s="110">
        <v>0</v>
      </c>
      <c r="N43" s="110">
        <v>174543.84081190458</v>
      </c>
      <c r="O43" s="110">
        <v>0</v>
      </c>
      <c r="P43" s="110">
        <v>0</v>
      </c>
      <c r="Q43" s="110">
        <v>0</v>
      </c>
      <c r="R43" s="110">
        <v>174543.84081190458</v>
      </c>
      <c r="S43" s="110">
        <v>0</v>
      </c>
      <c r="T43" s="110">
        <v>174543.84081190458</v>
      </c>
      <c r="U43" s="110">
        <v>0</v>
      </c>
      <c r="V43" s="110">
        <v>174543.84081190458</v>
      </c>
      <c r="W43" s="110">
        <v>0</v>
      </c>
      <c r="X43" s="110">
        <v>174543.84081190458</v>
      </c>
      <c r="Y43" s="110">
        <v>0</v>
      </c>
      <c r="Z43" s="110">
        <v>174543.84081190458</v>
      </c>
      <c r="AA43" s="110">
        <v>0</v>
      </c>
      <c r="AB43" s="110">
        <v>174543.84081190458</v>
      </c>
      <c r="AC43" s="110">
        <v>0</v>
      </c>
      <c r="AD43" s="110">
        <v>0</v>
      </c>
      <c r="AE43" s="110">
        <v>0</v>
      </c>
      <c r="AF43" s="110">
        <v>0</v>
      </c>
      <c r="AG43" s="110">
        <v>7331.340811904568</v>
      </c>
      <c r="AH43" s="110">
        <v>174543.84081190458</v>
      </c>
      <c r="AI43" s="110">
        <v>7331.340811904568</v>
      </c>
      <c r="AJ43" s="110">
        <v>174543.84081190458</v>
      </c>
      <c r="AK43" s="110">
        <v>7331.340811904568</v>
      </c>
      <c r="AL43" s="110">
        <v>174543.84081190458</v>
      </c>
      <c r="AM43" s="110">
        <v>7331.340811904568</v>
      </c>
      <c r="AN43" s="110">
        <v>174543.84081190458</v>
      </c>
      <c r="AO43" s="110">
        <v>7331.340811904568</v>
      </c>
      <c r="AP43" s="110">
        <v>174543.84081190458</v>
      </c>
      <c r="AQ43" s="110">
        <v>7331.340811904568</v>
      </c>
      <c r="AR43" s="110">
        <v>174543.84081190458</v>
      </c>
      <c r="AS43" s="110">
        <v>7331.340811904568</v>
      </c>
      <c r="AT43" s="110">
        <v>174543.84081190458</v>
      </c>
      <c r="AU43" s="110">
        <v>7331.340811904568</v>
      </c>
      <c r="AV43" s="110">
        <v>174543.84081190458</v>
      </c>
      <c r="AW43" s="110">
        <v>7331.340811904568</v>
      </c>
      <c r="AX43" s="110">
        <v>174543.84081190458</v>
      </c>
      <c r="AY43" s="110">
        <v>7331.340811904568</v>
      </c>
      <c r="AZ43" s="100">
        <f>SUM($D$43:$AY$43)</f>
        <v>3564190.2243571361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170.00000000000014</v>
      </c>
      <c r="E44" s="124">
        <f>E$21*shipping_manufacturing!$D$28/100</f>
        <v>0</v>
      </c>
      <c r="F44" s="124">
        <f>F$21*shipping_manufacturing!$D$28/100</f>
        <v>170</v>
      </c>
      <c r="G44" s="124">
        <f>G$21*shipping_manufacturing!$D$28/100</f>
        <v>170</v>
      </c>
      <c r="H44" s="124">
        <f>H$21*shipping_manufacturing!$D$28/100</f>
        <v>170</v>
      </c>
      <c r="I44" s="124">
        <f>I$21*shipping_manufacturing!$D$28/100</f>
        <v>170</v>
      </c>
      <c r="J44" s="124">
        <f>J$21*shipping_manufacturing!$D$28/100</f>
        <v>170</v>
      </c>
      <c r="K44" s="124">
        <f>K$21*shipping_manufacturing!$D$28/100</f>
        <v>170</v>
      </c>
      <c r="L44" s="124">
        <f>L$21*shipping_manufacturing!$D$28/100</f>
        <v>0</v>
      </c>
      <c r="M44" s="124">
        <f>M$21*shipping_manufacturing!$D$28/100</f>
        <v>170</v>
      </c>
      <c r="N44" s="124">
        <f>N$21*shipping_manufacturing!$D$28/100</f>
        <v>170</v>
      </c>
      <c r="O44" s="124">
        <f>O$21*shipping_manufacturing!$D$28/100</f>
        <v>0</v>
      </c>
      <c r="P44" s="124">
        <f>P$21*shipping_manufacturing!$D$28/100</f>
        <v>0</v>
      </c>
      <c r="Q44" s="124">
        <f>Q$21*shipping_manufacturing!$D$28/100</f>
        <v>170</v>
      </c>
      <c r="R44" s="124">
        <f>R$21*shipping_manufacturing!$D$28/100</f>
        <v>170</v>
      </c>
      <c r="S44" s="124">
        <f>S$21*shipping_manufacturing!$D$28/100</f>
        <v>170</v>
      </c>
      <c r="T44" s="124">
        <f>T$21*shipping_manufacturing!$D$28/100</f>
        <v>170</v>
      </c>
      <c r="U44" s="124">
        <f>U$21*shipping_manufacturing!$D$28/100</f>
        <v>170</v>
      </c>
      <c r="V44" s="124">
        <f>V$21*shipping_manufacturing!$D$28/100</f>
        <v>170</v>
      </c>
      <c r="W44" s="124">
        <f>W$21*shipping_manufacturing!$D$28/100</f>
        <v>170</v>
      </c>
      <c r="X44" s="124">
        <f>X$21*shipping_manufacturing!$D$28/100</f>
        <v>170</v>
      </c>
      <c r="Y44" s="124">
        <f>Y$21*shipping_manufacturing!$D$28/100</f>
        <v>170</v>
      </c>
      <c r="Z44" s="124">
        <f>Z$21*shipping_manufacturing!$D$28/100</f>
        <v>170</v>
      </c>
      <c r="AA44" s="124">
        <f>AA$21*shipping_manufacturing!$D$28/100</f>
        <v>170</v>
      </c>
      <c r="AB44" s="124">
        <f>AB$21*shipping_manufacturing!$D$28/100</f>
        <v>170</v>
      </c>
      <c r="AC44" s="124">
        <f>AC$21*shipping_manufacturing!$D$28/100</f>
        <v>1.1479935558397655E-20</v>
      </c>
      <c r="AD44" s="124">
        <f>AD$21*shipping_manufacturing!$D$28/100</f>
        <v>1.1479935558397655E-20</v>
      </c>
      <c r="AE44" s="124">
        <f>AE$21*shipping_manufacturing!$D$28/100</f>
        <v>1.1479935558397655E-20</v>
      </c>
      <c r="AF44" s="124">
        <f>AF$21*shipping_manufacturing!$D$28/100</f>
        <v>1.1479935558397655E-20</v>
      </c>
      <c r="AG44" s="124">
        <f>AG$21*shipping_manufacturing!$D$28/100</f>
        <v>170</v>
      </c>
      <c r="AH44" s="124">
        <f>AH$21*shipping_manufacturing!$D$28/100</f>
        <v>170</v>
      </c>
      <c r="AI44" s="124">
        <f>AI$21*shipping_manufacturing!$D$28/100</f>
        <v>170</v>
      </c>
      <c r="AJ44" s="124">
        <f>AJ$21*shipping_manufacturing!$D$28/100</f>
        <v>170</v>
      </c>
      <c r="AK44" s="124">
        <f>AK$21*shipping_manufacturing!$D$28/100</f>
        <v>170</v>
      </c>
      <c r="AL44" s="124">
        <f>AL$21*shipping_manufacturing!$D$28/100</f>
        <v>170</v>
      </c>
      <c r="AM44" s="124">
        <f>AM$21*shipping_manufacturing!$D$28/100</f>
        <v>170</v>
      </c>
      <c r="AN44" s="124">
        <f>AN$21*shipping_manufacturing!$D$28/100</f>
        <v>170</v>
      </c>
      <c r="AO44" s="124">
        <f>AO$21*shipping_manufacturing!$D$28/100</f>
        <v>170</v>
      </c>
      <c r="AP44" s="124">
        <f>AP$21*shipping_manufacturing!$D$28/100</f>
        <v>170</v>
      </c>
      <c r="AQ44" s="124">
        <f>AQ$21*shipping_manufacturing!$D$28/100</f>
        <v>170</v>
      </c>
      <c r="AR44" s="124">
        <f>AR$21*shipping_manufacturing!$D$28/100</f>
        <v>170</v>
      </c>
      <c r="AS44" s="124">
        <f>AS$21*shipping_manufacturing!$D$28/100</f>
        <v>170</v>
      </c>
      <c r="AT44" s="124">
        <f>AT$21*shipping_manufacturing!$D$28/100</f>
        <v>170</v>
      </c>
      <c r="AU44" s="124">
        <f>AU$21*shipping_manufacturing!$D$28/100</f>
        <v>170</v>
      </c>
      <c r="AV44" s="124">
        <f>AV$21*shipping_manufacturing!$D$28/100</f>
        <v>170</v>
      </c>
      <c r="AW44" s="124">
        <f>AW$21*shipping_manufacturing!$D$28/100</f>
        <v>170</v>
      </c>
      <c r="AX44" s="124">
        <f>AX$21*shipping_manufacturing!$D$28/100</f>
        <v>170</v>
      </c>
      <c r="AY44" s="124">
        <f>AY$21*shipping_manufacturing!$D$28/100</f>
        <v>170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210.79266460043328</v>
      </c>
      <c r="E45" s="110">
        <f>E$22*shipping_manufacturing!$E$28/100</f>
        <v>0</v>
      </c>
      <c r="F45" s="110">
        <f>F$22*shipping_manufacturing!$E$28/100</f>
        <v>210.79266460043311</v>
      </c>
      <c r="G45" s="110">
        <f>G$22*shipping_manufacturing!$E$28/100</f>
        <v>210.79266460043311</v>
      </c>
      <c r="H45" s="110">
        <f>H$22*shipping_manufacturing!$E$28/100</f>
        <v>210.79266460043311</v>
      </c>
      <c r="I45" s="110">
        <f>I$22*shipping_manufacturing!$E$28/100</f>
        <v>210.79266460043311</v>
      </c>
      <c r="J45" s="110">
        <f>J$22*shipping_manufacturing!$E$28/100</f>
        <v>210.79266460043311</v>
      </c>
      <c r="K45" s="110">
        <f>K$22*shipping_manufacturing!$E$28/100</f>
        <v>210.79266460043311</v>
      </c>
      <c r="L45" s="110">
        <f>L$22*shipping_manufacturing!$E$28/100</f>
        <v>0</v>
      </c>
      <c r="M45" s="110">
        <f>M$22*shipping_manufacturing!$E$28/100</f>
        <v>210.79266460043311</v>
      </c>
      <c r="N45" s="110">
        <f>N$22*shipping_manufacturing!$E$28/100</f>
        <v>210.79266460043311</v>
      </c>
      <c r="O45" s="110">
        <f>O$22*shipping_manufacturing!$E$28/100</f>
        <v>0</v>
      </c>
      <c r="P45" s="110">
        <f>P$22*shipping_manufacturing!$E$28/100</f>
        <v>0</v>
      </c>
      <c r="Q45" s="110">
        <f>Q$22*shipping_manufacturing!$E$28/100</f>
        <v>210.79266460043311</v>
      </c>
      <c r="R45" s="110">
        <f>R$22*shipping_manufacturing!$E$28/100</f>
        <v>210.79266460043311</v>
      </c>
      <c r="S45" s="110">
        <f>S$22*shipping_manufacturing!$E$28/100</f>
        <v>210.79266460043311</v>
      </c>
      <c r="T45" s="110">
        <f>T$22*shipping_manufacturing!$E$28/100</f>
        <v>210.79266460043311</v>
      </c>
      <c r="U45" s="110">
        <f>U$22*shipping_manufacturing!$E$28/100</f>
        <v>210.79266460043311</v>
      </c>
      <c r="V45" s="110">
        <f>V$22*shipping_manufacturing!$E$28/100</f>
        <v>210.79266460043311</v>
      </c>
      <c r="W45" s="110">
        <f>W$22*shipping_manufacturing!$E$28/100</f>
        <v>210.79266460043311</v>
      </c>
      <c r="X45" s="110">
        <f>X$22*shipping_manufacturing!$E$28/100</f>
        <v>210.79266460043311</v>
      </c>
      <c r="Y45" s="110">
        <f>Y$22*shipping_manufacturing!$E$28/100</f>
        <v>210.79266460043311</v>
      </c>
      <c r="Z45" s="110">
        <f>Z$22*shipping_manufacturing!$E$28/100</f>
        <v>210.79266460043311</v>
      </c>
      <c r="AA45" s="110">
        <f>AA$22*shipping_manufacturing!$E$28/100</f>
        <v>210.79266460043311</v>
      </c>
      <c r="AB45" s="110">
        <f>AB$22*shipping_manufacturing!$E$28/100</f>
        <v>210.79266460043311</v>
      </c>
      <c r="AC45" s="110">
        <f>AC$22*shipping_manufacturing!$E$28/100</f>
        <v>1.4234624739975902E-20</v>
      </c>
      <c r="AD45" s="110">
        <f>AD$22*shipping_manufacturing!$E$28/100</f>
        <v>1.4234624739975902E-20</v>
      </c>
      <c r="AE45" s="110">
        <f>AE$22*shipping_manufacturing!$E$28/100</f>
        <v>1.4234624739975902E-20</v>
      </c>
      <c r="AF45" s="110">
        <f>AF$22*shipping_manufacturing!$E$28/100</f>
        <v>1.4234624739975902E-20</v>
      </c>
      <c r="AG45" s="110">
        <f>AG$22*shipping_manufacturing!$E$28/100</f>
        <v>210.79266460043311</v>
      </c>
      <c r="AH45" s="110">
        <f>AH$22*shipping_manufacturing!$E$28/100</f>
        <v>210.79266460043311</v>
      </c>
      <c r="AI45" s="110">
        <f>AI$22*shipping_manufacturing!$E$28/100</f>
        <v>210.79266460043311</v>
      </c>
      <c r="AJ45" s="110">
        <f>AJ$22*shipping_manufacturing!$E$28/100</f>
        <v>210.79266460043311</v>
      </c>
      <c r="AK45" s="110">
        <f>AK$22*shipping_manufacturing!$E$28/100</f>
        <v>210.79266460043311</v>
      </c>
      <c r="AL45" s="110">
        <f>AL$22*shipping_manufacturing!$E$28/100</f>
        <v>210.79266460043311</v>
      </c>
      <c r="AM45" s="110">
        <f>AM$22*shipping_manufacturing!$E$28/100</f>
        <v>210.79266460043311</v>
      </c>
      <c r="AN45" s="110">
        <f>AN$22*shipping_manufacturing!$E$28/100</f>
        <v>210.79266460043311</v>
      </c>
      <c r="AO45" s="110">
        <f>AO$22*shipping_manufacturing!$E$28/100</f>
        <v>210.79266460043311</v>
      </c>
      <c r="AP45" s="110">
        <f>AP$22*shipping_manufacturing!$E$28/100</f>
        <v>210.79266460043311</v>
      </c>
      <c r="AQ45" s="110">
        <f>AQ$22*shipping_manufacturing!$E$28/100</f>
        <v>210.79266460043311</v>
      </c>
      <c r="AR45" s="110">
        <f>AR$22*shipping_manufacturing!$E$28/100</f>
        <v>210.79266460043311</v>
      </c>
      <c r="AS45" s="110">
        <f>AS$22*shipping_manufacturing!$E$28/100</f>
        <v>210.79266460043311</v>
      </c>
      <c r="AT45" s="110">
        <f>AT$22*shipping_manufacturing!$E$28/100</f>
        <v>210.79266460043311</v>
      </c>
      <c r="AU45" s="110">
        <f>AU$22*shipping_manufacturing!$E$28/100</f>
        <v>210.79266460043311</v>
      </c>
      <c r="AV45" s="110">
        <f>AV$22*shipping_manufacturing!$E$28/100</f>
        <v>210.79266460043311</v>
      </c>
      <c r="AW45" s="110">
        <f>AW$22*shipping_manufacturing!$E$28/100</f>
        <v>210.79266460043311</v>
      </c>
      <c r="AX45" s="110">
        <f>AX$22*shipping_manufacturing!$E$28/100</f>
        <v>210.79266460043311</v>
      </c>
      <c r="AY45" s="110">
        <f>AY$22*shipping_manufacturing!$E$28/100</f>
        <v>210.79266460043311</v>
      </c>
    </row>
    <row r="46" spans="1:52">
      <c r="A46" s="110">
        <v>89</v>
      </c>
      <c r="B46" s="165" t="s">
        <v>343</v>
      </c>
      <c r="C46" s="110"/>
      <c r="D46" s="110">
        <f>SUM(D44:D45)</f>
        <v>380.79266460043345</v>
      </c>
      <c r="E46" s="110">
        <f t="shared" ref="E46:AY46" si="14">SUM(E44:E45)</f>
        <v>0</v>
      </c>
      <c r="F46" s="110">
        <f t="shared" si="14"/>
        <v>380.79266460043311</v>
      </c>
      <c r="G46" s="110">
        <f t="shared" si="14"/>
        <v>380.79266460043311</v>
      </c>
      <c r="H46" s="110">
        <f t="shared" si="14"/>
        <v>380.79266460043311</v>
      </c>
      <c r="I46" s="110">
        <f t="shared" si="14"/>
        <v>380.79266460043311</v>
      </c>
      <c r="J46" s="110">
        <f t="shared" si="14"/>
        <v>380.79266460043311</v>
      </c>
      <c r="K46" s="110">
        <f t="shared" si="14"/>
        <v>380.79266460043311</v>
      </c>
      <c r="L46" s="110">
        <f t="shared" si="14"/>
        <v>0</v>
      </c>
      <c r="M46" s="110">
        <f t="shared" si="14"/>
        <v>380.79266460043311</v>
      </c>
      <c r="N46" s="110">
        <f t="shared" si="14"/>
        <v>380.79266460043311</v>
      </c>
      <c r="O46" s="110">
        <f t="shared" si="14"/>
        <v>0</v>
      </c>
      <c r="P46" s="110">
        <f t="shared" si="14"/>
        <v>0</v>
      </c>
      <c r="Q46" s="110">
        <f t="shared" si="14"/>
        <v>380.79266460043311</v>
      </c>
      <c r="R46" s="110">
        <f t="shared" si="14"/>
        <v>380.79266460043311</v>
      </c>
      <c r="S46" s="110">
        <f t="shared" si="14"/>
        <v>380.79266460043311</v>
      </c>
      <c r="T46" s="110">
        <f t="shared" si="14"/>
        <v>380.79266460043311</v>
      </c>
      <c r="U46" s="110">
        <f t="shared" si="14"/>
        <v>380.79266460043311</v>
      </c>
      <c r="V46" s="110">
        <f t="shared" si="14"/>
        <v>380.79266460043311</v>
      </c>
      <c r="W46" s="110">
        <f t="shared" si="14"/>
        <v>380.79266460043311</v>
      </c>
      <c r="X46" s="110">
        <f t="shared" si="14"/>
        <v>380.79266460043311</v>
      </c>
      <c r="Y46" s="110">
        <f t="shared" si="14"/>
        <v>380.79266460043311</v>
      </c>
      <c r="Z46" s="110">
        <f t="shared" si="14"/>
        <v>380.79266460043311</v>
      </c>
      <c r="AA46" s="110">
        <f t="shared" si="14"/>
        <v>380.79266460043311</v>
      </c>
      <c r="AB46" s="110">
        <f t="shared" si="14"/>
        <v>380.79266460043311</v>
      </c>
      <c r="AC46" s="110">
        <f t="shared" si="14"/>
        <v>2.5714560298373557E-20</v>
      </c>
      <c r="AD46" s="110">
        <f t="shared" si="14"/>
        <v>2.5714560298373557E-20</v>
      </c>
      <c r="AE46" s="110">
        <f t="shared" si="14"/>
        <v>2.5714560298373557E-20</v>
      </c>
      <c r="AF46" s="110">
        <f t="shared" si="14"/>
        <v>2.5714560298373557E-20</v>
      </c>
      <c r="AG46" s="110">
        <f t="shared" si="14"/>
        <v>380.79266460043311</v>
      </c>
      <c r="AH46" s="110">
        <f t="shared" si="14"/>
        <v>380.79266460043311</v>
      </c>
      <c r="AI46" s="110">
        <f t="shared" si="14"/>
        <v>380.79266460043311</v>
      </c>
      <c r="AJ46" s="110">
        <f t="shared" si="14"/>
        <v>380.79266460043311</v>
      </c>
      <c r="AK46" s="110">
        <f t="shared" si="14"/>
        <v>380.79266460043311</v>
      </c>
      <c r="AL46" s="110">
        <f t="shared" si="14"/>
        <v>380.79266460043311</v>
      </c>
      <c r="AM46" s="110">
        <f t="shared" si="14"/>
        <v>380.79266460043311</v>
      </c>
      <c r="AN46" s="110">
        <f t="shared" si="14"/>
        <v>380.79266460043311</v>
      </c>
      <c r="AO46" s="110">
        <f t="shared" si="14"/>
        <v>380.79266460043311</v>
      </c>
      <c r="AP46" s="110">
        <f t="shared" si="14"/>
        <v>380.79266460043311</v>
      </c>
      <c r="AQ46" s="110">
        <f t="shared" si="14"/>
        <v>380.79266460043311</v>
      </c>
      <c r="AR46" s="110">
        <f t="shared" si="14"/>
        <v>380.79266460043311</v>
      </c>
      <c r="AS46" s="110">
        <f t="shared" si="14"/>
        <v>380.79266460043311</v>
      </c>
      <c r="AT46" s="110">
        <f t="shared" si="14"/>
        <v>380.79266460043311</v>
      </c>
      <c r="AU46" s="110">
        <f t="shared" si="14"/>
        <v>380.79266460043311</v>
      </c>
      <c r="AV46" s="110">
        <f t="shared" si="14"/>
        <v>380.79266460043311</v>
      </c>
      <c r="AW46" s="110">
        <f t="shared" si="14"/>
        <v>380.79266460043311</v>
      </c>
      <c r="AX46" s="110">
        <f t="shared" si="14"/>
        <v>380.79266460043311</v>
      </c>
      <c r="AY46" s="110">
        <f t="shared" si="14"/>
        <v>380.79266460043311</v>
      </c>
    </row>
    <row r="47" spans="1:52">
      <c r="A47" s="110"/>
      <c r="B47" s="165" t="s">
        <v>344</v>
      </c>
      <c r="C47" s="110"/>
      <c r="D47" s="110">
        <v>13.393115136163258</v>
      </c>
      <c r="E47" s="110"/>
      <c r="F47" s="110">
        <v>169.99999999999997</v>
      </c>
      <c r="G47" s="110">
        <v>13.393115136163258</v>
      </c>
      <c r="H47" s="110">
        <v>169.99999999999997</v>
      </c>
      <c r="I47" s="110">
        <v>13.393115136163258</v>
      </c>
      <c r="J47" s="110">
        <v>169.99999999999997</v>
      </c>
      <c r="K47" s="110">
        <v>13.393115136163258</v>
      </c>
      <c r="L47" s="110"/>
      <c r="M47" s="110">
        <v>169.99999999999997</v>
      </c>
      <c r="N47" s="110">
        <v>13.393115136163258</v>
      </c>
      <c r="O47" s="110"/>
      <c r="P47" s="110"/>
      <c r="Q47" s="110">
        <v>169.99999999999997</v>
      </c>
      <c r="R47" s="110">
        <v>13.393115136163258</v>
      </c>
      <c r="S47" s="110">
        <v>169.99999999999997</v>
      </c>
      <c r="T47" s="110">
        <v>13.393115136163258</v>
      </c>
      <c r="U47" s="110">
        <v>169.99999999999997</v>
      </c>
      <c r="V47" s="110">
        <v>13.393115136163258</v>
      </c>
      <c r="W47" s="110">
        <v>169.99999999999997</v>
      </c>
      <c r="X47" s="110">
        <v>13.393115136163258</v>
      </c>
      <c r="Y47" s="110">
        <v>169.99999999999997</v>
      </c>
      <c r="Z47" s="110">
        <v>13.393115136163258</v>
      </c>
      <c r="AA47" s="110">
        <v>169.99999999999997</v>
      </c>
      <c r="AB47" s="110">
        <v>13.393115136163258</v>
      </c>
      <c r="AC47" s="110">
        <v>1.1479935558397655E-20</v>
      </c>
      <c r="AD47" s="110">
        <v>1.1479935558397655E-20</v>
      </c>
      <c r="AE47" s="110">
        <v>1.1479935558397655E-20</v>
      </c>
      <c r="AF47" s="110">
        <v>1.1479935558397655E-20</v>
      </c>
      <c r="AG47" s="110">
        <v>169.99999999999997</v>
      </c>
      <c r="AH47" s="110">
        <v>26.786230272326517</v>
      </c>
      <c r="AI47" s="110">
        <v>169.99999999999997</v>
      </c>
      <c r="AJ47" s="110">
        <v>26.786230272326517</v>
      </c>
      <c r="AK47" s="110">
        <v>169.99999999999997</v>
      </c>
      <c r="AL47" s="110">
        <v>26.786230272326517</v>
      </c>
      <c r="AM47" s="110">
        <v>169.99999999999997</v>
      </c>
      <c r="AN47" s="110">
        <v>26.786230272326517</v>
      </c>
      <c r="AO47" s="110">
        <v>169.99999999999997</v>
      </c>
      <c r="AP47" s="110">
        <v>26.786230272326517</v>
      </c>
      <c r="AQ47" s="110">
        <v>169.99999999999997</v>
      </c>
      <c r="AR47" s="110">
        <v>26.786230272326517</v>
      </c>
      <c r="AS47" s="110">
        <v>169.99999999999997</v>
      </c>
      <c r="AT47" s="110">
        <v>26.786230272326517</v>
      </c>
      <c r="AU47" s="110">
        <v>169.99999999999997</v>
      </c>
      <c r="AV47" s="110">
        <v>26.786230272326517</v>
      </c>
      <c r="AW47" s="110">
        <v>169.99999999999997</v>
      </c>
      <c r="AX47" s="110">
        <v>26.786230272326517</v>
      </c>
      <c r="AY47" s="110">
        <v>169.99999999999997</v>
      </c>
    </row>
    <row r="48" spans="1:52">
      <c r="A48" s="110"/>
      <c r="B48" s="165" t="s">
        <v>345</v>
      </c>
      <c r="C48" s="110"/>
      <c r="D48" s="110">
        <v>16.60688486383674</v>
      </c>
      <c r="E48" s="110"/>
      <c r="F48" s="110">
        <v>210.79266460043311</v>
      </c>
      <c r="G48" s="110">
        <v>16.60688486383674</v>
      </c>
      <c r="H48" s="110">
        <v>210.79266460043311</v>
      </c>
      <c r="I48" s="110">
        <v>16.60688486383674</v>
      </c>
      <c r="J48" s="110">
        <v>210.79266460043311</v>
      </c>
      <c r="K48" s="110">
        <v>16.60688486383674</v>
      </c>
      <c r="L48" s="110"/>
      <c r="M48" s="110">
        <v>210.79266460043311</v>
      </c>
      <c r="N48" s="110">
        <v>16.60688486383674</v>
      </c>
      <c r="O48" s="110"/>
      <c r="P48" s="110"/>
      <c r="Q48" s="110">
        <v>210.79266460043311</v>
      </c>
      <c r="R48" s="110">
        <v>16.60688486383674</v>
      </c>
      <c r="S48" s="110">
        <v>210.79266460043311</v>
      </c>
      <c r="T48" s="110">
        <v>16.60688486383674</v>
      </c>
      <c r="U48" s="110">
        <v>210.79266460043311</v>
      </c>
      <c r="V48" s="110">
        <v>16.60688486383674</v>
      </c>
      <c r="W48" s="110">
        <v>210.79266460043311</v>
      </c>
      <c r="X48" s="110">
        <v>16.60688486383674</v>
      </c>
      <c r="Y48" s="110">
        <v>210.79266460043311</v>
      </c>
      <c r="Z48" s="110">
        <v>16.60688486383674</v>
      </c>
      <c r="AA48" s="110">
        <v>210.79266460043311</v>
      </c>
      <c r="AB48" s="110">
        <v>16.60688486383674</v>
      </c>
      <c r="AC48" s="110">
        <v>1.4234624739975902E-20</v>
      </c>
      <c r="AD48" s="110">
        <v>1.4234624739975902E-20</v>
      </c>
      <c r="AE48" s="110">
        <v>1.4234624739975902E-20</v>
      </c>
      <c r="AF48" s="110">
        <v>1.4234624739975902E-20</v>
      </c>
      <c r="AG48" s="110">
        <v>210.79266460043311</v>
      </c>
      <c r="AH48" s="110">
        <v>33.21376972767348</v>
      </c>
      <c r="AI48" s="110">
        <v>210.79266460043311</v>
      </c>
      <c r="AJ48" s="110">
        <v>33.21376972767348</v>
      </c>
      <c r="AK48" s="110">
        <v>210.79266460043311</v>
      </c>
      <c r="AL48" s="110">
        <v>33.21376972767348</v>
      </c>
      <c r="AM48" s="110">
        <v>210.79266460043311</v>
      </c>
      <c r="AN48" s="110">
        <v>33.21376972767348</v>
      </c>
      <c r="AO48" s="110">
        <v>210.79266460043311</v>
      </c>
      <c r="AP48" s="110">
        <v>33.21376972767348</v>
      </c>
      <c r="AQ48" s="110">
        <v>210.79266460043311</v>
      </c>
      <c r="AR48" s="110">
        <v>33.21376972767348</v>
      </c>
      <c r="AS48" s="110">
        <v>210.79266460043311</v>
      </c>
      <c r="AT48" s="110">
        <v>33.21376972767348</v>
      </c>
      <c r="AU48" s="110">
        <v>210.79266460043311</v>
      </c>
      <c r="AV48" s="110">
        <v>33.21376972767348</v>
      </c>
      <c r="AW48" s="110">
        <v>210.79266460043311</v>
      </c>
      <c r="AX48" s="110">
        <v>33.21376972767348</v>
      </c>
      <c r="AY48" s="110">
        <v>210.79266460043311</v>
      </c>
    </row>
    <row r="49" spans="1:52">
      <c r="A49" s="110"/>
      <c r="B49" s="165" t="s">
        <v>346</v>
      </c>
      <c r="C49" s="110"/>
      <c r="D49" s="110">
        <v>1</v>
      </c>
      <c r="E49" s="110"/>
      <c r="F49" s="110">
        <v>13</v>
      </c>
      <c r="G49" s="110">
        <v>1</v>
      </c>
      <c r="H49" s="110">
        <v>13</v>
      </c>
      <c r="I49" s="110">
        <v>1</v>
      </c>
      <c r="J49" s="110">
        <v>13</v>
      </c>
      <c r="K49" s="110">
        <v>1</v>
      </c>
      <c r="L49" s="110"/>
      <c r="M49" s="110">
        <v>13</v>
      </c>
      <c r="N49" s="110">
        <v>1</v>
      </c>
      <c r="O49" s="110"/>
      <c r="P49" s="110"/>
      <c r="Q49" s="110">
        <v>13</v>
      </c>
      <c r="R49" s="110">
        <v>1</v>
      </c>
      <c r="S49" s="110">
        <v>13</v>
      </c>
      <c r="T49" s="110">
        <v>1</v>
      </c>
      <c r="U49" s="110">
        <v>13</v>
      </c>
      <c r="V49" s="110">
        <v>1</v>
      </c>
      <c r="W49" s="110">
        <v>13</v>
      </c>
      <c r="X49" s="110">
        <v>1</v>
      </c>
      <c r="Y49" s="110">
        <v>13</v>
      </c>
      <c r="Z49" s="110">
        <v>1</v>
      </c>
      <c r="AA49" s="110">
        <v>13</v>
      </c>
      <c r="AB49" s="110">
        <v>1</v>
      </c>
      <c r="AC49" s="110">
        <v>1</v>
      </c>
      <c r="AD49" s="110">
        <v>1</v>
      </c>
      <c r="AE49" s="110">
        <v>1</v>
      </c>
      <c r="AF49" s="110">
        <v>1</v>
      </c>
      <c r="AG49" s="110">
        <v>13</v>
      </c>
      <c r="AH49" s="110">
        <v>2</v>
      </c>
      <c r="AI49" s="110">
        <v>13</v>
      </c>
      <c r="AJ49" s="110">
        <v>2</v>
      </c>
      <c r="AK49" s="110">
        <v>13</v>
      </c>
      <c r="AL49" s="110">
        <v>2</v>
      </c>
      <c r="AM49" s="110">
        <v>13</v>
      </c>
      <c r="AN49" s="110">
        <v>2</v>
      </c>
      <c r="AO49" s="110">
        <v>13</v>
      </c>
      <c r="AP49" s="110">
        <v>2</v>
      </c>
      <c r="AQ49" s="110">
        <v>13</v>
      </c>
      <c r="AR49" s="110">
        <v>2</v>
      </c>
      <c r="AS49" s="110">
        <v>13</v>
      </c>
      <c r="AT49" s="110">
        <v>2</v>
      </c>
      <c r="AU49" s="110">
        <v>13</v>
      </c>
      <c r="AV49" s="110">
        <v>2</v>
      </c>
      <c r="AW49" s="110">
        <v>13</v>
      </c>
      <c r="AX49" s="110">
        <v>2</v>
      </c>
      <c r="AY49" s="110">
        <v>13</v>
      </c>
    </row>
    <row r="50" spans="1:52">
      <c r="A50" s="110"/>
      <c r="B50" s="165" t="s">
        <v>347</v>
      </c>
      <c r="C50" s="110"/>
      <c r="D50" s="110">
        <f>D44-D47</f>
        <v>156.60688486383688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156.60688486383674</v>
      </c>
      <c r="H50" s="110">
        <f t="shared" si="15"/>
        <v>0</v>
      </c>
      <c r="I50" s="110">
        <f t="shared" si="15"/>
        <v>156.60688486383674</v>
      </c>
      <c r="J50" s="110">
        <f t="shared" si="15"/>
        <v>0</v>
      </c>
      <c r="K50" s="110">
        <f t="shared" si="15"/>
        <v>156.60688486383674</v>
      </c>
      <c r="L50" s="110">
        <f t="shared" si="15"/>
        <v>0</v>
      </c>
      <c r="M50" s="110">
        <f t="shared" si="15"/>
        <v>0</v>
      </c>
      <c r="N50" s="110">
        <f t="shared" si="15"/>
        <v>156.60688486383674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156.60688486383674</v>
      </c>
      <c r="S50" s="110">
        <f t="shared" si="15"/>
        <v>0</v>
      </c>
      <c r="T50" s="110">
        <f t="shared" si="15"/>
        <v>156.60688486383674</v>
      </c>
      <c r="U50" s="110">
        <f t="shared" si="15"/>
        <v>0</v>
      </c>
      <c r="V50" s="110">
        <f t="shared" si="15"/>
        <v>156.60688486383674</v>
      </c>
      <c r="W50" s="110">
        <f t="shared" si="15"/>
        <v>0</v>
      </c>
      <c r="X50" s="110">
        <f t="shared" si="15"/>
        <v>156.60688486383674</v>
      </c>
      <c r="Y50" s="110">
        <f t="shared" si="15"/>
        <v>0</v>
      </c>
      <c r="Z50" s="110">
        <f t="shared" si="15"/>
        <v>156.60688486383674</v>
      </c>
      <c r="AA50" s="110">
        <f t="shared" si="15"/>
        <v>0</v>
      </c>
      <c r="AB50" s="110">
        <f t="shared" si="15"/>
        <v>156.60688486383674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143.21376972767348</v>
      </c>
      <c r="AI50" s="110">
        <f t="shared" si="15"/>
        <v>0</v>
      </c>
      <c r="AJ50" s="110">
        <f t="shared" si="15"/>
        <v>143.21376972767348</v>
      </c>
      <c r="AK50" s="110">
        <f t="shared" si="15"/>
        <v>0</v>
      </c>
      <c r="AL50" s="110">
        <f t="shared" si="15"/>
        <v>143.21376972767348</v>
      </c>
      <c r="AM50" s="110">
        <f t="shared" si="15"/>
        <v>0</v>
      </c>
      <c r="AN50" s="110">
        <f t="shared" si="15"/>
        <v>143.21376972767348</v>
      </c>
      <c r="AO50" s="110">
        <f t="shared" si="15"/>
        <v>0</v>
      </c>
      <c r="AP50" s="110">
        <f t="shared" si="15"/>
        <v>143.21376972767348</v>
      </c>
      <c r="AQ50" s="110">
        <f t="shared" si="15"/>
        <v>0</v>
      </c>
      <c r="AR50" s="110">
        <f t="shared" si="15"/>
        <v>143.21376972767348</v>
      </c>
      <c r="AS50" s="110">
        <f t="shared" si="15"/>
        <v>0</v>
      </c>
      <c r="AT50" s="110">
        <f t="shared" si="15"/>
        <v>143.21376972767348</v>
      </c>
      <c r="AU50" s="110">
        <f t="shared" si="15"/>
        <v>0</v>
      </c>
      <c r="AV50" s="110">
        <f t="shared" si="15"/>
        <v>143.21376972767348</v>
      </c>
      <c r="AW50" s="110">
        <f t="shared" si="15"/>
        <v>0</v>
      </c>
      <c r="AX50" s="110">
        <f t="shared" si="15"/>
        <v>143.21376972767348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194.18577973659654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194.18577973659637</v>
      </c>
      <c r="H51" s="110">
        <f t="shared" si="16"/>
        <v>0</v>
      </c>
      <c r="I51" s="110">
        <f t="shared" si="16"/>
        <v>194.18577973659637</v>
      </c>
      <c r="J51" s="110">
        <f t="shared" si="16"/>
        <v>0</v>
      </c>
      <c r="K51" s="110">
        <f t="shared" si="16"/>
        <v>194.18577973659637</v>
      </c>
      <c r="L51" s="110">
        <f t="shared" si="16"/>
        <v>0</v>
      </c>
      <c r="M51" s="110">
        <f t="shared" si="16"/>
        <v>0</v>
      </c>
      <c r="N51" s="110">
        <f t="shared" si="16"/>
        <v>194.18577973659637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194.18577973659637</v>
      </c>
      <c r="S51" s="110">
        <f t="shared" si="16"/>
        <v>0</v>
      </c>
      <c r="T51" s="110">
        <f t="shared" si="16"/>
        <v>194.18577973659637</v>
      </c>
      <c r="U51" s="110">
        <f t="shared" si="16"/>
        <v>0</v>
      </c>
      <c r="V51" s="110">
        <f t="shared" si="16"/>
        <v>194.18577973659637</v>
      </c>
      <c r="W51" s="110">
        <f t="shared" si="16"/>
        <v>0</v>
      </c>
      <c r="X51" s="110">
        <f t="shared" si="16"/>
        <v>194.18577973659637</v>
      </c>
      <c r="Y51" s="110">
        <f t="shared" si="16"/>
        <v>0</v>
      </c>
      <c r="Z51" s="110">
        <f t="shared" si="16"/>
        <v>194.18577973659637</v>
      </c>
      <c r="AA51" s="110">
        <f t="shared" si="16"/>
        <v>0</v>
      </c>
      <c r="AB51" s="110">
        <f t="shared" si="16"/>
        <v>194.18577973659637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177.57889487275963</v>
      </c>
      <c r="AI51" s="110">
        <f t="shared" si="16"/>
        <v>0</v>
      </c>
      <c r="AJ51" s="110">
        <f t="shared" si="16"/>
        <v>177.57889487275963</v>
      </c>
      <c r="AK51" s="110">
        <f t="shared" si="16"/>
        <v>0</v>
      </c>
      <c r="AL51" s="110">
        <f t="shared" si="16"/>
        <v>177.57889487275963</v>
      </c>
      <c r="AM51" s="110">
        <f t="shared" si="16"/>
        <v>0</v>
      </c>
      <c r="AN51" s="110">
        <f t="shared" si="16"/>
        <v>177.57889487275963</v>
      </c>
      <c r="AO51" s="110">
        <f t="shared" si="16"/>
        <v>0</v>
      </c>
      <c r="AP51" s="110">
        <f t="shared" si="16"/>
        <v>177.57889487275963</v>
      </c>
      <c r="AQ51" s="110">
        <f t="shared" si="16"/>
        <v>0</v>
      </c>
      <c r="AR51" s="110">
        <f t="shared" si="16"/>
        <v>177.57889487275963</v>
      </c>
      <c r="AS51" s="110">
        <f t="shared" si="16"/>
        <v>0</v>
      </c>
      <c r="AT51" s="110">
        <f t="shared" si="16"/>
        <v>177.57889487275963</v>
      </c>
      <c r="AU51" s="110">
        <f t="shared" si="16"/>
        <v>0</v>
      </c>
      <c r="AV51" s="110">
        <f t="shared" si="16"/>
        <v>177.57889487275963</v>
      </c>
      <c r="AW51" s="110">
        <f t="shared" si="16"/>
        <v>0</v>
      </c>
      <c r="AX51" s="110">
        <f t="shared" si="16"/>
        <v>177.57889487275963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2</v>
      </c>
      <c r="E52" s="110">
        <v>1</v>
      </c>
      <c r="F52" s="110">
        <v>1</v>
      </c>
      <c r="G52" s="110">
        <v>1</v>
      </c>
      <c r="H52" s="110">
        <v>2</v>
      </c>
      <c r="I52" s="110">
        <v>1</v>
      </c>
      <c r="J52" s="110">
        <v>2</v>
      </c>
      <c r="K52" s="110">
        <v>1</v>
      </c>
      <c r="L52" s="110">
        <v>1</v>
      </c>
      <c r="M52" s="110">
        <v>1</v>
      </c>
      <c r="N52" s="110">
        <v>1</v>
      </c>
      <c r="O52" s="110">
        <v>1</v>
      </c>
      <c r="P52" s="110">
        <v>1</v>
      </c>
      <c r="Q52" s="110">
        <v>1</v>
      </c>
      <c r="R52" s="110">
        <v>1</v>
      </c>
      <c r="S52" s="110">
        <v>2</v>
      </c>
      <c r="T52" s="110">
        <v>2</v>
      </c>
      <c r="U52" s="110">
        <v>1</v>
      </c>
      <c r="V52" s="110">
        <v>2</v>
      </c>
      <c r="W52" s="110">
        <v>2</v>
      </c>
      <c r="X52" s="110">
        <v>2</v>
      </c>
      <c r="Y52" s="110">
        <v>1</v>
      </c>
      <c r="Z52" s="110">
        <v>1</v>
      </c>
      <c r="AA52" s="110">
        <v>2</v>
      </c>
      <c r="AB52" s="110">
        <v>1</v>
      </c>
      <c r="AC52" s="110">
        <v>1</v>
      </c>
      <c r="AD52" s="110">
        <v>1</v>
      </c>
      <c r="AE52" s="110">
        <v>1</v>
      </c>
      <c r="AF52" s="110">
        <v>1</v>
      </c>
      <c r="AG52" s="110">
        <v>3</v>
      </c>
      <c r="AH52" s="110">
        <v>1</v>
      </c>
      <c r="AI52" s="110">
        <v>1</v>
      </c>
      <c r="AJ52" s="110">
        <v>1</v>
      </c>
      <c r="AK52" s="110">
        <v>2</v>
      </c>
      <c r="AL52" s="110">
        <v>1</v>
      </c>
      <c r="AM52" s="110">
        <v>1</v>
      </c>
      <c r="AN52" s="110">
        <v>1</v>
      </c>
      <c r="AO52" s="110">
        <v>3</v>
      </c>
      <c r="AP52" s="110">
        <v>1</v>
      </c>
      <c r="AQ52" s="110">
        <v>3</v>
      </c>
      <c r="AR52" s="110">
        <v>2</v>
      </c>
      <c r="AS52" s="110">
        <v>2</v>
      </c>
      <c r="AT52" s="110">
        <v>1</v>
      </c>
      <c r="AU52" s="110">
        <v>1</v>
      </c>
      <c r="AV52" s="110">
        <v>2</v>
      </c>
      <c r="AW52" s="110">
        <v>2</v>
      </c>
      <c r="AX52" s="110">
        <v>2</v>
      </c>
      <c r="AY52" s="110">
        <v>1</v>
      </c>
    </row>
    <row r="53" spans="1:52">
      <c r="A53" s="110"/>
      <c r="B53" s="178" t="s">
        <v>350</v>
      </c>
      <c r="C53" s="110"/>
      <c r="D53" s="110">
        <v>3204</v>
      </c>
      <c r="E53" s="110">
        <v>0</v>
      </c>
      <c r="F53" s="110">
        <v>41652</v>
      </c>
      <c r="G53" s="110">
        <v>3204</v>
      </c>
      <c r="H53" s="110">
        <v>41652</v>
      </c>
      <c r="I53" s="110">
        <v>3204</v>
      </c>
      <c r="J53" s="110">
        <v>41652</v>
      </c>
      <c r="K53" s="110">
        <v>3204</v>
      </c>
      <c r="L53" s="110">
        <v>0</v>
      </c>
      <c r="M53" s="110">
        <v>41652</v>
      </c>
      <c r="N53" s="110">
        <v>3204</v>
      </c>
      <c r="O53" s="110">
        <v>0</v>
      </c>
      <c r="P53" s="110">
        <v>0</v>
      </c>
      <c r="Q53" s="110">
        <v>41652</v>
      </c>
      <c r="R53" s="110">
        <v>3204</v>
      </c>
      <c r="S53" s="110">
        <v>41652</v>
      </c>
      <c r="T53" s="110">
        <v>3204</v>
      </c>
      <c r="U53" s="110">
        <v>41652</v>
      </c>
      <c r="V53" s="110">
        <v>3204</v>
      </c>
      <c r="W53" s="110">
        <v>41652</v>
      </c>
      <c r="X53" s="110">
        <v>3204</v>
      </c>
      <c r="Y53" s="110">
        <v>41652</v>
      </c>
      <c r="Z53" s="110">
        <v>3204</v>
      </c>
      <c r="AA53" s="110">
        <v>41652</v>
      </c>
      <c r="AB53" s="110">
        <v>3204</v>
      </c>
      <c r="AC53" s="110">
        <v>3204</v>
      </c>
      <c r="AD53" s="110">
        <v>3204</v>
      </c>
      <c r="AE53" s="110">
        <v>3204</v>
      </c>
      <c r="AF53" s="110">
        <v>3204</v>
      </c>
      <c r="AG53" s="110">
        <v>41652</v>
      </c>
      <c r="AH53" s="110">
        <v>6408</v>
      </c>
      <c r="AI53" s="110">
        <v>41652</v>
      </c>
      <c r="AJ53" s="110">
        <v>6408</v>
      </c>
      <c r="AK53" s="110">
        <v>41652</v>
      </c>
      <c r="AL53" s="110">
        <v>6408</v>
      </c>
      <c r="AM53" s="110">
        <v>41652</v>
      </c>
      <c r="AN53" s="110">
        <v>6408</v>
      </c>
      <c r="AO53" s="110">
        <v>41652</v>
      </c>
      <c r="AP53" s="110">
        <v>6408</v>
      </c>
      <c r="AQ53" s="110">
        <v>41652</v>
      </c>
      <c r="AR53" s="110">
        <v>6408</v>
      </c>
      <c r="AS53" s="110">
        <v>41652</v>
      </c>
      <c r="AT53" s="110">
        <v>6408</v>
      </c>
      <c r="AU53" s="110">
        <v>41652</v>
      </c>
      <c r="AV53" s="110">
        <v>6408</v>
      </c>
      <c r="AW53" s="110">
        <v>41652</v>
      </c>
      <c r="AX53" s="110">
        <v>6408</v>
      </c>
      <c r="AY53" s="110">
        <v>41652</v>
      </c>
      <c r="AZ53" s="100">
        <f>SUM($D$53:$AY$53)</f>
        <v>938772</v>
      </c>
    </row>
    <row r="54" spans="1:52">
      <c r="A54" s="110"/>
      <c r="B54" s="178" t="s">
        <v>351</v>
      </c>
      <c r="C54" s="110"/>
      <c r="D54" s="110">
        <v>20293.355647135075</v>
      </c>
      <c r="E54" s="110">
        <v>0</v>
      </c>
      <c r="F54" s="110">
        <v>0</v>
      </c>
      <c r="G54" s="110">
        <v>20293.355647135057</v>
      </c>
      <c r="H54" s="110">
        <v>0</v>
      </c>
      <c r="I54" s="110">
        <v>20293.355647135057</v>
      </c>
      <c r="J54" s="110">
        <v>0</v>
      </c>
      <c r="K54" s="110">
        <v>20293.355647135057</v>
      </c>
      <c r="L54" s="110">
        <v>0</v>
      </c>
      <c r="M54" s="110">
        <v>0</v>
      </c>
      <c r="N54" s="110">
        <v>20293.355647135057</v>
      </c>
      <c r="O54" s="110">
        <v>0</v>
      </c>
      <c r="P54" s="110">
        <v>0</v>
      </c>
      <c r="Q54" s="110">
        <v>0</v>
      </c>
      <c r="R54" s="110">
        <v>20293.355647135057</v>
      </c>
      <c r="S54" s="110">
        <v>0</v>
      </c>
      <c r="T54" s="110">
        <v>20293.355647135057</v>
      </c>
      <c r="U54" s="110">
        <v>0</v>
      </c>
      <c r="V54" s="110">
        <v>20293.355647135057</v>
      </c>
      <c r="W54" s="110">
        <v>0</v>
      </c>
      <c r="X54" s="110">
        <v>20293.355647135057</v>
      </c>
      <c r="Y54" s="110">
        <v>0</v>
      </c>
      <c r="Z54" s="110">
        <v>20293.355647135057</v>
      </c>
      <c r="AA54" s="110">
        <v>0</v>
      </c>
      <c r="AB54" s="110">
        <v>20293.355647135057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18557.855647135057</v>
      </c>
      <c r="AI54" s="110">
        <v>0</v>
      </c>
      <c r="AJ54" s="110">
        <v>18557.855647135057</v>
      </c>
      <c r="AK54" s="110">
        <v>0</v>
      </c>
      <c r="AL54" s="110">
        <v>18557.855647135057</v>
      </c>
      <c r="AM54" s="110">
        <v>0</v>
      </c>
      <c r="AN54" s="110">
        <v>18557.855647135057</v>
      </c>
      <c r="AO54" s="110">
        <v>0</v>
      </c>
      <c r="AP54" s="110">
        <v>18557.855647135057</v>
      </c>
      <c r="AQ54" s="110">
        <v>0</v>
      </c>
      <c r="AR54" s="110">
        <v>18557.855647135057</v>
      </c>
      <c r="AS54" s="110">
        <v>0</v>
      </c>
      <c r="AT54" s="110">
        <v>18557.855647135057</v>
      </c>
      <c r="AU54" s="110">
        <v>0</v>
      </c>
      <c r="AV54" s="110">
        <v>18557.855647135057</v>
      </c>
      <c r="AW54" s="110">
        <v>0</v>
      </c>
      <c r="AX54" s="110">
        <v>18557.855647135057</v>
      </c>
      <c r="AY54" s="110">
        <v>0</v>
      </c>
      <c r="AZ54" s="100">
        <f>SUM($D$54:$AY$54)</f>
        <v>390247.61294270121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2</v>
      </c>
      <c r="E63" s="110">
        <v>2</v>
      </c>
      <c r="F63" s="110">
        <v>2</v>
      </c>
      <c r="G63" s="110">
        <v>2</v>
      </c>
      <c r="H63" s="110">
        <v>3</v>
      </c>
      <c r="I63" s="110">
        <v>2</v>
      </c>
      <c r="J63" s="110">
        <v>3</v>
      </c>
      <c r="K63" s="110">
        <v>3</v>
      </c>
      <c r="L63" s="110">
        <v>3</v>
      </c>
      <c r="M63" s="110">
        <v>2</v>
      </c>
      <c r="N63" s="110">
        <v>3</v>
      </c>
      <c r="O63" s="110">
        <v>3</v>
      </c>
      <c r="P63" s="110">
        <v>2</v>
      </c>
      <c r="Q63" s="110">
        <v>2</v>
      </c>
      <c r="R63" s="110">
        <v>3</v>
      </c>
      <c r="S63" s="110">
        <v>2</v>
      </c>
      <c r="T63" s="110">
        <v>2</v>
      </c>
      <c r="U63" s="110">
        <v>2</v>
      </c>
      <c r="V63" s="110">
        <v>2</v>
      </c>
      <c r="W63" s="110">
        <v>3</v>
      </c>
      <c r="X63" s="110">
        <v>2</v>
      </c>
      <c r="Y63" s="110">
        <v>4</v>
      </c>
      <c r="Z63" s="110">
        <v>4</v>
      </c>
      <c r="AA63" s="110">
        <v>3</v>
      </c>
      <c r="AB63" s="110">
        <v>2</v>
      </c>
      <c r="AC63" s="110">
        <v>2</v>
      </c>
      <c r="AD63" s="110">
        <v>2</v>
      </c>
      <c r="AE63" s="110">
        <v>2</v>
      </c>
      <c r="AF63" s="110">
        <v>2</v>
      </c>
      <c r="AG63" s="110">
        <v>3</v>
      </c>
      <c r="AH63" s="110">
        <v>2</v>
      </c>
      <c r="AI63" s="110">
        <v>2</v>
      </c>
      <c r="AJ63" s="110">
        <v>2</v>
      </c>
      <c r="AK63" s="110">
        <v>3</v>
      </c>
      <c r="AL63" s="110">
        <v>3</v>
      </c>
      <c r="AM63" s="110">
        <v>4</v>
      </c>
      <c r="AN63" s="110">
        <v>2</v>
      </c>
      <c r="AO63" s="110">
        <v>4</v>
      </c>
      <c r="AP63" s="110">
        <v>2</v>
      </c>
      <c r="AQ63" s="110">
        <v>4</v>
      </c>
      <c r="AR63" s="110">
        <v>2</v>
      </c>
      <c r="AS63" s="110">
        <v>4</v>
      </c>
      <c r="AT63" s="110">
        <v>3</v>
      </c>
      <c r="AU63" s="110">
        <v>2</v>
      </c>
      <c r="AV63" s="110">
        <v>2</v>
      </c>
      <c r="AW63" s="110">
        <v>2</v>
      </c>
      <c r="AX63" s="110">
        <v>2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1612.3778473657351</v>
      </c>
      <c r="E7" s="144">
        <v>1612.3778473657351</v>
      </c>
      <c r="F7" s="144">
        <v>1612.3778473657351</v>
      </c>
      <c r="G7" s="144">
        <v>1612.3778473657351</v>
      </c>
      <c r="H7" s="144">
        <v>1612.3778473657351</v>
      </c>
      <c r="I7" s="144">
        <v>1612.3778473657351</v>
      </c>
      <c r="J7" s="144">
        <v>1612.3778473657351</v>
      </c>
      <c r="K7" s="144">
        <v>1612.3778473657351</v>
      </c>
      <c r="L7" s="144">
        <v>1612.3778473657351</v>
      </c>
      <c r="M7" s="144">
        <v>1612.3778473657351</v>
      </c>
      <c r="N7" s="144">
        <v>1612.3778473657351</v>
      </c>
      <c r="O7" s="144">
        <v>1612.3778473657351</v>
      </c>
      <c r="P7" s="144">
        <v>1612.3778473657351</v>
      </c>
      <c r="Q7" s="144">
        <v>1612.3778473657351</v>
      </c>
      <c r="R7" s="144">
        <v>1612.3778473657351</v>
      </c>
      <c r="S7" s="144">
        <v>1612.3778473657351</v>
      </c>
      <c r="T7" s="144">
        <v>1612.3778473657351</v>
      </c>
      <c r="U7" s="144">
        <v>1612.3778473657351</v>
      </c>
      <c r="V7" s="144">
        <v>1612.3778473657351</v>
      </c>
      <c r="W7" s="144">
        <v>1612.3778473657351</v>
      </c>
      <c r="X7" s="144">
        <v>1612.3778473657351</v>
      </c>
      <c r="Y7" s="144">
        <v>1612.3778473657351</v>
      </c>
      <c r="Z7" s="144">
        <v>1612.3778473657351</v>
      </c>
      <c r="AA7" s="144">
        <v>1612.3778473657351</v>
      </c>
      <c r="AB7" s="144">
        <v>1612.3778473657351</v>
      </c>
      <c r="AC7" s="144">
        <v>1612.3778473657351</v>
      </c>
      <c r="AD7" s="144">
        <v>1612.3778473657351</v>
      </c>
      <c r="AE7" s="144">
        <v>1612.3778473657351</v>
      </c>
      <c r="AF7" s="144">
        <v>1612.3778473657351</v>
      </c>
      <c r="AG7" s="144">
        <v>1612.3778473657351</v>
      </c>
      <c r="AH7" s="144">
        <v>1612.3778473657351</v>
      </c>
      <c r="AI7" s="144">
        <v>1612.3778473657351</v>
      </c>
      <c r="AJ7" s="144">
        <v>1612.3778473657351</v>
      </c>
      <c r="AK7" s="144">
        <v>1612.3778473657351</v>
      </c>
      <c r="AL7" s="144">
        <v>1612.3778473657351</v>
      </c>
      <c r="AM7" s="144">
        <v>1612.3778473657351</v>
      </c>
      <c r="AN7" s="144">
        <v>1612.3778473657351</v>
      </c>
      <c r="AO7" s="144">
        <v>1612.3778473657351</v>
      </c>
      <c r="AP7" s="144">
        <v>1612.3778473657351</v>
      </c>
      <c r="AQ7" s="144">
        <v>1612.3778473657351</v>
      </c>
      <c r="AR7" s="144">
        <v>1612.3778473657351</v>
      </c>
      <c r="AS7" s="144">
        <v>1612.3778473657351</v>
      </c>
      <c r="AT7" s="144">
        <v>1612.3778473657351</v>
      </c>
      <c r="AU7" s="144">
        <v>1612.3778473657351</v>
      </c>
      <c r="AV7" s="144">
        <v>1612.3778473657351</v>
      </c>
      <c r="AW7" s="144">
        <v>1612.3778473657351</v>
      </c>
      <c r="AX7" s="144">
        <v>1612.3778473657351</v>
      </c>
      <c r="AY7" s="144">
        <v>1612.3778473657351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1547.4592874177147</v>
      </c>
      <c r="D13" s="138">
        <f t="shared" ref="D13:AY13" si="1">D$7-D$10</f>
        <v>1612.3778473657351</v>
      </c>
      <c r="E13" s="138">
        <f t="shared" si="1"/>
        <v>1612.3778473657351</v>
      </c>
      <c r="F13" s="138">
        <f t="shared" si="1"/>
        <v>1612.3778473657351</v>
      </c>
      <c r="G13" s="138">
        <f t="shared" si="1"/>
        <v>1612.3778473657351</v>
      </c>
      <c r="H13" s="138">
        <f t="shared" si="1"/>
        <v>1612.3778473657351</v>
      </c>
      <c r="I13" s="138">
        <f t="shared" si="1"/>
        <v>1612.3778473657351</v>
      </c>
      <c r="J13" s="138">
        <f t="shared" si="1"/>
        <v>1612.3778473657351</v>
      </c>
      <c r="K13" s="138">
        <f t="shared" si="1"/>
        <v>1612.3778473657351</v>
      </c>
      <c r="L13" s="138">
        <f t="shared" si="1"/>
        <v>1612.3778473657351</v>
      </c>
      <c r="M13" s="138">
        <f t="shared" si="1"/>
        <v>1612.3778473657351</v>
      </c>
      <c r="N13" s="138">
        <f t="shared" si="1"/>
        <v>1612.3778473657351</v>
      </c>
      <c r="O13" s="138">
        <f t="shared" si="1"/>
        <v>1612.3778473657351</v>
      </c>
      <c r="P13" s="138">
        <f t="shared" si="1"/>
        <v>1612.3778473657351</v>
      </c>
      <c r="Q13" s="138">
        <f t="shared" si="1"/>
        <v>1612.3778473657351</v>
      </c>
      <c r="R13" s="138">
        <f t="shared" si="1"/>
        <v>1612.3778473657351</v>
      </c>
      <c r="S13" s="138">
        <f t="shared" si="1"/>
        <v>1612.3778473657351</v>
      </c>
      <c r="T13" s="138">
        <f t="shared" si="1"/>
        <v>1612.3778473657351</v>
      </c>
      <c r="U13" s="138">
        <f t="shared" si="1"/>
        <v>1612.3778473657351</v>
      </c>
      <c r="V13" s="138">
        <f t="shared" si="1"/>
        <v>1612.3778473657351</v>
      </c>
      <c r="W13" s="138">
        <f t="shared" si="1"/>
        <v>1612.3778473657351</v>
      </c>
      <c r="X13" s="138">
        <f t="shared" si="1"/>
        <v>1612.3778473657351</v>
      </c>
      <c r="Y13" s="138">
        <f t="shared" si="1"/>
        <v>1612.3778473657351</v>
      </c>
      <c r="Z13" s="138">
        <f t="shared" si="1"/>
        <v>1612.3778473657351</v>
      </c>
      <c r="AA13" s="138">
        <f t="shared" si="1"/>
        <v>1612.3778473657351</v>
      </c>
      <c r="AB13" s="138">
        <f t="shared" si="1"/>
        <v>1612.3778473657351</v>
      </c>
      <c r="AC13" s="138">
        <f t="shared" si="1"/>
        <v>1612.3778473657351</v>
      </c>
      <c r="AD13" s="138">
        <f t="shared" si="1"/>
        <v>1612.3778473657351</v>
      </c>
      <c r="AE13" s="138">
        <f t="shared" si="1"/>
        <v>1612.3778473657351</v>
      </c>
      <c r="AF13" s="138">
        <f t="shared" si="1"/>
        <v>1612.3778473657351</v>
      </c>
      <c r="AG13" s="138">
        <f t="shared" si="1"/>
        <v>1612.3778473657351</v>
      </c>
      <c r="AH13" s="138">
        <f t="shared" si="1"/>
        <v>1612.3778473657351</v>
      </c>
      <c r="AI13" s="138">
        <f t="shared" si="1"/>
        <v>1612.3778473657351</v>
      </c>
      <c r="AJ13" s="138">
        <f t="shared" si="1"/>
        <v>1612.3778473657351</v>
      </c>
      <c r="AK13" s="138">
        <f t="shared" si="1"/>
        <v>1612.3778473657351</v>
      </c>
      <c r="AL13" s="138">
        <f t="shared" si="1"/>
        <v>1612.3778473657351</v>
      </c>
      <c r="AM13" s="138">
        <f t="shared" si="1"/>
        <v>1612.3778473657351</v>
      </c>
      <c r="AN13" s="138">
        <f t="shared" si="1"/>
        <v>1612.3778473657351</v>
      </c>
      <c r="AO13" s="138">
        <f t="shared" si="1"/>
        <v>1612.3778473657351</v>
      </c>
      <c r="AP13" s="138">
        <f t="shared" si="1"/>
        <v>1612.3778473657351</v>
      </c>
      <c r="AQ13" s="138">
        <f t="shared" si="1"/>
        <v>1612.3778473657351</v>
      </c>
      <c r="AR13" s="138">
        <f t="shared" si="1"/>
        <v>1612.3778473657351</v>
      </c>
      <c r="AS13" s="138">
        <f t="shared" si="1"/>
        <v>1612.3778473657351</v>
      </c>
      <c r="AT13" s="138">
        <f t="shared" si="1"/>
        <v>1612.3778473657351</v>
      </c>
      <c r="AU13" s="138">
        <f t="shared" si="1"/>
        <v>1612.3778473657351</v>
      </c>
      <c r="AV13" s="138">
        <f t="shared" si="1"/>
        <v>1612.3778473657351</v>
      </c>
      <c r="AW13" s="138">
        <f t="shared" si="1"/>
        <v>1612.3778473657351</v>
      </c>
      <c r="AX13" s="138">
        <f t="shared" si="1"/>
        <v>1612.3778473657351</v>
      </c>
      <c r="AY13" s="138">
        <f t="shared" si="1"/>
        <v>1612.3778473657351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1612.3778473657351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1612.3778473657351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1612.3778473657351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 t="s">
        <v>339</v>
      </c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 t="s">
        <v>339</v>
      </c>
      <c r="AG20" s="117"/>
      <c r="AH20" s="117"/>
      <c r="AI20" s="117"/>
      <c r="AJ20" s="117"/>
      <c r="AK20" s="117"/>
      <c r="AL20" s="117"/>
      <c r="AM20" s="117"/>
      <c r="AN20" s="117"/>
      <c r="AO20" s="117"/>
      <c r="AP20" s="117" t="s">
        <v>339</v>
      </c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0.44595821008453279</v>
      </c>
      <c r="C21" s="156" t="s">
        <v>293</v>
      </c>
      <c r="D21" s="106">
        <f>IF(C$20="Yes",0,SUM(C$13:C$16)*$B$21)</f>
        <v>690.1021739954906</v>
      </c>
      <c r="E21" s="106">
        <f t="shared" ref="E21:AY21" si="3">IF(D$20="Yes",0,SUM(D$13:D$16)*$B$21)</f>
        <v>719.05313879117523</v>
      </c>
      <c r="F21" s="106">
        <f t="shared" si="3"/>
        <v>719.05313879117523</v>
      </c>
      <c r="G21" s="106">
        <f t="shared" si="3"/>
        <v>719.05313879117523</v>
      </c>
      <c r="H21" s="106">
        <f t="shared" si="3"/>
        <v>719.05313879117523</v>
      </c>
      <c r="I21" s="106">
        <f t="shared" si="3"/>
        <v>719.05313879117523</v>
      </c>
      <c r="J21" s="106">
        <f t="shared" si="3"/>
        <v>719.05313879117523</v>
      </c>
      <c r="K21" s="106">
        <f t="shared" si="3"/>
        <v>719.05313879117523</v>
      </c>
      <c r="L21" s="106">
        <f t="shared" si="3"/>
        <v>719.05313879117523</v>
      </c>
      <c r="M21" s="106">
        <f t="shared" si="3"/>
        <v>719.05313879117523</v>
      </c>
      <c r="N21" s="106">
        <f t="shared" si="3"/>
        <v>719.05313879117523</v>
      </c>
      <c r="O21" s="106">
        <f t="shared" si="3"/>
        <v>0</v>
      </c>
      <c r="P21" s="106">
        <f t="shared" si="3"/>
        <v>1438.1062775823505</v>
      </c>
      <c r="Q21" s="106">
        <f t="shared" si="3"/>
        <v>719.05313879117523</v>
      </c>
      <c r="R21" s="106">
        <f t="shared" si="3"/>
        <v>719.05313879117523</v>
      </c>
      <c r="S21" s="106">
        <f t="shared" si="3"/>
        <v>719.05313879117523</v>
      </c>
      <c r="T21" s="106">
        <f t="shared" si="3"/>
        <v>719.05313879117523</v>
      </c>
      <c r="U21" s="106">
        <f t="shared" si="3"/>
        <v>719.05313879117523</v>
      </c>
      <c r="V21" s="106">
        <f t="shared" si="3"/>
        <v>719.05313879117523</v>
      </c>
      <c r="W21" s="106">
        <f t="shared" si="3"/>
        <v>719.05313879117523</v>
      </c>
      <c r="X21" s="106">
        <f t="shared" si="3"/>
        <v>719.05313879117523</v>
      </c>
      <c r="Y21" s="106">
        <f t="shared" si="3"/>
        <v>719.05313879117523</v>
      </c>
      <c r="Z21" s="106">
        <f t="shared" si="3"/>
        <v>719.05313879117523</v>
      </c>
      <c r="AA21" s="106">
        <f t="shared" si="3"/>
        <v>719.05313879117523</v>
      </c>
      <c r="AB21" s="106">
        <f t="shared" si="3"/>
        <v>719.05313879117523</v>
      </c>
      <c r="AC21" s="106">
        <f t="shared" si="3"/>
        <v>719.05313879117523</v>
      </c>
      <c r="AD21" s="106">
        <f t="shared" si="3"/>
        <v>719.05313879117523</v>
      </c>
      <c r="AE21" s="106">
        <f t="shared" si="3"/>
        <v>719.05313879117523</v>
      </c>
      <c r="AF21" s="106">
        <f t="shared" si="3"/>
        <v>719.05313879117523</v>
      </c>
      <c r="AG21" s="106">
        <f t="shared" si="3"/>
        <v>0</v>
      </c>
      <c r="AH21" s="106">
        <f t="shared" si="3"/>
        <v>1438.1062775823505</v>
      </c>
      <c r="AI21" s="106">
        <f t="shared" si="3"/>
        <v>719.05313879117523</v>
      </c>
      <c r="AJ21" s="106">
        <f t="shared" si="3"/>
        <v>719.05313879117523</v>
      </c>
      <c r="AK21" s="106">
        <f t="shared" si="3"/>
        <v>719.05313879117523</v>
      </c>
      <c r="AL21" s="106">
        <f t="shared" si="3"/>
        <v>719.05313879117523</v>
      </c>
      <c r="AM21" s="106">
        <f t="shared" si="3"/>
        <v>719.05313879117523</v>
      </c>
      <c r="AN21" s="106">
        <f t="shared" si="3"/>
        <v>719.05313879117523</v>
      </c>
      <c r="AO21" s="106">
        <f t="shared" si="3"/>
        <v>719.05313879117523</v>
      </c>
      <c r="AP21" s="106">
        <f t="shared" si="3"/>
        <v>719.05313879117523</v>
      </c>
      <c r="AQ21" s="106">
        <f t="shared" si="3"/>
        <v>0</v>
      </c>
      <c r="AR21" s="106">
        <f t="shared" si="3"/>
        <v>1438.1062775823505</v>
      </c>
      <c r="AS21" s="106">
        <f t="shared" si="3"/>
        <v>719.05313879117523</v>
      </c>
      <c r="AT21" s="106">
        <f t="shared" si="3"/>
        <v>719.05313879117523</v>
      </c>
      <c r="AU21" s="106">
        <f t="shared" si="3"/>
        <v>719.05313879117523</v>
      </c>
      <c r="AV21" s="106">
        <f t="shared" si="3"/>
        <v>719.05313879117523</v>
      </c>
      <c r="AW21" s="106">
        <f t="shared" si="3"/>
        <v>719.05313879117523</v>
      </c>
      <c r="AX21" s="106">
        <f t="shared" si="3"/>
        <v>719.05313879117523</v>
      </c>
      <c r="AY21" s="106">
        <f t="shared" si="3"/>
        <v>719.05313879117523</v>
      </c>
      <c r="AZ21" s="157">
        <f>SUM($D21:$AY21)</f>
        <v>34485.599697180754</v>
      </c>
    </row>
    <row r="22" spans="1:52" s="110" customFormat="1">
      <c r="A22" s="158" t="s">
        <v>123</v>
      </c>
      <c r="B22" s="159">
        <f>1-$B$21</f>
        <v>0.55404178991546726</v>
      </c>
      <c r="C22" s="159" t="s">
        <v>293</v>
      </c>
      <c r="D22" s="114">
        <f>IF(C$20="Yes",0,SUM(C$13:C$16)*$B$22)</f>
        <v>857.35711342222419</v>
      </c>
      <c r="E22" s="114">
        <f t="shared" ref="E22:AY22" si="4">IF(D$20="Yes",0,SUM(D$13:D$16)*$B$22)</f>
        <v>893.32470857455996</v>
      </c>
      <c r="F22" s="114">
        <f t="shared" si="4"/>
        <v>893.32470857455996</v>
      </c>
      <c r="G22" s="114">
        <f t="shared" si="4"/>
        <v>893.32470857455996</v>
      </c>
      <c r="H22" s="114">
        <f t="shared" si="4"/>
        <v>893.32470857455996</v>
      </c>
      <c r="I22" s="114">
        <f t="shared" si="4"/>
        <v>893.32470857455996</v>
      </c>
      <c r="J22" s="114">
        <f t="shared" si="4"/>
        <v>893.32470857455996</v>
      </c>
      <c r="K22" s="114">
        <f t="shared" si="4"/>
        <v>893.32470857455996</v>
      </c>
      <c r="L22" s="114">
        <f t="shared" si="4"/>
        <v>893.32470857455996</v>
      </c>
      <c r="M22" s="114">
        <f t="shared" si="4"/>
        <v>893.32470857455996</v>
      </c>
      <c r="N22" s="114">
        <f t="shared" si="4"/>
        <v>893.32470857455996</v>
      </c>
      <c r="O22" s="114">
        <f t="shared" si="4"/>
        <v>0</v>
      </c>
      <c r="P22" s="114">
        <f t="shared" si="4"/>
        <v>1786.6494171491199</v>
      </c>
      <c r="Q22" s="114">
        <f t="shared" si="4"/>
        <v>893.32470857455996</v>
      </c>
      <c r="R22" s="114">
        <f t="shared" si="4"/>
        <v>893.32470857455996</v>
      </c>
      <c r="S22" s="114">
        <f t="shared" si="4"/>
        <v>893.32470857455996</v>
      </c>
      <c r="T22" s="114">
        <f t="shared" si="4"/>
        <v>893.32470857455996</v>
      </c>
      <c r="U22" s="114">
        <f t="shared" si="4"/>
        <v>893.32470857455996</v>
      </c>
      <c r="V22" s="114">
        <f t="shared" si="4"/>
        <v>893.32470857455996</v>
      </c>
      <c r="W22" s="114">
        <f t="shared" si="4"/>
        <v>893.32470857455996</v>
      </c>
      <c r="X22" s="114">
        <f t="shared" si="4"/>
        <v>893.32470857455996</v>
      </c>
      <c r="Y22" s="114">
        <f t="shared" si="4"/>
        <v>893.32470857455996</v>
      </c>
      <c r="Z22" s="114">
        <f t="shared" si="4"/>
        <v>893.32470857455996</v>
      </c>
      <c r="AA22" s="114">
        <f t="shared" si="4"/>
        <v>893.32470857455996</v>
      </c>
      <c r="AB22" s="114">
        <f t="shared" si="4"/>
        <v>893.32470857455996</v>
      </c>
      <c r="AC22" s="114">
        <f t="shared" si="4"/>
        <v>893.32470857455996</v>
      </c>
      <c r="AD22" s="114">
        <f t="shared" si="4"/>
        <v>893.32470857455996</v>
      </c>
      <c r="AE22" s="114">
        <f t="shared" si="4"/>
        <v>893.32470857455996</v>
      </c>
      <c r="AF22" s="114">
        <f t="shared" si="4"/>
        <v>893.32470857455996</v>
      </c>
      <c r="AG22" s="114">
        <f t="shared" si="4"/>
        <v>0</v>
      </c>
      <c r="AH22" s="114">
        <f t="shared" si="4"/>
        <v>1786.6494171491199</v>
      </c>
      <c r="AI22" s="114">
        <f t="shared" si="4"/>
        <v>893.32470857455996</v>
      </c>
      <c r="AJ22" s="114">
        <f t="shared" si="4"/>
        <v>893.32470857455996</v>
      </c>
      <c r="AK22" s="114">
        <f t="shared" si="4"/>
        <v>893.32470857455996</v>
      </c>
      <c r="AL22" s="114">
        <f t="shared" si="4"/>
        <v>893.32470857455996</v>
      </c>
      <c r="AM22" s="114">
        <f t="shared" si="4"/>
        <v>893.32470857455996</v>
      </c>
      <c r="AN22" s="114">
        <f t="shared" si="4"/>
        <v>893.32470857455996</v>
      </c>
      <c r="AO22" s="114">
        <f t="shared" si="4"/>
        <v>893.32470857455996</v>
      </c>
      <c r="AP22" s="114">
        <f t="shared" si="4"/>
        <v>893.32470857455996</v>
      </c>
      <c r="AQ22" s="114">
        <f t="shared" si="4"/>
        <v>0</v>
      </c>
      <c r="AR22" s="114">
        <f t="shared" si="4"/>
        <v>1786.6494171491199</v>
      </c>
      <c r="AS22" s="114">
        <f t="shared" si="4"/>
        <v>893.32470857455996</v>
      </c>
      <c r="AT22" s="114">
        <f t="shared" si="4"/>
        <v>893.32470857455996</v>
      </c>
      <c r="AU22" s="114">
        <f t="shared" si="4"/>
        <v>893.32470857455996</v>
      </c>
      <c r="AV22" s="114">
        <f t="shared" si="4"/>
        <v>893.32470857455996</v>
      </c>
      <c r="AW22" s="114">
        <f t="shared" si="4"/>
        <v>893.32470857455996</v>
      </c>
      <c r="AX22" s="114">
        <f t="shared" si="4"/>
        <v>893.32470857455996</v>
      </c>
      <c r="AY22" s="114">
        <f t="shared" si="4"/>
        <v>893.32470857455996</v>
      </c>
      <c r="AZ22" s="141">
        <f t="shared" ref="AZ22:AZ30" si="5">SUM($D22:$AY22)</f>
        <v>42843.618416426565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1380204.3479909813</v>
      </c>
      <c r="E23" s="100">
        <f t="shared" ref="E23:AY23" si="6">E$21*$B$23</f>
        <v>1438106.2775823504</v>
      </c>
      <c r="F23" s="100">
        <f t="shared" si="6"/>
        <v>1438106.2775823504</v>
      </c>
      <c r="G23" s="100">
        <f t="shared" si="6"/>
        <v>1438106.2775823504</v>
      </c>
      <c r="H23" s="100">
        <f t="shared" si="6"/>
        <v>1438106.2775823504</v>
      </c>
      <c r="I23" s="100">
        <f t="shared" si="6"/>
        <v>1438106.2775823504</v>
      </c>
      <c r="J23" s="100">
        <f t="shared" si="6"/>
        <v>1438106.2775823504</v>
      </c>
      <c r="K23" s="100">
        <f t="shared" si="6"/>
        <v>1438106.2775823504</v>
      </c>
      <c r="L23" s="100">
        <f t="shared" si="6"/>
        <v>1438106.2775823504</v>
      </c>
      <c r="M23" s="100">
        <f t="shared" si="6"/>
        <v>1438106.2775823504</v>
      </c>
      <c r="N23" s="100">
        <f t="shared" si="6"/>
        <v>1438106.2775823504</v>
      </c>
      <c r="O23" s="100">
        <f t="shared" si="6"/>
        <v>0</v>
      </c>
      <c r="P23" s="100">
        <f t="shared" si="6"/>
        <v>2876212.5551647008</v>
      </c>
      <c r="Q23" s="100">
        <f t="shared" si="6"/>
        <v>1438106.2775823504</v>
      </c>
      <c r="R23" s="100">
        <f t="shared" si="6"/>
        <v>1438106.2775823504</v>
      </c>
      <c r="S23" s="100">
        <f t="shared" si="6"/>
        <v>1438106.2775823504</v>
      </c>
      <c r="T23" s="100">
        <f t="shared" si="6"/>
        <v>1438106.2775823504</v>
      </c>
      <c r="U23" s="100">
        <f t="shared" si="6"/>
        <v>1438106.2775823504</v>
      </c>
      <c r="V23" s="100">
        <f t="shared" si="6"/>
        <v>1438106.2775823504</v>
      </c>
      <c r="W23" s="100">
        <f t="shared" si="6"/>
        <v>1438106.2775823504</v>
      </c>
      <c r="X23" s="100">
        <f t="shared" si="6"/>
        <v>1438106.2775823504</v>
      </c>
      <c r="Y23" s="100">
        <f t="shared" si="6"/>
        <v>1438106.2775823504</v>
      </c>
      <c r="Z23" s="100">
        <f t="shared" si="6"/>
        <v>1438106.2775823504</v>
      </c>
      <c r="AA23" s="100">
        <f t="shared" si="6"/>
        <v>1438106.2775823504</v>
      </c>
      <c r="AB23" s="100">
        <f t="shared" si="6"/>
        <v>1438106.2775823504</v>
      </c>
      <c r="AC23" s="100">
        <f t="shared" si="6"/>
        <v>1438106.2775823504</v>
      </c>
      <c r="AD23" s="100">
        <f t="shared" si="6"/>
        <v>1438106.2775823504</v>
      </c>
      <c r="AE23" s="100">
        <f t="shared" si="6"/>
        <v>1438106.2775823504</v>
      </c>
      <c r="AF23" s="100">
        <f t="shared" si="6"/>
        <v>1438106.2775823504</v>
      </c>
      <c r="AG23" s="100">
        <f t="shared" si="6"/>
        <v>0</v>
      </c>
      <c r="AH23" s="100">
        <f t="shared" si="6"/>
        <v>2876212.5551647008</v>
      </c>
      <c r="AI23" s="100">
        <f t="shared" si="6"/>
        <v>1438106.2775823504</v>
      </c>
      <c r="AJ23" s="100">
        <f t="shared" si="6"/>
        <v>1438106.2775823504</v>
      </c>
      <c r="AK23" s="100">
        <f t="shared" si="6"/>
        <v>1438106.2775823504</v>
      </c>
      <c r="AL23" s="100">
        <f t="shared" si="6"/>
        <v>1438106.2775823504</v>
      </c>
      <c r="AM23" s="100">
        <f t="shared" si="6"/>
        <v>1438106.2775823504</v>
      </c>
      <c r="AN23" s="100">
        <f t="shared" si="6"/>
        <v>1438106.2775823504</v>
      </c>
      <c r="AO23" s="100">
        <f t="shared" si="6"/>
        <v>1438106.2775823504</v>
      </c>
      <c r="AP23" s="100">
        <f t="shared" si="6"/>
        <v>1438106.2775823504</v>
      </c>
      <c r="AQ23" s="100">
        <f t="shared" si="6"/>
        <v>0</v>
      </c>
      <c r="AR23" s="100">
        <f t="shared" si="6"/>
        <v>2876212.5551647008</v>
      </c>
      <c r="AS23" s="100">
        <f t="shared" si="6"/>
        <v>1438106.2775823504</v>
      </c>
      <c r="AT23" s="100">
        <f t="shared" si="6"/>
        <v>1438106.2775823504</v>
      </c>
      <c r="AU23" s="100">
        <f t="shared" si="6"/>
        <v>1438106.2775823504</v>
      </c>
      <c r="AV23" s="100">
        <f t="shared" si="6"/>
        <v>1438106.2775823504</v>
      </c>
      <c r="AW23" s="100">
        <f t="shared" si="6"/>
        <v>1438106.2775823504</v>
      </c>
      <c r="AX23" s="100">
        <f t="shared" si="6"/>
        <v>1438106.2775823504</v>
      </c>
      <c r="AY23" s="100">
        <f t="shared" si="6"/>
        <v>1438106.2775823504</v>
      </c>
      <c r="AZ23" s="139">
        <f t="shared" si="5"/>
        <v>68971199.394361407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857357.11342222418</v>
      </c>
      <c r="E24" s="106">
        <f t="shared" ref="E24:AY24" si="7">E$22*$B$24</f>
        <v>893324.70857456001</v>
      </c>
      <c r="F24" s="106">
        <f t="shared" si="7"/>
        <v>893324.70857456001</v>
      </c>
      <c r="G24" s="106">
        <f t="shared" si="7"/>
        <v>893324.70857456001</v>
      </c>
      <c r="H24" s="106">
        <f t="shared" si="7"/>
        <v>893324.70857456001</v>
      </c>
      <c r="I24" s="106">
        <f t="shared" si="7"/>
        <v>893324.70857456001</v>
      </c>
      <c r="J24" s="106">
        <f t="shared" si="7"/>
        <v>893324.70857456001</v>
      </c>
      <c r="K24" s="106">
        <f t="shared" si="7"/>
        <v>893324.70857456001</v>
      </c>
      <c r="L24" s="106">
        <f t="shared" si="7"/>
        <v>893324.70857456001</v>
      </c>
      <c r="M24" s="106">
        <f t="shared" si="7"/>
        <v>893324.70857456001</v>
      </c>
      <c r="N24" s="106">
        <f t="shared" si="7"/>
        <v>893324.70857456001</v>
      </c>
      <c r="O24" s="106">
        <f t="shared" si="7"/>
        <v>0</v>
      </c>
      <c r="P24" s="106">
        <f t="shared" si="7"/>
        <v>1786649.41714912</v>
      </c>
      <c r="Q24" s="106">
        <f t="shared" si="7"/>
        <v>893324.70857456001</v>
      </c>
      <c r="R24" s="106">
        <f t="shared" si="7"/>
        <v>893324.70857456001</v>
      </c>
      <c r="S24" s="106">
        <f t="shared" si="7"/>
        <v>893324.70857456001</v>
      </c>
      <c r="T24" s="106">
        <f t="shared" si="7"/>
        <v>893324.70857456001</v>
      </c>
      <c r="U24" s="106">
        <f t="shared" si="7"/>
        <v>893324.70857456001</v>
      </c>
      <c r="V24" s="106">
        <f t="shared" si="7"/>
        <v>893324.70857456001</v>
      </c>
      <c r="W24" s="106">
        <f t="shared" si="7"/>
        <v>893324.70857456001</v>
      </c>
      <c r="X24" s="106">
        <f t="shared" si="7"/>
        <v>893324.70857456001</v>
      </c>
      <c r="Y24" s="106">
        <f t="shared" si="7"/>
        <v>893324.70857456001</v>
      </c>
      <c r="Z24" s="106">
        <f t="shared" si="7"/>
        <v>893324.70857456001</v>
      </c>
      <c r="AA24" s="106">
        <f t="shared" si="7"/>
        <v>893324.70857456001</v>
      </c>
      <c r="AB24" s="106">
        <f t="shared" si="7"/>
        <v>893324.70857456001</v>
      </c>
      <c r="AC24" s="106">
        <f t="shared" si="7"/>
        <v>893324.70857456001</v>
      </c>
      <c r="AD24" s="106">
        <f t="shared" si="7"/>
        <v>893324.70857456001</v>
      </c>
      <c r="AE24" s="106">
        <f t="shared" si="7"/>
        <v>893324.70857456001</v>
      </c>
      <c r="AF24" s="106">
        <f t="shared" si="7"/>
        <v>893324.70857456001</v>
      </c>
      <c r="AG24" s="106">
        <f t="shared" si="7"/>
        <v>0</v>
      </c>
      <c r="AH24" s="106">
        <f t="shared" si="7"/>
        <v>1786649.41714912</v>
      </c>
      <c r="AI24" s="106">
        <f t="shared" si="7"/>
        <v>893324.70857456001</v>
      </c>
      <c r="AJ24" s="106">
        <f t="shared" si="7"/>
        <v>893324.70857456001</v>
      </c>
      <c r="AK24" s="106">
        <f t="shared" si="7"/>
        <v>893324.70857456001</v>
      </c>
      <c r="AL24" s="106">
        <f t="shared" si="7"/>
        <v>893324.70857456001</v>
      </c>
      <c r="AM24" s="106">
        <f t="shared" si="7"/>
        <v>893324.70857456001</v>
      </c>
      <c r="AN24" s="106">
        <f t="shared" si="7"/>
        <v>893324.70857456001</v>
      </c>
      <c r="AO24" s="106">
        <f t="shared" si="7"/>
        <v>893324.70857456001</v>
      </c>
      <c r="AP24" s="106">
        <f t="shared" si="7"/>
        <v>893324.70857456001</v>
      </c>
      <c r="AQ24" s="106">
        <f t="shared" si="7"/>
        <v>0</v>
      </c>
      <c r="AR24" s="106">
        <f t="shared" si="7"/>
        <v>1786649.41714912</v>
      </c>
      <c r="AS24" s="106">
        <f t="shared" si="7"/>
        <v>893324.70857456001</v>
      </c>
      <c r="AT24" s="106">
        <f t="shared" si="7"/>
        <v>893324.70857456001</v>
      </c>
      <c r="AU24" s="106">
        <f t="shared" si="7"/>
        <v>893324.70857456001</v>
      </c>
      <c r="AV24" s="106">
        <f t="shared" si="7"/>
        <v>893324.70857456001</v>
      </c>
      <c r="AW24" s="106">
        <f t="shared" si="7"/>
        <v>893324.70857456001</v>
      </c>
      <c r="AX24" s="106">
        <f t="shared" si="7"/>
        <v>893324.70857456001</v>
      </c>
      <c r="AY24" s="106">
        <f t="shared" si="7"/>
        <v>893324.70857456001</v>
      </c>
      <c r="AZ24" s="141">
        <f t="shared" si="5"/>
        <v>42843618.416426554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15</v>
      </c>
      <c r="D27" s="124">
        <f>C$27-C$28+C$29</f>
        <v>0</v>
      </c>
      <c r="E27" s="124">
        <f t="shared" ref="E27:AY27" si="8">D27-D28+D29</f>
        <v>15</v>
      </c>
      <c r="F27" s="124">
        <f t="shared" si="8"/>
        <v>0</v>
      </c>
      <c r="G27" s="124">
        <f t="shared" si="8"/>
        <v>15</v>
      </c>
      <c r="H27" s="124">
        <f t="shared" si="8"/>
        <v>0</v>
      </c>
      <c r="I27" s="124">
        <f t="shared" si="8"/>
        <v>15</v>
      </c>
      <c r="J27" s="124">
        <f t="shared" si="8"/>
        <v>0</v>
      </c>
      <c r="K27" s="124">
        <f t="shared" si="8"/>
        <v>15</v>
      </c>
      <c r="L27" s="124">
        <f t="shared" si="8"/>
        <v>0</v>
      </c>
      <c r="M27" s="124">
        <f t="shared" si="8"/>
        <v>15</v>
      </c>
      <c r="N27" s="124">
        <f t="shared" si="8"/>
        <v>0</v>
      </c>
      <c r="O27" s="124">
        <f t="shared" si="8"/>
        <v>15</v>
      </c>
      <c r="P27" s="124">
        <f t="shared" si="8"/>
        <v>15</v>
      </c>
      <c r="Q27" s="124">
        <f t="shared" si="8"/>
        <v>0</v>
      </c>
      <c r="R27" s="124">
        <f t="shared" si="8"/>
        <v>15</v>
      </c>
      <c r="S27" s="124">
        <f t="shared" si="8"/>
        <v>0</v>
      </c>
      <c r="T27" s="124">
        <f t="shared" si="8"/>
        <v>15</v>
      </c>
      <c r="U27" s="124">
        <f t="shared" si="8"/>
        <v>0</v>
      </c>
      <c r="V27" s="124">
        <f t="shared" si="8"/>
        <v>15</v>
      </c>
      <c r="W27" s="124">
        <f t="shared" si="8"/>
        <v>0</v>
      </c>
      <c r="X27" s="124">
        <f t="shared" si="8"/>
        <v>15</v>
      </c>
      <c r="Y27" s="124">
        <f t="shared" si="8"/>
        <v>0</v>
      </c>
      <c r="Z27" s="124">
        <f t="shared" si="8"/>
        <v>15</v>
      </c>
      <c r="AA27" s="124">
        <f t="shared" si="8"/>
        <v>0</v>
      </c>
      <c r="AB27" s="124">
        <f t="shared" si="8"/>
        <v>15</v>
      </c>
      <c r="AC27" s="124">
        <f t="shared" si="8"/>
        <v>0</v>
      </c>
      <c r="AD27" s="124">
        <f t="shared" si="8"/>
        <v>15</v>
      </c>
      <c r="AE27" s="124">
        <f t="shared" si="8"/>
        <v>0</v>
      </c>
      <c r="AF27" s="124">
        <f t="shared" si="8"/>
        <v>15</v>
      </c>
      <c r="AG27" s="124">
        <f t="shared" si="8"/>
        <v>0</v>
      </c>
      <c r="AH27" s="124">
        <f t="shared" si="8"/>
        <v>15</v>
      </c>
      <c r="AI27" s="124">
        <f t="shared" si="8"/>
        <v>0</v>
      </c>
      <c r="AJ27" s="124">
        <f t="shared" si="8"/>
        <v>15</v>
      </c>
      <c r="AK27" s="124">
        <f t="shared" si="8"/>
        <v>0</v>
      </c>
      <c r="AL27" s="124">
        <f t="shared" si="8"/>
        <v>15</v>
      </c>
      <c r="AM27" s="124">
        <f t="shared" si="8"/>
        <v>0</v>
      </c>
      <c r="AN27" s="124">
        <f t="shared" si="8"/>
        <v>15</v>
      </c>
      <c r="AO27" s="124">
        <f t="shared" si="8"/>
        <v>0</v>
      </c>
      <c r="AP27" s="124">
        <f t="shared" si="8"/>
        <v>15</v>
      </c>
      <c r="AQ27" s="124">
        <f t="shared" si="8"/>
        <v>0</v>
      </c>
      <c r="AR27" s="124">
        <f t="shared" si="8"/>
        <v>15</v>
      </c>
      <c r="AS27" s="124">
        <f t="shared" si="8"/>
        <v>0</v>
      </c>
      <c r="AT27" s="124">
        <f t="shared" si="8"/>
        <v>15</v>
      </c>
      <c r="AU27" s="124">
        <f t="shared" si="8"/>
        <v>0</v>
      </c>
      <c r="AV27" s="124">
        <f t="shared" si="8"/>
        <v>15</v>
      </c>
      <c r="AW27" s="124">
        <f t="shared" si="8"/>
        <v>0</v>
      </c>
      <c r="AX27" s="124">
        <f t="shared" si="8"/>
        <v>15</v>
      </c>
      <c r="AY27" s="164">
        <f t="shared" si="8"/>
        <v>0</v>
      </c>
      <c r="AZ27" s="106"/>
    </row>
    <row r="28" spans="1:52">
      <c r="B28" s="165" t="s">
        <v>310</v>
      </c>
      <c r="C28" s="110">
        <v>15</v>
      </c>
      <c r="D28" s="110">
        <v>0</v>
      </c>
      <c r="E28" s="110">
        <v>15</v>
      </c>
      <c r="F28" s="110">
        <v>0</v>
      </c>
      <c r="G28" s="110">
        <v>15</v>
      </c>
      <c r="H28" s="110">
        <v>0</v>
      </c>
      <c r="I28" s="110">
        <v>15</v>
      </c>
      <c r="J28" s="110">
        <v>0</v>
      </c>
      <c r="K28" s="110">
        <v>15</v>
      </c>
      <c r="L28" s="110">
        <v>0</v>
      </c>
      <c r="M28" s="110">
        <v>15</v>
      </c>
      <c r="N28" s="110">
        <v>0</v>
      </c>
      <c r="O28" s="110">
        <v>0</v>
      </c>
      <c r="P28" s="110">
        <v>15</v>
      </c>
      <c r="Q28" s="110">
        <v>0</v>
      </c>
      <c r="R28" s="110">
        <v>15</v>
      </c>
      <c r="S28" s="110">
        <v>0</v>
      </c>
      <c r="T28" s="110">
        <v>15</v>
      </c>
      <c r="U28" s="110">
        <v>0</v>
      </c>
      <c r="V28" s="110">
        <v>15</v>
      </c>
      <c r="W28" s="110">
        <v>0</v>
      </c>
      <c r="X28" s="110">
        <v>15</v>
      </c>
      <c r="Y28" s="110">
        <v>0</v>
      </c>
      <c r="Z28" s="110">
        <v>15</v>
      </c>
      <c r="AA28" s="110">
        <v>0</v>
      </c>
      <c r="AB28" s="110">
        <v>15</v>
      </c>
      <c r="AC28" s="110">
        <v>0</v>
      </c>
      <c r="AD28" s="110">
        <v>15</v>
      </c>
      <c r="AE28" s="110">
        <v>0</v>
      </c>
      <c r="AF28" s="110">
        <v>15</v>
      </c>
      <c r="AG28" s="110">
        <v>0</v>
      </c>
      <c r="AH28" s="110">
        <v>15</v>
      </c>
      <c r="AI28" s="110">
        <v>0</v>
      </c>
      <c r="AJ28" s="110">
        <v>15</v>
      </c>
      <c r="AK28" s="110">
        <v>0</v>
      </c>
      <c r="AL28" s="110">
        <v>15</v>
      </c>
      <c r="AM28" s="110">
        <v>0</v>
      </c>
      <c r="AN28" s="110">
        <v>15</v>
      </c>
      <c r="AO28" s="110">
        <v>0</v>
      </c>
      <c r="AP28" s="110">
        <v>15</v>
      </c>
      <c r="AQ28" s="110">
        <v>0</v>
      </c>
      <c r="AR28" s="110">
        <v>15</v>
      </c>
      <c r="AS28" s="110">
        <v>0</v>
      </c>
      <c r="AT28" s="110">
        <v>15</v>
      </c>
      <c r="AU28" s="110">
        <v>0</v>
      </c>
      <c r="AV28" s="110">
        <v>15</v>
      </c>
      <c r="AW28" s="110">
        <v>0</v>
      </c>
      <c r="AX28" s="110">
        <v>15</v>
      </c>
      <c r="AY28" s="166">
        <v>0</v>
      </c>
      <c r="AZ28" s="106"/>
    </row>
    <row r="29" spans="1:52">
      <c r="B29" s="136" t="s">
        <v>311</v>
      </c>
      <c r="C29" s="125">
        <v>0</v>
      </c>
      <c r="D29" s="125">
        <f>C$28</f>
        <v>15</v>
      </c>
      <c r="E29" s="125">
        <f t="shared" ref="E29:AY29" si="9">D$28</f>
        <v>0</v>
      </c>
      <c r="F29" s="125">
        <f t="shared" si="9"/>
        <v>15</v>
      </c>
      <c r="G29" s="125">
        <f t="shared" si="9"/>
        <v>0</v>
      </c>
      <c r="H29" s="125">
        <f t="shared" si="9"/>
        <v>15</v>
      </c>
      <c r="I29" s="125">
        <f t="shared" si="9"/>
        <v>0</v>
      </c>
      <c r="J29" s="125">
        <f t="shared" si="9"/>
        <v>15</v>
      </c>
      <c r="K29" s="125">
        <f t="shared" si="9"/>
        <v>0</v>
      </c>
      <c r="L29" s="125">
        <f t="shared" si="9"/>
        <v>15</v>
      </c>
      <c r="M29" s="125">
        <f t="shared" si="9"/>
        <v>0</v>
      </c>
      <c r="N29" s="125">
        <f t="shared" si="9"/>
        <v>15</v>
      </c>
      <c r="O29" s="125">
        <f t="shared" si="9"/>
        <v>0</v>
      </c>
      <c r="P29" s="125">
        <f t="shared" si="9"/>
        <v>0</v>
      </c>
      <c r="Q29" s="125">
        <f t="shared" si="9"/>
        <v>15</v>
      </c>
      <c r="R29" s="125">
        <f t="shared" si="9"/>
        <v>0</v>
      </c>
      <c r="S29" s="125">
        <f t="shared" si="9"/>
        <v>15</v>
      </c>
      <c r="T29" s="125">
        <f t="shared" si="9"/>
        <v>0</v>
      </c>
      <c r="U29" s="125">
        <f t="shared" si="9"/>
        <v>15</v>
      </c>
      <c r="V29" s="125">
        <f t="shared" si="9"/>
        <v>0</v>
      </c>
      <c r="W29" s="125">
        <f t="shared" si="9"/>
        <v>15</v>
      </c>
      <c r="X29" s="125">
        <f t="shared" si="9"/>
        <v>0</v>
      </c>
      <c r="Y29" s="125">
        <f t="shared" si="9"/>
        <v>15</v>
      </c>
      <c r="Z29" s="125">
        <f t="shared" si="9"/>
        <v>0</v>
      </c>
      <c r="AA29" s="125">
        <f t="shared" si="9"/>
        <v>15</v>
      </c>
      <c r="AB29" s="125">
        <f t="shared" si="9"/>
        <v>0</v>
      </c>
      <c r="AC29" s="125">
        <f t="shared" si="9"/>
        <v>15</v>
      </c>
      <c r="AD29" s="125">
        <f t="shared" si="9"/>
        <v>0</v>
      </c>
      <c r="AE29" s="125">
        <f t="shared" si="9"/>
        <v>15</v>
      </c>
      <c r="AF29" s="125">
        <f t="shared" si="9"/>
        <v>0</v>
      </c>
      <c r="AG29" s="125">
        <f t="shared" si="9"/>
        <v>15</v>
      </c>
      <c r="AH29" s="125">
        <f t="shared" si="9"/>
        <v>0</v>
      </c>
      <c r="AI29" s="125">
        <f t="shared" si="9"/>
        <v>15</v>
      </c>
      <c r="AJ29" s="125">
        <f t="shared" si="9"/>
        <v>0</v>
      </c>
      <c r="AK29" s="125">
        <f t="shared" si="9"/>
        <v>15</v>
      </c>
      <c r="AL29" s="125">
        <f t="shared" si="9"/>
        <v>0</v>
      </c>
      <c r="AM29" s="125">
        <f t="shared" si="9"/>
        <v>15</v>
      </c>
      <c r="AN29" s="125">
        <f t="shared" si="9"/>
        <v>0</v>
      </c>
      <c r="AO29" s="125">
        <f t="shared" si="9"/>
        <v>15</v>
      </c>
      <c r="AP29" s="125">
        <f t="shared" si="9"/>
        <v>0</v>
      </c>
      <c r="AQ29" s="125">
        <f t="shared" si="9"/>
        <v>15</v>
      </c>
      <c r="AR29" s="125">
        <f t="shared" si="9"/>
        <v>0</v>
      </c>
      <c r="AS29" s="125">
        <f t="shared" si="9"/>
        <v>15</v>
      </c>
      <c r="AT29" s="125">
        <f t="shared" si="9"/>
        <v>0</v>
      </c>
      <c r="AU29" s="125">
        <f t="shared" si="9"/>
        <v>15</v>
      </c>
      <c r="AV29" s="125">
        <f t="shared" si="9"/>
        <v>0</v>
      </c>
      <c r="AW29" s="125">
        <f t="shared" si="9"/>
        <v>15</v>
      </c>
      <c r="AX29" s="125">
        <f t="shared" si="9"/>
        <v>0</v>
      </c>
      <c r="AY29" s="167">
        <f t="shared" si="9"/>
        <v>15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0</v>
      </c>
      <c r="E30" s="117">
        <f t="shared" ref="E30:AY30" si="10">E$27*$B$30</f>
        <v>150</v>
      </c>
      <c r="F30" s="117">
        <f t="shared" si="10"/>
        <v>0</v>
      </c>
      <c r="G30" s="117">
        <f t="shared" si="10"/>
        <v>150</v>
      </c>
      <c r="H30" s="117">
        <f t="shared" si="10"/>
        <v>0</v>
      </c>
      <c r="I30" s="117">
        <f t="shared" si="10"/>
        <v>150</v>
      </c>
      <c r="J30" s="117">
        <f t="shared" si="10"/>
        <v>0</v>
      </c>
      <c r="K30" s="117">
        <f t="shared" si="10"/>
        <v>150</v>
      </c>
      <c r="L30" s="117">
        <f t="shared" si="10"/>
        <v>0</v>
      </c>
      <c r="M30" s="117">
        <f t="shared" si="10"/>
        <v>150</v>
      </c>
      <c r="N30" s="117">
        <f t="shared" si="10"/>
        <v>0</v>
      </c>
      <c r="O30" s="117">
        <f t="shared" si="10"/>
        <v>150</v>
      </c>
      <c r="P30" s="117">
        <f t="shared" si="10"/>
        <v>150</v>
      </c>
      <c r="Q30" s="117">
        <f t="shared" si="10"/>
        <v>0</v>
      </c>
      <c r="R30" s="117">
        <f>R$27*$B$30</f>
        <v>150</v>
      </c>
      <c r="S30" s="117">
        <f t="shared" si="10"/>
        <v>0</v>
      </c>
      <c r="T30" s="117">
        <f t="shared" si="10"/>
        <v>150</v>
      </c>
      <c r="U30" s="117">
        <f t="shared" si="10"/>
        <v>0</v>
      </c>
      <c r="V30" s="117">
        <f t="shared" si="10"/>
        <v>150</v>
      </c>
      <c r="W30" s="117">
        <f t="shared" si="10"/>
        <v>0</v>
      </c>
      <c r="X30" s="117">
        <f t="shared" si="10"/>
        <v>150</v>
      </c>
      <c r="Y30" s="117">
        <f t="shared" si="10"/>
        <v>0</v>
      </c>
      <c r="Z30" s="117">
        <f t="shared" si="10"/>
        <v>150</v>
      </c>
      <c r="AA30" s="117">
        <f t="shared" si="10"/>
        <v>0</v>
      </c>
      <c r="AB30" s="117">
        <f t="shared" si="10"/>
        <v>150</v>
      </c>
      <c r="AC30" s="117">
        <f t="shared" si="10"/>
        <v>0</v>
      </c>
      <c r="AD30" s="117">
        <f t="shared" si="10"/>
        <v>150</v>
      </c>
      <c r="AE30" s="117">
        <f>AE$27*$B$30</f>
        <v>0</v>
      </c>
      <c r="AF30" s="117">
        <f t="shared" si="10"/>
        <v>150</v>
      </c>
      <c r="AG30" s="117">
        <f t="shared" si="10"/>
        <v>0</v>
      </c>
      <c r="AH30" s="117">
        <f t="shared" si="10"/>
        <v>150</v>
      </c>
      <c r="AI30" s="117">
        <f t="shared" si="10"/>
        <v>0</v>
      </c>
      <c r="AJ30" s="117">
        <f t="shared" si="10"/>
        <v>150</v>
      </c>
      <c r="AK30" s="117">
        <f t="shared" si="10"/>
        <v>0</v>
      </c>
      <c r="AL30" s="117">
        <f t="shared" si="10"/>
        <v>150</v>
      </c>
      <c r="AM30" s="117">
        <f t="shared" si="10"/>
        <v>0</v>
      </c>
      <c r="AN30" s="117">
        <f t="shared" si="10"/>
        <v>150</v>
      </c>
      <c r="AO30" s="117">
        <f t="shared" si="10"/>
        <v>0</v>
      </c>
      <c r="AP30" s="117">
        <f t="shared" si="10"/>
        <v>150</v>
      </c>
      <c r="AQ30" s="117">
        <f t="shared" si="10"/>
        <v>0</v>
      </c>
      <c r="AR30" s="117">
        <f t="shared" si="10"/>
        <v>150</v>
      </c>
      <c r="AS30" s="117">
        <f t="shared" si="10"/>
        <v>0</v>
      </c>
      <c r="AT30" s="117">
        <f t="shared" si="10"/>
        <v>150</v>
      </c>
      <c r="AU30" s="117">
        <f t="shared" si="10"/>
        <v>0</v>
      </c>
      <c r="AV30" s="117">
        <f t="shared" si="10"/>
        <v>150</v>
      </c>
      <c r="AW30" s="117">
        <f t="shared" si="10"/>
        <v>0</v>
      </c>
      <c r="AX30" s="117">
        <f t="shared" si="10"/>
        <v>150</v>
      </c>
      <c r="AY30" s="117">
        <f t="shared" si="10"/>
        <v>0</v>
      </c>
      <c r="AZ30" s="141">
        <f t="shared" si="5"/>
        <v>3600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66.272878359330448</v>
      </c>
      <c r="E33" s="124">
        <f>E$21*shipping_manufacturing!$F$27/100</f>
        <v>69.053138791175144</v>
      </c>
      <c r="F33" s="124">
        <f>F$21*shipping_manufacturing!$F$27/100</f>
        <v>69.053138791175144</v>
      </c>
      <c r="G33" s="124">
        <f>G$21*shipping_manufacturing!$F$27/100</f>
        <v>69.053138791175144</v>
      </c>
      <c r="H33" s="124">
        <f>H$21*shipping_manufacturing!$F$27/100</f>
        <v>69.053138791175144</v>
      </c>
      <c r="I33" s="124">
        <f>I$21*shipping_manufacturing!$F$27/100</f>
        <v>69.053138791175144</v>
      </c>
      <c r="J33" s="124">
        <f>J$21*shipping_manufacturing!$F$27/100</f>
        <v>69.053138791175144</v>
      </c>
      <c r="K33" s="124">
        <f>K$21*shipping_manufacturing!$F$27/100</f>
        <v>69.053138791175144</v>
      </c>
      <c r="L33" s="124">
        <f>L$21*shipping_manufacturing!$F$27/100</f>
        <v>69.053138791175144</v>
      </c>
      <c r="M33" s="124">
        <f>M$21*shipping_manufacturing!$F$27/100</f>
        <v>69.053138791175144</v>
      </c>
      <c r="N33" s="124">
        <f>N$21*shipping_manufacturing!$F$27/100</f>
        <v>69.053138791175144</v>
      </c>
      <c r="O33" s="124">
        <f>O$21*shipping_manufacturing!$F$27/100</f>
        <v>0</v>
      </c>
      <c r="P33" s="124">
        <f>P$21*shipping_manufacturing!$F$27/100</f>
        <v>138.10627758235029</v>
      </c>
      <c r="Q33" s="124">
        <f>Q$21*shipping_manufacturing!$F$27/100</f>
        <v>69.053138791175144</v>
      </c>
      <c r="R33" s="124">
        <f>R$21*shipping_manufacturing!$F$27/100</f>
        <v>69.053138791175144</v>
      </c>
      <c r="S33" s="124">
        <f>S$21*shipping_manufacturing!$F$27/100</f>
        <v>69.053138791175144</v>
      </c>
      <c r="T33" s="124">
        <f>T$21*shipping_manufacturing!$F$27/100</f>
        <v>69.053138791175144</v>
      </c>
      <c r="U33" s="124">
        <f>U$21*shipping_manufacturing!$F$27/100</f>
        <v>69.053138791175144</v>
      </c>
      <c r="V33" s="124">
        <f>V$21*shipping_manufacturing!$F$27/100</f>
        <v>69.053138791175144</v>
      </c>
      <c r="W33" s="124">
        <f>W$21*shipping_manufacturing!$F$27/100</f>
        <v>69.053138791175144</v>
      </c>
      <c r="X33" s="124">
        <f>X$21*shipping_manufacturing!$F$27/100</f>
        <v>69.053138791175144</v>
      </c>
      <c r="Y33" s="124">
        <f>Y$21*shipping_manufacturing!$F$27/100</f>
        <v>69.053138791175144</v>
      </c>
      <c r="Z33" s="124">
        <f>Z$21*shipping_manufacturing!$F$27/100</f>
        <v>69.053138791175144</v>
      </c>
      <c r="AA33" s="124">
        <f>AA$21*shipping_manufacturing!$F$27/100</f>
        <v>69.053138791175144</v>
      </c>
      <c r="AB33" s="124">
        <f>AB$21*shipping_manufacturing!$F$27/100</f>
        <v>69.053138791175144</v>
      </c>
      <c r="AC33" s="124">
        <f>AC$21*shipping_manufacturing!$F$27/100</f>
        <v>69.053138791175144</v>
      </c>
      <c r="AD33" s="124">
        <f>AD$21*shipping_manufacturing!$F$27/100</f>
        <v>69.053138791175144</v>
      </c>
      <c r="AE33" s="124">
        <f>AE$21*shipping_manufacturing!$F$27/100</f>
        <v>69.053138791175144</v>
      </c>
      <c r="AF33" s="124">
        <f>AF$21*shipping_manufacturing!$F$27/100</f>
        <v>69.053138791175144</v>
      </c>
      <c r="AG33" s="124">
        <f>AG$21*shipping_manufacturing!$F$27/100</f>
        <v>0</v>
      </c>
      <c r="AH33" s="124">
        <f>AH$21*shipping_manufacturing!$F$27/100</f>
        <v>138.10627758235029</v>
      </c>
      <c r="AI33" s="124">
        <f>AI$21*shipping_manufacturing!$F$27/100</f>
        <v>69.053138791175144</v>
      </c>
      <c r="AJ33" s="124">
        <f>AJ$21*shipping_manufacturing!$F$27/100</f>
        <v>69.053138791175144</v>
      </c>
      <c r="AK33" s="124">
        <f>AK$21*shipping_manufacturing!$F$27/100</f>
        <v>69.053138791175144</v>
      </c>
      <c r="AL33" s="124">
        <f>AL$21*shipping_manufacturing!$F$27/100</f>
        <v>69.053138791175144</v>
      </c>
      <c r="AM33" s="124">
        <f>AM$21*shipping_manufacturing!$F$27/100</f>
        <v>69.053138791175144</v>
      </c>
      <c r="AN33" s="124">
        <f>AN$21*shipping_manufacturing!$F$27/100</f>
        <v>69.053138791175144</v>
      </c>
      <c r="AO33" s="124">
        <f>AO$21*shipping_manufacturing!$F$27/100</f>
        <v>69.053138791175144</v>
      </c>
      <c r="AP33" s="124">
        <f>AP$21*shipping_manufacturing!$F$27/100</f>
        <v>69.053138791175144</v>
      </c>
      <c r="AQ33" s="124">
        <f>AQ$21*shipping_manufacturing!$F$27/100</f>
        <v>0</v>
      </c>
      <c r="AR33" s="124">
        <f>AR$21*shipping_manufacturing!$F$27/100</f>
        <v>138.10627758235029</v>
      </c>
      <c r="AS33" s="124">
        <f>AS$21*shipping_manufacturing!$F$27/100</f>
        <v>69.053138791175144</v>
      </c>
      <c r="AT33" s="124">
        <f>AT$21*shipping_manufacturing!$F$27/100</f>
        <v>69.053138791175144</v>
      </c>
      <c r="AU33" s="124">
        <f>AU$21*shipping_manufacturing!$F$27/100</f>
        <v>69.053138791175144</v>
      </c>
      <c r="AV33" s="124">
        <f>AV$21*shipping_manufacturing!$F$27/100</f>
        <v>69.053138791175144</v>
      </c>
      <c r="AW33" s="124">
        <f>AW$21*shipping_manufacturing!$F$27/100</f>
        <v>69.053138791175144</v>
      </c>
      <c r="AX33" s="124">
        <f>AX$21*shipping_manufacturing!$F$27/100</f>
        <v>69.053138791175144</v>
      </c>
      <c r="AY33" s="124">
        <f>AY$21*shipping_manufacturing!$F$27/100</f>
        <v>69.053138791175144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63.700778612471034</v>
      </c>
      <c r="E34" s="110">
        <f>E$22*shipping_manufacturing!$G$27/100</f>
        <v>66.37313506715364</v>
      </c>
      <c r="F34" s="110">
        <f>F$22*shipping_manufacturing!$G$27/100</f>
        <v>66.37313506715364</v>
      </c>
      <c r="G34" s="110">
        <f>G$22*shipping_manufacturing!$G$27/100</f>
        <v>66.37313506715364</v>
      </c>
      <c r="H34" s="110">
        <f>H$22*shipping_manufacturing!$G$27/100</f>
        <v>66.37313506715364</v>
      </c>
      <c r="I34" s="110">
        <f>I$22*shipping_manufacturing!$G$27/100</f>
        <v>66.37313506715364</v>
      </c>
      <c r="J34" s="110">
        <f>J$22*shipping_manufacturing!$G$27/100</f>
        <v>66.37313506715364</v>
      </c>
      <c r="K34" s="110">
        <f>K$22*shipping_manufacturing!$G$27/100</f>
        <v>66.37313506715364</v>
      </c>
      <c r="L34" s="110">
        <f>L$22*shipping_manufacturing!$G$27/100</f>
        <v>66.37313506715364</v>
      </c>
      <c r="M34" s="110">
        <f>M$22*shipping_manufacturing!$G$27/100</f>
        <v>66.37313506715364</v>
      </c>
      <c r="N34" s="110">
        <f>N$22*shipping_manufacturing!$G$27/100</f>
        <v>66.37313506715364</v>
      </c>
      <c r="O34" s="110">
        <f>O$22*shipping_manufacturing!$G$27/100</f>
        <v>0</v>
      </c>
      <c r="P34" s="110">
        <f>P$22*shipping_manufacturing!$G$27/100</f>
        <v>132.74627013430728</v>
      </c>
      <c r="Q34" s="110">
        <f>Q$22*shipping_manufacturing!$G$27/100</f>
        <v>66.37313506715364</v>
      </c>
      <c r="R34" s="110">
        <f>R$22*shipping_manufacturing!$G$27/100</f>
        <v>66.37313506715364</v>
      </c>
      <c r="S34" s="110">
        <f>S$22*shipping_manufacturing!$G$27/100</f>
        <v>66.37313506715364</v>
      </c>
      <c r="T34" s="110">
        <f>T$22*shipping_manufacturing!$G$27/100</f>
        <v>66.37313506715364</v>
      </c>
      <c r="U34" s="110">
        <f>U$22*shipping_manufacturing!$G$27/100</f>
        <v>66.37313506715364</v>
      </c>
      <c r="V34" s="110">
        <f>V$22*shipping_manufacturing!$G$27/100</f>
        <v>66.37313506715364</v>
      </c>
      <c r="W34" s="110">
        <f>W$22*shipping_manufacturing!$G$27/100</f>
        <v>66.37313506715364</v>
      </c>
      <c r="X34" s="110">
        <f>X$22*shipping_manufacturing!$G$27/100</f>
        <v>66.37313506715364</v>
      </c>
      <c r="Y34" s="110">
        <f>Y$22*shipping_manufacturing!$G$27/100</f>
        <v>66.37313506715364</v>
      </c>
      <c r="Z34" s="110">
        <f>Z$22*shipping_manufacturing!$G$27/100</f>
        <v>66.37313506715364</v>
      </c>
      <c r="AA34" s="110">
        <f>AA$22*shipping_manufacturing!$G$27/100</f>
        <v>66.37313506715364</v>
      </c>
      <c r="AB34" s="110">
        <f>AB$22*shipping_manufacturing!$G$27/100</f>
        <v>66.37313506715364</v>
      </c>
      <c r="AC34" s="110">
        <f>AC$22*shipping_manufacturing!$G$27/100</f>
        <v>66.37313506715364</v>
      </c>
      <c r="AD34" s="110">
        <f>AD$22*shipping_manufacturing!$G$27/100</f>
        <v>66.37313506715364</v>
      </c>
      <c r="AE34" s="110">
        <f>AE$22*shipping_manufacturing!$G$27/100</f>
        <v>66.37313506715364</v>
      </c>
      <c r="AF34" s="110">
        <f>AF$22*shipping_manufacturing!$G$27/100</f>
        <v>66.37313506715364</v>
      </c>
      <c r="AG34" s="110">
        <f>AG$22*shipping_manufacturing!$G$27/100</f>
        <v>0</v>
      </c>
      <c r="AH34" s="110">
        <f>AH$22*shipping_manufacturing!$G$27/100</f>
        <v>132.74627013430728</v>
      </c>
      <c r="AI34" s="110">
        <f>AI$22*shipping_manufacturing!$G$27/100</f>
        <v>66.37313506715364</v>
      </c>
      <c r="AJ34" s="110">
        <f>AJ$22*shipping_manufacturing!$G$27/100</f>
        <v>66.37313506715364</v>
      </c>
      <c r="AK34" s="110">
        <f>AK$22*shipping_manufacturing!$G$27/100</f>
        <v>66.37313506715364</v>
      </c>
      <c r="AL34" s="110">
        <f>AL$22*shipping_manufacturing!$G$27/100</f>
        <v>66.37313506715364</v>
      </c>
      <c r="AM34" s="110">
        <f>AM$22*shipping_manufacturing!$G$27/100</f>
        <v>66.37313506715364</v>
      </c>
      <c r="AN34" s="110">
        <f>AN$22*shipping_manufacturing!$G$27/100</f>
        <v>66.37313506715364</v>
      </c>
      <c r="AO34" s="110">
        <f>AO$22*shipping_manufacturing!$G$27/100</f>
        <v>66.37313506715364</v>
      </c>
      <c r="AP34" s="110">
        <f>AP$22*shipping_manufacturing!$G$27/100</f>
        <v>66.37313506715364</v>
      </c>
      <c r="AQ34" s="110">
        <f>AQ$22*shipping_manufacturing!$G$27/100</f>
        <v>0</v>
      </c>
      <c r="AR34" s="110">
        <f>AR$22*shipping_manufacturing!$G$27/100</f>
        <v>132.74627013430728</v>
      </c>
      <c r="AS34" s="110">
        <f>AS$22*shipping_manufacturing!$G$27/100</f>
        <v>66.37313506715364</v>
      </c>
      <c r="AT34" s="110">
        <f>AT$22*shipping_manufacturing!$G$27/100</f>
        <v>66.37313506715364</v>
      </c>
      <c r="AU34" s="110">
        <f>AU$22*shipping_manufacturing!$G$27/100</f>
        <v>66.37313506715364</v>
      </c>
      <c r="AV34" s="110">
        <f>AV$22*shipping_manufacturing!$G$27/100</f>
        <v>66.37313506715364</v>
      </c>
      <c r="AW34" s="110">
        <f>AW$22*shipping_manufacturing!$G$27/100</f>
        <v>66.37313506715364</v>
      </c>
      <c r="AX34" s="110">
        <f>AX$22*shipping_manufacturing!$G$27/100</f>
        <v>66.37313506715364</v>
      </c>
      <c r="AY34" s="110">
        <f>AY$22*shipping_manufacturing!$G$27/100</f>
        <v>66.37313506715364</v>
      </c>
    </row>
    <row r="35" spans="1:52">
      <c r="A35" s="110">
        <v>1245</v>
      </c>
      <c r="B35" s="165" t="s">
        <v>343</v>
      </c>
      <c r="C35" s="110"/>
      <c r="D35" s="110">
        <f>SUM(D33:D34)</f>
        <v>129.97365697180149</v>
      </c>
      <c r="E35" s="110">
        <f t="shared" ref="E35:AY35" si="11">SUM(E33:E34)</f>
        <v>135.42627385832878</v>
      </c>
      <c r="F35" s="110">
        <f t="shared" si="11"/>
        <v>135.42627385832878</v>
      </c>
      <c r="G35" s="110">
        <f t="shared" si="11"/>
        <v>135.42627385832878</v>
      </c>
      <c r="H35" s="110">
        <f t="shared" si="11"/>
        <v>135.42627385832878</v>
      </c>
      <c r="I35" s="110">
        <f t="shared" si="11"/>
        <v>135.42627385832878</v>
      </c>
      <c r="J35" s="110">
        <f t="shared" si="11"/>
        <v>135.42627385832878</v>
      </c>
      <c r="K35" s="110">
        <f t="shared" si="11"/>
        <v>135.42627385832878</v>
      </c>
      <c r="L35" s="110">
        <f t="shared" si="11"/>
        <v>135.42627385832878</v>
      </c>
      <c r="M35" s="110">
        <f t="shared" si="11"/>
        <v>135.42627385832878</v>
      </c>
      <c r="N35" s="110">
        <f t="shared" si="11"/>
        <v>135.42627385832878</v>
      </c>
      <c r="O35" s="110">
        <f t="shared" si="11"/>
        <v>0</v>
      </c>
      <c r="P35" s="110">
        <f t="shared" si="11"/>
        <v>270.85254771665757</v>
      </c>
      <c r="Q35" s="110">
        <f t="shared" si="11"/>
        <v>135.42627385832878</v>
      </c>
      <c r="R35" s="110">
        <f t="shared" si="11"/>
        <v>135.42627385832878</v>
      </c>
      <c r="S35" s="110">
        <f t="shared" si="11"/>
        <v>135.42627385832878</v>
      </c>
      <c r="T35" s="110">
        <f t="shared" si="11"/>
        <v>135.42627385832878</v>
      </c>
      <c r="U35" s="110">
        <f t="shared" si="11"/>
        <v>135.42627385832878</v>
      </c>
      <c r="V35" s="110">
        <f t="shared" si="11"/>
        <v>135.42627385832878</v>
      </c>
      <c r="W35" s="110">
        <f t="shared" si="11"/>
        <v>135.42627385832878</v>
      </c>
      <c r="X35" s="110">
        <f t="shared" si="11"/>
        <v>135.42627385832878</v>
      </c>
      <c r="Y35" s="110">
        <f t="shared" si="11"/>
        <v>135.42627385832878</v>
      </c>
      <c r="Z35" s="110">
        <f t="shared" si="11"/>
        <v>135.42627385832878</v>
      </c>
      <c r="AA35" s="110">
        <f t="shared" si="11"/>
        <v>135.42627385832878</v>
      </c>
      <c r="AB35" s="110">
        <f t="shared" si="11"/>
        <v>135.42627385832878</v>
      </c>
      <c r="AC35" s="110">
        <f t="shared" si="11"/>
        <v>135.42627385832878</v>
      </c>
      <c r="AD35" s="110">
        <f t="shared" si="11"/>
        <v>135.42627385832878</v>
      </c>
      <c r="AE35" s="110">
        <f t="shared" si="11"/>
        <v>135.42627385832878</v>
      </c>
      <c r="AF35" s="110">
        <f t="shared" si="11"/>
        <v>135.42627385832878</v>
      </c>
      <c r="AG35" s="110">
        <f t="shared" si="11"/>
        <v>0</v>
      </c>
      <c r="AH35" s="110">
        <f t="shared" si="11"/>
        <v>270.85254771665757</v>
      </c>
      <c r="AI35" s="110">
        <f t="shared" si="11"/>
        <v>135.42627385832878</v>
      </c>
      <c r="AJ35" s="110">
        <f t="shared" si="11"/>
        <v>135.42627385832878</v>
      </c>
      <c r="AK35" s="110">
        <f t="shared" si="11"/>
        <v>135.42627385832878</v>
      </c>
      <c r="AL35" s="110">
        <f t="shared" si="11"/>
        <v>135.42627385832878</v>
      </c>
      <c r="AM35" s="110">
        <f t="shared" si="11"/>
        <v>135.42627385832878</v>
      </c>
      <c r="AN35" s="110">
        <f t="shared" si="11"/>
        <v>135.42627385832878</v>
      </c>
      <c r="AO35" s="110">
        <f t="shared" si="11"/>
        <v>135.42627385832878</v>
      </c>
      <c r="AP35" s="110">
        <f t="shared" si="11"/>
        <v>135.42627385832878</v>
      </c>
      <c r="AQ35" s="110">
        <f t="shared" si="11"/>
        <v>0</v>
      </c>
      <c r="AR35" s="110">
        <f t="shared" si="11"/>
        <v>270.85254771665757</v>
      </c>
      <c r="AS35" s="110">
        <f t="shared" si="11"/>
        <v>135.42627385832878</v>
      </c>
      <c r="AT35" s="110">
        <f t="shared" si="11"/>
        <v>135.42627385832878</v>
      </c>
      <c r="AU35" s="110">
        <f t="shared" si="11"/>
        <v>135.42627385832878</v>
      </c>
      <c r="AV35" s="110">
        <f t="shared" si="11"/>
        <v>135.42627385832878</v>
      </c>
      <c r="AW35" s="110">
        <f t="shared" si="11"/>
        <v>135.42627385832878</v>
      </c>
      <c r="AX35" s="110">
        <f t="shared" si="11"/>
        <v>135.42627385832878</v>
      </c>
      <c r="AY35" s="110">
        <f t="shared" si="11"/>
        <v>135.42627385832878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66.272878359330448</v>
      </c>
      <c r="E39" s="110">
        <f t="shared" ref="E39:AY39" si="12">E33-E36</f>
        <v>69.053138791175144</v>
      </c>
      <c r="F39" s="110">
        <f t="shared" si="12"/>
        <v>69.053138791175144</v>
      </c>
      <c r="G39" s="110">
        <f t="shared" si="12"/>
        <v>69.053138791175144</v>
      </c>
      <c r="H39" s="110">
        <f t="shared" si="12"/>
        <v>69.053138791175144</v>
      </c>
      <c r="I39" s="110">
        <f t="shared" si="12"/>
        <v>69.053138791175144</v>
      </c>
      <c r="J39" s="110">
        <f t="shared" si="12"/>
        <v>69.053138791175144</v>
      </c>
      <c r="K39" s="110">
        <f t="shared" si="12"/>
        <v>69.053138791175144</v>
      </c>
      <c r="L39" s="110">
        <f t="shared" si="12"/>
        <v>69.053138791175144</v>
      </c>
      <c r="M39" s="110">
        <f t="shared" si="12"/>
        <v>69.053138791175144</v>
      </c>
      <c r="N39" s="110">
        <f t="shared" si="12"/>
        <v>69.053138791175144</v>
      </c>
      <c r="O39" s="110">
        <f t="shared" si="12"/>
        <v>0</v>
      </c>
      <c r="P39" s="110">
        <f t="shared" si="12"/>
        <v>138.10627758235029</v>
      </c>
      <c r="Q39" s="110">
        <f t="shared" si="12"/>
        <v>69.053138791175144</v>
      </c>
      <c r="R39" s="110">
        <f t="shared" si="12"/>
        <v>69.053138791175144</v>
      </c>
      <c r="S39" s="110">
        <f t="shared" si="12"/>
        <v>69.053138791175144</v>
      </c>
      <c r="T39" s="110">
        <f t="shared" si="12"/>
        <v>69.053138791175144</v>
      </c>
      <c r="U39" s="110">
        <f t="shared" si="12"/>
        <v>69.053138791175144</v>
      </c>
      <c r="V39" s="110">
        <f t="shared" si="12"/>
        <v>69.053138791175144</v>
      </c>
      <c r="W39" s="110">
        <f t="shared" si="12"/>
        <v>69.053138791175144</v>
      </c>
      <c r="X39" s="110">
        <f t="shared" si="12"/>
        <v>69.053138791175144</v>
      </c>
      <c r="Y39" s="110">
        <f t="shared" si="12"/>
        <v>69.053138791175144</v>
      </c>
      <c r="Z39" s="110">
        <f t="shared" si="12"/>
        <v>69.053138791175144</v>
      </c>
      <c r="AA39" s="110">
        <f t="shared" si="12"/>
        <v>69.053138791175144</v>
      </c>
      <c r="AB39" s="110">
        <f t="shared" si="12"/>
        <v>69.053138791175144</v>
      </c>
      <c r="AC39" s="110">
        <f t="shared" si="12"/>
        <v>69.053138791175144</v>
      </c>
      <c r="AD39" s="110">
        <f t="shared" si="12"/>
        <v>69.053138791175144</v>
      </c>
      <c r="AE39" s="110">
        <f t="shared" si="12"/>
        <v>69.053138791175144</v>
      </c>
      <c r="AF39" s="110">
        <f t="shared" si="12"/>
        <v>69.053138791175144</v>
      </c>
      <c r="AG39" s="110">
        <f t="shared" si="12"/>
        <v>0</v>
      </c>
      <c r="AH39" s="110">
        <f t="shared" si="12"/>
        <v>138.10627758235029</v>
      </c>
      <c r="AI39" s="110">
        <f t="shared" si="12"/>
        <v>69.053138791175144</v>
      </c>
      <c r="AJ39" s="110">
        <f t="shared" si="12"/>
        <v>69.053138791175144</v>
      </c>
      <c r="AK39" s="110">
        <f t="shared" si="12"/>
        <v>69.053138791175144</v>
      </c>
      <c r="AL39" s="110">
        <f t="shared" si="12"/>
        <v>69.053138791175144</v>
      </c>
      <c r="AM39" s="110">
        <f t="shared" si="12"/>
        <v>69.053138791175144</v>
      </c>
      <c r="AN39" s="110">
        <f t="shared" si="12"/>
        <v>69.053138791175144</v>
      </c>
      <c r="AO39" s="110">
        <f t="shared" si="12"/>
        <v>69.053138791175144</v>
      </c>
      <c r="AP39" s="110">
        <f t="shared" si="12"/>
        <v>69.053138791175144</v>
      </c>
      <c r="AQ39" s="110">
        <f t="shared" si="12"/>
        <v>0</v>
      </c>
      <c r="AR39" s="110">
        <f t="shared" si="12"/>
        <v>138.10627758235029</v>
      </c>
      <c r="AS39" s="110">
        <f t="shared" si="12"/>
        <v>69.053138791175144</v>
      </c>
      <c r="AT39" s="110">
        <f t="shared" si="12"/>
        <v>69.053138791175144</v>
      </c>
      <c r="AU39" s="110">
        <f t="shared" si="12"/>
        <v>69.053138791175144</v>
      </c>
      <c r="AV39" s="110">
        <f t="shared" si="12"/>
        <v>69.053138791175144</v>
      </c>
      <c r="AW39" s="110">
        <f t="shared" si="12"/>
        <v>69.053138791175144</v>
      </c>
      <c r="AX39" s="110">
        <f t="shared" si="12"/>
        <v>69.053138791175144</v>
      </c>
      <c r="AY39" s="110">
        <f t="shared" si="12"/>
        <v>69.053138791175144</v>
      </c>
    </row>
    <row r="40" spans="1:52">
      <c r="A40" s="110"/>
      <c r="B40" s="165" t="s">
        <v>348</v>
      </c>
      <c r="C40" s="110"/>
      <c r="D40" s="110">
        <f>D34-D37</f>
        <v>63.700778612471034</v>
      </c>
      <c r="E40" s="110">
        <f t="shared" ref="E40:AY40" si="13">E34-E37</f>
        <v>66.37313506715364</v>
      </c>
      <c r="F40" s="110">
        <f t="shared" si="13"/>
        <v>66.37313506715364</v>
      </c>
      <c r="G40" s="110">
        <f t="shared" si="13"/>
        <v>66.37313506715364</v>
      </c>
      <c r="H40" s="110">
        <f t="shared" si="13"/>
        <v>66.37313506715364</v>
      </c>
      <c r="I40" s="110">
        <f t="shared" si="13"/>
        <v>66.37313506715364</v>
      </c>
      <c r="J40" s="110">
        <f t="shared" si="13"/>
        <v>66.37313506715364</v>
      </c>
      <c r="K40" s="110">
        <f t="shared" si="13"/>
        <v>66.37313506715364</v>
      </c>
      <c r="L40" s="110">
        <f t="shared" si="13"/>
        <v>66.37313506715364</v>
      </c>
      <c r="M40" s="110">
        <f t="shared" si="13"/>
        <v>66.37313506715364</v>
      </c>
      <c r="N40" s="110">
        <f t="shared" si="13"/>
        <v>66.37313506715364</v>
      </c>
      <c r="O40" s="110">
        <f t="shared" si="13"/>
        <v>0</v>
      </c>
      <c r="P40" s="110">
        <f t="shared" si="13"/>
        <v>132.74627013430728</v>
      </c>
      <c r="Q40" s="110">
        <f t="shared" si="13"/>
        <v>66.37313506715364</v>
      </c>
      <c r="R40" s="110">
        <f t="shared" si="13"/>
        <v>66.37313506715364</v>
      </c>
      <c r="S40" s="110">
        <f t="shared" si="13"/>
        <v>66.37313506715364</v>
      </c>
      <c r="T40" s="110">
        <f t="shared" si="13"/>
        <v>66.37313506715364</v>
      </c>
      <c r="U40" s="110">
        <f t="shared" si="13"/>
        <v>66.37313506715364</v>
      </c>
      <c r="V40" s="110">
        <f t="shared" si="13"/>
        <v>66.37313506715364</v>
      </c>
      <c r="W40" s="110">
        <f t="shared" si="13"/>
        <v>66.37313506715364</v>
      </c>
      <c r="X40" s="110">
        <f t="shared" si="13"/>
        <v>66.37313506715364</v>
      </c>
      <c r="Y40" s="110">
        <f t="shared" si="13"/>
        <v>66.37313506715364</v>
      </c>
      <c r="Z40" s="110">
        <f t="shared" si="13"/>
        <v>66.37313506715364</v>
      </c>
      <c r="AA40" s="110">
        <f t="shared" si="13"/>
        <v>66.37313506715364</v>
      </c>
      <c r="AB40" s="110">
        <f t="shared" si="13"/>
        <v>66.37313506715364</v>
      </c>
      <c r="AC40" s="110">
        <f t="shared" si="13"/>
        <v>66.37313506715364</v>
      </c>
      <c r="AD40" s="110">
        <f t="shared" si="13"/>
        <v>66.37313506715364</v>
      </c>
      <c r="AE40" s="110">
        <f t="shared" si="13"/>
        <v>66.37313506715364</v>
      </c>
      <c r="AF40" s="110">
        <f t="shared" si="13"/>
        <v>66.37313506715364</v>
      </c>
      <c r="AG40" s="110">
        <f t="shared" si="13"/>
        <v>0</v>
      </c>
      <c r="AH40" s="110">
        <f t="shared" si="13"/>
        <v>132.74627013430728</v>
      </c>
      <c r="AI40" s="110">
        <f t="shared" si="13"/>
        <v>66.37313506715364</v>
      </c>
      <c r="AJ40" s="110">
        <f t="shared" si="13"/>
        <v>66.37313506715364</v>
      </c>
      <c r="AK40" s="110">
        <f t="shared" si="13"/>
        <v>66.37313506715364</v>
      </c>
      <c r="AL40" s="110">
        <f t="shared" si="13"/>
        <v>66.37313506715364</v>
      </c>
      <c r="AM40" s="110">
        <f t="shared" si="13"/>
        <v>66.37313506715364</v>
      </c>
      <c r="AN40" s="110">
        <f t="shared" si="13"/>
        <v>66.37313506715364</v>
      </c>
      <c r="AO40" s="110">
        <f t="shared" si="13"/>
        <v>66.37313506715364</v>
      </c>
      <c r="AP40" s="110">
        <f t="shared" si="13"/>
        <v>66.37313506715364</v>
      </c>
      <c r="AQ40" s="110">
        <f t="shared" si="13"/>
        <v>0</v>
      </c>
      <c r="AR40" s="110">
        <f t="shared" si="13"/>
        <v>132.74627013430728</v>
      </c>
      <c r="AS40" s="110">
        <f t="shared" si="13"/>
        <v>66.37313506715364</v>
      </c>
      <c r="AT40" s="110">
        <f t="shared" si="13"/>
        <v>66.37313506715364</v>
      </c>
      <c r="AU40" s="110">
        <f t="shared" si="13"/>
        <v>66.37313506715364</v>
      </c>
      <c r="AV40" s="110">
        <f t="shared" si="13"/>
        <v>66.37313506715364</v>
      </c>
      <c r="AW40" s="110">
        <f t="shared" si="13"/>
        <v>66.37313506715364</v>
      </c>
      <c r="AX40" s="110">
        <f t="shared" si="13"/>
        <v>66.37313506715364</v>
      </c>
      <c r="AY40" s="110">
        <f t="shared" si="13"/>
        <v>66.37313506715364</v>
      </c>
    </row>
    <row r="41" spans="1:52">
      <c r="A41" s="110"/>
      <c r="B41" s="165" t="s">
        <v>349</v>
      </c>
      <c r="C41" s="110"/>
      <c r="D41" s="110">
        <v>1</v>
      </c>
      <c r="E41" s="110">
        <v>1</v>
      </c>
      <c r="F41" s="110">
        <v>1</v>
      </c>
      <c r="G41" s="110">
        <v>1</v>
      </c>
      <c r="H41" s="110">
        <v>1</v>
      </c>
      <c r="I41" s="110">
        <v>2</v>
      </c>
      <c r="J41" s="110">
        <v>1</v>
      </c>
      <c r="K41" s="110">
        <v>1</v>
      </c>
      <c r="L41" s="110">
        <v>1</v>
      </c>
      <c r="M41" s="110">
        <v>2</v>
      </c>
      <c r="N41" s="110">
        <v>1</v>
      </c>
      <c r="O41" s="110">
        <v>2</v>
      </c>
      <c r="P41" s="110">
        <v>3</v>
      </c>
      <c r="Q41" s="110">
        <v>1</v>
      </c>
      <c r="R41" s="110">
        <v>1</v>
      </c>
      <c r="S41" s="110">
        <v>3</v>
      </c>
      <c r="T41" s="110">
        <v>1</v>
      </c>
      <c r="U41" s="110">
        <v>1</v>
      </c>
      <c r="V41" s="110">
        <v>1</v>
      </c>
      <c r="W41" s="110">
        <v>1</v>
      </c>
      <c r="X41" s="110">
        <v>1</v>
      </c>
      <c r="Y41" s="110">
        <v>1</v>
      </c>
      <c r="Z41" s="110">
        <v>1</v>
      </c>
      <c r="AA41" s="110">
        <v>1</v>
      </c>
      <c r="AB41" s="110">
        <v>2</v>
      </c>
      <c r="AC41" s="110">
        <v>1</v>
      </c>
      <c r="AD41" s="110">
        <v>3</v>
      </c>
      <c r="AE41" s="110">
        <v>1</v>
      </c>
      <c r="AF41" s="110">
        <v>2</v>
      </c>
      <c r="AG41" s="110">
        <v>1</v>
      </c>
      <c r="AH41" s="110">
        <v>2</v>
      </c>
      <c r="AI41" s="110">
        <v>1</v>
      </c>
      <c r="AJ41" s="110">
        <v>2</v>
      </c>
      <c r="AK41" s="110">
        <v>3</v>
      </c>
      <c r="AL41" s="110">
        <v>2</v>
      </c>
      <c r="AM41" s="110">
        <v>3</v>
      </c>
      <c r="AN41" s="110">
        <v>1</v>
      </c>
      <c r="AO41" s="110">
        <v>2</v>
      </c>
      <c r="AP41" s="110">
        <v>1</v>
      </c>
      <c r="AQ41" s="110">
        <v>1</v>
      </c>
      <c r="AR41" s="110">
        <v>1</v>
      </c>
      <c r="AS41" s="110">
        <v>2</v>
      </c>
      <c r="AT41" s="110">
        <v>1</v>
      </c>
      <c r="AU41" s="110">
        <v>2</v>
      </c>
      <c r="AV41" s="110">
        <v>1</v>
      </c>
      <c r="AW41" s="110">
        <v>2</v>
      </c>
      <c r="AX41" s="110">
        <v>1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105181.18190443037</v>
      </c>
      <c r="E43" s="110">
        <v>109593.71211985257</v>
      </c>
      <c r="F43" s="110">
        <v>109593.71211985257</v>
      </c>
      <c r="G43" s="110">
        <v>109593.71211985257</v>
      </c>
      <c r="H43" s="110">
        <v>109593.71211985257</v>
      </c>
      <c r="I43" s="110">
        <v>109593.71211985257</v>
      </c>
      <c r="J43" s="110">
        <v>109593.71211985257</v>
      </c>
      <c r="K43" s="110">
        <v>109593.71211985257</v>
      </c>
      <c r="L43" s="110">
        <v>109593.71211985257</v>
      </c>
      <c r="M43" s="110">
        <v>109593.71211985257</v>
      </c>
      <c r="N43" s="110">
        <v>109593.71211985257</v>
      </c>
      <c r="O43" s="110">
        <v>0</v>
      </c>
      <c r="P43" s="110">
        <v>219187.42423970514</v>
      </c>
      <c r="Q43" s="110">
        <v>109593.71211985257</v>
      </c>
      <c r="R43" s="110">
        <v>109593.71211985257</v>
      </c>
      <c r="S43" s="110">
        <v>109593.71211985257</v>
      </c>
      <c r="T43" s="110">
        <v>109593.71211985257</v>
      </c>
      <c r="U43" s="110">
        <v>109593.71211985257</v>
      </c>
      <c r="V43" s="110">
        <v>109593.71211985257</v>
      </c>
      <c r="W43" s="110">
        <v>109593.71211985257</v>
      </c>
      <c r="X43" s="110">
        <v>109593.71211985257</v>
      </c>
      <c r="Y43" s="110">
        <v>109593.71211985257</v>
      </c>
      <c r="Z43" s="110">
        <v>109593.71211985257</v>
      </c>
      <c r="AA43" s="110">
        <v>109593.71211985257</v>
      </c>
      <c r="AB43" s="110">
        <v>109593.71211985257</v>
      </c>
      <c r="AC43" s="110">
        <v>109593.71211985257</v>
      </c>
      <c r="AD43" s="110">
        <v>109593.71211985257</v>
      </c>
      <c r="AE43" s="110">
        <v>109593.71211985257</v>
      </c>
      <c r="AF43" s="110">
        <v>109593.71211985257</v>
      </c>
      <c r="AG43" s="110">
        <v>0</v>
      </c>
      <c r="AH43" s="110">
        <v>219187.42423970514</v>
      </c>
      <c r="AI43" s="110">
        <v>109593.71211985257</v>
      </c>
      <c r="AJ43" s="110">
        <v>109593.71211985257</v>
      </c>
      <c r="AK43" s="110">
        <v>109593.71211985257</v>
      </c>
      <c r="AL43" s="110">
        <v>109593.71211985257</v>
      </c>
      <c r="AM43" s="110">
        <v>109593.71211985257</v>
      </c>
      <c r="AN43" s="110">
        <v>109593.71211985257</v>
      </c>
      <c r="AO43" s="110">
        <v>109593.71211985257</v>
      </c>
      <c r="AP43" s="110">
        <v>109593.71211985257</v>
      </c>
      <c r="AQ43" s="110">
        <v>0</v>
      </c>
      <c r="AR43" s="110">
        <v>219187.42423970514</v>
      </c>
      <c r="AS43" s="110">
        <v>109593.71211985257</v>
      </c>
      <c r="AT43" s="110">
        <v>109593.71211985257</v>
      </c>
      <c r="AU43" s="110">
        <v>109593.71211985257</v>
      </c>
      <c r="AV43" s="110">
        <v>109593.71211985257</v>
      </c>
      <c r="AW43" s="110">
        <v>109593.71211985257</v>
      </c>
      <c r="AX43" s="110">
        <v>109593.71211985257</v>
      </c>
      <c r="AY43" s="110">
        <v>109593.71211985257</v>
      </c>
      <c r="AZ43" s="100">
        <f>SUM($D$43:$AY$43)</f>
        <v>5256085.6515375003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1</v>
      </c>
      <c r="F52" s="110">
        <v>1</v>
      </c>
      <c r="G52" s="110">
        <v>2</v>
      </c>
      <c r="H52" s="110">
        <v>1</v>
      </c>
      <c r="I52" s="110">
        <v>1</v>
      </c>
      <c r="J52" s="110">
        <v>1</v>
      </c>
      <c r="K52" s="110">
        <v>1</v>
      </c>
      <c r="L52" s="110">
        <v>3</v>
      </c>
      <c r="M52" s="110">
        <v>2</v>
      </c>
      <c r="N52" s="110">
        <v>3</v>
      </c>
      <c r="O52" s="110">
        <v>2</v>
      </c>
      <c r="P52" s="110">
        <v>1</v>
      </c>
      <c r="Q52" s="110">
        <v>2</v>
      </c>
      <c r="R52" s="110">
        <v>2</v>
      </c>
      <c r="S52" s="110">
        <v>2</v>
      </c>
      <c r="T52" s="110">
        <v>1</v>
      </c>
      <c r="U52" s="110">
        <v>1</v>
      </c>
      <c r="V52" s="110">
        <v>2</v>
      </c>
      <c r="W52" s="110">
        <v>1</v>
      </c>
      <c r="X52" s="110">
        <v>1</v>
      </c>
      <c r="Y52" s="110">
        <v>1</v>
      </c>
      <c r="Z52" s="110">
        <v>2</v>
      </c>
      <c r="AA52" s="110">
        <v>3</v>
      </c>
      <c r="AB52" s="110">
        <v>1</v>
      </c>
      <c r="AC52" s="110">
        <v>2</v>
      </c>
      <c r="AD52" s="110">
        <v>1</v>
      </c>
      <c r="AE52" s="110">
        <v>1</v>
      </c>
      <c r="AF52" s="110">
        <v>2</v>
      </c>
      <c r="AG52" s="110">
        <v>2</v>
      </c>
      <c r="AH52" s="110">
        <v>1</v>
      </c>
      <c r="AI52" s="110">
        <v>1</v>
      </c>
      <c r="AJ52" s="110">
        <v>2</v>
      </c>
      <c r="AK52" s="110">
        <v>2</v>
      </c>
      <c r="AL52" s="110">
        <v>1</v>
      </c>
      <c r="AM52" s="110">
        <v>2</v>
      </c>
      <c r="AN52" s="110">
        <v>2</v>
      </c>
      <c r="AO52" s="110">
        <v>2</v>
      </c>
      <c r="AP52" s="110">
        <v>1</v>
      </c>
      <c r="AQ52" s="110">
        <v>3</v>
      </c>
      <c r="AR52" s="110">
        <v>2</v>
      </c>
      <c r="AS52" s="110">
        <v>1</v>
      </c>
      <c r="AT52" s="110">
        <v>2</v>
      </c>
      <c r="AU52" s="110">
        <v>1</v>
      </c>
      <c r="AV52" s="110">
        <v>1</v>
      </c>
      <c r="AW52" s="110">
        <v>3</v>
      </c>
      <c r="AX52" s="110">
        <v>1</v>
      </c>
      <c r="AY52" s="110">
        <v>3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623.82929563616017</v>
      </c>
      <c r="E55" s="124">
        <f>E$21*shipping_manufacturing!$F$29/100</f>
        <v>650.00000000000011</v>
      </c>
      <c r="F55" s="124">
        <f>F$21*shipping_manufacturing!$F$29/100</f>
        <v>650.00000000000011</v>
      </c>
      <c r="G55" s="124">
        <f>G$21*shipping_manufacturing!$F$29/100</f>
        <v>650.00000000000011</v>
      </c>
      <c r="H55" s="124">
        <f>H$21*shipping_manufacturing!$F$29/100</f>
        <v>650.00000000000011</v>
      </c>
      <c r="I55" s="124">
        <f>I$21*shipping_manufacturing!$F$29/100</f>
        <v>650.00000000000011</v>
      </c>
      <c r="J55" s="124">
        <f>J$21*shipping_manufacturing!$F$29/100</f>
        <v>650.00000000000011</v>
      </c>
      <c r="K55" s="124">
        <f>K$21*shipping_manufacturing!$F$29/100</f>
        <v>650.00000000000011</v>
      </c>
      <c r="L55" s="124">
        <f>L$21*shipping_manufacturing!$F$29/100</f>
        <v>650.00000000000011</v>
      </c>
      <c r="M55" s="124">
        <f>M$21*shipping_manufacturing!$F$29/100</f>
        <v>650.00000000000011</v>
      </c>
      <c r="N55" s="124">
        <f>N$21*shipping_manufacturing!$F$29/100</f>
        <v>650.00000000000011</v>
      </c>
      <c r="O55" s="124">
        <f>O$21*shipping_manufacturing!$F$29/100</f>
        <v>0</v>
      </c>
      <c r="P55" s="124">
        <f>P$21*shipping_manufacturing!$F$29/100</f>
        <v>1300.0000000000002</v>
      </c>
      <c r="Q55" s="124">
        <f>Q$21*shipping_manufacturing!$F$29/100</f>
        <v>650.00000000000011</v>
      </c>
      <c r="R55" s="124">
        <f>R$21*shipping_manufacturing!$F$29/100</f>
        <v>650.00000000000011</v>
      </c>
      <c r="S55" s="124">
        <f>S$21*shipping_manufacturing!$F$29/100</f>
        <v>650.00000000000011</v>
      </c>
      <c r="T55" s="124">
        <f>T$21*shipping_manufacturing!$F$29/100</f>
        <v>650.00000000000011</v>
      </c>
      <c r="U55" s="124">
        <f>U$21*shipping_manufacturing!$F$29/100</f>
        <v>650.00000000000011</v>
      </c>
      <c r="V55" s="124">
        <f>V$21*shipping_manufacturing!$F$29/100</f>
        <v>650.00000000000011</v>
      </c>
      <c r="W55" s="124">
        <f>W$21*shipping_manufacturing!$F$29/100</f>
        <v>650.00000000000011</v>
      </c>
      <c r="X55" s="124">
        <f>X$21*shipping_manufacturing!$F$29/100</f>
        <v>650.00000000000011</v>
      </c>
      <c r="Y55" s="124">
        <f>Y$21*shipping_manufacturing!$F$29/100</f>
        <v>650.00000000000011</v>
      </c>
      <c r="Z55" s="124">
        <f>Z$21*shipping_manufacturing!$F$29/100</f>
        <v>650.00000000000011</v>
      </c>
      <c r="AA55" s="124">
        <f>AA$21*shipping_manufacturing!$F$29/100</f>
        <v>650.00000000000011</v>
      </c>
      <c r="AB55" s="124">
        <f>AB$21*shipping_manufacturing!$F$29/100</f>
        <v>650.00000000000011</v>
      </c>
      <c r="AC55" s="124">
        <f>AC$21*shipping_manufacturing!$F$29/100</f>
        <v>650.00000000000011</v>
      </c>
      <c r="AD55" s="124">
        <f>AD$21*shipping_manufacturing!$F$29/100</f>
        <v>650.00000000000011</v>
      </c>
      <c r="AE55" s="124">
        <f>AE$21*shipping_manufacturing!$F$29/100</f>
        <v>650.00000000000011</v>
      </c>
      <c r="AF55" s="124">
        <f>AF$21*shipping_manufacturing!$F$29/100</f>
        <v>650.00000000000011</v>
      </c>
      <c r="AG55" s="124">
        <f>AG$21*shipping_manufacturing!$F$29/100</f>
        <v>0</v>
      </c>
      <c r="AH55" s="124">
        <f>AH$21*shipping_manufacturing!$F$29/100</f>
        <v>1300.0000000000002</v>
      </c>
      <c r="AI55" s="124">
        <f>AI$21*shipping_manufacturing!$F$29/100</f>
        <v>650.00000000000011</v>
      </c>
      <c r="AJ55" s="124">
        <f>AJ$21*shipping_manufacturing!$F$29/100</f>
        <v>650.00000000000011</v>
      </c>
      <c r="AK55" s="124">
        <f>AK$21*shipping_manufacturing!$F$29/100</f>
        <v>650.00000000000011</v>
      </c>
      <c r="AL55" s="124">
        <f>AL$21*shipping_manufacturing!$F$29/100</f>
        <v>650.00000000000011</v>
      </c>
      <c r="AM55" s="124">
        <f>AM$21*shipping_manufacturing!$F$29/100</f>
        <v>650.00000000000011</v>
      </c>
      <c r="AN55" s="124">
        <f>AN$21*shipping_manufacturing!$F$29/100</f>
        <v>650.00000000000011</v>
      </c>
      <c r="AO55" s="124">
        <f>AO$21*shipping_manufacturing!$F$29/100</f>
        <v>650.00000000000011</v>
      </c>
      <c r="AP55" s="124">
        <f>AP$21*shipping_manufacturing!$F$29/100</f>
        <v>650.00000000000011</v>
      </c>
      <c r="AQ55" s="124">
        <f>AQ$21*shipping_manufacturing!$F$29/100</f>
        <v>0</v>
      </c>
      <c r="AR55" s="124">
        <f>AR$21*shipping_manufacturing!$F$29/100</f>
        <v>1300.0000000000002</v>
      </c>
      <c r="AS55" s="124">
        <f>AS$21*shipping_manufacturing!$F$29/100</f>
        <v>650.00000000000011</v>
      </c>
      <c r="AT55" s="124">
        <f>AT$21*shipping_manufacturing!$F$29/100</f>
        <v>650.00000000000011</v>
      </c>
      <c r="AU55" s="124">
        <f>AU$21*shipping_manufacturing!$F$29/100</f>
        <v>650.00000000000011</v>
      </c>
      <c r="AV55" s="124">
        <f>AV$21*shipping_manufacturing!$F$29/100</f>
        <v>650.00000000000011</v>
      </c>
      <c r="AW55" s="124">
        <f>AW$21*shipping_manufacturing!$F$29/100</f>
        <v>650.00000000000011</v>
      </c>
      <c r="AX55" s="124">
        <f>AX$21*shipping_manufacturing!$F$29/100</f>
        <v>650.00000000000011</v>
      </c>
      <c r="AY55" s="124">
        <f>AY$21*shipping_manufacturing!$F$29/100</f>
        <v>650.00000000000011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793.65633480975316</v>
      </c>
      <c r="E56" s="110">
        <f>E$22*shipping_manufacturing!$G$29/100</f>
        <v>826.95157350740647</v>
      </c>
      <c r="F56" s="110">
        <f>F$22*shipping_manufacturing!$G$29/100</f>
        <v>826.95157350740647</v>
      </c>
      <c r="G56" s="110">
        <f>G$22*shipping_manufacturing!$G$29/100</f>
        <v>826.95157350740647</v>
      </c>
      <c r="H56" s="110">
        <f>H$22*shipping_manufacturing!$G$29/100</f>
        <v>826.95157350740647</v>
      </c>
      <c r="I56" s="110">
        <f>I$22*shipping_manufacturing!$G$29/100</f>
        <v>826.95157350740647</v>
      </c>
      <c r="J56" s="110">
        <f>J$22*shipping_manufacturing!$G$29/100</f>
        <v>826.95157350740647</v>
      </c>
      <c r="K56" s="110">
        <f>K$22*shipping_manufacturing!$G$29/100</f>
        <v>826.95157350740647</v>
      </c>
      <c r="L56" s="110">
        <f>L$22*shipping_manufacturing!$G$29/100</f>
        <v>826.95157350740647</v>
      </c>
      <c r="M56" s="110">
        <f>M$22*shipping_manufacturing!$G$29/100</f>
        <v>826.95157350740647</v>
      </c>
      <c r="N56" s="110">
        <f>N$22*shipping_manufacturing!$G$29/100</f>
        <v>826.95157350740647</v>
      </c>
      <c r="O56" s="110">
        <f>O$22*shipping_manufacturing!$G$29/100</f>
        <v>0</v>
      </c>
      <c r="P56" s="110">
        <f>P$22*shipping_manufacturing!$G$29/100</f>
        <v>1653.9031470148129</v>
      </c>
      <c r="Q56" s="110">
        <f>Q$22*shipping_manufacturing!$G$29/100</f>
        <v>826.95157350740647</v>
      </c>
      <c r="R56" s="110">
        <f>R$22*shipping_manufacturing!$G$29/100</f>
        <v>826.95157350740647</v>
      </c>
      <c r="S56" s="110">
        <f>S$22*shipping_manufacturing!$G$29/100</f>
        <v>826.95157350740647</v>
      </c>
      <c r="T56" s="110">
        <f>T$22*shipping_manufacturing!$G$29/100</f>
        <v>826.95157350740647</v>
      </c>
      <c r="U56" s="110">
        <f>U$22*shipping_manufacturing!$G$29/100</f>
        <v>826.95157350740647</v>
      </c>
      <c r="V56" s="110">
        <f>V$22*shipping_manufacturing!$G$29/100</f>
        <v>826.95157350740647</v>
      </c>
      <c r="W56" s="110">
        <f>W$22*shipping_manufacturing!$G$29/100</f>
        <v>826.95157350740647</v>
      </c>
      <c r="X56" s="110">
        <f>X$22*shipping_manufacturing!$G$29/100</f>
        <v>826.95157350740647</v>
      </c>
      <c r="Y56" s="110">
        <f>Y$22*shipping_manufacturing!$G$29/100</f>
        <v>826.95157350740647</v>
      </c>
      <c r="Z56" s="110">
        <f>Z$22*shipping_manufacturing!$G$29/100</f>
        <v>826.95157350740647</v>
      </c>
      <c r="AA56" s="110">
        <f>AA$22*shipping_manufacturing!$G$29/100</f>
        <v>826.95157350740647</v>
      </c>
      <c r="AB56" s="110">
        <f>AB$22*shipping_manufacturing!$G$29/100</f>
        <v>826.95157350740647</v>
      </c>
      <c r="AC56" s="110">
        <f>AC$22*shipping_manufacturing!$G$29/100</f>
        <v>826.95157350740647</v>
      </c>
      <c r="AD56" s="110">
        <f>AD$22*shipping_manufacturing!$G$29/100</f>
        <v>826.95157350740647</v>
      </c>
      <c r="AE56" s="110">
        <f>AE$22*shipping_manufacturing!$G$29/100</f>
        <v>826.95157350740647</v>
      </c>
      <c r="AF56" s="110">
        <f>AF$22*shipping_manufacturing!$G$29/100</f>
        <v>826.95157350740647</v>
      </c>
      <c r="AG56" s="110">
        <f>AG$22*shipping_manufacturing!$G$29/100</f>
        <v>0</v>
      </c>
      <c r="AH56" s="110">
        <f>AH$22*shipping_manufacturing!$G$29/100</f>
        <v>1653.9031470148129</v>
      </c>
      <c r="AI56" s="110">
        <f>AI$22*shipping_manufacturing!$G$29/100</f>
        <v>826.95157350740647</v>
      </c>
      <c r="AJ56" s="110">
        <f>AJ$22*shipping_manufacturing!$G$29/100</f>
        <v>826.95157350740647</v>
      </c>
      <c r="AK56" s="110">
        <f>AK$22*shipping_manufacturing!$G$29/100</f>
        <v>826.95157350740647</v>
      </c>
      <c r="AL56" s="110">
        <f>AL$22*shipping_manufacturing!$G$29/100</f>
        <v>826.95157350740647</v>
      </c>
      <c r="AM56" s="110">
        <f>AM$22*shipping_manufacturing!$G$29/100</f>
        <v>826.95157350740647</v>
      </c>
      <c r="AN56" s="110">
        <f>AN$22*shipping_manufacturing!$G$29/100</f>
        <v>826.95157350740647</v>
      </c>
      <c r="AO56" s="110">
        <f>AO$22*shipping_manufacturing!$G$29/100</f>
        <v>826.95157350740647</v>
      </c>
      <c r="AP56" s="110">
        <f>AP$22*shipping_manufacturing!$G$29/100</f>
        <v>826.95157350740647</v>
      </c>
      <c r="AQ56" s="110">
        <f>AQ$22*shipping_manufacturing!$G$29/100</f>
        <v>0</v>
      </c>
      <c r="AR56" s="110">
        <f>AR$22*shipping_manufacturing!$G$29/100</f>
        <v>1653.9031470148129</v>
      </c>
      <c r="AS56" s="110">
        <f>AS$22*shipping_manufacturing!$G$29/100</f>
        <v>826.95157350740647</v>
      </c>
      <c r="AT56" s="110">
        <f>AT$22*shipping_manufacturing!$G$29/100</f>
        <v>826.95157350740647</v>
      </c>
      <c r="AU56" s="110">
        <f>AU$22*shipping_manufacturing!$G$29/100</f>
        <v>826.95157350740647</v>
      </c>
      <c r="AV56" s="110">
        <f>AV$22*shipping_manufacturing!$G$29/100</f>
        <v>826.95157350740647</v>
      </c>
      <c r="AW56" s="110">
        <f>AW$22*shipping_manufacturing!$G$29/100</f>
        <v>826.95157350740647</v>
      </c>
      <c r="AX56" s="110">
        <f>AX$22*shipping_manufacturing!$G$29/100</f>
        <v>826.95157350740647</v>
      </c>
      <c r="AY56" s="110">
        <f>AY$22*shipping_manufacturing!$G$29/100</f>
        <v>826.95157350740647</v>
      </c>
    </row>
    <row r="57" spans="1:52">
      <c r="A57" s="110">
        <v>495</v>
      </c>
      <c r="B57" s="165" t="s">
        <v>343</v>
      </c>
      <c r="C57" s="110"/>
      <c r="D57" s="110">
        <f>SUM(D55:D56)</f>
        <v>1417.4856304459133</v>
      </c>
      <c r="E57" s="110">
        <f t="shared" ref="E57:AY57" si="17">SUM(E55:E56)</f>
        <v>1476.9515735074065</v>
      </c>
      <c r="F57" s="110">
        <f t="shared" si="17"/>
        <v>1476.9515735074065</v>
      </c>
      <c r="G57" s="110">
        <f t="shared" si="17"/>
        <v>1476.9515735074065</v>
      </c>
      <c r="H57" s="110">
        <f t="shared" si="17"/>
        <v>1476.9515735074065</v>
      </c>
      <c r="I57" s="110">
        <f t="shared" si="17"/>
        <v>1476.9515735074065</v>
      </c>
      <c r="J57" s="110">
        <f t="shared" si="17"/>
        <v>1476.9515735074065</v>
      </c>
      <c r="K57" s="110">
        <f t="shared" si="17"/>
        <v>1476.9515735074065</v>
      </c>
      <c r="L57" s="110">
        <f t="shared" si="17"/>
        <v>1476.9515735074065</v>
      </c>
      <c r="M57" s="110">
        <f t="shared" si="17"/>
        <v>1476.9515735074065</v>
      </c>
      <c r="N57" s="110">
        <f t="shared" si="17"/>
        <v>1476.9515735074065</v>
      </c>
      <c r="O57" s="110">
        <f t="shared" si="17"/>
        <v>0</v>
      </c>
      <c r="P57" s="110">
        <f t="shared" si="17"/>
        <v>2953.9031470148129</v>
      </c>
      <c r="Q57" s="110">
        <f t="shared" si="17"/>
        <v>1476.9515735074065</v>
      </c>
      <c r="R57" s="110">
        <f t="shared" si="17"/>
        <v>1476.9515735074065</v>
      </c>
      <c r="S57" s="110">
        <f t="shared" si="17"/>
        <v>1476.9515735074065</v>
      </c>
      <c r="T57" s="110">
        <f t="shared" si="17"/>
        <v>1476.9515735074065</v>
      </c>
      <c r="U57" s="110">
        <f t="shared" si="17"/>
        <v>1476.9515735074065</v>
      </c>
      <c r="V57" s="110">
        <f t="shared" si="17"/>
        <v>1476.9515735074065</v>
      </c>
      <c r="W57" s="110">
        <f t="shared" si="17"/>
        <v>1476.9515735074065</v>
      </c>
      <c r="X57" s="110">
        <f t="shared" si="17"/>
        <v>1476.9515735074065</v>
      </c>
      <c r="Y57" s="110">
        <f t="shared" si="17"/>
        <v>1476.9515735074065</v>
      </c>
      <c r="Z57" s="110">
        <f t="shared" si="17"/>
        <v>1476.9515735074065</v>
      </c>
      <c r="AA57" s="110">
        <f t="shared" si="17"/>
        <v>1476.9515735074065</v>
      </c>
      <c r="AB57" s="110">
        <f t="shared" si="17"/>
        <v>1476.9515735074065</v>
      </c>
      <c r="AC57" s="110">
        <f t="shared" si="17"/>
        <v>1476.9515735074065</v>
      </c>
      <c r="AD57" s="110">
        <f t="shared" si="17"/>
        <v>1476.9515735074065</v>
      </c>
      <c r="AE57" s="110">
        <f t="shared" si="17"/>
        <v>1476.9515735074065</v>
      </c>
      <c r="AF57" s="110">
        <f t="shared" si="17"/>
        <v>1476.9515735074065</v>
      </c>
      <c r="AG57" s="110">
        <f t="shared" si="17"/>
        <v>0</v>
      </c>
      <c r="AH57" s="110">
        <f t="shared" si="17"/>
        <v>2953.9031470148129</v>
      </c>
      <c r="AI57" s="110">
        <f t="shared" si="17"/>
        <v>1476.9515735074065</v>
      </c>
      <c r="AJ57" s="110">
        <f t="shared" si="17"/>
        <v>1476.9515735074065</v>
      </c>
      <c r="AK57" s="110">
        <f t="shared" si="17"/>
        <v>1476.9515735074065</v>
      </c>
      <c r="AL57" s="110">
        <f t="shared" si="17"/>
        <v>1476.9515735074065</v>
      </c>
      <c r="AM57" s="110">
        <f t="shared" si="17"/>
        <v>1476.9515735074065</v>
      </c>
      <c r="AN57" s="110">
        <f t="shared" si="17"/>
        <v>1476.9515735074065</v>
      </c>
      <c r="AO57" s="110">
        <f t="shared" si="17"/>
        <v>1476.9515735074065</v>
      </c>
      <c r="AP57" s="110">
        <f t="shared" si="17"/>
        <v>1476.9515735074065</v>
      </c>
      <c r="AQ57" s="110">
        <f t="shared" si="17"/>
        <v>0</v>
      </c>
      <c r="AR57" s="110">
        <f t="shared" si="17"/>
        <v>2953.9031470148129</v>
      </c>
      <c r="AS57" s="110">
        <f t="shared" si="17"/>
        <v>1476.9515735074065</v>
      </c>
      <c r="AT57" s="110">
        <f t="shared" si="17"/>
        <v>1476.9515735074065</v>
      </c>
      <c r="AU57" s="110">
        <f t="shared" si="17"/>
        <v>1476.9515735074065</v>
      </c>
      <c r="AV57" s="110">
        <f t="shared" si="17"/>
        <v>1476.9515735074065</v>
      </c>
      <c r="AW57" s="110">
        <f t="shared" si="17"/>
        <v>1476.9515735074065</v>
      </c>
      <c r="AX57" s="110">
        <f t="shared" si="17"/>
        <v>1476.9515735074065</v>
      </c>
      <c r="AY57" s="110">
        <f t="shared" si="17"/>
        <v>1476.9515735074065</v>
      </c>
    </row>
    <row r="58" spans="1:52">
      <c r="A58" s="110"/>
      <c r="B58" s="165" t="s">
        <v>344</v>
      </c>
      <c r="C58" s="110"/>
      <c r="D58" s="110"/>
      <c r="E58" s="110">
        <v>198.04305384595827</v>
      </c>
      <c r="F58" s="110"/>
      <c r="G58" s="110">
        <v>198.04305384595827</v>
      </c>
      <c r="H58" s="110"/>
      <c r="I58" s="110">
        <v>198.04305384595827</v>
      </c>
      <c r="J58" s="110"/>
      <c r="K58" s="110">
        <v>198.04305384595827</v>
      </c>
      <c r="L58" s="110"/>
      <c r="M58" s="110">
        <v>198.04305384595827</v>
      </c>
      <c r="N58" s="110"/>
      <c r="O58" s="110"/>
      <c r="P58" s="110">
        <v>198.04305384595813</v>
      </c>
      <c r="Q58" s="110"/>
      <c r="R58" s="110">
        <v>198.04305384595827</v>
      </c>
      <c r="S58" s="110"/>
      <c r="T58" s="110">
        <v>198.04305384595827</v>
      </c>
      <c r="U58" s="110"/>
      <c r="V58" s="110">
        <v>198.04305384595827</v>
      </c>
      <c r="W58" s="110"/>
      <c r="X58" s="110">
        <v>198.04305384595827</v>
      </c>
      <c r="Y58" s="110"/>
      <c r="Z58" s="110">
        <v>198.04305384595827</v>
      </c>
      <c r="AA58" s="110"/>
      <c r="AB58" s="110">
        <v>198.04305384595827</v>
      </c>
      <c r="AC58" s="110"/>
      <c r="AD58" s="110">
        <v>198.04305384595827</v>
      </c>
      <c r="AE58" s="110"/>
      <c r="AF58" s="110">
        <v>198.04305384595827</v>
      </c>
      <c r="AG58" s="110"/>
      <c r="AH58" s="110">
        <v>198.04305384595813</v>
      </c>
      <c r="AI58" s="110"/>
      <c r="AJ58" s="110">
        <v>198.04305384595827</v>
      </c>
      <c r="AK58" s="110"/>
      <c r="AL58" s="110">
        <v>198.04305384595827</v>
      </c>
      <c r="AM58" s="110"/>
      <c r="AN58" s="110">
        <v>198.04305384595827</v>
      </c>
      <c r="AO58" s="110"/>
      <c r="AP58" s="110">
        <v>198.04305384595827</v>
      </c>
      <c r="AQ58" s="110"/>
      <c r="AR58" s="110">
        <v>198.04305384595813</v>
      </c>
      <c r="AS58" s="110"/>
      <c r="AT58" s="110">
        <v>198.04305384595827</v>
      </c>
      <c r="AU58" s="110"/>
      <c r="AV58" s="110">
        <v>198.04305384595827</v>
      </c>
      <c r="AW58" s="110"/>
      <c r="AX58" s="110">
        <v>198.04305384595827</v>
      </c>
      <c r="AY58" s="110"/>
    </row>
    <row r="59" spans="1:52">
      <c r="A59" s="110"/>
      <c r="B59" s="165" t="s">
        <v>345</v>
      </c>
      <c r="C59" s="110"/>
      <c r="D59" s="110"/>
      <c r="E59" s="110">
        <v>251.95694615404182</v>
      </c>
      <c r="F59" s="110"/>
      <c r="G59" s="110">
        <v>251.95694615404182</v>
      </c>
      <c r="H59" s="110"/>
      <c r="I59" s="110">
        <v>251.95694615404182</v>
      </c>
      <c r="J59" s="110"/>
      <c r="K59" s="110">
        <v>251.95694615404182</v>
      </c>
      <c r="L59" s="110"/>
      <c r="M59" s="110">
        <v>251.95694615404182</v>
      </c>
      <c r="N59" s="110"/>
      <c r="O59" s="110"/>
      <c r="P59" s="110">
        <v>251.9569461540419</v>
      </c>
      <c r="Q59" s="110"/>
      <c r="R59" s="110">
        <v>251.95694615404182</v>
      </c>
      <c r="S59" s="110"/>
      <c r="T59" s="110">
        <v>251.95694615404182</v>
      </c>
      <c r="U59" s="110"/>
      <c r="V59" s="110">
        <v>251.95694615404182</v>
      </c>
      <c r="W59" s="110"/>
      <c r="X59" s="110">
        <v>251.95694615404182</v>
      </c>
      <c r="Y59" s="110"/>
      <c r="Z59" s="110">
        <v>251.95694615404182</v>
      </c>
      <c r="AA59" s="110"/>
      <c r="AB59" s="110">
        <v>251.95694615404182</v>
      </c>
      <c r="AC59" s="110"/>
      <c r="AD59" s="110">
        <v>251.95694615404182</v>
      </c>
      <c r="AE59" s="110"/>
      <c r="AF59" s="110">
        <v>251.95694615404182</v>
      </c>
      <c r="AG59" s="110"/>
      <c r="AH59" s="110">
        <v>251.9569461540419</v>
      </c>
      <c r="AI59" s="110"/>
      <c r="AJ59" s="110">
        <v>251.95694615404182</v>
      </c>
      <c r="AK59" s="110"/>
      <c r="AL59" s="110">
        <v>251.95694615404182</v>
      </c>
      <c r="AM59" s="110"/>
      <c r="AN59" s="110">
        <v>251.95694615404182</v>
      </c>
      <c r="AO59" s="110"/>
      <c r="AP59" s="110">
        <v>251.95694615404182</v>
      </c>
      <c r="AQ59" s="110"/>
      <c r="AR59" s="110">
        <v>251.9569461540419</v>
      </c>
      <c r="AS59" s="110"/>
      <c r="AT59" s="110">
        <v>251.95694615404182</v>
      </c>
      <c r="AU59" s="110"/>
      <c r="AV59" s="110">
        <v>251.95694615404182</v>
      </c>
      <c r="AW59" s="110"/>
      <c r="AX59" s="110">
        <v>251.95694615404182</v>
      </c>
      <c r="AY59" s="110"/>
    </row>
    <row r="60" spans="1:52">
      <c r="A60" s="110"/>
      <c r="B60" s="165" t="s">
        <v>346</v>
      </c>
      <c r="C60" s="110"/>
      <c r="D60" s="110"/>
      <c r="E60" s="110">
        <v>15</v>
      </c>
      <c r="F60" s="110"/>
      <c r="G60" s="110">
        <v>15</v>
      </c>
      <c r="H60" s="110"/>
      <c r="I60" s="110">
        <v>15</v>
      </c>
      <c r="J60" s="110"/>
      <c r="K60" s="110">
        <v>15</v>
      </c>
      <c r="L60" s="110"/>
      <c r="M60" s="110">
        <v>15</v>
      </c>
      <c r="N60" s="110"/>
      <c r="O60" s="110"/>
      <c r="P60" s="110">
        <v>15</v>
      </c>
      <c r="Q60" s="110"/>
      <c r="R60" s="110">
        <v>15</v>
      </c>
      <c r="S60" s="110"/>
      <c r="T60" s="110">
        <v>15</v>
      </c>
      <c r="U60" s="110"/>
      <c r="V60" s="110">
        <v>15</v>
      </c>
      <c r="W60" s="110"/>
      <c r="X60" s="110">
        <v>15</v>
      </c>
      <c r="Y60" s="110"/>
      <c r="Z60" s="110">
        <v>15</v>
      </c>
      <c r="AA60" s="110"/>
      <c r="AB60" s="110">
        <v>15</v>
      </c>
      <c r="AC60" s="110"/>
      <c r="AD60" s="110">
        <v>15</v>
      </c>
      <c r="AE60" s="110"/>
      <c r="AF60" s="110">
        <v>15</v>
      </c>
      <c r="AG60" s="110"/>
      <c r="AH60" s="110">
        <v>15</v>
      </c>
      <c r="AI60" s="110"/>
      <c r="AJ60" s="110">
        <v>15</v>
      </c>
      <c r="AK60" s="110"/>
      <c r="AL60" s="110">
        <v>15</v>
      </c>
      <c r="AM60" s="110"/>
      <c r="AN60" s="110">
        <v>15</v>
      </c>
      <c r="AO60" s="110"/>
      <c r="AP60" s="110">
        <v>15</v>
      </c>
      <c r="AQ60" s="110"/>
      <c r="AR60" s="110">
        <v>15</v>
      </c>
      <c r="AS60" s="110"/>
      <c r="AT60" s="110">
        <v>15</v>
      </c>
      <c r="AU60" s="110"/>
      <c r="AV60" s="110">
        <v>15</v>
      </c>
      <c r="AW60" s="110"/>
      <c r="AX60" s="110">
        <v>15</v>
      </c>
      <c r="AY60" s="110"/>
    </row>
    <row r="61" spans="1:52">
      <c r="A61" s="110"/>
      <c r="B61" s="165" t="s">
        <v>347</v>
      </c>
      <c r="C61" s="110"/>
      <c r="D61" s="110">
        <f>D55-D58</f>
        <v>623.82929563616017</v>
      </c>
      <c r="E61" s="110">
        <f t="shared" ref="E61:AY61" si="18">E55-E58</f>
        <v>451.95694615404182</v>
      </c>
      <c r="F61" s="110">
        <f t="shared" si="18"/>
        <v>650.00000000000011</v>
      </c>
      <c r="G61" s="110">
        <f t="shared" si="18"/>
        <v>451.95694615404182</v>
      </c>
      <c r="H61" s="110">
        <f t="shared" si="18"/>
        <v>650.00000000000011</v>
      </c>
      <c r="I61" s="110">
        <f t="shared" si="18"/>
        <v>451.95694615404182</v>
      </c>
      <c r="J61" s="110">
        <f t="shared" si="18"/>
        <v>650.00000000000011</v>
      </c>
      <c r="K61" s="110">
        <f t="shared" si="18"/>
        <v>451.95694615404182</v>
      </c>
      <c r="L61" s="110">
        <f t="shared" si="18"/>
        <v>650.00000000000011</v>
      </c>
      <c r="M61" s="110">
        <f t="shared" si="18"/>
        <v>451.95694615404182</v>
      </c>
      <c r="N61" s="110">
        <f t="shared" si="18"/>
        <v>650.00000000000011</v>
      </c>
      <c r="O61" s="110">
        <f t="shared" si="18"/>
        <v>0</v>
      </c>
      <c r="P61" s="110">
        <f t="shared" si="18"/>
        <v>1101.956946154042</v>
      </c>
      <c r="Q61" s="110">
        <f t="shared" si="18"/>
        <v>650.00000000000011</v>
      </c>
      <c r="R61" s="110">
        <f t="shared" si="18"/>
        <v>451.95694615404182</v>
      </c>
      <c r="S61" s="110">
        <f t="shared" si="18"/>
        <v>650.00000000000011</v>
      </c>
      <c r="T61" s="110">
        <f t="shared" si="18"/>
        <v>451.95694615404182</v>
      </c>
      <c r="U61" s="110">
        <f t="shared" si="18"/>
        <v>650.00000000000011</v>
      </c>
      <c r="V61" s="110">
        <f t="shared" si="18"/>
        <v>451.95694615404182</v>
      </c>
      <c r="W61" s="110">
        <f t="shared" si="18"/>
        <v>650.00000000000011</v>
      </c>
      <c r="X61" s="110">
        <f t="shared" si="18"/>
        <v>451.95694615404182</v>
      </c>
      <c r="Y61" s="110">
        <f t="shared" si="18"/>
        <v>650.00000000000011</v>
      </c>
      <c r="Z61" s="110">
        <f t="shared" si="18"/>
        <v>451.95694615404182</v>
      </c>
      <c r="AA61" s="110">
        <f t="shared" si="18"/>
        <v>650.00000000000011</v>
      </c>
      <c r="AB61" s="110">
        <f t="shared" si="18"/>
        <v>451.95694615404182</v>
      </c>
      <c r="AC61" s="110">
        <f t="shared" si="18"/>
        <v>650.00000000000011</v>
      </c>
      <c r="AD61" s="110">
        <f t="shared" si="18"/>
        <v>451.95694615404182</v>
      </c>
      <c r="AE61" s="110">
        <f t="shared" si="18"/>
        <v>650.00000000000011</v>
      </c>
      <c r="AF61" s="110">
        <f t="shared" si="18"/>
        <v>451.95694615404182</v>
      </c>
      <c r="AG61" s="110">
        <f t="shared" si="18"/>
        <v>0</v>
      </c>
      <c r="AH61" s="110">
        <f t="shared" si="18"/>
        <v>1101.956946154042</v>
      </c>
      <c r="AI61" s="110">
        <f t="shared" si="18"/>
        <v>650.00000000000011</v>
      </c>
      <c r="AJ61" s="110">
        <f t="shared" si="18"/>
        <v>451.95694615404182</v>
      </c>
      <c r="AK61" s="110">
        <f t="shared" si="18"/>
        <v>650.00000000000011</v>
      </c>
      <c r="AL61" s="110">
        <f t="shared" si="18"/>
        <v>451.95694615404182</v>
      </c>
      <c r="AM61" s="110">
        <f t="shared" si="18"/>
        <v>650.00000000000011</v>
      </c>
      <c r="AN61" s="110">
        <f t="shared" si="18"/>
        <v>451.95694615404182</v>
      </c>
      <c r="AO61" s="110">
        <f t="shared" si="18"/>
        <v>650.00000000000011</v>
      </c>
      <c r="AP61" s="110">
        <f t="shared" si="18"/>
        <v>451.95694615404182</v>
      </c>
      <c r="AQ61" s="110">
        <f t="shared" si="18"/>
        <v>0</v>
      </c>
      <c r="AR61" s="110">
        <f t="shared" si="18"/>
        <v>1101.956946154042</v>
      </c>
      <c r="AS61" s="110">
        <f t="shared" si="18"/>
        <v>650.00000000000011</v>
      </c>
      <c r="AT61" s="110">
        <f t="shared" si="18"/>
        <v>451.95694615404182</v>
      </c>
      <c r="AU61" s="110">
        <f t="shared" si="18"/>
        <v>650.00000000000011</v>
      </c>
      <c r="AV61" s="110">
        <f t="shared" si="18"/>
        <v>451.95694615404182</v>
      </c>
      <c r="AW61" s="110">
        <f t="shared" si="18"/>
        <v>650.00000000000011</v>
      </c>
      <c r="AX61" s="110">
        <f t="shared" si="18"/>
        <v>451.95694615404182</v>
      </c>
      <c r="AY61" s="110">
        <f t="shared" si="18"/>
        <v>650.00000000000011</v>
      </c>
    </row>
    <row r="62" spans="1:52">
      <c r="A62" s="110"/>
      <c r="B62" s="165" t="s">
        <v>348</v>
      </c>
      <c r="C62" s="110"/>
      <c r="D62" s="110">
        <f>D56-D59</f>
        <v>793.65633480975316</v>
      </c>
      <c r="E62" s="110">
        <f t="shared" ref="E62:AY62" si="19">E56-E59</f>
        <v>574.99462735336465</v>
      </c>
      <c r="F62" s="110">
        <f t="shared" si="19"/>
        <v>826.95157350740647</v>
      </c>
      <c r="G62" s="110">
        <f t="shared" si="19"/>
        <v>574.99462735336465</v>
      </c>
      <c r="H62" s="110">
        <f t="shared" si="19"/>
        <v>826.95157350740647</v>
      </c>
      <c r="I62" s="110">
        <f t="shared" si="19"/>
        <v>574.99462735336465</v>
      </c>
      <c r="J62" s="110">
        <f t="shared" si="19"/>
        <v>826.95157350740647</v>
      </c>
      <c r="K62" s="110">
        <f t="shared" si="19"/>
        <v>574.99462735336465</v>
      </c>
      <c r="L62" s="110">
        <f t="shared" si="19"/>
        <v>826.95157350740647</v>
      </c>
      <c r="M62" s="110">
        <f t="shared" si="19"/>
        <v>574.99462735336465</v>
      </c>
      <c r="N62" s="110">
        <f t="shared" si="19"/>
        <v>826.95157350740647</v>
      </c>
      <c r="O62" s="110">
        <f t="shared" si="19"/>
        <v>0</v>
      </c>
      <c r="P62" s="110">
        <f t="shared" si="19"/>
        <v>1401.9462008607711</v>
      </c>
      <c r="Q62" s="110">
        <f t="shared" si="19"/>
        <v>826.95157350740647</v>
      </c>
      <c r="R62" s="110">
        <f t="shared" si="19"/>
        <v>574.99462735336465</v>
      </c>
      <c r="S62" s="110">
        <f t="shared" si="19"/>
        <v>826.95157350740647</v>
      </c>
      <c r="T62" s="110">
        <f t="shared" si="19"/>
        <v>574.99462735336465</v>
      </c>
      <c r="U62" s="110">
        <f t="shared" si="19"/>
        <v>826.95157350740647</v>
      </c>
      <c r="V62" s="110">
        <f t="shared" si="19"/>
        <v>574.99462735336465</v>
      </c>
      <c r="W62" s="110">
        <f t="shared" si="19"/>
        <v>826.95157350740647</v>
      </c>
      <c r="X62" s="110">
        <f t="shared" si="19"/>
        <v>574.99462735336465</v>
      </c>
      <c r="Y62" s="110">
        <f t="shared" si="19"/>
        <v>826.95157350740647</v>
      </c>
      <c r="Z62" s="110">
        <f t="shared" si="19"/>
        <v>574.99462735336465</v>
      </c>
      <c r="AA62" s="110">
        <f t="shared" si="19"/>
        <v>826.95157350740647</v>
      </c>
      <c r="AB62" s="110">
        <f t="shared" si="19"/>
        <v>574.99462735336465</v>
      </c>
      <c r="AC62" s="110">
        <f t="shared" si="19"/>
        <v>826.95157350740647</v>
      </c>
      <c r="AD62" s="110">
        <f t="shared" si="19"/>
        <v>574.99462735336465</v>
      </c>
      <c r="AE62" s="110">
        <f t="shared" si="19"/>
        <v>826.95157350740647</v>
      </c>
      <c r="AF62" s="110">
        <f t="shared" si="19"/>
        <v>574.99462735336465</v>
      </c>
      <c r="AG62" s="110">
        <f t="shared" si="19"/>
        <v>0</v>
      </c>
      <c r="AH62" s="110">
        <f t="shared" si="19"/>
        <v>1401.9462008607711</v>
      </c>
      <c r="AI62" s="110">
        <f t="shared" si="19"/>
        <v>826.95157350740647</v>
      </c>
      <c r="AJ62" s="110">
        <f t="shared" si="19"/>
        <v>574.99462735336465</v>
      </c>
      <c r="AK62" s="110">
        <f t="shared" si="19"/>
        <v>826.95157350740647</v>
      </c>
      <c r="AL62" s="110">
        <f t="shared" si="19"/>
        <v>574.99462735336465</v>
      </c>
      <c r="AM62" s="110">
        <f t="shared" si="19"/>
        <v>826.95157350740647</v>
      </c>
      <c r="AN62" s="110">
        <f t="shared" si="19"/>
        <v>574.99462735336465</v>
      </c>
      <c r="AO62" s="110">
        <f t="shared" si="19"/>
        <v>826.95157350740647</v>
      </c>
      <c r="AP62" s="110">
        <f t="shared" si="19"/>
        <v>574.99462735336465</v>
      </c>
      <c r="AQ62" s="110">
        <f t="shared" si="19"/>
        <v>0</v>
      </c>
      <c r="AR62" s="110">
        <f t="shared" si="19"/>
        <v>1401.9462008607711</v>
      </c>
      <c r="AS62" s="110">
        <f t="shared" si="19"/>
        <v>826.95157350740647</v>
      </c>
      <c r="AT62" s="110">
        <f t="shared" si="19"/>
        <v>574.99462735336465</v>
      </c>
      <c r="AU62" s="110">
        <f t="shared" si="19"/>
        <v>826.95157350740647</v>
      </c>
      <c r="AV62" s="110">
        <f t="shared" si="19"/>
        <v>574.99462735336465</v>
      </c>
      <c r="AW62" s="110">
        <f t="shared" si="19"/>
        <v>826.95157350740647</v>
      </c>
      <c r="AX62" s="110">
        <f t="shared" si="19"/>
        <v>574.99462735336465</v>
      </c>
      <c r="AY62" s="110">
        <f t="shared" si="19"/>
        <v>826.95157350740647</v>
      </c>
    </row>
    <row r="63" spans="1:52">
      <c r="A63" s="110"/>
      <c r="B63" s="165" t="s">
        <v>349</v>
      </c>
      <c r="C63" s="110"/>
      <c r="D63" s="110">
        <v>1</v>
      </c>
      <c r="E63" s="110">
        <v>1</v>
      </c>
      <c r="F63" s="110">
        <v>2</v>
      </c>
      <c r="G63" s="110">
        <v>3</v>
      </c>
      <c r="H63" s="110">
        <v>2</v>
      </c>
      <c r="I63" s="110">
        <v>2</v>
      </c>
      <c r="J63" s="110">
        <v>2</v>
      </c>
      <c r="K63" s="110">
        <v>1</v>
      </c>
      <c r="L63" s="110">
        <v>2</v>
      </c>
      <c r="M63" s="110">
        <v>2</v>
      </c>
      <c r="N63" s="110">
        <v>1</v>
      </c>
      <c r="O63" s="110">
        <v>1</v>
      </c>
      <c r="P63" s="110">
        <v>1</v>
      </c>
      <c r="Q63" s="110">
        <v>2</v>
      </c>
      <c r="R63" s="110">
        <v>2</v>
      </c>
      <c r="S63" s="110">
        <v>1</v>
      </c>
      <c r="T63" s="110">
        <v>1</v>
      </c>
      <c r="U63" s="110">
        <v>1</v>
      </c>
      <c r="V63" s="110">
        <v>1</v>
      </c>
      <c r="W63" s="110">
        <v>2</v>
      </c>
      <c r="X63" s="110">
        <v>1</v>
      </c>
      <c r="Y63" s="110">
        <v>1</v>
      </c>
      <c r="Z63" s="110">
        <v>1</v>
      </c>
      <c r="AA63" s="110">
        <v>1</v>
      </c>
      <c r="AB63" s="110">
        <v>1</v>
      </c>
      <c r="AC63" s="110">
        <v>1</v>
      </c>
      <c r="AD63" s="110">
        <v>1</v>
      </c>
      <c r="AE63" s="110">
        <v>1</v>
      </c>
      <c r="AF63" s="110">
        <v>2</v>
      </c>
      <c r="AG63" s="110">
        <v>3</v>
      </c>
      <c r="AH63" s="110">
        <v>1</v>
      </c>
      <c r="AI63" s="110">
        <v>2</v>
      </c>
      <c r="AJ63" s="110">
        <v>2</v>
      </c>
      <c r="AK63" s="110">
        <v>2</v>
      </c>
      <c r="AL63" s="110">
        <v>1</v>
      </c>
      <c r="AM63" s="110">
        <v>1</v>
      </c>
      <c r="AN63" s="110">
        <v>2</v>
      </c>
      <c r="AO63" s="110">
        <v>2</v>
      </c>
      <c r="AP63" s="110">
        <v>1</v>
      </c>
      <c r="AQ63" s="110">
        <v>1</v>
      </c>
      <c r="AR63" s="110">
        <v>2</v>
      </c>
      <c r="AS63" s="110">
        <v>1</v>
      </c>
      <c r="AT63" s="110">
        <v>2</v>
      </c>
      <c r="AU63" s="110">
        <v>1</v>
      </c>
      <c r="AV63" s="110">
        <v>3</v>
      </c>
      <c r="AW63" s="110">
        <v>1</v>
      </c>
      <c r="AX63" s="110">
        <v>1</v>
      </c>
      <c r="AY63" s="110">
        <v>1</v>
      </c>
    </row>
    <row r="64" spans="1:52">
      <c r="A64" s="110"/>
      <c r="B64" s="178" t="s">
        <v>350</v>
      </c>
      <c r="C64" s="110"/>
      <c r="D64" s="110">
        <v>0</v>
      </c>
      <c r="E64" s="110">
        <v>267300</v>
      </c>
      <c r="F64" s="110">
        <v>0</v>
      </c>
      <c r="G64" s="110">
        <v>267300</v>
      </c>
      <c r="H64" s="110">
        <v>0</v>
      </c>
      <c r="I64" s="110">
        <v>267300</v>
      </c>
      <c r="J64" s="110">
        <v>0</v>
      </c>
      <c r="K64" s="110">
        <v>267300</v>
      </c>
      <c r="L64" s="110">
        <v>0</v>
      </c>
      <c r="M64" s="110">
        <v>267300</v>
      </c>
      <c r="N64" s="110">
        <v>0</v>
      </c>
      <c r="O64" s="110">
        <v>0</v>
      </c>
      <c r="P64" s="110">
        <v>267300</v>
      </c>
      <c r="Q64" s="110">
        <v>0</v>
      </c>
      <c r="R64" s="110">
        <v>267300</v>
      </c>
      <c r="S64" s="110">
        <v>0</v>
      </c>
      <c r="T64" s="110">
        <v>267300</v>
      </c>
      <c r="U64" s="110">
        <v>0</v>
      </c>
      <c r="V64" s="110">
        <v>267300</v>
      </c>
      <c r="W64" s="110">
        <v>0</v>
      </c>
      <c r="X64" s="110">
        <v>267300</v>
      </c>
      <c r="Y64" s="110">
        <v>0</v>
      </c>
      <c r="Z64" s="110">
        <v>267300</v>
      </c>
      <c r="AA64" s="110">
        <v>0</v>
      </c>
      <c r="AB64" s="110">
        <v>267300</v>
      </c>
      <c r="AC64" s="110">
        <v>0</v>
      </c>
      <c r="AD64" s="110">
        <v>267300</v>
      </c>
      <c r="AE64" s="110">
        <v>0</v>
      </c>
      <c r="AF64" s="110">
        <v>267300</v>
      </c>
      <c r="AG64" s="110">
        <v>0</v>
      </c>
      <c r="AH64" s="110">
        <v>267300</v>
      </c>
      <c r="AI64" s="110">
        <v>0</v>
      </c>
      <c r="AJ64" s="110">
        <v>267300</v>
      </c>
      <c r="AK64" s="110">
        <v>0</v>
      </c>
      <c r="AL64" s="110">
        <v>267300</v>
      </c>
      <c r="AM64" s="110">
        <v>0</v>
      </c>
      <c r="AN64" s="110">
        <v>267300</v>
      </c>
      <c r="AO64" s="110">
        <v>0</v>
      </c>
      <c r="AP64" s="110">
        <v>267300</v>
      </c>
      <c r="AQ64" s="110">
        <v>0</v>
      </c>
      <c r="AR64" s="110">
        <v>267300</v>
      </c>
      <c r="AS64" s="110">
        <v>0</v>
      </c>
      <c r="AT64" s="110">
        <v>267300</v>
      </c>
      <c r="AU64" s="110">
        <v>0</v>
      </c>
      <c r="AV64" s="110">
        <v>267300</v>
      </c>
      <c r="AW64" s="110">
        <v>0</v>
      </c>
      <c r="AX64" s="110">
        <v>267300</v>
      </c>
      <c r="AY64" s="110">
        <v>0</v>
      </c>
      <c r="AZ64" s="100">
        <f>SUM($D$64:$AY$64)</f>
        <v>6147900</v>
      </c>
    </row>
    <row r="65" spans="1:52">
      <c r="A65" s="125"/>
      <c r="B65" s="140" t="s">
        <v>351</v>
      </c>
      <c r="C65" s="125"/>
      <c r="D65" s="125">
        <v>456076.00159597263</v>
      </c>
      <c r="E65" s="125">
        <v>330421.66877600807</v>
      </c>
      <c r="F65" s="125">
        <v>475209.16877600801</v>
      </c>
      <c r="G65" s="125">
        <v>330421.66877600807</v>
      </c>
      <c r="H65" s="125">
        <v>475209.16877600801</v>
      </c>
      <c r="I65" s="125">
        <v>330421.66877600807</v>
      </c>
      <c r="J65" s="125">
        <v>475209.16877600801</v>
      </c>
      <c r="K65" s="125">
        <v>330421.66877600807</v>
      </c>
      <c r="L65" s="125">
        <v>475209.16877600801</v>
      </c>
      <c r="M65" s="125">
        <v>330421.66877600807</v>
      </c>
      <c r="N65" s="125">
        <v>475209.16877600801</v>
      </c>
      <c r="O65" s="125">
        <v>0</v>
      </c>
      <c r="P65" s="125">
        <v>805630.83755201602</v>
      </c>
      <c r="Q65" s="125">
        <v>475209.16877600801</v>
      </c>
      <c r="R65" s="125">
        <v>330421.66877600807</v>
      </c>
      <c r="S65" s="125">
        <v>475209.16877600801</v>
      </c>
      <c r="T65" s="125">
        <v>330421.66877600807</v>
      </c>
      <c r="U65" s="125">
        <v>475209.16877600801</v>
      </c>
      <c r="V65" s="125">
        <v>330421.66877600807</v>
      </c>
      <c r="W65" s="125">
        <v>475209.16877600801</v>
      </c>
      <c r="X65" s="125">
        <v>330421.66877600807</v>
      </c>
      <c r="Y65" s="125">
        <v>475209.16877600801</v>
      </c>
      <c r="Z65" s="125">
        <v>330421.66877600807</v>
      </c>
      <c r="AA65" s="125">
        <v>475209.16877600801</v>
      </c>
      <c r="AB65" s="125">
        <v>330421.66877600807</v>
      </c>
      <c r="AC65" s="125">
        <v>475209.16877600801</v>
      </c>
      <c r="AD65" s="125">
        <v>330421.66877600807</v>
      </c>
      <c r="AE65" s="125">
        <v>475209.16877600801</v>
      </c>
      <c r="AF65" s="125">
        <v>330421.66877600807</v>
      </c>
      <c r="AG65" s="125">
        <v>0</v>
      </c>
      <c r="AH65" s="125">
        <v>805630.83755201602</v>
      </c>
      <c r="AI65" s="125">
        <v>475209.16877600801</v>
      </c>
      <c r="AJ65" s="125">
        <v>330421.66877600807</v>
      </c>
      <c r="AK65" s="125">
        <v>475209.16877600801</v>
      </c>
      <c r="AL65" s="125">
        <v>330421.66877600807</v>
      </c>
      <c r="AM65" s="125">
        <v>475209.16877600801</v>
      </c>
      <c r="AN65" s="125">
        <v>330421.66877600807</v>
      </c>
      <c r="AO65" s="125">
        <v>475209.16877600801</v>
      </c>
      <c r="AP65" s="125">
        <v>330421.66877600807</v>
      </c>
      <c r="AQ65" s="125">
        <v>0</v>
      </c>
      <c r="AR65" s="125">
        <v>805630.83755201602</v>
      </c>
      <c r="AS65" s="125">
        <v>475209.16877600801</v>
      </c>
      <c r="AT65" s="125">
        <v>330421.66877600807</v>
      </c>
      <c r="AU65" s="125">
        <v>475209.16877600801</v>
      </c>
      <c r="AV65" s="125">
        <v>330421.66877600807</v>
      </c>
      <c r="AW65" s="125">
        <v>475209.16877600801</v>
      </c>
      <c r="AX65" s="125">
        <v>330421.66877600807</v>
      </c>
      <c r="AY65" s="125">
        <v>475209.16877600801</v>
      </c>
      <c r="AZ65" s="100">
        <f>SUM($D$65:$AY$65)</f>
        <v>19460794.434068348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22</v>
      </c>
    </row>
    <row r="3" spans="1:53">
      <c r="A3" s="100" t="s">
        <v>286</v>
      </c>
      <c r="B3" s="108">
        <v>1300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160</v>
      </c>
      <c r="E9" s="117">
        <v>160</v>
      </c>
      <c r="F9" s="117">
        <v>160</v>
      </c>
      <c r="G9" s="117">
        <v>160</v>
      </c>
      <c r="H9" s="117">
        <v>160</v>
      </c>
      <c r="I9" s="117">
        <v>160</v>
      </c>
      <c r="J9" s="117">
        <v>160</v>
      </c>
      <c r="K9" s="117">
        <v>160</v>
      </c>
      <c r="L9" s="117">
        <v>160</v>
      </c>
      <c r="M9" s="117">
        <v>160</v>
      </c>
      <c r="N9" s="117">
        <v>160</v>
      </c>
      <c r="O9" s="117">
        <v>160</v>
      </c>
      <c r="P9" s="117">
        <v>160</v>
      </c>
      <c r="Q9" s="117">
        <v>160</v>
      </c>
      <c r="R9" s="117">
        <v>160</v>
      </c>
      <c r="S9" s="117">
        <v>160</v>
      </c>
      <c r="T9" s="117">
        <v>160</v>
      </c>
      <c r="U9" s="117">
        <v>160</v>
      </c>
      <c r="V9" s="117">
        <v>160</v>
      </c>
      <c r="W9" s="117">
        <v>160</v>
      </c>
      <c r="X9" s="117">
        <v>160</v>
      </c>
      <c r="Y9" s="117">
        <v>160</v>
      </c>
      <c r="Z9" s="117">
        <v>160</v>
      </c>
      <c r="AA9" s="117">
        <v>160</v>
      </c>
      <c r="AB9" s="117">
        <v>160</v>
      </c>
      <c r="AC9" s="117">
        <v>160</v>
      </c>
      <c r="AD9" s="117">
        <v>160</v>
      </c>
      <c r="AE9" s="117">
        <v>160</v>
      </c>
      <c r="AF9" s="117">
        <v>128</v>
      </c>
      <c r="AG9" s="117">
        <v>128</v>
      </c>
      <c r="AH9" s="117">
        <v>128</v>
      </c>
      <c r="AI9" s="117">
        <v>128</v>
      </c>
      <c r="AJ9" s="117">
        <v>160</v>
      </c>
      <c r="AK9" s="117">
        <v>160</v>
      </c>
      <c r="AL9" s="117">
        <v>160</v>
      </c>
      <c r="AM9" s="117">
        <v>160</v>
      </c>
      <c r="AN9" s="117">
        <v>160</v>
      </c>
      <c r="AO9" s="117">
        <v>160</v>
      </c>
      <c r="AP9" s="117">
        <v>160</v>
      </c>
      <c r="AQ9" s="117">
        <v>160</v>
      </c>
      <c r="AR9" s="117">
        <v>160</v>
      </c>
      <c r="AS9" s="117">
        <v>160</v>
      </c>
      <c r="AT9" s="117">
        <v>160</v>
      </c>
      <c r="AU9" s="117">
        <v>160</v>
      </c>
      <c r="AV9" s="117">
        <v>160</v>
      </c>
      <c r="AW9" s="117">
        <v>160</v>
      </c>
      <c r="AX9" s="117">
        <v>160</v>
      </c>
      <c r="AY9" s="117">
        <v>160</v>
      </c>
    </row>
    <row r="10" spans="1:53">
      <c r="A10" s="118" t="s">
        <v>133</v>
      </c>
      <c r="B10" s="119">
        <v>1</v>
      </c>
      <c r="C10" s="106" t="s">
        <v>293</v>
      </c>
      <c r="D10" s="100">
        <v>116.73915903349825</v>
      </c>
      <c r="E10" s="100">
        <v>66.272878359330448</v>
      </c>
      <c r="F10" s="100">
        <v>69.053138791175144</v>
      </c>
      <c r="G10" s="100">
        <v>180.00000000000003</v>
      </c>
      <c r="H10" s="100">
        <v>69.053138791175144</v>
      </c>
      <c r="I10" s="100">
        <v>180.00000000000003</v>
      </c>
      <c r="J10" s="100">
        <v>110.94686120882488</v>
      </c>
      <c r="K10" s="100">
        <v>180.00000000000003</v>
      </c>
      <c r="L10" s="100">
        <v>180.00000000000003</v>
      </c>
      <c r="M10" s="100">
        <v>69.053138791175144</v>
      </c>
      <c r="N10" s="100">
        <v>110.94686120882488</v>
      </c>
      <c r="O10" s="100">
        <v>180.00000000000003</v>
      </c>
      <c r="P10" s="100">
        <v>0</v>
      </c>
      <c r="Q10" s="100">
        <v>0</v>
      </c>
      <c r="R10" s="100">
        <v>180.00000000000003</v>
      </c>
      <c r="S10" s="100">
        <v>69.053138791175144</v>
      </c>
      <c r="T10" s="100">
        <v>110.94686120882488</v>
      </c>
      <c r="U10" s="100">
        <v>180.00000000000003</v>
      </c>
      <c r="V10" s="100">
        <v>180.00000000000003</v>
      </c>
      <c r="W10" s="100">
        <v>69.053138791175144</v>
      </c>
      <c r="X10" s="100">
        <v>180.00000000000003</v>
      </c>
      <c r="Y10" s="100">
        <v>69.053138791175144</v>
      </c>
      <c r="Z10" s="100">
        <v>180.00000000000003</v>
      </c>
      <c r="AA10" s="100">
        <v>69.053138791175144</v>
      </c>
      <c r="AB10" s="100">
        <v>180.00000000000003</v>
      </c>
      <c r="AC10" s="100">
        <v>0</v>
      </c>
      <c r="AD10" s="100">
        <v>69.053138791175144</v>
      </c>
      <c r="AE10" s="100">
        <v>7.492134218139991E-21</v>
      </c>
      <c r="AF10" s="100">
        <v>69.053138791175144</v>
      </c>
      <c r="AG10" s="100">
        <v>7.492134218139991E-21</v>
      </c>
      <c r="AH10" s="100">
        <v>106.28677553780135</v>
      </c>
      <c r="AI10" s="100">
        <v>110.94686120882488</v>
      </c>
      <c r="AJ10" s="100">
        <v>180.00000000000003</v>
      </c>
      <c r="AK10" s="100">
        <v>0</v>
      </c>
      <c r="AL10" s="100">
        <v>110.94686120882488</v>
      </c>
      <c r="AM10" s="100">
        <v>0</v>
      </c>
      <c r="AN10" s="100">
        <v>106.28677553780135</v>
      </c>
      <c r="AO10" s="100">
        <v>69.053138791175144</v>
      </c>
      <c r="AP10" s="100">
        <v>110.94686120882488</v>
      </c>
      <c r="AQ10" s="100">
        <v>180.00000000000003</v>
      </c>
      <c r="AR10" s="100">
        <v>106.28677553780135</v>
      </c>
      <c r="AS10" s="100">
        <v>249.05313879117517</v>
      </c>
      <c r="AT10" s="100">
        <v>106.28677553780135</v>
      </c>
      <c r="AU10" s="100">
        <v>180.00000000000003</v>
      </c>
      <c r="AV10" s="100">
        <v>106.28677553780135</v>
      </c>
      <c r="AW10" s="100">
        <v>180.00000000000003</v>
      </c>
      <c r="AX10" s="100">
        <v>110.94686120882488</v>
      </c>
      <c r="AY10" s="100">
        <v>180.00000000000003</v>
      </c>
      <c r="AZ10" s="100">
        <v>180.00000000000003</v>
      </c>
    </row>
    <row r="11" spans="1:53">
      <c r="B11" s="119">
        <v>2</v>
      </c>
      <c r="C11" s="106" t="s">
        <v>293</v>
      </c>
      <c r="D11" s="100">
        <v>116.73915903349825</v>
      </c>
      <c r="E11" s="100">
        <v>55.366125607803824</v>
      </c>
      <c r="F11" s="100">
        <v>110.94686120882497</v>
      </c>
      <c r="H11" s="100">
        <v>0</v>
      </c>
      <c r="I11" s="100">
        <v>110.94686120882488</v>
      </c>
      <c r="K11" s="100">
        <v>69.053138791175144</v>
      </c>
      <c r="N11" s="100">
        <v>0</v>
      </c>
      <c r="O11" s="100">
        <v>69.053138791175144</v>
      </c>
      <c r="Q11" s="100">
        <v>0</v>
      </c>
      <c r="S11" s="100">
        <v>0</v>
      </c>
      <c r="T11" s="100">
        <v>110.94686120882488</v>
      </c>
      <c r="U11" s="100">
        <v>0</v>
      </c>
      <c r="X11" s="100">
        <v>110.94686120882488</v>
      </c>
      <c r="Z11" s="100">
        <v>110.94686120882488</v>
      </c>
      <c r="AB11" s="100">
        <v>110.94686120882488</v>
      </c>
      <c r="AD11" s="100">
        <v>69.053138791175144</v>
      </c>
      <c r="AH11" s="100">
        <v>69.053138791175144</v>
      </c>
      <c r="AI11" s="100">
        <v>4.6600856710235377</v>
      </c>
      <c r="AJ11" s="100">
        <v>138.10627758235029</v>
      </c>
      <c r="AL11" s="100">
        <v>180.00000000000003</v>
      </c>
      <c r="AN11" s="100">
        <v>180.00000000000003</v>
      </c>
      <c r="AO11" s="100">
        <v>4.6600856710235377</v>
      </c>
      <c r="AP11" s="100">
        <v>110.94686120882488</v>
      </c>
      <c r="AQ11" s="100">
        <v>69.053138791175144</v>
      </c>
      <c r="AS11" s="100">
        <v>4.6600856710235377</v>
      </c>
      <c r="AU11" s="100">
        <v>73.713224462198681</v>
      </c>
      <c r="AW11" s="100">
        <v>73.713224462198681</v>
      </c>
      <c r="AY11" s="100">
        <v>69.053138791175144</v>
      </c>
    </row>
    <row r="12" spans="1:53">
      <c r="B12" s="120">
        <v>3</v>
      </c>
      <c r="C12" s="106" t="s">
        <v>293</v>
      </c>
      <c r="S12" s="100">
        <v>138.10627758235029</v>
      </c>
      <c r="V12" s="100">
        <v>69.053138791175144</v>
      </c>
      <c r="Z12" s="100">
        <v>0</v>
      </c>
      <c r="AE12" s="100">
        <v>110.94686120882488</v>
      </c>
      <c r="AG12" s="100">
        <v>69.053138791175144</v>
      </c>
      <c r="AN12" s="100">
        <v>69.053138791175144</v>
      </c>
      <c r="AP12" s="100">
        <v>69.053138791175144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45.201586169067916</v>
      </c>
      <c r="E14" s="117">
        <f t="shared" ref="E14:AZ14" si="0">D$172*SUM(D$122:D$169)</f>
        <v>97.44114357360192</v>
      </c>
      <c r="F14" s="117">
        <f t="shared" si="0"/>
        <v>49.680118277171346</v>
      </c>
      <c r="G14" s="117">
        <f t="shared" si="0"/>
        <v>71.691431807990455</v>
      </c>
      <c r="H14" s="117">
        <f t="shared" si="0"/>
        <v>71.691431807990412</v>
      </c>
      <c r="I14" s="117">
        <f t="shared" si="0"/>
        <v>27.251793719208798</v>
      </c>
      <c r="J14" s="117">
        <f t="shared" si="0"/>
        <v>116.13106989677203</v>
      </c>
      <c r="K14" s="117">
        <f t="shared" si="0"/>
        <v>49.248864100625937</v>
      </c>
      <c r="L14" s="117">
        <f t="shared" si="0"/>
        <v>98.936814975306945</v>
      </c>
      <c r="M14" s="117">
        <f t="shared" si="0"/>
        <v>87.175774391172993</v>
      </c>
      <c r="N14" s="117">
        <f t="shared" si="0"/>
        <v>27.251793719208798</v>
      </c>
      <c r="O14" s="117">
        <f t="shared" si="0"/>
        <v>44.446048640673894</v>
      </c>
      <c r="P14" s="117">
        <f t="shared" si="0"/>
        <v>98.936814975306945</v>
      </c>
      <c r="Q14" s="117">
        <f t="shared" si="0"/>
        <v>8.7001745427239108</v>
      </c>
      <c r="R14" s="117">
        <f t="shared" si="0"/>
        <v>6.410551892275608E-3</v>
      </c>
      <c r="S14" s="117">
        <f t="shared" si="0"/>
        <v>71.691431807990412</v>
      </c>
      <c r="T14" s="117">
        <f t="shared" si="0"/>
        <v>82.954857636486551</v>
      </c>
      <c r="U14" s="117">
        <f t="shared" si="0"/>
        <v>88.885686729455514</v>
      </c>
      <c r="V14" s="117">
        <f t="shared" si="0"/>
        <v>71.691431807990412</v>
      </c>
      <c r="W14" s="117">
        <f t="shared" si="0"/>
        <v>98.936814975306945</v>
      </c>
      <c r="X14" s="117">
        <f t="shared" si="0"/>
        <v>35.907159874315987</v>
      </c>
      <c r="Y14" s="117">
        <f t="shared" si="0"/>
        <v>116.13106989677203</v>
      </c>
      <c r="Z14" s="117">
        <f t="shared" si="0"/>
        <v>46.783852546379073</v>
      </c>
      <c r="AA14" s="117">
        <f t="shared" si="0"/>
        <v>116.13106989677203</v>
      </c>
      <c r="AB14" s="117">
        <f t="shared" si="0"/>
        <v>33.232957670706988</v>
      </c>
      <c r="AC14" s="117">
        <f t="shared" si="0"/>
        <v>116.13106989677203</v>
      </c>
      <c r="AD14" s="117">
        <f t="shared" si="0"/>
        <v>15.991255110724907</v>
      </c>
      <c r="AE14" s="117">
        <f t="shared" si="0"/>
        <v>54.497176886525324</v>
      </c>
      <c r="AF14" s="117">
        <f t="shared" si="0"/>
        <v>44.446048640673894</v>
      </c>
      <c r="AG14" s="117">
        <f t="shared" si="0"/>
        <v>27.251793719208798</v>
      </c>
      <c r="AH14" s="117">
        <f t="shared" si="0"/>
        <v>27.251793719208798</v>
      </c>
      <c r="AI14" s="117">
        <f t="shared" si="0"/>
        <v>69.824839833899205</v>
      </c>
      <c r="AJ14" s="117">
        <f t="shared" si="0"/>
        <v>46.312640614765101</v>
      </c>
      <c r="AK14" s="117">
        <f t="shared" si="0"/>
        <v>126.18219814262345</v>
      </c>
      <c r="AL14" s="117">
        <f t="shared" si="0"/>
        <v>20.399747215351095</v>
      </c>
      <c r="AM14" s="117">
        <f t="shared" si="0"/>
        <v>116.13106989677203</v>
      </c>
      <c r="AN14" s="117">
        <f t="shared" si="0"/>
        <v>31.523125915850734</v>
      </c>
      <c r="AO14" s="117">
        <f t="shared" si="0"/>
        <v>141.50986108999737</v>
      </c>
      <c r="AP14" s="117">
        <f t="shared" si="0"/>
        <v>40.559156147980431</v>
      </c>
      <c r="AQ14" s="117">
        <f t="shared" si="0"/>
        <v>116.13106989677206</v>
      </c>
      <c r="AR14" s="117">
        <f t="shared" si="0"/>
        <v>102.95082656667277</v>
      </c>
      <c r="AS14" s="117">
        <f t="shared" si="0"/>
        <v>58.116499633375589</v>
      </c>
      <c r="AT14" s="117">
        <f t="shared" si="0"/>
        <v>100.80340694939814</v>
      </c>
      <c r="AU14" s="117">
        <f t="shared" si="0"/>
        <v>44.94641488481993</v>
      </c>
      <c r="AV14" s="117">
        <f t="shared" si="0"/>
        <v>100.80340694939814</v>
      </c>
      <c r="AW14" s="117">
        <f t="shared" si="0"/>
        <v>42.579456666582701</v>
      </c>
      <c r="AX14" s="117">
        <f t="shared" si="0"/>
        <v>100.80340694939814</v>
      </c>
      <c r="AY14" s="117">
        <f t="shared" si="0"/>
        <v>44.446048640673901</v>
      </c>
      <c r="AZ14" s="110">
        <f t="shared" si="0"/>
        <v>98.936814975306945</v>
      </c>
      <c r="BA14" s="107">
        <f>SUM($E14:$AZ14)</f>
        <v>3299.4651467645749</v>
      </c>
    </row>
    <row r="15" spans="1:53">
      <c r="A15" s="122" t="s">
        <v>123</v>
      </c>
      <c r="B15" s="123">
        <v>1</v>
      </c>
      <c r="C15" s="124" t="s">
        <v>293</v>
      </c>
      <c r="D15" s="124">
        <v>118.69716847465855</v>
      </c>
      <c r="E15" s="124">
        <v>63.716395512552346</v>
      </c>
      <c r="F15" s="124">
        <v>66.388751967234953</v>
      </c>
      <c r="G15" s="124">
        <v>174.64922615797624</v>
      </c>
      <c r="H15" s="124">
        <v>66.388751967234953</v>
      </c>
      <c r="I15" s="124">
        <v>174.64922615797624</v>
      </c>
      <c r="J15" s="124">
        <v>108.2760910908226</v>
      </c>
      <c r="K15" s="124">
        <v>174.64922615797624</v>
      </c>
      <c r="L15" s="124">
        <v>174.64922615797624</v>
      </c>
      <c r="M15" s="124">
        <v>66.388751967234953</v>
      </c>
      <c r="N15" s="124">
        <v>108.2760910908226</v>
      </c>
      <c r="O15" s="124">
        <v>174.64922615797624</v>
      </c>
      <c r="P15" s="124">
        <v>1.5616900081310689E-2</v>
      </c>
      <c r="Q15" s="124">
        <v>1.5616900081310689E-2</v>
      </c>
      <c r="R15" s="124">
        <v>174.64922615797624</v>
      </c>
      <c r="S15" s="124">
        <v>66.388751967234953</v>
      </c>
      <c r="T15" s="124">
        <v>108.2760910908226</v>
      </c>
      <c r="U15" s="124">
        <v>174.64922615797624</v>
      </c>
      <c r="V15" s="124">
        <v>174.64922615797624</v>
      </c>
      <c r="W15" s="124">
        <v>66.388751967234953</v>
      </c>
      <c r="X15" s="124">
        <v>174.64922615797624</v>
      </c>
      <c r="Y15" s="124">
        <v>66.388751967234953</v>
      </c>
      <c r="Z15" s="124">
        <v>174.64922615797624</v>
      </c>
      <c r="AA15" s="124">
        <v>66.388751967234953</v>
      </c>
      <c r="AB15" s="124">
        <v>174.64922615797624</v>
      </c>
      <c r="AC15" s="124">
        <v>1.5616900081310689E-2</v>
      </c>
      <c r="AD15" s="124">
        <v>66.388751967234953</v>
      </c>
      <c r="AE15" s="124">
        <v>1.5616900081310689E-2</v>
      </c>
      <c r="AF15" s="124">
        <v>66.388751967234953</v>
      </c>
      <c r="AG15" s="124">
        <v>1.5616900081310689E-2</v>
      </c>
      <c r="AH15" s="124">
        <v>103.72884136227997</v>
      </c>
      <c r="AI15" s="124">
        <v>108.2760910908226</v>
      </c>
      <c r="AJ15" s="124">
        <v>174.64922615797624</v>
      </c>
      <c r="AK15" s="124">
        <v>1.5616900081310689E-2</v>
      </c>
      <c r="AL15" s="124">
        <v>108.2760910908226</v>
      </c>
      <c r="AM15" s="124">
        <v>1.5616900081310689E-2</v>
      </c>
      <c r="AN15" s="124">
        <v>103.72884136227997</v>
      </c>
      <c r="AO15" s="124">
        <v>66.388751967234953</v>
      </c>
      <c r="AP15" s="124">
        <v>108.2760910908226</v>
      </c>
      <c r="AQ15" s="124">
        <v>174.64922615797624</v>
      </c>
      <c r="AR15" s="124">
        <v>103.72884136227997</v>
      </c>
      <c r="AS15" s="124">
        <v>241.02236122512988</v>
      </c>
      <c r="AT15" s="124">
        <v>103.72884136227997</v>
      </c>
      <c r="AU15" s="124">
        <v>174.64922615797624</v>
      </c>
      <c r="AV15" s="124">
        <v>103.72884136227997</v>
      </c>
      <c r="AW15" s="124">
        <v>174.64922615797624</v>
      </c>
      <c r="AX15" s="124">
        <v>108.2760910908226</v>
      </c>
      <c r="AY15" s="124">
        <v>174.64922615797624</v>
      </c>
      <c r="AZ15" s="100">
        <v>174.63360925789493</v>
      </c>
    </row>
    <row r="16" spans="1:53">
      <c r="A16" s="110"/>
      <c r="B16" s="119">
        <v>2</v>
      </c>
      <c r="C16" s="109" t="s">
        <v>293</v>
      </c>
      <c r="D16" s="106">
        <v>118.68155157457724</v>
      </c>
      <c r="E16" s="110">
        <v>57.31053886062405</v>
      </c>
      <c r="F16" s="110">
        <v>108.26047419074139</v>
      </c>
      <c r="G16" s="110"/>
      <c r="H16" s="110">
        <v>0</v>
      </c>
      <c r="I16" s="110">
        <v>108.26047419074129</v>
      </c>
      <c r="J16" s="110"/>
      <c r="K16" s="110">
        <v>66.37313506715364</v>
      </c>
      <c r="L16" s="110"/>
      <c r="M16" s="110"/>
      <c r="N16" s="110">
        <v>0</v>
      </c>
      <c r="O16" s="110">
        <v>66.37313506715364</v>
      </c>
      <c r="P16" s="110"/>
      <c r="Q16" s="110">
        <v>0</v>
      </c>
      <c r="R16" s="110"/>
      <c r="S16" s="110">
        <v>0</v>
      </c>
      <c r="T16" s="110">
        <v>108.26047419074129</v>
      </c>
      <c r="U16" s="110">
        <v>0</v>
      </c>
      <c r="V16" s="110"/>
      <c r="W16" s="110"/>
      <c r="X16" s="110">
        <v>108.26047419074129</v>
      </c>
      <c r="Y16" s="110"/>
      <c r="Z16" s="110">
        <v>108.26047419074129</v>
      </c>
      <c r="AA16" s="110"/>
      <c r="AB16" s="110">
        <v>108.26047419074129</v>
      </c>
      <c r="AC16" s="110"/>
      <c r="AD16" s="110">
        <v>66.37313506715364</v>
      </c>
      <c r="AE16" s="110"/>
      <c r="AF16" s="110"/>
      <c r="AG16" s="110"/>
      <c r="AH16" s="110">
        <v>66.37313506715364</v>
      </c>
      <c r="AI16" s="110">
        <v>4.5472497285426385</v>
      </c>
      <c r="AJ16" s="110">
        <v>132.74627013430728</v>
      </c>
      <c r="AK16" s="110"/>
      <c r="AL16" s="110">
        <v>174.63360925789493</v>
      </c>
      <c r="AM16" s="110"/>
      <c r="AN16" s="110">
        <v>174.63360925789493</v>
      </c>
      <c r="AO16" s="110">
        <v>4.5472497285426385</v>
      </c>
      <c r="AP16" s="110">
        <v>108.26047419074129</v>
      </c>
      <c r="AQ16" s="110">
        <v>66.37313506715364</v>
      </c>
      <c r="AR16" s="110"/>
      <c r="AS16" s="110">
        <v>4.5472497285426385</v>
      </c>
      <c r="AT16" s="110"/>
      <c r="AU16" s="110">
        <v>70.920384795696279</v>
      </c>
      <c r="AV16" s="110"/>
      <c r="AW16" s="110">
        <v>70.920384795696279</v>
      </c>
      <c r="AX16" s="110"/>
      <c r="AY16" s="110">
        <v>66.37313506715364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>
        <v>132.74627013430728</v>
      </c>
      <c r="T17" s="110"/>
      <c r="U17" s="110"/>
      <c r="V17" s="110">
        <v>66.37313506715364</v>
      </c>
      <c r="W17" s="110"/>
      <c r="X17" s="110"/>
      <c r="Y17" s="110"/>
      <c r="Z17" s="110">
        <v>0</v>
      </c>
      <c r="AA17" s="110"/>
      <c r="AB17" s="110"/>
      <c r="AC17" s="110"/>
      <c r="AD17" s="110"/>
      <c r="AE17" s="110">
        <v>108.26047419074129</v>
      </c>
      <c r="AF17" s="110"/>
      <c r="AG17" s="110">
        <v>66.37313506715364</v>
      </c>
      <c r="AH17" s="110"/>
      <c r="AI17" s="110"/>
      <c r="AJ17" s="110"/>
      <c r="AK17" s="110"/>
      <c r="AL17" s="110"/>
      <c r="AM17" s="110"/>
      <c r="AN17" s="110">
        <v>66.37313506715364</v>
      </c>
      <c r="AO17" s="110"/>
      <c r="AP17" s="110">
        <v>66.37313506715364</v>
      </c>
      <c r="AQ17" s="110"/>
      <c r="AR17" s="110"/>
      <c r="AS17" s="110"/>
      <c r="AT17" s="110"/>
      <c r="AU17" s="110"/>
      <c r="AV17" s="110"/>
      <c r="AW17" s="110"/>
      <c r="AX17" s="110"/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4.4180989438330016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23.302312026426534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27.720410970259536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160</v>
      </c>
      <c r="D95" s="110">
        <v>160</v>
      </c>
      <c r="E95" s="110">
        <v>160</v>
      </c>
      <c r="F95" s="110">
        <v>160</v>
      </c>
      <c r="G95" s="110">
        <v>160</v>
      </c>
      <c r="H95" s="110">
        <v>160</v>
      </c>
      <c r="I95" s="110">
        <v>160</v>
      </c>
      <c r="J95" s="110">
        <v>160</v>
      </c>
      <c r="K95" s="110">
        <v>160</v>
      </c>
      <c r="L95" s="110">
        <v>160</v>
      </c>
      <c r="M95" s="110">
        <v>160</v>
      </c>
      <c r="N95" s="110">
        <v>160</v>
      </c>
      <c r="O95" s="110">
        <v>160</v>
      </c>
      <c r="P95" s="110">
        <v>160</v>
      </c>
      <c r="Q95" s="110">
        <v>160</v>
      </c>
      <c r="R95" s="110">
        <v>160</v>
      </c>
      <c r="S95" s="110">
        <v>160</v>
      </c>
      <c r="T95" s="110">
        <v>160</v>
      </c>
      <c r="U95" s="110">
        <v>160</v>
      </c>
      <c r="V95" s="110">
        <v>160</v>
      </c>
      <c r="W95" s="110">
        <v>160</v>
      </c>
      <c r="X95" s="110">
        <v>160</v>
      </c>
      <c r="Y95" s="110">
        <v>160</v>
      </c>
      <c r="Z95" s="110">
        <v>160</v>
      </c>
      <c r="AA95" s="110">
        <v>160</v>
      </c>
      <c r="AB95" s="110">
        <v>160</v>
      </c>
      <c r="AC95" s="110">
        <v>160</v>
      </c>
      <c r="AD95" s="110">
        <v>160</v>
      </c>
      <c r="AE95" s="110">
        <v>160</v>
      </c>
      <c r="AF95" s="110">
        <v>128</v>
      </c>
      <c r="AG95" s="110">
        <v>128</v>
      </c>
      <c r="AH95" s="110">
        <v>128</v>
      </c>
      <c r="AI95" s="110">
        <v>128</v>
      </c>
      <c r="AJ95" s="110">
        <v>160</v>
      </c>
      <c r="AK95" s="110">
        <v>160</v>
      </c>
      <c r="AL95" s="110">
        <v>160</v>
      </c>
      <c r="AM95" s="110">
        <v>160</v>
      </c>
      <c r="AN95" s="110">
        <v>160</v>
      </c>
      <c r="AO95" s="110">
        <v>160</v>
      </c>
      <c r="AP95" s="110">
        <v>160</v>
      </c>
      <c r="AQ95" s="110">
        <v>160</v>
      </c>
      <c r="AR95" s="110">
        <v>160</v>
      </c>
      <c r="AS95" s="110">
        <v>160</v>
      </c>
      <c r="AT95" s="110">
        <v>160</v>
      </c>
      <c r="AU95" s="110">
        <v>160</v>
      </c>
      <c r="AV95" s="110">
        <v>160</v>
      </c>
      <c r="AW95" s="110">
        <v>160</v>
      </c>
      <c r="AX95" s="110">
        <v>160</v>
      </c>
      <c r="AY95" s="110">
        <v>160</v>
      </c>
    </row>
    <row r="96" spans="1:52">
      <c r="A96" s="109"/>
      <c r="B96" s="120">
        <v>2</v>
      </c>
      <c r="C96" s="110">
        <v>160</v>
      </c>
      <c r="D96" s="110">
        <v>160</v>
      </c>
      <c r="E96" s="110">
        <v>160</v>
      </c>
      <c r="F96" s="110">
        <v>160</v>
      </c>
      <c r="G96" s="110">
        <v>160</v>
      </c>
      <c r="H96" s="110">
        <v>160</v>
      </c>
      <c r="I96" s="110">
        <v>160</v>
      </c>
      <c r="J96" s="110">
        <v>160</v>
      </c>
      <c r="K96" s="110">
        <v>160</v>
      </c>
      <c r="L96" s="110">
        <v>160</v>
      </c>
      <c r="M96" s="110">
        <v>160</v>
      </c>
      <c r="N96" s="110">
        <v>160</v>
      </c>
      <c r="O96" s="110">
        <v>160</v>
      </c>
      <c r="P96" s="110">
        <v>160</v>
      </c>
      <c r="Q96" s="110">
        <v>160</v>
      </c>
      <c r="R96" s="110">
        <v>160</v>
      </c>
      <c r="S96" s="110">
        <v>160</v>
      </c>
      <c r="T96" s="110">
        <v>160</v>
      </c>
      <c r="U96" s="110">
        <v>160</v>
      </c>
      <c r="V96" s="110">
        <v>160</v>
      </c>
      <c r="W96" s="110">
        <v>160</v>
      </c>
      <c r="X96" s="110">
        <v>160</v>
      </c>
      <c r="Y96" s="110">
        <v>160</v>
      </c>
      <c r="Z96" s="110">
        <v>160</v>
      </c>
      <c r="AA96" s="110">
        <v>160</v>
      </c>
      <c r="AB96" s="110">
        <v>160</v>
      </c>
      <c r="AC96" s="110">
        <v>160</v>
      </c>
      <c r="AD96" s="110">
        <v>160</v>
      </c>
      <c r="AE96" s="110">
        <v>160</v>
      </c>
      <c r="AF96" s="110">
        <v>160</v>
      </c>
      <c r="AG96" s="110">
        <v>128</v>
      </c>
      <c r="AH96" s="110">
        <v>128</v>
      </c>
      <c r="AI96" s="110">
        <v>128</v>
      </c>
      <c r="AJ96" s="110">
        <v>128</v>
      </c>
      <c r="AK96" s="110">
        <v>160</v>
      </c>
      <c r="AL96" s="110">
        <v>160</v>
      </c>
      <c r="AM96" s="110">
        <v>160</v>
      </c>
      <c r="AN96" s="110">
        <v>160</v>
      </c>
      <c r="AO96" s="110">
        <v>160</v>
      </c>
      <c r="AP96" s="110">
        <v>160</v>
      </c>
      <c r="AQ96" s="110">
        <v>160</v>
      </c>
      <c r="AR96" s="110">
        <v>160</v>
      </c>
      <c r="AS96" s="110">
        <v>160</v>
      </c>
      <c r="AT96" s="110">
        <v>160</v>
      </c>
      <c r="AU96" s="110">
        <v>160</v>
      </c>
      <c r="AV96" s="110">
        <v>160</v>
      </c>
      <c r="AW96" s="110">
        <v>160</v>
      </c>
      <c r="AX96" s="110">
        <v>160</v>
      </c>
      <c r="AY96" s="110">
        <v>160</v>
      </c>
    </row>
    <row r="97" spans="1:52">
      <c r="A97" s="109"/>
      <c r="B97" s="127">
        <v>3</v>
      </c>
      <c r="C97" s="110">
        <v>160</v>
      </c>
      <c r="D97" s="110">
        <v>160</v>
      </c>
      <c r="E97" s="110">
        <v>160</v>
      </c>
      <c r="F97" s="110">
        <v>160</v>
      </c>
      <c r="G97" s="110">
        <v>160</v>
      </c>
      <c r="H97" s="110">
        <v>160</v>
      </c>
      <c r="I97" s="110">
        <v>160</v>
      </c>
      <c r="J97" s="110">
        <v>160</v>
      </c>
      <c r="K97" s="110">
        <v>160</v>
      </c>
      <c r="L97" s="110">
        <v>160</v>
      </c>
      <c r="M97" s="110">
        <v>160</v>
      </c>
      <c r="N97" s="110">
        <v>160</v>
      </c>
      <c r="O97" s="110">
        <v>160</v>
      </c>
      <c r="P97" s="110">
        <v>160</v>
      </c>
      <c r="Q97" s="110">
        <v>160</v>
      </c>
      <c r="R97" s="110">
        <v>160</v>
      </c>
      <c r="S97" s="110">
        <v>160</v>
      </c>
      <c r="T97" s="110">
        <v>160</v>
      </c>
      <c r="U97" s="110">
        <v>160</v>
      </c>
      <c r="V97" s="110">
        <v>160</v>
      </c>
      <c r="W97" s="110">
        <v>160</v>
      </c>
      <c r="X97" s="110">
        <v>160</v>
      </c>
      <c r="Y97" s="110">
        <v>160</v>
      </c>
      <c r="Z97" s="110">
        <v>160</v>
      </c>
      <c r="AA97" s="110">
        <v>160</v>
      </c>
      <c r="AB97" s="110">
        <v>160</v>
      </c>
      <c r="AC97" s="110">
        <v>160</v>
      </c>
      <c r="AD97" s="110">
        <v>160</v>
      </c>
      <c r="AE97" s="110">
        <v>160</v>
      </c>
      <c r="AF97" s="110">
        <v>160</v>
      </c>
      <c r="AG97" s="110">
        <v>160</v>
      </c>
      <c r="AH97" s="110">
        <v>128</v>
      </c>
      <c r="AI97" s="110">
        <v>128</v>
      </c>
      <c r="AJ97" s="110">
        <v>128</v>
      </c>
      <c r="AK97" s="110">
        <v>128</v>
      </c>
      <c r="AL97" s="110">
        <v>160</v>
      </c>
      <c r="AM97" s="110">
        <v>160</v>
      </c>
      <c r="AN97" s="110">
        <v>160</v>
      </c>
      <c r="AO97" s="110">
        <v>160</v>
      </c>
      <c r="AP97" s="110">
        <v>160</v>
      </c>
      <c r="AQ97" s="110">
        <v>160</v>
      </c>
      <c r="AR97" s="110">
        <v>160</v>
      </c>
      <c r="AS97" s="110">
        <v>160</v>
      </c>
      <c r="AT97" s="110">
        <v>160</v>
      </c>
      <c r="AU97" s="110">
        <v>160</v>
      </c>
      <c r="AV97" s="110">
        <v>160</v>
      </c>
      <c r="AW97" s="110">
        <v>160</v>
      </c>
      <c r="AX97" s="110">
        <v>160</v>
      </c>
      <c r="AY97" s="110">
        <v>160</v>
      </c>
    </row>
    <row r="98" spans="1:52">
      <c r="A98" s="109"/>
      <c r="B98" s="130">
        <v>4</v>
      </c>
      <c r="C98" s="106">
        <v>160</v>
      </c>
      <c r="D98" s="110">
        <v>160</v>
      </c>
      <c r="E98" s="110">
        <v>160</v>
      </c>
      <c r="F98" s="110">
        <v>160</v>
      </c>
      <c r="G98" s="110">
        <v>160</v>
      </c>
      <c r="H98" s="110">
        <v>160</v>
      </c>
      <c r="I98" s="110">
        <v>160</v>
      </c>
      <c r="J98" s="110">
        <v>160</v>
      </c>
      <c r="K98" s="110">
        <v>143</v>
      </c>
      <c r="L98" s="110">
        <v>160</v>
      </c>
      <c r="M98" s="110">
        <v>158</v>
      </c>
      <c r="N98" s="110">
        <v>160</v>
      </c>
      <c r="O98" s="110">
        <v>160</v>
      </c>
      <c r="P98" s="110">
        <v>160</v>
      </c>
      <c r="Q98" s="110">
        <v>145</v>
      </c>
      <c r="R98" s="110">
        <v>155</v>
      </c>
      <c r="S98" s="110">
        <v>160</v>
      </c>
      <c r="T98" s="110">
        <v>160</v>
      </c>
      <c r="U98" s="110">
        <v>160</v>
      </c>
      <c r="V98" s="110">
        <v>160</v>
      </c>
      <c r="W98" s="110">
        <v>140</v>
      </c>
      <c r="X98" s="110">
        <v>118</v>
      </c>
      <c r="Y98" s="110">
        <v>160</v>
      </c>
      <c r="Z98" s="110">
        <v>155.581901056167</v>
      </c>
      <c r="AA98" s="110">
        <v>150.581901056167</v>
      </c>
      <c r="AB98" s="110">
        <v>122.581901056167</v>
      </c>
      <c r="AC98" s="110">
        <v>160</v>
      </c>
      <c r="AD98" s="110">
        <v>160</v>
      </c>
      <c r="AE98" s="110">
        <v>160</v>
      </c>
      <c r="AF98" s="110">
        <v>160</v>
      </c>
      <c r="AG98" s="110">
        <v>160</v>
      </c>
      <c r="AH98" s="110">
        <v>160</v>
      </c>
      <c r="AI98" s="110">
        <v>128</v>
      </c>
      <c r="AJ98" s="110">
        <v>91</v>
      </c>
      <c r="AK98" s="110">
        <v>58</v>
      </c>
      <c r="AL98" s="110">
        <v>62</v>
      </c>
      <c r="AM98" s="110">
        <v>72</v>
      </c>
      <c r="AN98" s="110">
        <v>78.697687973573466</v>
      </c>
      <c r="AO98" s="110">
        <v>62.697687973573466</v>
      </c>
      <c r="AP98" s="110">
        <v>95.697687973573466</v>
      </c>
      <c r="AQ98" s="110">
        <v>54.697687973573466</v>
      </c>
      <c r="AR98" s="110">
        <v>80.697687973573466</v>
      </c>
      <c r="AS98" s="110">
        <v>127.69768797357347</v>
      </c>
      <c r="AT98" s="110">
        <v>107.69768797357347</v>
      </c>
      <c r="AU98" s="110">
        <v>134.69768797357347</v>
      </c>
      <c r="AV98" s="110">
        <v>137.69768797357347</v>
      </c>
      <c r="AW98" s="110">
        <v>126.69768797357347</v>
      </c>
      <c r="AX98" s="110">
        <v>160</v>
      </c>
      <c r="AY98" s="110">
        <v>160</v>
      </c>
    </row>
    <row r="99" spans="1:52">
      <c r="A99" s="128"/>
      <c r="B99" s="132" t="s">
        <v>296</v>
      </c>
      <c r="C99" s="125">
        <v>15</v>
      </c>
      <c r="D99" s="125">
        <v>0</v>
      </c>
      <c r="E99" s="125">
        <v>60</v>
      </c>
      <c r="F99" s="125">
        <v>5</v>
      </c>
      <c r="G99" s="125">
        <v>35</v>
      </c>
      <c r="H99" s="125">
        <v>9</v>
      </c>
      <c r="I99" s="125">
        <v>3</v>
      </c>
      <c r="J99" s="125">
        <v>59</v>
      </c>
      <c r="K99" s="125">
        <v>0</v>
      </c>
      <c r="L99" s="125">
        <v>37</v>
      </c>
      <c r="M99" s="125">
        <v>0</v>
      </c>
      <c r="N99" s="125">
        <v>11</v>
      </c>
      <c r="O99" s="125">
        <v>35</v>
      </c>
      <c r="P99" s="125">
        <v>12</v>
      </c>
      <c r="Q99" s="125">
        <v>0</v>
      </c>
      <c r="R99" s="125">
        <v>0</v>
      </c>
      <c r="S99" s="125">
        <v>42</v>
      </c>
      <c r="T99" s="125">
        <v>59</v>
      </c>
      <c r="U99" s="125">
        <v>14</v>
      </c>
      <c r="V99" s="125">
        <v>17</v>
      </c>
      <c r="W99" s="125">
        <v>0</v>
      </c>
      <c r="X99" s="125">
        <v>0</v>
      </c>
      <c r="Y99" s="125">
        <v>17</v>
      </c>
      <c r="Z99" s="125">
        <v>10</v>
      </c>
      <c r="AA99" s="125">
        <v>0</v>
      </c>
      <c r="AB99" s="125">
        <v>0</v>
      </c>
      <c r="AC99" s="125">
        <v>9.5819010561669984</v>
      </c>
      <c r="AD99" s="125">
        <v>45</v>
      </c>
      <c r="AE99" s="125">
        <v>19</v>
      </c>
      <c r="AF99" s="125">
        <v>45</v>
      </c>
      <c r="AG99" s="125">
        <v>49</v>
      </c>
      <c r="AH99" s="125">
        <v>4</v>
      </c>
      <c r="AI99" s="125">
        <v>4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14.697687973573466</v>
      </c>
      <c r="AY99" s="125">
        <v>29</v>
      </c>
      <c r="AZ99" s="107">
        <f>SUM($D99:$AY99)</f>
        <v>644.27958902974046</v>
      </c>
    </row>
    <row r="100" spans="1:52">
      <c r="A100" s="131" t="s">
        <v>133</v>
      </c>
      <c r="B100" s="119">
        <v>1</v>
      </c>
      <c r="C100" s="106">
        <v>55.366125607803824</v>
      </c>
      <c r="D100" s="106">
        <v>116.73915903349825</v>
      </c>
      <c r="E100" s="106">
        <v>66.272878359330448</v>
      </c>
      <c r="F100" s="106">
        <v>69.053138791175144</v>
      </c>
      <c r="G100" s="106">
        <v>180.00000000000003</v>
      </c>
      <c r="H100" s="106">
        <v>69.053138791175144</v>
      </c>
      <c r="I100" s="106">
        <v>180.00000000000003</v>
      </c>
      <c r="J100" s="106">
        <v>110.94686120882488</v>
      </c>
      <c r="K100" s="106">
        <v>180.00000000000003</v>
      </c>
      <c r="L100" s="106">
        <v>180.00000000000003</v>
      </c>
      <c r="M100" s="106">
        <v>69.053138791175144</v>
      </c>
      <c r="N100" s="106">
        <v>110.94686120882488</v>
      </c>
      <c r="O100" s="106">
        <v>180.00000000000003</v>
      </c>
      <c r="P100" s="106">
        <v>0</v>
      </c>
      <c r="Q100" s="106">
        <v>0</v>
      </c>
      <c r="R100" s="106">
        <v>180.00000000000003</v>
      </c>
      <c r="S100" s="106">
        <v>69.053138791175144</v>
      </c>
      <c r="T100" s="106">
        <v>110.94686120882488</v>
      </c>
      <c r="U100" s="106">
        <v>180.00000000000003</v>
      </c>
      <c r="V100" s="106">
        <v>180.00000000000003</v>
      </c>
      <c r="W100" s="106">
        <v>69.053138791175144</v>
      </c>
      <c r="X100" s="106">
        <v>180.00000000000003</v>
      </c>
      <c r="Y100" s="106">
        <v>69.053138791175144</v>
      </c>
      <c r="Z100" s="106">
        <v>180.00000000000003</v>
      </c>
      <c r="AA100" s="106">
        <v>69.053138791175144</v>
      </c>
      <c r="AB100" s="106">
        <v>180.00000000000003</v>
      </c>
      <c r="AC100" s="106">
        <v>0</v>
      </c>
      <c r="AD100" s="106">
        <v>69.053138791175144</v>
      </c>
      <c r="AE100" s="106">
        <v>7.492134218139991E-21</v>
      </c>
      <c r="AF100" s="106">
        <v>69.053138791175144</v>
      </c>
      <c r="AG100" s="106">
        <v>7.492134218139991E-21</v>
      </c>
      <c r="AH100" s="106">
        <v>106.28677553780135</v>
      </c>
      <c r="AI100" s="106">
        <v>110.94686120882488</v>
      </c>
      <c r="AJ100" s="106">
        <v>180.00000000000003</v>
      </c>
      <c r="AK100" s="106">
        <v>0</v>
      </c>
      <c r="AL100" s="106">
        <v>110.94686120882488</v>
      </c>
      <c r="AM100" s="106">
        <v>0</v>
      </c>
      <c r="AN100" s="106">
        <v>106.28677553780135</v>
      </c>
      <c r="AO100" s="106">
        <v>69.053138791175144</v>
      </c>
      <c r="AP100" s="106">
        <v>110.94686120882488</v>
      </c>
      <c r="AQ100" s="106">
        <v>180.00000000000003</v>
      </c>
      <c r="AR100" s="106">
        <v>106.28677553780135</v>
      </c>
      <c r="AS100" s="106">
        <v>249.05313879117517</v>
      </c>
      <c r="AT100" s="106">
        <v>106.28677553780135</v>
      </c>
      <c r="AU100" s="106">
        <v>180.00000000000003</v>
      </c>
      <c r="AV100" s="106">
        <v>106.28677553780135</v>
      </c>
      <c r="AW100" s="106">
        <v>180.00000000000003</v>
      </c>
      <c r="AX100" s="106">
        <v>110.94686120882488</v>
      </c>
      <c r="AY100" s="106">
        <v>180.00000000000003</v>
      </c>
    </row>
    <row r="101" spans="1:52">
      <c r="A101" s="109"/>
      <c r="B101" s="119">
        <v>2</v>
      </c>
      <c r="C101" s="106">
        <v>43.844443674800345</v>
      </c>
      <c r="D101" s="106">
        <v>116.73915903349827</v>
      </c>
      <c r="E101" s="106">
        <v>139.84444367480035</v>
      </c>
      <c r="F101" s="106">
        <v>148.06418324295578</v>
      </c>
      <c r="G101" s="106">
        <v>44.117322034130922</v>
      </c>
      <c r="H101" s="106">
        <v>52.11732203413095</v>
      </c>
      <c r="I101" s="106">
        <v>110.94686120882488</v>
      </c>
      <c r="J101" s="106">
        <v>134.94686120882491</v>
      </c>
      <c r="K101" s="106">
        <v>112.94686120882494</v>
      </c>
      <c r="L101" s="106">
        <v>149.94686120882497</v>
      </c>
      <c r="M101" s="106">
        <v>170.946861208825</v>
      </c>
      <c r="N101" s="106">
        <v>5.0000000000001421</v>
      </c>
      <c r="O101" s="106">
        <v>69.053138791175144</v>
      </c>
      <c r="P101" s="106">
        <v>67.053138791175172</v>
      </c>
      <c r="Q101" s="106">
        <v>0</v>
      </c>
      <c r="R101" s="106">
        <v>0</v>
      </c>
      <c r="S101" s="106">
        <v>28.000000000000028</v>
      </c>
      <c r="T101" s="106">
        <v>179.10627758235034</v>
      </c>
      <c r="U101" s="106">
        <v>55.053138791175229</v>
      </c>
      <c r="V101" s="106">
        <v>41.053138791175257</v>
      </c>
      <c r="W101" s="106">
        <v>142.10627758235043</v>
      </c>
      <c r="X101" s="106">
        <v>110.94686120882488</v>
      </c>
      <c r="Y101" s="106">
        <v>66.946861208824913</v>
      </c>
      <c r="Z101" s="106">
        <v>110.94686120882488</v>
      </c>
      <c r="AA101" s="106">
        <v>123.94686120882491</v>
      </c>
      <c r="AB101" s="106">
        <v>110.94686120882488</v>
      </c>
      <c r="AC101" s="106">
        <v>81.946861208824913</v>
      </c>
      <c r="AD101" s="106">
        <v>69.053138791175144</v>
      </c>
      <c r="AE101" s="106">
        <v>0</v>
      </c>
      <c r="AF101" s="106">
        <v>7.492134218139991E-21</v>
      </c>
      <c r="AG101" s="106">
        <v>0</v>
      </c>
      <c r="AH101" s="106">
        <v>69.053138791175144</v>
      </c>
      <c r="AI101" s="106">
        <v>4.6600856710235519</v>
      </c>
      <c r="AJ101" s="106">
        <v>138.10627758235029</v>
      </c>
      <c r="AK101" s="106">
        <v>157.10627758235032</v>
      </c>
      <c r="AL101" s="106">
        <v>180.00000000000003</v>
      </c>
      <c r="AM101" s="106">
        <v>110.94686120882488</v>
      </c>
      <c r="AN101" s="106">
        <v>180.00000000000003</v>
      </c>
      <c r="AO101" s="106">
        <v>110.94686120882488</v>
      </c>
      <c r="AP101" s="106">
        <v>140.00000000000009</v>
      </c>
      <c r="AQ101" s="106">
        <v>134.05313879117526</v>
      </c>
      <c r="AR101" s="106">
        <v>129.05313879117529</v>
      </c>
      <c r="AS101" s="106">
        <v>44.000000000000171</v>
      </c>
      <c r="AT101" s="106">
        <v>95.053138791175343</v>
      </c>
      <c r="AU101" s="106">
        <v>73.713224462198681</v>
      </c>
      <c r="AV101" s="106">
        <v>27.713224462198724</v>
      </c>
      <c r="AW101" s="106">
        <v>73.713224462198696</v>
      </c>
      <c r="AX101" s="106">
        <v>86.713224462198724</v>
      </c>
      <c r="AY101" s="106">
        <v>82.713224462198752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138.10627758235029</v>
      </c>
      <c r="T102" s="106">
        <v>0</v>
      </c>
      <c r="U102" s="106">
        <v>0</v>
      </c>
      <c r="V102" s="106">
        <v>69.053138791175144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110.94686120882488</v>
      </c>
      <c r="AF102" s="106">
        <v>0</v>
      </c>
      <c r="AG102" s="106">
        <v>69.053138791175144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1.0000000000000284</v>
      </c>
      <c r="AN102" s="106">
        <v>69.053138791175144</v>
      </c>
      <c r="AO102" s="106">
        <v>60.053138791175172</v>
      </c>
      <c r="AP102" s="106">
        <v>69.053138791175144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120.63439956571376</v>
      </c>
      <c r="D109" s="106">
        <v>45.201586169067916</v>
      </c>
      <c r="E109" s="106">
        <v>97.44114357360192</v>
      </c>
      <c r="F109" s="106">
        <v>49.680118277171346</v>
      </c>
      <c r="G109" s="106">
        <v>71.691431807990455</v>
      </c>
      <c r="H109" s="106">
        <v>71.691431807990412</v>
      </c>
      <c r="I109" s="106">
        <v>27.251793719208798</v>
      </c>
      <c r="J109" s="106">
        <v>116.13106989677203</v>
      </c>
      <c r="K109" s="106">
        <v>49.248864100625937</v>
      </c>
      <c r="L109" s="106">
        <v>98.936814975306945</v>
      </c>
      <c r="M109" s="106">
        <v>87.175774391172993</v>
      </c>
      <c r="N109" s="106">
        <v>27.251793719208798</v>
      </c>
      <c r="O109" s="106">
        <v>44.446048640673894</v>
      </c>
      <c r="P109" s="106">
        <v>98.936814975306945</v>
      </c>
      <c r="Q109" s="106">
        <v>8.7001745427239108</v>
      </c>
      <c r="R109" s="106">
        <v>6.410551892275608E-3</v>
      </c>
      <c r="S109" s="106">
        <v>71.691431807990412</v>
      </c>
      <c r="T109" s="106">
        <v>82.954857636486551</v>
      </c>
      <c r="U109" s="106">
        <v>88.885686729455514</v>
      </c>
      <c r="V109" s="106">
        <v>71.691431807990412</v>
      </c>
      <c r="W109" s="106">
        <v>98.936814975306945</v>
      </c>
      <c r="X109" s="106">
        <v>35.907159874315987</v>
      </c>
      <c r="Y109" s="106">
        <v>116.13106989677203</v>
      </c>
      <c r="Z109" s="106">
        <v>46.783852546379073</v>
      </c>
      <c r="AA109" s="106">
        <v>116.13106989677203</v>
      </c>
      <c r="AB109" s="106">
        <v>33.232957670706988</v>
      </c>
      <c r="AC109" s="106">
        <v>116.13106989677203</v>
      </c>
      <c r="AD109" s="106">
        <v>15.991255110724907</v>
      </c>
      <c r="AE109" s="106">
        <v>54.497176886525324</v>
      </c>
      <c r="AF109" s="106">
        <v>44.446048640673894</v>
      </c>
      <c r="AG109" s="106">
        <v>27.251793719208798</v>
      </c>
      <c r="AH109" s="106">
        <v>27.251793719208798</v>
      </c>
      <c r="AI109" s="106">
        <v>69.824839833899205</v>
      </c>
      <c r="AJ109" s="106">
        <v>46.312640614765101</v>
      </c>
      <c r="AK109" s="106">
        <v>126.18219814262345</v>
      </c>
      <c r="AL109" s="106">
        <v>20.399747215351095</v>
      </c>
      <c r="AM109" s="106">
        <v>116.13106989677203</v>
      </c>
      <c r="AN109" s="106">
        <v>31.523125915850734</v>
      </c>
      <c r="AO109" s="106">
        <v>141.50986108999737</v>
      </c>
      <c r="AP109" s="106">
        <v>40.559156147980431</v>
      </c>
      <c r="AQ109" s="106">
        <v>116.13106989677206</v>
      </c>
      <c r="AR109" s="106">
        <v>102.95082656667277</v>
      </c>
      <c r="AS109" s="106">
        <v>58.116499633375589</v>
      </c>
      <c r="AT109" s="106">
        <v>100.80340694939814</v>
      </c>
      <c r="AU109" s="106">
        <v>44.94641488481993</v>
      </c>
      <c r="AV109" s="106">
        <v>100.80340694939814</v>
      </c>
      <c r="AW109" s="106">
        <v>42.579456666582701</v>
      </c>
      <c r="AX109" s="106">
        <v>100.80340694939814</v>
      </c>
      <c r="AY109" s="106">
        <v>44.446048640673901</v>
      </c>
    </row>
    <row r="110" spans="1:52">
      <c r="A110" s="109"/>
      <c r="B110" s="119">
        <v>2</v>
      </c>
      <c r="C110" s="106">
        <v>0</v>
      </c>
      <c r="D110" s="106">
        <v>22.220766507214364</v>
      </c>
      <c r="E110" s="106">
        <v>2.42235267628228</v>
      </c>
      <c r="F110" s="106">
        <v>16.863496249884207</v>
      </c>
      <c r="G110" s="106">
        <v>0</v>
      </c>
      <c r="H110" s="106">
        <v>0</v>
      </c>
      <c r="I110" s="106">
        <v>0</v>
      </c>
      <c r="J110" s="106">
        <v>0</v>
      </c>
      <c r="K110" s="106">
        <v>16.131069896772033</v>
      </c>
      <c r="L110" s="106">
        <v>0</v>
      </c>
      <c r="M110" s="106">
        <v>24.936814975306945</v>
      </c>
      <c r="N110" s="106">
        <v>42.112589366479938</v>
      </c>
      <c r="O110" s="106">
        <v>7.1054273576010019E-15</v>
      </c>
      <c r="P110" s="106">
        <v>0</v>
      </c>
      <c r="Q110" s="106">
        <v>13.977794565337845</v>
      </c>
      <c r="R110" s="106">
        <v>0</v>
      </c>
      <c r="S110" s="106">
        <v>0</v>
      </c>
      <c r="T110" s="106">
        <v>10.691431807990412</v>
      </c>
      <c r="U110" s="106">
        <v>37.646289444476963</v>
      </c>
      <c r="V110" s="106">
        <v>24.531976173932478</v>
      </c>
      <c r="W110" s="106">
        <v>27.22340798192289</v>
      </c>
      <c r="X110" s="106">
        <v>48.848864733923392</v>
      </c>
      <c r="Y110" s="106">
        <v>0</v>
      </c>
      <c r="Z110" s="106">
        <v>43.777684839911586</v>
      </c>
      <c r="AA110" s="106">
        <v>0</v>
      </c>
      <c r="AB110" s="106">
        <v>24.899607671905883</v>
      </c>
      <c r="AC110" s="106">
        <v>0</v>
      </c>
      <c r="AD110" s="106">
        <v>14.146432533262882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65.553836013449597</v>
      </c>
      <c r="AM110" s="106">
        <v>1.9535832288006922</v>
      </c>
      <c r="AN110" s="106">
        <v>9.7036860942706085</v>
      </c>
      <c r="AO110" s="106">
        <v>0</v>
      </c>
      <c r="AP110" s="106">
        <v>51.509861089997372</v>
      </c>
      <c r="AQ110" s="106">
        <v>29.069017237977803</v>
      </c>
      <c r="AR110" s="106">
        <v>69.200087134749865</v>
      </c>
      <c r="AS110" s="106">
        <v>61.150913701422638</v>
      </c>
      <c r="AT110" s="106">
        <v>22.267413334798228</v>
      </c>
      <c r="AU110" s="106">
        <v>22.96489681682452</v>
      </c>
      <c r="AV110" s="106">
        <v>0</v>
      </c>
      <c r="AW110" s="106">
        <v>0</v>
      </c>
      <c r="AX110" s="106">
        <v>0</v>
      </c>
      <c r="AY110" s="106">
        <v>33.803406949398138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57.326373982329002</v>
      </c>
      <c r="D122" s="106">
        <v>118.69716847465855</v>
      </c>
      <c r="E122" s="106">
        <v>63.716395512552346</v>
      </c>
      <c r="F122" s="106">
        <v>66.388751967234953</v>
      </c>
      <c r="G122" s="106">
        <v>174.64922615797624</v>
      </c>
      <c r="H122" s="106">
        <v>66.388751967234953</v>
      </c>
      <c r="I122" s="106">
        <v>174.64922615797624</v>
      </c>
      <c r="J122" s="106">
        <v>108.2760910908226</v>
      </c>
      <c r="K122" s="106">
        <v>174.64922615797624</v>
      </c>
      <c r="L122" s="106">
        <v>174.64922615797624</v>
      </c>
      <c r="M122" s="106">
        <v>66.388751967234953</v>
      </c>
      <c r="N122" s="106">
        <v>108.2760910908226</v>
      </c>
      <c r="O122" s="106">
        <v>174.64922615797624</v>
      </c>
      <c r="P122" s="106">
        <v>1.5616900081310689E-2</v>
      </c>
      <c r="Q122" s="106">
        <v>1.5616900081310689E-2</v>
      </c>
      <c r="R122" s="106">
        <v>174.64922615797624</v>
      </c>
      <c r="S122" s="106">
        <v>66.388751967234953</v>
      </c>
      <c r="T122" s="106">
        <v>108.2760910908226</v>
      </c>
      <c r="U122" s="106">
        <v>174.64922615797624</v>
      </c>
      <c r="V122" s="106">
        <v>174.64922615797624</v>
      </c>
      <c r="W122" s="106">
        <v>66.388751967234953</v>
      </c>
      <c r="X122" s="106">
        <v>174.64922615797624</v>
      </c>
      <c r="Y122" s="106">
        <v>66.388751967234953</v>
      </c>
      <c r="Z122" s="106">
        <v>174.64922615797624</v>
      </c>
      <c r="AA122" s="106">
        <v>66.388751967234953</v>
      </c>
      <c r="AB122" s="106">
        <v>174.64922615797624</v>
      </c>
      <c r="AC122" s="106">
        <v>1.5616900081310689E-2</v>
      </c>
      <c r="AD122" s="106">
        <v>66.388751967234953</v>
      </c>
      <c r="AE122" s="106">
        <v>1.5616900081310689E-2</v>
      </c>
      <c r="AF122" s="106">
        <v>66.388751967234953</v>
      </c>
      <c r="AG122" s="106">
        <v>1.5616900081310689E-2</v>
      </c>
      <c r="AH122" s="106">
        <v>103.72884136227997</v>
      </c>
      <c r="AI122" s="106">
        <v>108.2760910908226</v>
      </c>
      <c r="AJ122" s="106">
        <v>174.64922615797624</v>
      </c>
      <c r="AK122" s="106">
        <v>1.5616900081310689E-2</v>
      </c>
      <c r="AL122" s="106">
        <v>108.2760910908226</v>
      </c>
      <c r="AM122" s="106">
        <v>1.5616900081310689E-2</v>
      </c>
      <c r="AN122" s="106">
        <v>103.72884136227997</v>
      </c>
      <c r="AO122" s="106">
        <v>66.388751967234953</v>
      </c>
      <c r="AP122" s="106">
        <v>108.2760910908226</v>
      </c>
      <c r="AQ122" s="106">
        <v>174.64922615797624</v>
      </c>
      <c r="AR122" s="106">
        <v>103.72884136227997</v>
      </c>
      <c r="AS122" s="106">
        <v>241.02236122512988</v>
      </c>
      <c r="AT122" s="106">
        <v>103.72884136227997</v>
      </c>
      <c r="AU122" s="106">
        <v>174.64922615797624</v>
      </c>
      <c r="AV122" s="106">
        <v>103.72884136227997</v>
      </c>
      <c r="AW122" s="106">
        <v>174.64922615797624</v>
      </c>
      <c r="AX122" s="106">
        <v>108.2760910908226</v>
      </c>
      <c r="AY122" s="106">
        <v>174.64922615797624</v>
      </c>
    </row>
    <row r="123" spans="1:52">
      <c r="A123" s="109"/>
      <c r="B123" s="119">
        <v>2</v>
      </c>
      <c r="C123" s="106">
        <v>53.093471779992029</v>
      </c>
      <c r="D123" s="106">
        <v>118.68155157457724</v>
      </c>
      <c r="E123" s="106">
        <v>57.310538860624064</v>
      </c>
      <c r="F123" s="106">
        <v>108.26047419074138</v>
      </c>
      <c r="G123" s="106">
        <v>0</v>
      </c>
      <c r="H123" s="106">
        <v>0</v>
      </c>
      <c r="I123" s="106">
        <v>108.26047419074131</v>
      </c>
      <c r="J123" s="106">
        <v>11.700254581422655</v>
      </c>
      <c r="K123" s="106">
        <v>66.37313506715364</v>
      </c>
      <c r="L123" s="106">
        <v>37.721780434805368</v>
      </c>
      <c r="M123" s="106">
        <v>0</v>
      </c>
      <c r="N123" s="106">
        <v>0</v>
      </c>
      <c r="O123" s="106">
        <v>66.37313506715364</v>
      </c>
      <c r="P123" s="106">
        <v>21.179088143551269</v>
      </c>
      <c r="Q123" s="106">
        <v>0</v>
      </c>
      <c r="R123" s="106">
        <v>0</v>
      </c>
      <c r="S123" s="106">
        <v>2.9533073805688019</v>
      </c>
      <c r="T123" s="106">
        <v>108.26047419074131</v>
      </c>
      <c r="U123" s="106">
        <v>0</v>
      </c>
      <c r="V123" s="106">
        <v>0</v>
      </c>
      <c r="W123" s="106">
        <v>21.085546249822926</v>
      </c>
      <c r="X123" s="106">
        <v>108.26047419074131</v>
      </c>
      <c r="Y123" s="106">
        <v>47.5825196039278</v>
      </c>
      <c r="Z123" s="106">
        <v>108.26047419074131</v>
      </c>
      <c r="AA123" s="106">
        <v>14.57085776234581</v>
      </c>
      <c r="AB123" s="106">
        <v>108.26047419074131</v>
      </c>
      <c r="AC123" s="106">
        <v>38.941065369327731</v>
      </c>
      <c r="AD123" s="106">
        <v>66.37313506715364</v>
      </c>
      <c r="AE123" s="106">
        <v>0</v>
      </c>
      <c r="AF123" s="106">
        <v>2.9819896552041314E-15</v>
      </c>
      <c r="AG123" s="106">
        <v>0</v>
      </c>
      <c r="AH123" s="106">
        <v>66.37313506715364</v>
      </c>
      <c r="AI123" s="106">
        <v>4.5472497285426456</v>
      </c>
      <c r="AJ123" s="106">
        <v>132.74627013430728</v>
      </c>
      <c r="AK123" s="106">
        <v>49.680699314129171</v>
      </c>
      <c r="AL123" s="106">
        <v>174.63360925789493</v>
      </c>
      <c r="AM123" s="106">
        <v>63.830042450148703</v>
      </c>
      <c r="AN123" s="106">
        <v>174.63360925789493</v>
      </c>
      <c r="AO123" s="106">
        <v>32.418386573912116</v>
      </c>
      <c r="AP123" s="106">
        <v>108.26047419074131</v>
      </c>
      <c r="AQ123" s="106">
        <v>76.151765519099143</v>
      </c>
      <c r="AR123" s="106">
        <v>37.8501651104026</v>
      </c>
      <c r="AS123" s="106">
        <v>4.5472497285426385</v>
      </c>
      <c r="AT123" s="106">
        <v>5.766204004274357</v>
      </c>
      <c r="AU123" s="106">
        <v>70.920384795696279</v>
      </c>
      <c r="AV123" s="106">
        <v>1.4210854715202004E-14</v>
      </c>
      <c r="AW123" s="106">
        <v>70.920384795696279</v>
      </c>
      <c r="AX123" s="106">
        <v>1.4210854715202004E-14</v>
      </c>
      <c r="AY123" s="106">
        <v>66.37313506715364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132.74627013430728</v>
      </c>
      <c r="T124" s="106">
        <v>0</v>
      </c>
      <c r="U124" s="106">
        <v>0</v>
      </c>
      <c r="V124" s="106">
        <v>66.37313506715364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108.26047419074129</v>
      </c>
      <c r="AF124" s="106">
        <v>0</v>
      </c>
      <c r="AG124" s="106">
        <v>66.37313506715364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12.948588001796779</v>
      </c>
      <c r="AN124" s="106">
        <v>66.37313506715364</v>
      </c>
      <c r="AO124" s="106">
        <v>0</v>
      </c>
      <c r="AP124" s="106">
        <v>66.37313506715364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0.40936106962478858</v>
      </c>
      <c r="D172" s="134">
        <v>0.41048811600884533</v>
      </c>
      <c r="E172" s="134">
        <v>0.41048811600884533</v>
      </c>
      <c r="F172" s="134">
        <v>0.41048811600884533</v>
      </c>
      <c r="G172" s="134">
        <v>0.41048811600884533</v>
      </c>
      <c r="H172" s="134">
        <v>0.41048811600884533</v>
      </c>
      <c r="I172" s="134">
        <v>0.41048811600884533</v>
      </c>
      <c r="J172" s="134">
        <v>0.41048811600884533</v>
      </c>
      <c r="K172" s="134">
        <v>0.41048811600884533</v>
      </c>
      <c r="L172" s="134">
        <v>0.41048811600884533</v>
      </c>
      <c r="M172" s="134">
        <v>0.41048811600884533</v>
      </c>
      <c r="N172" s="134">
        <v>0.41048811600884533</v>
      </c>
      <c r="O172" s="134">
        <v>0.41048811600884533</v>
      </c>
      <c r="P172" s="134">
        <v>0.41048811600884533</v>
      </c>
      <c r="Q172" s="134">
        <v>0.41048811600884533</v>
      </c>
      <c r="R172" s="134">
        <v>0.41048811600884533</v>
      </c>
      <c r="S172" s="134">
        <v>0.41048811600884533</v>
      </c>
      <c r="T172" s="134">
        <v>0.41048811600884533</v>
      </c>
      <c r="U172" s="134">
        <v>0.41048811600884533</v>
      </c>
      <c r="V172" s="134">
        <v>0.41048811600884533</v>
      </c>
      <c r="W172" s="134">
        <v>0.41048811600884533</v>
      </c>
      <c r="X172" s="134">
        <v>0.41048811600884533</v>
      </c>
      <c r="Y172" s="134">
        <v>0.41048811600884533</v>
      </c>
      <c r="Z172" s="134">
        <v>0.41048811600884533</v>
      </c>
      <c r="AA172" s="134">
        <v>0.41048811600884533</v>
      </c>
      <c r="AB172" s="134">
        <v>0.41048811600884533</v>
      </c>
      <c r="AC172" s="134">
        <v>0.41048811600884533</v>
      </c>
      <c r="AD172" s="134">
        <v>0.41048811600884533</v>
      </c>
      <c r="AE172" s="134">
        <v>0.41048811600884533</v>
      </c>
      <c r="AF172" s="134">
        <v>0.41048811600884533</v>
      </c>
      <c r="AG172" s="134">
        <v>0.41048811600884533</v>
      </c>
      <c r="AH172" s="134">
        <v>0.41048811600884533</v>
      </c>
      <c r="AI172" s="134">
        <v>0.41048811600884533</v>
      </c>
      <c r="AJ172" s="134">
        <v>0.41048811600884533</v>
      </c>
      <c r="AK172" s="134">
        <v>0.41048811600884533</v>
      </c>
      <c r="AL172" s="134">
        <v>0.41048811600884533</v>
      </c>
      <c r="AM172" s="134">
        <v>0.41048811600884533</v>
      </c>
      <c r="AN172" s="134">
        <v>0.41048811600884533</v>
      </c>
      <c r="AO172" s="134">
        <v>0.41048811600884533</v>
      </c>
      <c r="AP172" s="134">
        <v>0.41048811600884533</v>
      </c>
      <c r="AQ172" s="134">
        <v>0.41048811600884533</v>
      </c>
      <c r="AR172" s="134">
        <v>0.41048811600884533</v>
      </c>
      <c r="AS172" s="134">
        <v>0.41048811600884533</v>
      </c>
      <c r="AT172" s="134">
        <v>0.41048811600884533</v>
      </c>
      <c r="AU172" s="134">
        <v>0.41048811600884533</v>
      </c>
      <c r="AV172" s="134">
        <v>0.41048811600884533</v>
      </c>
      <c r="AW172" s="134">
        <v>0.41048811600884533</v>
      </c>
      <c r="AX172" s="134">
        <v>0.41048811600884533</v>
      </c>
      <c r="AY172" s="134">
        <v>0.41048811600884533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640</v>
      </c>
      <c r="E175" s="124">
        <f t="shared" si="1"/>
        <v>640</v>
      </c>
      <c r="F175" s="124">
        <f t="shared" si="1"/>
        <v>640</v>
      </c>
      <c r="G175" s="124">
        <f t="shared" si="1"/>
        <v>640</v>
      </c>
      <c r="H175" s="124">
        <f t="shared" si="1"/>
        <v>640</v>
      </c>
      <c r="I175" s="124">
        <f t="shared" si="1"/>
        <v>640</v>
      </c>
      <c r="J175" s="124">
        <f t="shared" si="1"/>
        <v>640</v>
      </c>
      <c r="K175" s="124">
        <f t="shared" si="1"/>
        <v>623</v>
      </c>
      <c r="L175" s="124">
        <f t="shared" si="1"/>
        <v>640</v>
      </c>
      <c r="M175" s="124">
        <f t="shared" si="1"/>
        <v>638</v>
      </c>
      <c r="N175" s="124">
        <f t="shared" si="1"/>
        <v>640</v>
      </c>
      <c r="O175" s="124">
        <f t="shared" si="1"/>
        <v>640</v>
      </c>
      <c r="P175" s="124">
        <f t="shared" si="1"/>
        <v>640</v>
      </c>
      <c r="Q175" s="124">
        <f t="shared" si="1"/>
        <v>625</v>
      </c>
      <c r="R175" s="124">
        <f t="shared" si="1"/>
        <v>635</v>
      </c>
      <c r="S175" s="124">
        <f t="shared" si="1"/>
        <v>640</v>
      </c>
      <c r="T175" s="124">
        <f t="shared" si="1"/>
        <v>640</v>
      </c>
      <c r="U175" s="124">
        <f t="shared" si="1"/>
        <v>640</v>
      </c>
      <c r="V175" s="124">
        <f t="shared" si="1"/>
        <v>640</v>
      </c>
      <c r="W175" s="124">
        <f t="shared" si="1"/>
        <v>620</v>
      </c>
      <c r="X175" s="124">
        <f t="shared" si="1"/>
        <v>598</v>
      </c>
      <c r="Y175" s="124">
        <f t="shared" si="1"/>
        <v>640</v>
      </c>
      <c r="Z175" s="124">
        <f t="shared" si="1"/>
        <v>635.581901056167</v>
      </c>
      <c r="AA175" s="124">
        <f t="shared" si="1"/>
        <v>630.581901056167</v>
      </c>
      <c r="AB175" s="124">
        <f t="shared" si="1"/>
        <v>602.581901056167</v>
      </c>
      <c r="AC175" s="124">
        <f t="shared" si="1"/>
        <v>640</v>
      </c>
      <c r="AD175" s="124">
        <f t="shared" si="1"/>
        <v>640</v>
      </c>
      <c r="AE175" s="124">
        <f t="shared" si="1"/>
        <v>640</v>
      </c>
      <c r="AF175" s="124">
        <f t="shared" si="1"/>
        <v>608</v>
      </c>
      <c r="AG175" s="124">
        <f t="shared" si="1"/>
        <v>576</v>
      </c>
      <c r="AH175" s="124">
        <f t="shared" si="1"/>
        <v>544</v>
      </c>
      <c r="AI175" s="124">
        <f t="shared" si="1"/>
        <v>512</v>
      </c>
      <c r="AJ175" s="124">
        <f t="shared" si="1"/>
        <v>507</v>
      </c>
      <c r="AK175" s="124">
        <f t="shared" si="1"/>
        <v>506</v>
      </c>
      <c r="AL175" s="124">
        <f t="shared" si="1"/>
        <v>542</v>
      </c>
      <c r="AM175" s="124">
        <f t="shared" si="1"/>
        <v>552</v>
      </c>
      <c r="AN175" s="124">
        <f t="shared" si="1"/>
        <v>558.69768797357347</v>
      </c>
      <c r="AO175" s="124">
        <f t="shared" si="1"/>
        <v>542.69768797357347</v>
      </c>
      <c r="AP175" s="124">
        <f t="shared" si="1"/>
        <v>575.69768797357347</v>
      </c>
      <c r="AQ175" s="124">
        <f t="shared" si="1"/>
        <v>534.69768797357347</v>
      </c>
      <c r="AR175" s="124">
        <f t="shared" si="1"/>
        <v>560.69768797357347</v>
      </c>
      <c r="AS175" s="124">
        <f t="shared" si="1"/>
        <v>607.69768797357347</v>
      </c>
      <c r="AT175" s="124">
        <f t="shared" si="1"/>
        <v>587.69768797357347</v>
      </c>
      <c r="AU175" s="124">
        <f t="shared" si="1"/>
        <v>614.69768797357347</v>
      </c>
      <c r="AV175" s="124">
        <f t="shared" si="1"/>
        <v>617.69768797357347</v>
      </c>
      <c r="AW175" s="124">
        <f t="shared" si="1"/>
        <v>606.69768797357347</v>
      </c>
      <c r="AX175" s="124">
        <f t="shared" si="1"/>
        <v>640</v>
      </c>
      <c r="AY175" s="124">
        <f t="shared" si="1"/>
        <v>640</v>
      </c>
    </row>
    <row r="176" spans="1:52">
      <c r="A176" s="125"/>
      <c r="B176" s="136" t="s">
        <v>299</v>
      </c>
      <c r="C176" s="125" t="s">
        <v>293</v>
      </c>
      <c r="D176" s="125">
        <v>100</v>
      </c>
      <c r="E176" s="125">
        <v>155</v>
      </c>
      <c r="F176" s="125">
        <v>125</v>
      </c>
      <c r="G176" s="125">
        <v>151</v>
      </c>
      <c r="H176" s="125">
        <v>157</v>
      </c>
      <c r="I176" s="125">
        <v>101</v>
      </c>
      <c r="J176" s="125">
        <v>177</v>
      </c>
      <c r="K176" s="125">
        <v>106</v>
      </c>
      <c r="L176" s="125">
        <v>162</v>
      </c>
      <c r="M176" s="125">
        <v>147</v>
      </c>
      <c r="N176" s="125">
        <v>125</v>
      </c>
      <c r="O176" s="125">
        <v>148</v>
      </c>
      <c r="P176" s="125">
        <v>175</v>
      </c>
      <c r="Q176" s="125">
        <v>150</v>
      </c>
      <c r="R176" s="125">
        <v>113</v>
      </c>
      <c r="S176" s="125">
        <v>101</v>
      </c>
      <c r="T176" s="125">
        <v>146</v>
      </c>
      <c r="U176" s="125">
        <v>143</v>
      </c>
      <c r="V176" s="125">
        <v>180</v>
      </c>
      <c r="W176" s="125">
        <v>182</v>
      </c>
      <c r="X176" s="125">
        <v>101</v>
      </c>
      <c r="Y176" s="125">
        <v>150</v>
      </c>
      <c r="Z176" s="125">
        <v>165</v>
      </c>
      <c r="AA176" s="125">
        <v>188</v>
      </c>
      <c r="AB176" s="125">
        <v>113</v>
      </c>
      <c r="AC176" s="125">
        <v>115</v>
      </c>
      <c r="AD176" s="125">
        <v>141</v>
      </c>
      <c r="AE176" s="125">
        <v>115</v>
      </c>
      <c r="AF176" s="125">
        <v>111</v>
      </c>
      <c r="AG176" s="125">
        <v>156</v>
      </c>
      <c r="AH176" s="125">
        <v>156</v>
      </c>
      <c r="AI176" s="125">
        <v>165</v>
      </c>
      <c r="AJ176" s="125">
        <v>161</v>
      </c>
      <c r="AK176" s="125">
        <v>124</v>
      </c>
      <c r="AL176" s="125">
        <v>150</v>
      </c>
      <c r="AM176" s="125">
        <v>130</v>
      </c>
      <c r="AN176" s="125">
        <v>176</v>
      </c>
      <c r="AO176" s="125">
        <v>127</v>
      </c>
      <c r="AP176" s="125">
        <v>201</v>
      </c>
      <c r="AQ176" s="125">
        <v>134</v>
      </c>
      <c r="AR176" s="125">
        <v>113</v>
      </c>
      <c r="AS176" s="125">
        <v>180</v>
      </c>
      <c r="AT176" s="125">
        <v>133</v>
      </c>
      <c r="AU176" s="125">
        <v>157</v>
      </c>
      <c r="AV176" s="125">
        <v>171</v>
      </c>
      <c r="AW176" s="125">
        <v>112</v>
      </c>
      <c r="AX176" s="125">
        <v>131</v>
      </c>
      <c r="AY176" s="125">
        <v>165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233.47831806699651</v>
      </c>
      <c r="E177" s="124">
        <f t="shared" si="2"/>
        <v>206.11732203413078</v>
      </c>
      <c r="F177" s="124">
        <f t="shared" si="2"/>
        <v>217.11732203413092</v>
      </c>
      <c r="G177" s="124">
        <f t="shared" si="2"/>
        <v>224.11732203413095</v>
      </c>
      <c r="H177" s="124">
        <f t="shared" si="2"/>
        <v>121.17046082530609</v>
      </c>
      <c r="I177" s="124">
        <f t="shared" si="2"/>
        <v>290.94686120882488</v>
      </c>
      <c r="J177" s="124">
        <f t="shared" si="2"/>
        <v>245.8937224176498</v>
      </c>
      <c r="K177" s="124">
        <f t="shared" si="2"/>
        <v>292.946861208825</v>
      </c>
      <c r="L177" s="124">
        <f t="shared" si="2"/>
        <v>329.946861208825</v>
      </c>
      <c r="M177" s="124">
        <f t="shared" si="2"/>
        <v>240.00000000000014</v>
      </c>
      <c r="N177" s="124">
        <f t="shared" si="2"/>
        <v>115.94686120882503</v>
      </c>
      <c r="O177" s="124">
        <f t="shared" si="2"/>
        <v>249.05313879117517</v>
      </c>
      <c r="P177" s="124">
        <f t="shared" si="2"/>
        <v>67.053138791175172</v>
      </c>
      <c r="Q177" s="124">
        <f t="shared" si="2"/>
        <v>0</v>
      </c>
      <c r="R177" s="124">
        <f t="shared" si="2"/>
        <v>180.00000000000003</v>
      </c>
      <c r="S177" s="124">
        <f t="shared" si="2"/>
        <v>235.15941637352546</v>
      </c>
      <c r="T177" s="124">
        <f t="shared" si="2"/>
        <v>290.05313879117523</v>
      </c>
      <c r="U177" s="124">
        <f t="shared" si="2"/>
        <v>235.05313879117526</v>
      </c>
      <c r="V177" s="124">
        <f t="shared" si="2"/>
        <v>290.10627758235046</v>
      </c>
      <c r="W177" s="124">
        <f t="shared" si="2"/>
        <v>211.15941637352557</v>
      </c>
      <c r="X177" s="124">
        <f t="shared" si="2"/>
        <v>290.94686120882488</v>
      </c>
      <c r="Y177" s="124">
        <f t="shared" si="2"/>
        <v>136.00000000000006</v>
      </c>
      <c r="Z177" s="124">
        <f t="shared" si="2"/>
        <v>290.94686120882488</v>
      </c>
      <c r="AA177" s="124">
        <f t="shared" si="2"/>
        <v>193.00000000000006</v>
      </c>
      <c r="AB177" s="124">
        <f t="shared" si="2"/>
        <v>290.94686120882488</v>
      </c>
      <c r="AC177" s="124">
        <f t="shared" si="2"/>
        <v>81.946861208824913</v>
      </c>
      <c r="AD177" s="124">
        <f t="shared" si="2"/>
        <v>138.10627758235029</v>
      </c>
      <c r="AE177" s="124">
        <f t="shared" si="2"/>
        <v>110.94686120882488</v>
      </c>
      <c r="AF177" s="124">
        <f t="shared" si="2"/>
        <v>69.053138791175144</v>
      </c>
      <c r="AG177" s="124">
        <f t="shared" si="2"/>
        <v>69.053138791175144</v>
      </c>
      <c r="AH177" s="124">
        <f t="shared" si="2"/>
        <v>175.33991432897648</v>
      </c>
      <c r="AI177" s="124">
        <f t="shared" si="2"/>
        <v>115.60694687984844</v>
      </c>
      <c r="AJ177" s="124">
        <f t="shared" si="2"/>
        <v>318.10627758235034</v>
      </c>
      <c r="AK177" s="124">
        <f t="shared" si="2"/>
        <v>157.10627758235032</v>
      </c>
      <c r="AL177" s="124">
        <f t="shared" si="2"/>
        <v>290.94686120882488</v>
      </c>
      <c r="AM177" s="124">
        <f t="shared" si="2"/>
        <v>111.94686120882491</v>
      </c>
      <c r="AN177" s="124">
        <f t="shared" si="2"/>
        <v>355.33991432897653</v>
      </c>
      <c r="AO177" s="124">
        <f t="shared" si="2"/>
        <v>240.0531387911752</v>
      </c>
      <c r="AP177" s="124">
        <f t="shared" si="2"/>
        <v>320.00000000000011</v>
      </c>
      <c r="AQ177" s="124">
        <f t="shared" si="2"/>
        <v>314.05313879117529</v>
      </c>
      <c r="AR177" s="124">
        <f t="shared" si="2"/>
        <v>235.33991432897665</v>
      </c>
      <c r="AS177" s="124">
        <f t="shared" si="2"/>
        <v>293.05313879117534</v>
      </c>
      <c r="AT177" s="124">
        <f t="shared" si="2"/>
        <v>201.3399143289767</v>
      </c>
      <c r="AU177" s="124">
        <f t="shared" si="2"/>
        <v>253.7132244621987</v>
      </c>
      <c r="AV177" s="124">
        <f t="shared" si="2"/>
        <v>134.00000000000006</v>
      </c>
      <c r="AW177" s="124">
        <f t="shared" si="2"/>
        <v>253.71322446219872</v>
      </c>
      <c r="AX177" s="124">
        <f t="shared" si="2"/>
        <v>197.66008567102361</v>
      </c>
      <c r="AY177" s="124">
        <f t="shared" si="2"/>
        <v>262.71322446219881</v>
      </c>
    </row>
    <row r="178" spans="1:51">
      <c r="A178" s="125"/>
      <c r="B178" s="136" t="s">
        <v>299</v>
      </c>
      <c r="C178" s="125" t="s">
        <v>293</v>
      </c>
      <c r="D178" s="125">
        <v>149</v>
      </c>
      <c r="E178" s="125">
        <v>169</v>
      </c>
      <c r="F178" s="125">
        <v>173</v>
      </c>
      <c r="G178" s="125">
        <v>172</v>
      </c>
      <c r="H178" s="125">
        <v>121.17046082530609</v>
      </c>
      <c r="I178" s="125">
        <v>156</v>
      </c>
      <c r="J178" s="125">
        <v>202</v>
      </c>
      <c r="K178" s="125">
        <v>143</v>
      </c>
      <c r="L178" s="125">
        <v>159</v>
      </c>
      <c r="M178" s="125">
        <v>235</v>
      </c>
      <c r="N178" s="125">
        <v>115.94686120882503</v>
      </c>
      <c r="O178" s="125">
        <v>182</v>
      </c>
      <c r="P178" s="125">
        <v>67.053138791175172</v>
      </c>
      <c r="Q178" s="125">
        <v>0</v>
      </c>
      <c r="R178" s="125">
        <v>152</v>
      </c>
      <c r="S178" s="125">
        <v>167</v>
      </c>
      <c r="T178" s="125">
        <v>235</v>
      </c>
      <c r="U178" s="125">
        <v>194</v>
      </c>
      <c r="V178" s="125">
        <v>148</v>
      </c>
      <c r="W178" s="125">
        <v>211.15941637352557</v>
      </c>
      <c r="X178" s="125">
        <v>224</v>
      </c>
      <c r="Y178" s="125">
        <v>136.00000000000006</v>
      </c>
      <c r="Z178" s="125">
        <v>167</v>
      </c>
      <c r="AA178" s="125">
        <v>193.00000000000006</v>
      </c>
      <c r="AB178" s="125">
        <v>209</v>
      </c>
      <c r="AC178" s="125">
        <v>81.946861208824913</v>
      </c>
      <c r="AD178" s="125">
        <v>138.10627758235029</v>
      </c>
      <c r="AE178" s="125">
        <v>110.94686120882488</v>
      </c>
      <c r="AF178" s="125">
        <v>69.053138791175144</v>
      </c>
      <c r="AG178" s="125">
        <v>69.053138791175144</v>
      </c>
      <c r="AH178" s="125">
        <v>175.33991432897648</v>
      </c>
      <c r="AI178" s="125">
        <v>115.60694687984844</v>
      </c>
      <c r="AJ178" s="125">
        <v>161</v>
      </c>
      <c r="AK178" s="125">
        <v>157.10627758235032</v>
      </c>
      <c r="AL178" s="125">
        <v>179</v>
      </c>
      <c r="AM178" s="125">
        <v>111.94686120882491</v>
      </c>
      <c r="AN178" s="125">
        <v>189</v>
      </c>
      <c r="AO178" s="125">
        <v>211</v>
      </c>
      <c r="AP178" s="125">
        <v>255</v>
      </c>
      <c r="AQ178" s="125">
        <v>185</v>
      </c>
      <c r="AR178" s="125">
        <v>196</v>
      </c>
      <c r="AS178" s="125">
        <v>198</v>
      </c>
      <c r="AT178" s="125">
        <v>201.3399143289767</v>
      </c>
      <c r="AU178" s="125">
        <v>226</v>
      </c>
      <c r="AV178" s="125">
        <v>134.00000000000006</v>
      </c>
      <c r="AW178" s="125">
        <v>167</v>
      </c>
      <c r="AX178" s="125">
        <v>184</v>
      </c>
      <c r="AY178" s="125">
        <v>161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67.422352676282287</v>
      </c>
      <c r="E179" s="124">
        <f t="shared" si="3"/>
        <v>99.863496249884207</v>
      </c>
      <c r="F179" s="124">
        <f t="shared" si="3"/>
        <v>66.543614527055553</v>
      </c>
      <c r="G179" s="124">
        <f t="shared" si="3"/>
        <v>71.691431807990455</v>
      </c>
      <c r="H179" s="124">
        <f t="shared" si="3"/>
        <v>71.691431807990412</v>
      </c>
      <c r="I179" s="124">
        <f t="shared" si="3"/>
        <v>27.251793719208798</v>
      </c>
      <c r="J179" s="124">
        <f t="shared" si="3"/>
        <v>116.13106989677203</v>
      </c>
      <c r="K179" s="124">
        <f t="shared" si="3"/>
        <v>65.37993399739797</v>
      </c>
      <c r="L179" s="124">
        <f t="shared" si="3"/>
        <v>98.936814975306945</v>
      </c>
      <c r="M179" s="124">
        <f t="shared" si="3"/>
        <v>112.11258936647994</v>
      </c>
      <c r="N179" s="124">
        <f t="shared" si="3"/>
        <v>69.364383085688729</v>
      </c>
      <c r="O179" s="124">
        <f t="shared" si="3"/>
        <v>44.446048640673901</v>
      </c>
      <c r="P179" s="124">
        <f t="shared" si="3"/>
        <v>98.936814975306945</v>
      </c>
      <c r="Q179" s="124">
        <f t="shared" si="3"/>
        <v>22.677969108061756</v>
      </c>
      <c r="R179" s="124">
        <f t="shared" si="3"/>
        <v>6.410551892275608E-3</v>
      </c>
      <c r="S179" s="124">
        <f t="shared" si="3"/>
        <v>71.691431807990412</v>
      </c>
      <c r="T179" s="124">
        <f t="shared" si="3"/>
        <v>93.646289444476963</v>
      </c>
      <c r="U179" s="124">
        <f t="shared" si="3"/>
        <v>126.53197617393248</v>
      </c>
      <c r="V179" s="124">
        <f t="shared" si="3"/>
        <v>96.22340798192289</v>
      </c>
      <c r="W179" s="124">
        <f t="shared" si="3"/>
        <v>126.16022295722983</v>
      </c>
      <c r="X179" s="124">
        <f t="shared" si="3"/>
        <v>84.756024608239386</v>
      </c>
      <c r="Y179" s="124">
        <f t="shared" si="3"/>
        <v>116.13106989677203</v>
      </c>
      <c r="Z179" s="124">
        <f t="shared" si="3"/>
        <v>90.561537386290667</v>
      </c>
      <c r="AA179" s="124">
        <f t="shared" si="3"/>
        <v>116.13106989677203</v>
      </c>
      <c r="AB179" s="124">
        <f t="shared" si="3"/>
        <v>58.132565342612871</v>
      </c>
      <c r="AC179" s="124">
        <f t="shared" si="3"/>
        <v>116.13106989677203</v>
      </c>
      <c r="AD179" s="124">
        <f t="shared" si="3"/>
        <v>30.137687643987789</v>
      </c>
      <c r="AE179" s="124">
        <f t="shared" si="3"/>
        <v>54.497176886525324</v>
      </c>
      <c r="AF179" s="124">
        <f t="shared" si="3"/>
        <v>44.446048640673894</v>
      </c>
      <c r="AG179" s="124">
        <f t="shared" si="3"/>
        <v>27.251793719208798</v>
      </c>
      <c r="AH179" s="124">
        <f t="shared" si="3"/>
        <v>27.251793719208798</v>
      </c>
      <c r="AI179" s="124">
        <f t="shared" si="3"/>
        <v>69.824839833899205</v>
      </c>
      <c r="AJ179" s="124">
        <f t="shared" si="3"/>
        <v>46.312640614765101</v>
      </c>
      <c r="AK179" s="124">
        <f t="shared" si="3"/>
        <v>126.18219814262345</v>
      </c>
      <c r="AL179" s="124">
        <f t="shared" si="3"/>
        <v>85.953583228800696</v>
      </c>
      <c r="AM179" s="124">
        <f t="shared" si="3"/>
        <v>118.08465312557273</v>
      </c>
      <c r="AN179" s="124">
        <f t="shared" si="3"/>
        <v>41.226812010121343</v>
      </c>
      <c r="AO179" s="124">
        <f t="shared" si="3"/>
        <v>141.50986108999737</v>
      </c>
      <c r="AP179" s="124">
        <f t="shared" si="3"/>
        <v>92.069017237977803</v>
      </c>
      <c r="AQ179" s="124">
        <f t="shared" si="3"/>
        <v>145.20008713474988</v>
      </c>
      <c r="AR179" s="124">
        <f t="shared" si="3"/>
        <v>172.15091370142264</v>
      </c>
      <c r="AS179" s="124">
        <f t="shared" si="3"/>
        <v>119.26741333479822</v>
      </c>
      <c r="AT179" s="124">
        <f t="shared" si="3"/>
        <v>123.07082028419637</v>
      </c>
      <c r="AU179" s="124">
        <f t="shared" si="3"/>
        <v>67.911311701644451</v>
      </c>
      <c r="AV179" s="124">
        <f t="shared" si="3"/>
        <v>100.80340694939814</v>
      </c>
      <c r="AW179" s="124">
        <f t="shared" si="3"/>
        <v>42.579456666582701</v>
      </c>
      <c r="AX179" s="124">
        <f t="shared" si="3"/>
        <v>100.80340694939814</v>
      </c>
      <c r="AY179" s="124">
        <f t="shared" si="3"/>
        <v>78.249455590072046</v>
      </c>
    </row>
    <row r="180" spans="1:51">
      <c r="A180" s="125"/>
      <c r="B180" s="136" t="s">
        <v>299</v>
      </c>
      <c r="C180" s="125" t="s">
        <v>293</v>
      </c>
      <c r="D180" s="125">
        <v>65</v>
      </c>
      <c r="E180" s="125">
        <v>83</v>
      </c>
      <c r="F180" s="125">
        <v>66.543614527055553</v>
      </c>
      <c r="G180" s="125">
        <v>71.691431807990455</v>
      </c>
      <c r="H180" s="125">
        <v>71.691431807990412</v>
      </c>
      <c r="I180" s="125">
        <v>27.251793719208798</v>
      </c>
      <c r="J180" s="125">
        <v>100</v>
      </c>
      <c r="K180" s="125">
        <v>65.37993399739797</v>
      </c>
      <c r="L180" s="125">
        <v>74</v>
      </c>
      <c r="M180" s="125">
        <v>70</v>
      </c>
      <c r="N180" s="125">
        <v>69.364383085688729</v>
      </c>
      <c r="O180" s="125">
        <v>44.446048640673901</v>
      </c>
      <c r="P180" s="125">
        <v>84.959020409969099</v>
      </c>
      <c r="Q180" s="125">
        <v>22.677969108061756</v>
      </c>
      <c r="R180" s="125">
        <v>6.410551892275608E-3</v>
      </c>
      <c r="S180" s="125">
        <v>61</v>
      </c>
      <c r="T180" s="125">
        <v>56</v>
      </c>
      <c r="U180" s="125">
        <v>102</v>
      </c>
      <c r="V180" s="125">
        <v>69</v>
      </c>
      <c r="W180" s="125">
        <v>77.311358223306442</v>
      </c>
      <c r="X180" s="125">
        <v>84.756024608239386</v>
      </c>
      <c r="Y180" s="125">
        <v>72.353385056860446</v>
      </c>
      <c r="Z180" s="125">
        <v>90.561537386290667</v>
      </c>
      <c r="AA180" s="125">
        <v>91.231462224866149</v>
      </c>
      <c r="AB180" s="125">
        <v>58.132565342612871</v>
      </c>
      <c r="AC180" s="125">
        <v>101.98463736350915</v>
      </c>
      <c r="AD180" s="125">
        <v>30.137687643987789</v>
      </c>
      <c r="AE180" s="125">
        <v>54.497176886525324</v>
      </c>
      <c r="AF180" s="125">
        <v>44.446048640673894</v>
      </c>
      <c r="AG180" s="125">
        <v>27.251793719208798</v>
      </c>
      <c r="AH180" s="125">
        <v>27.251793719208798</v>
      </c>
      <c r="AI180" s="125">
        <v>69.824839833899205</v>
      </c>
      <c r="AJ180" s="125">
        <v>46.312640614765101</v>
      </c>
      <c r="AK180" s="125">
        <v>60.628362129173851</v>
      </c>
      <c r="AL180" s="125">
        <v>84</v>
      </c>
      <c r="AM180" s="125">
        <v>108.38096703130212</v>
      </c>
      <c r="AN180" s="125">
        <v>41.226812010121343</v>
      </c>
      <c r="AO180" s="125">
        <v>90</v>
      </c>
      <c r="AP180" s="125">
        <v>63</v>
      </c>
      <c r="AQ180" s="125">
        <v>76</v>
      </c>
      <c r="AR180" s="125">
        <v>111</v>
      </c>
      <c r="AS180" s="125">
        <v>97</v>
      </c>
      <c r="AT180" s="125">
        <v>100.10592346737184</v>
      </c>
      <c r="AU180" s="125">
        <v>67.911311701644451</v>
      </c>
      <c r="AV180" s="125">
        <v>100.80340694939814</v>
      </c>
      <c r="AW180" s="125">
        <v>42.579456666582701</v>
      </c>
      <c r="AX180" s="125">
        <v>67</v>
      </c>
      <c r="AY180" s="125">
        <v>78.249455590072046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139.93757647563385</v>
      </c>
      <c r="E181" s="124">
        <f t="shared" si="4"/>
        <v>71.346816096005057</v>
      </c>
      <c r="F181" s="124">
        <f t="shared" si="4"/>
        <v>102.95779434998587</v>
      </c>
      <c r="G181" s="124">
        <f t="shared" si="4"/>
        <v>102.95779434998582</v>
      </c>
      <c r="H181" s="124">
        <f t="shared" si="4"/>
        <v>39.136958248026147</v>
      </c>
      <c r="I181" s="124">
        <f t="shared" si="4"/>
        <v>166.77863045194547</v>
      </c>
      <c r="J181" s="124">
        <f t="shared" si="4"/>
        <v>70.727481571619307</v>
      </c>
      <c r="K181" s="124">
        <f t="shared" si="4"/>
        <v>142.08554624982293</v>
      </c>
      <c r="L181" s="124">
        <f t="shared" si="4"/>
        <v>125.1952322016086</v>
      </c>
      <c r="M181" s="124">
        <f t="shared" si="4"/>
        <v>39.136958248026147</v>
      </c>
      <c r="N181" s="124">
        <f t="shared" si="4"/>
        <v>63.830042450148703</v>
      </c>
      <c r="O181" s="124">
        <f t="shared" si="4"/>
        <v>142.08554624982293</v>
      </c>
      <c r="P181" s="124">
        <f t="shared" si="4"/>
        <v>12.49453050090867</v>
      </c>
      <c r="Q181" s="124">
        <f t="shared" si="4"/>
        <v>9.2063481890350806E-3</v>
      </c>
      <c r="R181" s="124">
        <f t="shared" si="4"/>
        <v>102.95779434998582</v>
      </c>
      <c r="S181" s="124">
        <f t="shared" si="4"/>
        <v>119.13347184562447</v>
      </c>
      <c r="T181" s="124">
        <f t="shared" si="4"/>
        <v>127.6508785521084</v>
      </c>
      <c r="U181" s="124">
        <f t="shared" si="4"/>
        <v>102.95779434998582</v>
      </c>
      <c r="V181" s="124">
        <f t="shared" si="4"/>
        <v>142.08554624982293</v>
      </c>
      <c r="W181" s="124">
        <f t="shared" si="4"/>
        <v>51.567138342741885</v>
      </c>
      <c r="X181" s="124">
        <f t="shared" si="4"/>
        <v>166.77863045194547</v>
      </c>
      <c r="Y181" s="124">
        <f t="shared" si="4"/>
        <v>67.187419024783679</v>
      </c>
      <c r="Z181" s="124">
        <f t="shared" si="4"/>
        <v>166.77863045194547</v>
      </c>
      <c r="AA181" s="124">
        <f t="shared" si="4"/>
        <v>47.726652058873768</v>
      </c>
      <c r="AB181" s="124">
        <f t="shared" si="4"/>
        <v>166.77863045194547</v>
      </c>
      <c r="AC181" s="124">
        <f t="shared" si="4"/>
        <v>22.965427158684133</v>
      </c>
      <c r="AD181" s="124">
        <f t="shared" si="4"/>
        <v>78.264710147863269</v>
      </c>
      <c r="AE181" s="124">
        <f t="shared" si="4"/>
        <v>63.830042450148703</v>
      </c>
      <c r="AF181" s="124">
        <f t="shared" si="4"/>
        <v>39.136958248026147</v>
      </c>
      <c r="AG181" s="124">
        <f t="shared" si="4"/>
        <v>39.136958248026147</v>
      </c>
      <c r="AH181" s="124">
        <f t="shared" si="4"/>
        <v>100.27713659553437</v>
      </c>
      <c r="AI181" s="124">
        <f t="shared" si="4"/>
        <v>66.510700204600155</v>
      </c>
      <c r="AJ181" s="124">
        <f t="shared" si="4"/>
        <v>181.21329814966003</v>
      </c>
      <c r="AK181" s="124">
        <f t="shared" si="4"/>
        <v>29.296568998859385</v>
      </c>
      <c r="AL181" s="124">
        <f t="shared" si="4"/>
        <v>166.77863045194547</v>
      </c>
      <c r="AM181" s="124">
        <f t="shared" si="4"/>
        <v>45.271121436176045</v>
      </c>
      <c r="AN181" s="124">
        <f t="shared" si="4"/>
        <v>203.22572459733118</v>
      </c>
      <c r="AO181" s="124">
        <f t="shared" si="4"/>
        <v>58.24798239316663</v>
      </c>
      <c r="AP181" s="124">
        <f t="shared" si="4"/>
        <v>166.77863045194553</v>
      </c>
      <c r="AQ181" s="124">
        <f t="shared" si="4"/>
        <v>147.8501651104026</v>
      </c>
      <c r="AR181" s="124">
        <f t="shared" si="4"/>
        <v>83.462506839306982</v>
      </c>
      <c r="AS181" s="124">
        <f t="shared" si="4"/>
        <v>144.76620400427436</v>
      </c>
      <c r="AT181" s="124">
        <f t="shared" si="4"/>
        <v>64.548630481734378</v>
      </c>
      <c r="AU181" s="124">
        <f t="shared" si="4"/>
        <v>144.76620400427436</v>
      </c>
      <c r="AV181" s="124">
        <f t="shared" si="4"/>
        <v>61.149384695697279</v>
      </c>
      <c r="AW181" s="124">
        <f t="shared" si="4"/>
        <v>144.76620400427436</v>
      </c>
      <c r="AX181" s="124">
        <f t="shared" si="4"/>
        <v>63.83004245014871</v>
      </c>
      <c r="AY181" s="124">
        <f t="shared" si="4"/>
        <v>142.08554624982293</v>
      </c>
    </row>
    <row r="182" spans="1:51">
      <c r="A182" s="125"/>
      <c r="B182" s="136" t="s">
        <v>299</v>
      </c>
      <c r="C182" s="125" t="s">
        <v>293</v>
      </c>
      <c r="D182" s="125">
        <v>139.93757647563385</v>
      </c>
      <c r="E182" s="125">
        <v>71.346816096005057</v>
      </c>
      <c r="F182" s="125">
        <v>102.95779434998587</v>
      </c>
      <c r="G182" s="125">
        <v>102.95779434998582</v>
      </c>
      <c r="H182" s="125">
        <v>39.136958248026147</v>
      </c>
      <c r="I182" s="125">
        <v>155.07837587052285</v>
      </c>
      <c r="J182" s="125">
        <v>70.727481571619307</v>
      </c>
      <c r="K182" s="125">
        <v>104.36376581501757</v>
      </c>
      <c r="L182" s="125">
        <v>125.1952322016086</v>
      </c>
      <c r="M182" s="125">
        <v>39.136958248026147</v>
      </c>
      <c r="N182" s="125">
        <v>63.830042450148703</v>
      </c>
      <c r="O182" s="125">
        <v>120.90645810627166</v>
      </c>
      <c r="P182" s="125">
        <v>12.49453050090867</v>
      </c>
      <c r="Q182" s="125">
        <v>9.2063481890350806E-3</v>
      </c>
      <c r="R182" s="125">
        <v>100.00448696941702</v>
      </c>
      <c r="S182" s="125">
        <v>119.13347184562447</v>
      </c>
      <c r="T182" s="125">
        <v>127.6508785521084</v>
      </c>
      <c r="U182" s="125">
        <v>102.95779434998582</v>
      </c>
      <c r="V182" s="125">
        <v>121</v>
      </c>
      <c r="W182" s="125">
        <v>51.567138342741885</v>
      </c>
      <c r="X182" s="125">
        <v>119.1961108480177</v>
      </c>
      <c r="Y182" s="125">
        <v>67.187419024783679</v>
      </c>
      <c r="Z182" s="125">
        <v>152.20777268959969</v>
      </c>
      <c r="AA182" s="125">
        <v>47.726652058873768</v>
      </c>
      <c r="AB182" s="125">
        <v>127.83756508261777</v>
      </c>
      <c r="AC182" s="125">
        <v>22.965427158684133</v>
      </c>
      <c r="AD182" s="125">
        <v>78.264710147863269</v>
      </c>
      <c r="AE182" s="125">
        <v>63.830042450148703</v>
      </c>
      <c r="AF182" s="125">
        <v>39.136958248026147</v>
      </c>
      <c r="AG182" s="125">
        <v>39.136958248026147</v>
      </c>
      <c r="AH182" s="125">
        <v>100.27713659553437</v>
      </c>
      <c r="AI182" s="125">
        <v>66.510700204600155</v>
      </c>
      <c r="AJ182" s="125">
        <v>131.53259883553088</v>
      </c>
      <c r="AK182" s="125">
        <v>29.296568998859385</v>
      </c>
      <c r="AL182" s="125">
        <v>90</v>
      </c>
      <c r="AM182" s="125">
        <v>45.271121436176045</v>
      </c>
      <c r="AN182" s="125">
        <v>175.35458775196167</v>
      </c>
      <c r="AO182" s="125">
        <v>58.24798239316663</v>
      </c>
      <c r="AP182" s="125">
        <v>157</v>
      </c>
      <c r="AQ182" s="125">
        <v>110</v>
      </c>
      <c r="AR182" s="125">
        <v>83.462506839306982</v>
      </c>
      <c r="AS182" s="125">
        <v>139</v>
      </c>
      <c r="AT182" s="125">
        <v>64.548630481734378</v>
      </c>
      <c r="AU182" s="125">
        <v>144.76620400427436</v>
      </c>
      <c r="AV182" s="125">
        <v>61.149384695697279</v>
      </c>
      <c r="AW182" s="125">
        <v>144.76620400427436</v>
      </c>
      <c r="AX182" s="125">
        <v>63.83004245014871</v>
      </c>
      <c r="AY182" s="125">
        <v>141.56227170055178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17</v>
      </c>
      <c r="K187" s="106">
        <v>0</v>
      </c>
      <c r="L187" s="106">
        <v>2</v>
      </c>
      <c r="M187" s="106">
        <v>0</v>
      </c>
      <c r="N187" s="106">
        <v>0</v>
      </c>
      <c r="O187" s="106">
        <v>0</v>
      </c>
      <c r="P187" s="106">
        <v>15</v>
      </c>
      <c r="Q187" s="106">
        <v>5</v>
      </c>
      <c r="R187" s="106">
        <v>0</v>
      </c>
      <c r="S187" s="106">
        <v>0</v>
      </c>
      <c r="T187" s="106">
        <v>0</v>
      </c>
      <c r="U187" s="106">
        <v>0</v>
      </c>
      <c r="V187" s="106">
        <v>20</v>
      </c>
      <c r="W187" s="106">
        <v>42</v>
      </c>
      <c r="X187" s="106">
        <v>0</v>
      </c>
      <c r="Y187" s="106">
        <v>0</v>
      </c>
      <c r="Z187" s="106">
        <v>9.4180989438330016</v>
      </c>
      <c r="AA187" s="106">
        <v>37.418098943833002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37</v>
      </c>
      <c r="AJ187" s="106">
        <v>70</v>
      </c>
      <c r="AK187" s="106">
        <v>66</v>
      </c>
      <c r="AL187" s="106">
        <v>88</v>
      </c>
      <c r="AM187" s="106">
        <v>58</v>
      </c>
      <c r="AN187" s="106">
        <v>97.302312026426534</v>
      </c>
      <c r="AO187" s="106">
        <v>64.302312026426534</v>
      </c>
      <c r="AP187" s="106">
        <v>105.30231202642653</v>
      </c>
      <c r="AQ187" s="106">
        <v>79.302312026426534</v>
      </c>
      <c r="AR187" s="106">
        <v>32.302312026426534</v>
      </c>
      <c r="AS187" s="106">
        <v>52.302312026426534</v>
      </c>
      <c r="AT187" s="106">
        <v>25.302312026426534</v>
      </c>
      <c r="AU187" s="106">
        <v>22.302312026426534</v>
      </c>
      <c r="AV187" s="106">
        <v>33.302312026426534</v>
      </c>
      <c r="AW187" s="106">
        <v>0</v>
      </c>
      <c r="AX187" s="106">
        <v>0</v>
      </c>
      <c r="AY187" s="106">
        <v>5</v>
      </c>
    </row>
    <row r="188" spans="1:51">
      <c r="A188" s="128"/>
      <c r="B188" s="129">
        <v>4</v>
      </c>
      <c r="C188" s="106">
        <v>160</v>
      </c>
      <c r="D188" s="106">
        <v>100</v>
      </c>
      <c r="E188" s="106">
        <v>155</v>
      </c>
      <c r="F188" s="106">
        <v>125</v>
      </c>
      <c r="G188" s="106">
        <v>151</v>
      </c>
      <c r="H188" s="106">
        <v>157</v>
      </c>
      <c r="I188" s="106">
        <v>101</v>
      </c>
      <c r="J188" s="106">
        <v>160</v>
      </c>
      <c r="K188" s="106">
        <v>106</v>
      </c>
      <c r="L188" s="106">
        <v>160</v>
      </c>
      <c r="M188" s="106">
        <v>147</v>
      </c>
      <c r="N188" s="106">
        <v>125</v>
      </c>
      <c r="O188" s="106">
        <v>148</v>
      </c>
      <c r="P188" s="106">
        <v>160</v>
      </c>
      <c r="Q188" s="106">
        <v>145</v>
      </c>
      <c r="R188" s="106">
        <v>113</v>
      </c>
      <c r="S188" s="106">
        <v>101</v>
      </c>
      <c r="T188" s="106">
        <v>146</v>
      </c>
      <c r="U188" s="106">
        <v>143</v>
      </c>
      <c r="V188" s="106">
        <v>160</v>
      </c>
      <c r="W188" s="106">
        <v>140</v>
      </c>
      <c r="X188" s="106">
        <v>101</v>
      </c>
      <c r="Y188" s="106">
        <v>150</v>
      </c>
      <c r="Z188" s="106">
        <v>155.581901056167</v>
      </c>
      <c r="AA188" s="106">
        <v>150.581901056167</v>
      </c>
      <c r="AB188" s="106">
        <v>113</v>
      </c>
      <c r="AC188" s="106">
        <v>115</v>
      </c>
      <c r="AD188" s="106">
        <v>141</v>
      </c>
      <c r="AE188" s="106">
        <v>115</v>
      </c>
      <c r="AF188" s="106">
        <v>111</v>
      </c>
      <c r="AG188" s="106">
        <v>156</v>
      </c>
      <c r="AH188" s="106">
        <v>156</v>
      </c>
      <c r="AI188" s="106">
        <v>128</v>
      </c>
      <c r="AJ188" s="106">
        <v>91</v>
      </c>
      <c r="AK188" s="106">
        <v>58</v>
      </c>
      <c r="AL188" s="106">
        <v>62</v>
      </c>
      <c r="AM188" s="106">
        <v>72</v>
      </c>
      <c r="AN188" s="106">
        <v>78.697687973573466</v>
      </c>
      <c r="AO188" s="106">
        <v>62.697687973573466</v>
      </c>
      <c r="AP188" s="106">
        <v>95.697687973573466</v>
      </c>
      <c r="AQ188" s="106">
        <v>54.697687973573466</v>
      </c>
      <c r="AR188" s="106">
        <v>80.697687973573466</v>
      </c>
      <c r="AS188" s="106">
        <v>127.69768797357347</v>
      </c>
      <c r="AT188" s="106">
        <v>107.69768797357347</v>
      </c>
      <c r="AU188" s="106">
        <v>134.69768797357347</v>
      </c>
      <c r="AV188" s="106">
        <v>137.69768797357347</v>
      </c>
      <c r="AW188" s="106">
        <v>112</v>
      </c>
      <c r="AX188" s="106">
        <v>131</v>
      </c>
      <c r="AY188" s="106">
        <v>160</v>
      </c>
    </row>
    <row r="189" spans="1:51">
      <c r="A189" s="126" t="s">
        <v>133</v>
      </c>
      <c r="B189" s="123">
        <v>1</v>
      </c>
      <c r="C189" s="124">
        <v>55.366125607803824</v>
      </c>
      <c r="D189" s="124">
        <v>32.260840966501732</v>
      </c>
      <c r="E189" s="124">
        <v>29.155556325199655</v>
      </c>
      <c r="F189" s="124">
        <v>24.935816757044222</v>
      </c>
      <c r="G189" s="124">
        <v>127.88267796586908</v>
      </c>
      <c r="H189" s="124">
        <v>69.053138791175144</v>
      </c>
      <c r="I189" s="124">
        <v>45.053138791175115</v>
      </c>
      <c r="J189" s="124">
        <v>67.053138791175087</v>
      </c>
      <c r="K189" s="124">
        <v>30.053138791175058</v>
      </c>
      <c r="L189" s="124">
        <v>9.0531387911750301</v>
      </c>
      <c r="M189" s="124">
        <v>64.053138791175002</v>
      </c>
      <c r="N189" s="124">
        <v>110.94686120882488</v>
      </c>
      <c r="O189" s="124">
        <v>112.94686120882486</v>
      </c>
      <c r="P189" s="124">
        <v>0</v>
      </c>
      <c r="Q189" s="124">
        <v>0</v>
      </c>
      <c r="R189" s="124">
        <v>152</v>
      </c>
      <c r="S189" s="124">
        <v>0.89372241764968408</v>
      </c>
      <c r="T189" s="124">
        <v>55.893722417649656</v>
      </c>
      <c r="U189" s="124">
        <v>138.94686120882477</v>
      </c>
      <c r="V189" s="124">
        <v>37.893722417649599</v>
      </c>
      <c r="W189" s="124">
        <v>69.053138791175144</v>
      </c>
      <c r="X189" s="124">
        <v>113.05313879117512</v>
      </c>
      <c r="Y189" s="124">
        <v>69.053138791175144</v>
      </c>
      <c r="Z189" s="124">
        <v>56.053138791175115</v>
      </c>
      <c r="AA189" s="124">
        <v>69.053138791175144</v>
      </c>
      <c r="AB189" s="124">
        <v>98.053138791175115</v>
      </c>
      <c r="AC189" s="124">
        <v>0</v>
      </c>
      <c r="AD189" s="124">
        <v>69.053138791175144</v>
      </c>
      <c r="AE189" s="124">
        <v>0</v>
      </c>
      <c r="AF189" s="124">
        <v>69.053138791175144</v>
      </c>
      <c r="AG189" s="124">
        <v>0</v>
      </c>
      <c r="AH189" s="124">
        <v>106.28677553780133</v>
      </c>
      <c r="AI189" s="124">
        <v>110.94686120882488</v>
      </c>
      <c r="AJ189" s="124">
        <v>22.893722417649712</v>
      </c>
      <c r="AK189" s="124">
        <v>0</v>
      </c>
      <c r="AL189" s="124">
        <v>0</v>
      </c>
      <c r="AM189" s="124">
        <v>0</v>
      </c>
      <c r="AN189" s="124">
        <v>0</v>
      </c>
      <c r="AO189" s="124">
        <v>39.999999999999943</v>
      </c>
      <c r="AP189" s="124">
        <v>45.946861208824771</v>
      </c>
      <c r="AQ189" s="124">
        <v>50.946861208824743</v>
      </c>
      <c r="AR189" s="124">
        <v>66.946861208824714</v>
      </c>
      <c r="AS189" s="124">
        <v>153.99999999999983</v>
      </c>
      <c r="AT189" s="124">
        <v>106.28677553780135</v>
      </c>
      <c r="AU189" s="124">
        <v>152.2867755378013</v>
      </c>
      <c r="AV189" s="124">
        <v>106.28677553780133</v>
      </c>
      <c r="AW189" s="124">
        <v>93.286775537801304</v>
      </c>
      <c r="AX189" s="124">
        <v>97.286775537801276</v>
      </c>
      <c r="AY189" s="124">
        <v>78.286775537801248</v>
      </c>
    </row>
    <row r="190" spans="1:51">
      <c r="A190" s="109"/>
      <c r="B190" s="119">
        <v>2</v>
      </c>
      <c r="C190" s="106">
        <v>43.844443674800345</v>
      </c>
      <c r="D190" s="106">
        <v>116.73915903349827</v>
      </c>
      <c r="E190" s="106">
        <v>139.84444367480035</v>
      </c>
      <c r="F190" s="106">
        <v>148.06418324295578</v>
      </c>
      <c r="G190" s="106">
        <v>44.117322034130922</v>
      </c>
      <c r="H190" s="106">
        <v>52.11732203413095</v>
      </c>
      <c r="I190" s="106">
        <v>110.94686120882488</v>
      </c>
      <c r="J190" s="106">
        <v>134.94686120882491</v>
      </c>
      <c r="K190" s="106">
        <v>112.94686120882494</v>
      </c>
      <c r="L190" s="106">
        <v>149.94686120882497</v>
      </c>
      <c r="M190" s="106">
        <v>170.946861208825</v>
      </c>
      <c r="N190" s="106">
        <v>5.0000000000001421</v>
      </c>
      <c r="O190" s="106">
        <v>69.053138791175144</v>
      </c>
      <c r="P190" s="106">
        <v>67.053138791175172</v>
      </c>
      <c r="Q190" s="106">
        <v>0</v>
      </c>
      <c r="R190" s="106">
        <v>0</v>
      </c>
      <c r="S190" s="106">
        <v>28.000000000000028</v>
      </c>
      <c r="T190" s="106">
        <v>179.10627758235034</v>
      </c>
      <c r="U190" s="106">
        <v>55.053138791175229</v>
      </c>
      <c r="V190" s="106">
        <v>41.053138791175257</v>
      </c>
      <c r="W190" s="106">
        <v>142.10627758235043</v>
      </c>
      <c r="X190" s="106">
        <v>110.94686120882488</v>
      </c>
      <c r="Y190" s="106">
        <v>66.946861208824913</v>
      </c>
      <c r="Z190" s="106">
        <v>110.94686120882488</v>
      </c>
      <c r="AA190" s="106">
        <v>123.94686120882491</v>
      </c>
      <c r="AB190" s="106">
        <v>110.94686120882488</v>
      </c>
      <c r="AC190" s="106">
        <v>81.946861208824913</v>
      </c>
      <c r="AD190" s="106">
        <v>69.053138791175144</v>
      </c>
      <c r="AE190" s="106">
        <v>0</v>
      </c>
      <c r="AF190" s="106">
        <v>7.492134218139991E-21</v>
      </c>
      <c r="AG190" s="106">
        <v>0</v>
      </c>
      <c r="AH190" s="106">
        <v>69.053138791175144</v>
      </c>
      <c r="AI190" s="106">
        <v>4.6600856710235519</v>
      </c>
      <c r="AJ190" s="106">
        <v>138.10627758235029</v>
      </c>
      <c r="AK190" s="106">
        <v>157.10627758235032</v>
      </c>
      <c r="AL190" s="106">
        <v>179</v>
      </c>
      <c r="AM190" s="106">
        <v>110.94686120882488</v>
      </c>
      <c r="AN190" s="106">
        <v>119.94686120882486</v>
      </c>
      <c r="AO190" s="106">
        <v>110.94686120882488</v>
      </c>
      <c r="AP190" s="106">
        <v>140.00000000000009</v>
      </c>
      <c r="AQ190" s="106">
        <v>134.05313879117526</v>
      </c>
      <c r="AR190" s="106">
        <v>129.05313879117529</v>
      </c>
      <c r="AS190" s="106">
        <v>44.000000000000171</v>
      </c>
      <c r="AT190" s="106">
        <v>95.053138791175343</v>
      </c>
      <c r="AU190" s="106">
        <v>73.713224462198681</v>
      </c>
      <c r="AV190" s="106">
        <v>27.713224462198724</v>
      </c>
      <c r="AW190" s="106">
        <v>73.713224462198696</v>
      </c>
      <c r="AX190" s="106">
        <v>86.713224462198724</v>
      </c>
      <c r="AY190" s="106">
        <v>82.713224462198752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138.10627758235029</v>
      </c>
      <c r="T191" s="106">
        <v>0</v>
      </c>
      <c r="U191" s="106">
        <v>0</v>
      </c>
      <c r="V191" s="106">
        <v>69.053138791175144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110.94686120882488</v>
      </c>
      <c r="AF191" s="106">
        <v>0</v>
      </c>
      <c r="AG191" s="106">
        <v>69.053138791175144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1.0000000000000284</v>
      </c>
      <c r="AN191" s="106">
        <v>69.053138791175144</v>
      </c>
      <c r="AO191" s="106">
        <v>60.053138791175172</v>
      </c>
      <c r="AP191" s="106">
        <v>69.053138791175144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98.4136330584994</v>
      </c>
      <c r="D197" s="106">
        <v>42.779233492785636</v>
      </c>
      <c r="E197" s="106">
        <v>80.577647323717713</v>
      </c>
      <c r="F197" s="106">
        <v>49.680118277171346</v>
      </c>
      <c r="G197" s="106">
        <v>71.691431807990455</v>
      </c>
      <c r="H197" s="106">
        <v>71.691431807990412</v>
      </c>
      <c r="I197" s="106">
        <v>27.251793719208798</v>
      </c>
      <c r="J197" s="106">
        <v>100</v>
      </c>
      <c r="K197" s="106">
        <v>49.248864100625937</v>
      </c>
      <c r="L197" s="106">
        <v>74</v>
      </c>
      <c r="M197" s="106">
        <v>45.063185024693055</v>
      </c>
      <c r="N197" s="106">
        <v>27.251793719208791</v>
      </c>
      <c r="O197" s="106">
        <v>44.446048640673894</v>
      </c>
      <c r="P197" s="106">
        <v>84.959020409969099</v>
      </c>
      <c r="Q197" s="106">
        <v>8.7001745427239108</v>
      </c>
      <c r="R197" s="106">
        <v>6.410551892275608E-3</v>
      </c>
      <c r="S197" s="106">
        <v>61</v>
      </c>
      <c r="T197" s="106">
        <v>45.308568192009588</v>
      </c>
      <c r="U197" s="106">
        <v>64.353710555523037</v>
      </c>
      <c r="V197" s="106">
        <v>44.468023826067522</v>
      </c>
      <c r="W197" s="106">
        <v>50.087950241383552</v>
      </c>
      <c r="X197" s="106">
        <v>35.907159874315987</v>
      </c>
      <c r="Y197" s="106">
        <v>72.353385056860446</v>
      </c>
      <c r="Z197" s="106">
        <v>46.783852546379073</v>
      </c>
      <c r="AA197" s="106">
        <v>91.231462224866149</v>
      </c>
      <c r="AB197" s="106">
        <v>33.232957670706988</v>
      </c>
      <c r="AC197" s="106">
        <v>101.98463736350915</v>
      </c>
      <c r="AD197" s="106">
        <v>15.991255110724907</v>
      </c>
      <c r="AE197" s="106">
        <v>54.497176886525324</v>
      </c>
      <c r="AF197" s="106">
        <v>44.446048640673894</v>
      </c>
      <c r="AG197" s="106">
        <v>27.251793719208798</v>
      </c>
      <c r="AH197" s="106">
        <v>27.251793719208798</v>
      </c>
      <c r="AI197" s="106">
        <v>69.824839833899205</v>
      </c>
      <c r="AJ197" s="106">
        <v>46.312640614765101</v>
      </c>
      <c r="AK197" s="106">
        <v>60.628362129173851</v>
      </c>
      <c r="AL197" s="106">
        <v>18.446163986550403</v>
      </c>
      <c r="AM197" s="106">
        <v>106.42738380250142</v>
      </c>
      <c r="AN197" s="106">
        <v>31.523125915850734</v>
      </c>
      <c r="AO197" s="106">
        <v>90</v>
      </c>
      <c r="AP197" s="106">
        <v>11.490138910002628</v>
      </c>
      <c r="AQ197" s="106">
        <v>46.930982762022197</v>
      </c>
      <c r="AR197" s="106">
        <v>41.799912865250135</v>
      </c>
      <c r="AS197" s="106">
        <v>35.849086298577362</v>
      </c>
      <c r="AT197" s="106">
        <v>77.838510132573617</v>
      </c>
      <c r="AU197" s="106">
        <v>44.94641488481993</v>
      </c>
      <c r="AV197" s="106">
        <v>100.80340694939814</v>
      </c>
      <c r="AW197" s="106">
        <v>42.579456666582701</v>
      </c>
      <c r="AX197" s="106">
        <v>67</v>
      </c>
      <c r="AY197" s="106">
        <v>44.446048640673901</v>
      </c>
    </row>
    <row r="198" spans="1:51">
      <c r="A198" s="109"/>
      <c r="B198" s="119">
        <v>2</v>
      </c>
      <c r="C198" s="106">
        <v>0</v>
      </c>
      <c r="D198" s="106">
        <v>22.220766507214364</v>
      </c>
      <c r="E198" s="106">
        <v>2.42235267628228</v>
      </c>
      <c r="F198" s="106">
        <v>16.863496249884207</v>
      </c>
      <c r="G198" s="106">
        <v>0</v>
      </c>
      <c r="H198" s="106">
        <v>0</v>
      </c>
      <c r="I198" s="106">
        <v>0</v>
      </c>
      <c r="J198" s="106">
        <v>0</v>
      </c>
      <c r="K198" s="106">
        <v>16.131069896772033</v>
      </c>
      <c r="L198" s="106">
        <v>0</v>
      </c>
      <c r="M198" s="106">
        <v>24.936814975306945</v>
      </c>
      <c r="N198" s="106">
        <v>42.112589366479938</v>
      </c>
      <c r="O198" s="106">
        <v>7.1054273576010019E-15</v>
      </c>
      <c r="P198" s="106">
        <v>0</v>
      </c>
      <c r="Q198" s="106">
        <v>13.977794565337845</v>
      </c>
      <c r="R198" s="106">
        <v>0</v>
      </c>
      <c r="S198" s="106">
        <v>0</v>
      </c>
      <c r="T198" s="106">
        <v>10.691431807990412</v>
      </c>
      <c r="U198" s="106">
        <v>37.646289444476963</v>
      </c>
      <c r="V198" s="106">
        <v>24.531976173932478</v>
      </c>
      <c r="W198" s="106">
        <v>27.22340798192289</v>
      </c>
      <c r="X198" s="106">
        <v>48.848864733923392</v>
      </c>
      <c r="Y198" s="106">
        <v>0</v>
      </c>
      <c r="Z198" s="106">
        <v>43.777684839911586</v>
      </c>
      <c r="AA198" s="106">
        <v>0</v>
      </c>
      <c r="AB198" s="106">
        <v>24.899607671905883</v>
      </c>
      <c r="AC198" s="106">
        <v>0</v>
      </c>
      <c r="AD198" s="106">
        <v>14.146432533262882</v>
      </c>
      <c r="AE198" s="106">
        <v>0</v>
      </c>
      <c r="AF198" s="106">
        <v>0</v>
      </c>
      <c r="AG198" s="106">
        <v>0</v>
      </c>
      <c r="AH198" s="106">
        <v>0</v>
      </c>
      <c r="AI198" s="106">
        <v>0</v>
      </c>
      <c r="AJ198" s="106">
        <v>0</v>
      </c>
      <c r="AK198" s="106">
        <v>0</v>
      </c>
      <c r="AL198" s="106">
        <v>65.553836013449597</v>
      </c>
      <c r="AM198" s="106">
        <v>1.9535832288006922</v>
      </c>
      <c r="AN198" s="106">
        <v>9.7036860942706085</v>
      </c>
      <c r="AO198" s="106">
        <v>0</v>
      </c>
      <c r="AP198" s="106">
        <v>51.509861089997372</v>
      </c>
      <c r="AQ198" s="106">
        <v>29.069017237977803</v>
      </c>
      <c r="AR198" s="106">
        <v>69.200087134749865</v>
      </c>
      <c r="AS198" s="106">
        <v>61.150913701422638</v>
      </c>
      <c r="AT198" s="106">
        <v>22.267413334798228</v>
      </c>
      <c r="AU198" s="106">
        <v>22.96489681682452</v>
      </c>
      <c r="AV198" s="106">
        <v>0</v>
      </c>
      <c r="AW198" s="106">
        <v>0</v>
      </c>
      <c r="AX198" s="106">
        <v>0</v>
      </c>
      <c r="AY198" s="106">
        <v>33.803406949398138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33.85918821121215</v>
      </c>
      <c r="D209" s="124">
        <v>69.973391411911436</v>
      </c>
      <c r="E209" s="124">
        <v>37.561572359730285</v>
      </c>
      <c r="F209" s="124">
        <v>39.136958248026147</v>
      </c>
      <c r="G209" s="124">
        <v>102.95779434998582</v>
      </c>
      <c r="H209" s="124">
        <v>39.136958248026147</v>
      </c>
      <c r="I209" s="124">
        <v>91.257539768563163</v>
      </c>
      <c r="J209" s="124">
        <v>63.830042450148703</v>
      </c>
      <c r="K209" s="124">
        <v>65.23601391518045</v>
      </c>
      <c r="L209" s="124">
        <v>102.95779434998582</v>
      </c>
      <c r="M209" s="124">
        <v>39.136958248026147</v>
      </c>
      <c r="N209" s="124">
        <v>63.830042450148703</v>
      </c>
      <c r="O209" s="124">
        <v>81.778706206434549</v>
      </c>
      <c r="P209" s="124">
        <v>9.2063481890350806E-3</v>
      </c>
      <c r="Q209" s="124">
        <v>9.2063481890350806E-3</v>
      </c>
      <c r="R209" s="124">
        <v>100.00448696941702</v>
      </c>
      <c r="S209" s="124">
        <v>39.136958248026147</v>
      </c>
      <c r="T209" s="124">
        <v>63.830042450148703</v>
      </c>
      <c r="U209" s="124">
        <v>102.95779434998582</v>
      </c>
      <c r="V209" s="124">
        <v>81.872248100162892</v>
      </c>
      <c r="W209" s="124">
        <v>39.136958248026147</v>
      </c>
      <c r="X209" s="124">
        <v>55.375274746058018</v>
      </c>
      <c r="Y209" s="124">
        <v>39.136958248026147</v>
      </c>
      <c r="Z209" s="124">
        <v>88.386936587640008</v>
      </c>
      <c r="AA209" s="124">
        <v>39.136958248026147</v>
      </c>
      <c r="AB209" s="124">
        <v>64.016728980658087</v>
      </c>
      <c r="AC209" s="124">
        <v>9.2063481890350806E-3</v>
      </c>
      <c r="AD209" s="124">
        <v>39.136958248026147</v>
      </c>
      <c r="AE209" s="124">
        <v>9.2063481890320986E-3</v>
      </c>
      <c r="AF209" s="124">
        <v>39.136958248026147</v>
      </c>
      <c r="AG209" s="124">
        <v>9.2063481890320986E-3</v>
      </c>
      <c r="AH209" s="124">
        <v>61.149384695697258</v>
      </c>
      <c r="AI209" s="124">
        <v>63.830042450148703</v>
      </c>
      <c r="AJ209" s="124">
        <v>53.277095035856647</v>
      </c>
      <c r="AK209" s="124">
        <v>9.2063481890350806E-3</v>
      </c>
      <c r="AL209" s="124">
        <v>0</v>
      </c>
      <c r="AM209" s="124">
        <v>9.2063481890320986E-3</v>
      </c>
      <c r="AN209" s="124">
        <v>33.278247850327787</v>
      </c>
      <c r="AO209" s="124">
        <v>39.136958248026147</v>
      </c>
      <c r="AP209" s="124">
        <v>54.051411998203214</v>
      </c>
      <c r="AQ209" s="124">
        <v>65.107629239583218</v>
      </c>
      <c r="AR209" s="124">
        <v>61.149384695697265</v>
      </c>
      <c r="AS209" s="124">
        <v>136.31934224554857</v>
      </c>
      <c r="AT209" s="124">
        <v>61.149384695697265</v>
      </c>
      <c r="AU209" s="124">
        <v>102.9577943499858</v>
      </c>
      <c r="AV209" s="124">
        <v>61.149384695697265</v>
      </c>
      <c r="AW209" s="124">
        <v>102.9577943499858</v>
      </c>
      <c r="AX209" s="124">
        <v>63.830042450148703</v>
      </c>
      <c r="AY209" s="124">
        <v>102.43451980071467</v>
      </c>
    </row>
    <row r="210" spans="1:51">
      <c r="A210" s="109"/>
      <c r="B210" s="119">
        <v>2</v>
      </c>
      <c r="C210" s="106">
        <v>31.359071382040966</v>
      </c>
      <c r="D210" s="110">
        <v>69.964185063722411</v>
      </c>
      <c r="E210" s="110">
        <v>33.785243736274772</v>
      </c>
      <c r="F210" s="110">
        <v>63.820836101959721</v>
      </c>
      <c r="G210" s="110">
        <v>0</v>
      </c>
      <c r="H210" s="110">
        <v>0</v>
      </c>
      <c r="I210" s="110">
        <v>63.820836101959678</v>
      </c>
      <c r="J210" s="110">
        <v>6.8974391214706072</v>
      </c>
      <c r="K210" s="110">
        <v>39.127751899837115</v>
      </c>
      <c r="L210" s="110">
        <v>22.237437851622786</v>
      </c>
      <c r="M210" s="110">
        <v>0</v>
      </c>
      <c r="N210" s="110">
        <v>0</v>
      </c>
      <c r="O210" s="110">
        <v>39.127751899837115</v>
      </c>
      <c r="P210" s="110">
        <v>12.485324152719635</v>
      </c>
      <c r="Q210" s="110">
        <v>0</v>
      </c>
      <c r="R210" s="110">
        <v>0</v>
      </c>
      <c r="S210" s="110">
        <v>1.7410097979240964</v>
      </c>
      <c r="T210" s="110">
        <v>63.820836101959678</v>
      </c>
      <c r="U210" s="110">
        <v>0</v>
      </c>
      <c r="V210" s="110">
        <v>0</v>
      </c>
      <c r="W210" s="110">
        <v>12.430180094715737</v>
      </c>
      <c r="X210" s="110">
        <v>63.820836101959678</v>
      </c>
      <c r="Y210" s="110">
        <v>28.050460776757525</v>
      </c>
      <c r="Z210" s="110">
        <v>63.820836101959678</v>
      </c>
      <c r="AA210" s="110">
        <v>8.5896938108476171</v>
      </c>
      <c r="AB210" s="110">
        <v>63.820836101959678</v>
      </c>
      <c r="AC210" s="110">
        <v>22.956220810495097</v>
      </c>
      <c r="AD210" s="110">
        <v>39.127751899837115</v>
      </c>
      <c r="AE210" s="110">
        <v>0</v>
      </c>
      <c r="AF210" s="110">
        <v>1.7579183396815212E-15</v>
      </c>
      <c r="AG210" s="110">
        <v>0</v>
      </c>
      <c r="AH210" s="110">
        <v>39.127751899837115</v>
      </c>
      <c r="AI210" s="110">
        <v>2.6806577544514414</v>
      </c>
      <c r="AJ210" s="110">
        <v>78.25550379967423</v>
      </c>
      <c r="AK210" s="110">
        <v>29.287362650670349</v>
      </c>
      <c r="AL210" s="110">
        <v>90</v>
      </c>
      <c r="AM210" s="110">
        <v>37.628568580022538</v>
      </c>
      <c r="AN210" s="110">
        <v>102.94858800179678</v>
      </c>
      <c r="AO210" s="110">
        <v>19.111024145140483</v>
      </c>
      <c r="AP210" s="110">
        <v>63.820836101959678</v>
      </c>
      <c r="AQ210" s="110">
        <v>44.892370760416782</v>
      </c>
      <c r="AR210" s="110">
        <v>22.313122143609704</v>
      </c>
      <c r="AS210" s="110">
        <v>2.6806577544514374</v>
      </c>
      <c r="AT210" s="110">
        <v>3.3992457860371159</v>
      </c>
      <c r="AU210" s="110">
        <v>41.808409654288553</v>
      </c>
      <c r="AV210" s="110">
        <v>8.3774677362833162E-15</v>
      </c>
      <c r="AW210" s="110">
        <v>41.808409654288553</v>
      </c>
      <c r="AX210" s="110">
        <v>8.3774677362833162E-15</v>
      </c>
      <c r="AY210" s="110">
        <v>39.127751899837115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78.25550379967423</v>
      </c>
      <c r="T211" s="110">
        <v>0</v>
      </c>
      <c r="U211" s="110">
        <v>0</v>
      </c>
      <c r="V211" s="110">
        <v>39.127751899837115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63.820836101959671</v>
      </c>
      <c r="AF211" s="110">
        <v>0</v>
      </c>
      <c r="AG211" s="110">
        <v>39.127751899837115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7.6333465079644789</v>
      </c>
      <c r="AN211" s="110">
        <v>39.127751899837115</v>
      </c>
      <c r="AO211" s="110">
        <v>0</v>
      </c>
      <c r="AP211" s="110">
        <v>39.127751899837115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63336.743322841248</v>
      </c>
      <c r="E259" s="124">
        <f t="shared" ref="E259:AX259" si="5">F$14*$B$259</f>
        <v>32292.076880161374</v>
      </c>
      <c r="F259" s="124">
        <f t="shared" si="5"/>
        <v>46599.430675193798</v>
      </c>
      <c r="G259" s="124">
        <f t="shared" si="5"/>
        <v>46599.430675193769</v>
      </c>
      <c r="H259" s="124">
        <f t="shared" si="5"/>
        <v>17713.66591748572</v>
      </c>
      <c r="I259" s="124">
        <f t="shared" si="5"/>
        <v>75485.195432901819</v>
      </c>
      <c r="J259" s="124">
        <f t="shared" si="5"/>
        <v>32011.761665406859</v>
      </c>
      <c r="K259" s="124">
        <f t="shared" si="5"/>
        <v>64308.929733949517</v>
      </c>
      <c r="L259" s="124">
        <f t="shared" si="5"/>
        <v>56664.253354262444</v>
      </c>
      <c r="M259" s="124">
        <f t="shared" si="5"/>
        <v>17713.66591748572</v>
      </c>
      <c r="N259" s="124">
        <f t="shared" si="5"/>
        <v>28889.931616438033</v>
      </c>
      <c r="O259" s="124">
        <f t="shared" si="5"/>
        <v>64308.929733949517</v>
      </c>
      <c r="P259" s="124">
        <f t="shared" si="5"/>
        <v>5655.1134527705417</v>
      </c>
      <c r="Q259" s="124">
        <f t="shared" si="5"/>
        <v>4.1668587299791451</v>
      </c>
      <c r="R259" s="124">
        <f t="shared" si="5"/>
        <v>46599.430675193769</v>
      </c>
      <c r="S259" s="124">
        <f t="shared" si="5"/>
        <v>53920.657463716256</v>
      </c>
      <c r="T259" s="124">
        <f t="shared" si="5"/>
        <v>57775.696374146086</v>
      </c>
      <c r="U259" s="124">
        <f t="shared" si="5"/>
        <v>46599.430675193769</v>
      </c>
      <c r="V259" s="124">
        <f t="shared" si="5"/>
        <v>64308.929733949517</v>
      </c>
      <c r="W259" s="124">
        <f t="shared" si="5"/>
        <v>23339.65391830539</v>
      </c>
      <c r="X259" s="124">
        <f t="shared" si="5"/>
        <v>75485.195432901819</v>
      </c>
      <c r="Y259" s="124">
        <f t="shared" si="5"/>
        <v>30409.504155146398</v>
      </c>
      <c r="Z259" s="124">
        <f t="shared" si="5"/>
        <v>75485.195432901819</v>
      </c>
      <c r="AA259" s="124">
        <f t="shared" si="5"/>
        <v>21601.422485959542</v>
      </c>
      <c r="AB259" s="124">
        <f t="shared" si="5"/>
        <v>75485.195432901819</v>
      </c>
      <c r="AC259" s="124">
        <f t="shared" si="5"/>
        <v>10394.31582197119</v>
      </c>
      <c r="AD259" s="124">
        <f t="shared" si="5"/>
        <v>35423.16497624146</v>
      </c>
      <c r="AE259" s="124">
        <f t="shared" si="5"/>
        <v>28889.931616438033</v>
      </c>
      <c r="AF259" s="124">
        <f t="shared" si="5"/>
        <v>17713.66591748572</v>
      </c>
      <c r="AG259" s="124">
        <f t="shared" si="5"/>
        <v>17713.66591748572</v>
      </c>
      <c r="AH259" s="124">
        <f t="shared" si="5"/>
        <v>45386.145892034481</v>
      </c>
      <c r="AI259" s="124">
        <f t="shared" si="5"/>
        <v>30103.216399597317</v>
      </c>
      <c r="AJ259" s="124">
        <f t="shared" si="5"/>
        <v>82018.428792705236</v>
      </c>
      <c r="AK259" s="124">
        <f t="shared" si="5"/>
        <v>13259.835689978212</v>
      </c>
      <c r="AL259" s="124">
        <f t="shared" si="5"/>
        <v>75485.195432901819</v>
      </c>
      <c r="AM259" s="124">
        <f t="shared" si="5"/>
        <v>20490.031845302976</v>
      </c>
      <c r="AN259" s="124">
        <f t="shared" si="5"/>
        <v>91981.409708498293</v>
      </c>
      <c r="AO259" s="124">
        <f t="shared" si="5"/>
        <v>26363.451496187281</v>
      </c>
      <c r="AP259" s="124">
        <f t="shared" si="5"/>
        <v>75485.195432901834</v>
      </c>
      <c r="AQ259" s="124">
        <f t="shared" si="5"/>
        <v>66918.037268337299</v>
      </c>
      <c r="AR259" s="124">
        <f t="shared" si="5"/>
        <v>37775.724761694131</v>
      </c>
      <c r="AS259" s="124">
        <f t="shared" si="5"/>
        <v>65522.21451710879</v>
      </c>
      <c r="AT259" s="124">
        <f t="shared" si="5"/>
        <v>29215.169675132955</v>
      </c>
      <c r="AU259" s="124">
        <f t="shared" si="5"/>
        <v>65522.21451710879</v>
      </c>
      <c r="AV259" s="124">
        <f t="shared" si="5"/>
        <v>27676.646833278755</v>
      </c>
      <c r="AW259" s="124">
        <f t="shared" si="5"/>
        <v>65522.21451710879</v>
      </c>
      <c r="AX259" s="124">
        <f t="shared" si="5"/>
        <v>28889.931616438036</v>
      </c>
      <c r="AY259" s="124">
        <f>AZ$14*$B$259</f>
        <v>64308.929733949517</v>
      </c>
      <c r="AZ259" s="139">
        <f>SUM($D259:$AY259)</f>
        <v>2144652.3453969741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37614.040244596734</v>
      </c>
      <c r="E260" s="125">
        <f t="shared" ref="E260:AY260" si="6">(E$175-E$176+E$177-E$178+E$179-E$180+E$181-E$182)*$B$260</f>
        <v>32338.849097040897</v>
      </c>
      <c r="F260" s="125">
        <f t="shared" si="6"/>
        <v>33547.039322047851</v>
      </c>
      <c r="G260" s="125">
        <f t="shared" si="6"/>
        <v>32467.039322047855</v>
      </c>
      <c r="H260" s="125">
        <f t="shared" si="6"/>
        <v>28980.000000000004</v>
      </c>
      <c r="I260" s="125">
        <f t="shared" si="6"/>
        <v>41138.826947414847</v>
      </c>
      <c r="J260" s="125">
        <f t="shared" si="6"/>
        <v>31381.487538865309</v>
      </c>
      <c r="K260" s="125">
        <f t="shared" si="6"/>
        <v>42280.11849861782</v>
      </c>
      <c r="L260" s="125">
        <f t="shared" si="6"/>
        <v>40433.020571047913</v>
      </c>
      <c r="M260" s="125">
        <f t="shared" si="6"/>
        <v>32286.755361988802</v>
      </c>
      <c r="N260" s="125">
        <f t="shared" si="6"/>
        <v>30900</v>
      </c>
      <c r="O260" s="125">
        <f t="shared" si="6"/>
        <v>34813.933616083588</v>
      </c>
      <c r="P260" s="125">
        <f t="shared" si="6"/>
        <v>28738.66767392027</v>
      </c>
      <c r="Q260" s="125">
        <f t="shared" si="6"/>
        <v>28500</v>
      </c>
      <c r="R260" s="125">
        <f t="shared" si="6"/>
        <v>33177.198442834124</v>
      </c>
      <c r="S260" s="125">
        <f t="shared" si="6"/>
        <v>37071.050890890954</v>
      </c>
      <c r="T260" s="125">
        <f t="shared" si="6"/>
        <v>35201.965694139137</v>
      </c>
      <c r="U260" s="125">
        <f t="shared" si="6"/>
        <v>33755.106897906466</v>
      </c>
      <c r="V260" s="125">
        <f t="shared" si="6"/>
        <v>39024.913908845781</v>
      </c>
      <c r="W260" s="125">
        <f t="shared" si="6"/>
        <v>29210.931884035399</v>
      </c>
      <c r="X260" s="125">
        <f t="shared" si="6"/>
        <v>36691.762848765153</v>
      </c>
      <c r="Y260" s="125">
        <f t="shared" si="6"/>
        <v>32026.661090394693</v>
      </c>
      <c r="Z260" s="125">
        <f t="shared" si="6"/>
        <v>36545.977201640257</v>
      </c>
      <c r="AA260" s="125">
        <f t="shared" si="6"/>
        <v>28048.890523684375</v>
      </c>
      <c r="AB260" s="125">
        <f t="shared" si="6"/>
        <v>36628.189658059178</v>
      </c>
      <c r="AC260" s="125">
        <f t="shared" si="6"/>
        <v>32348.785951995775</v>
      </c>
      <c r="AD260" s="125">
        <f t="shared" si="6"/>
        <v>29940</v>
      </c>
      <c r="AE260" s="125">
        <f t="shared" si="6"/>
        <v>31500</v>
      </c>
      <c r="AF260" s="125">
        <f t="shared" si="6"/>
        <v>29820.000000000004</v>
      </c>
      <c r="AG260" s="125">
        <f t="shared" si="6"/>
        <v>25200</v>
      </c>
      <c r="AH260" s="125">
        <f t="shared" si="6"/>
        <v>23279.999999999996</v>
      </c>
      <c r="AI260" s="125">
        <f t="shared" si="6"/>
        <v>20820</v>
      </c>
      <c r="AJ260" s="125">
        <f t="shared" si="6"/>
        <v>33167.218613788777</v>
      </c>
      <c r="AK260" s="125">
        <f t="shared" si="6"/>
        <v>26853.230160806979</v>
      </c>
      <c r="AL260" s="125">
        <f t="shared" si="6"/>
        <v>34960.744493374259</v>
      </c>
      <c r="AM260" s="125">
        <f t="shared" si="6"/>
        <v>25902.221165656232</v>
      </c>
      <c r="AN260" s="125">
        <f t="shared" si="6"/>
        <v>34614.524348875173</v>
      </c>
      <c r="AO260" s="125">
        <f t="shared" si="6"/>
        <v>29775.64127128476</v>
      </c>
      <c r="AP260" s="125">
        <f t="shared" si="6"/>
        <v>28712.720139809819</v>
      </c>
      <c r="AQ260" s="125">
        <f t="shared" si="6"/>
        <v>38208.064740594076</v>
      </c>
      <c r="AR260" s="125">
        <f t="shared" si="6"/>
        <v>32891.310960238363</v>
      </c>
      <c r="AS260" s="125">
        <f t="shared" si="6"/>
        <v>33047.066646229287</v>
      </c>
      <c r="AT260" s="125">
        <f t="shared" si="6"/>
        <v>28659.755087423877</v>
      </c>
      <c r="AU260" s="125">
        <f t="shared" si="6"/>
        <v>29124.654746146334</v>
      </c>
      <c r="AV260" s="125">
        <f t="shared" si="6"/>
        <v>26801.861278414406</v>
      </c>
      <c r="AW260" s="125">
        <f t="shared" si="6"/>
        <v>34884.654746146327</v>
      </c>
      <c r="AX260" s="125">
        <f t="shared" si="6"/>
        <v>33387.809557225301</v>
      </c>
      <c r="AY260" s="125">
        <f t="shared" si="6"/>
        <v>34634.1899406882</v>
      </c>
      <c r="AZ260" s="141">
        <f>SUM($D260:$AY260)</f>
        <v>1551336.8810835658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46</v>
      </c>
    </row>
    <row r="3" spans="1:54">
      <c r="A3" s="100" t="s">
        <v>286</v>
      </c>
      <c r="B3" s="108">
        <v>1500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190.00000000000003</v>
      </c>
      <c r="E9" s="117">
        <v>190.00000000000003</v>
      </c>
      <c r="F9" s="117">
        <v>190.00000000000003</v>
      </c>
      <c r="G9" s="117">
        <v>190.00000000000003</v>
      </c>
      <c r="H9" s="117">
        <v>190.00000000000003</v>
      </c>
      <c r="I9" s="117">
        <v>190.00000000000003</v>
      </c>
      <c r="J9" s="117">
        <v>190.00000000000003</v>
      </c>
      <c r="K9" s="117">
        <v>190.00000000000003</v>
      </c>
      <c r="L9" s="117">
        <v>190.00000000000003</v>
      </c>
      <c r="M9" s="117">
        <v>190.00000000000003</v>
      </c>
      <c r="N9" s="117">
        <v>190.00000000000003</v>
      </c>
      <c r="O9" s="117">
        <v>190.00000000000003</v>
      </c>
      <c r="P9" s="117">
        <v>190.00000000000003</v>
      </c>
      <c r="Q9" s="117">
        <v>190.00000000000003</v>
      </c>
      <c r="R9" s="117">
        <v>190.00000000000003</v>
      </c>
      <c r="S9" s="117">
        <v>190.00000000000003</v>
      </c>
      <c r="T9" s="117">
        <v>190.00000000000003</v>
      </c>
      <c r="U9" s="117">
        <v>190.00000000000003</v>
      </c>
      <c r="V9" s="117">
        <v>190.00000000000003</v>
      </c>
      <c r="W9" s="117">
        <v>190.00000000000003</v>
      </c>
      <c r="X9" s="117">
        <v>190.00000000000003</v>
      </c>
      <c r="Y9" s="117">
        <v>190.00000000000003</v>
      </c>
      <c r="Z9" s="117">
        <v>190.00000000000003</v>
      </c>
      <c r="AA9" s="117">
        <v>190.00000000000003</v>
      </c>
      <c r="AB9" s="117">
        <v>8.5761065387644201E-21</v>
      </c>
      <c r="AC9" s="117">
        <v>8.5761065387644201E-21</v>
      </c>
      <c r="AD9" s="117">
        <v>8.5761065387644201E-21</v>
      </c>
      <c r="AE9" s="117">
        <v>8.5761065387644201E-21</v>
      </c>
      <c r="AF9" s="117">
        <v>190.00000000000003</v>
      </c>
      <c r="AG9" s="117">
        <v>190.00000000000003</v>
      </c>
      <c r="AH9" s="117">
        <v>190.00000000000003</v>
      </c>
      <c r="AI9" s="117">
        <v>190.00000000000003</v>
      </c>
      <c r="AJ9" s="117">
        <v>190.00000000000003</v>
      </c>
      <c r="AK9" s="117">
        <v>190.00000000000003</v>
      </c>
      <c r="AL9" s="117">
        <v>190.00000000000003</v>
      </c>
      <c r="AM9" s="117">
        <v>190.00000000000003</v>
      </c>
      <c r="AN9" s="117">
        <v>190.00000000000003</v>
      </c>
      <c r="AO9" s="117">
        <v>190.00000000000003</v>
      </c>
      <c r="AP9" s="117">
        <v>190.00000000000003</v>
      </c>
      <c r="AQ9" s="117">
        <v>190.00000000000003</v>
      </c>
      <c r="AR9" s="117">
        <v>190.00000000000003</v>
      </c>
      <c r="AS9" s="117">
        <v>190.00000000000003</v>
      </c>
      <c r="AT9" s="117">
        <v>190.00000000000003</v>
      </c>
      <c r="AU9" s="117">
        <v>190.00000000000003</v>
      </c>
      <c r="AV9" s="117">
        <v>190.00000000000003</v>
      </c>
      <c r="AW9" s="117">
        <v>190.00000000000003</v>
      </c>
      <c r="AX9" s="117">
        <v>190.00000000000003</v>
      </c>
      <c r="AY9" s="117">
        <v>190.00000000000003</v>
      </c>
    </row>
    <row r="10" spans="1:54">
      <c r="A10" s="118" t="s">
        <v>133</v>
      </c>
      <c r="B10" s="119">
        <v>1</v>
      </c>
      <c r="C10" s="106" t="s">
        <v>293</v>
      </c>
      <c r="D10" s="100">
        <v>152.93851410491021</v>
      </c>
      <c r="E10" s="100">
        <v>13.393115136163258</v>
      </c>
      <c r="F10" s="100">
        <v>0</v>
      </c>
      <c r="G10" s="100">
        <v>169.99999999999997</v>
      </c>
      <c r="H10" s="100">
        <v>170</v>
      </c>
      <c r="I10" s="100">
        <v>169.99999999999997</v>
      </c>
      <c r="J10" s="100">
        <v>170</v>
      </c>
      <c r="K10" s="100">
        <v>169.99999999999997</v>
      </c>
      <c r="L10" s="100">
        <v>170</v>
      </c>
      <c r="M10" s="100">
        <v>0</v>
      </c>
      <c r="N10" s="100">
        <v>169.99999999999997</v>
      </c>
      <c r="O10" s="100">
        <v>170</v>
      </c>
      <c r="P10" s="100">
        <v>0</v>
      </c>
      <c r="Q10" s="100">
        <v>0</v>
      </c>
      <c r="R10" s="100">
        <v>169.99999999999997</v>
      </c>
      <c r="S10" s="100">
        <v>170</v>
      </c>
      <c r="T10" s="100">
        <v>169.99999999999997</v>
      </c>
      <c r="U10" s="100">
        <v>13.393115136163258</v>
      </c>
      <c r="V10" s="100">
        <v>169.99999999999997</v>
      </c>
      <c r="W10" s="100">
        <v>13.393115136163258</v>
      </c>
      <c r="X10" s="100">
        <v>169.99999999999997</v>
      </c>
      <c r="Y10" s="100">
        <v>13.393115136163258</v>
      </c>
      <c r="Z10" s="100">
        <v>169.99999999999997</v>
      </c>
      <c r="AA10" s="100">
        <v>170</v>
      </c>
      <c r="AB10" s="100">
        <v>169.99999999999997</v>
      </c>
      <c r="AC10" s="100">
        <v>170</v>
      </c>
      <c r="AD10" s="100">
        <v>1.1479935558397655E-20</v>
      </c>
      <c r="AE10" s="100">
        <v>1.1479935558397655E-20</v>
      </c>
      <c r="AF10" s="100">
        <v>1.1479935558397655E-20</v>
      </c>
      <c r="AG10" s="100">
        <v>1.1479935558397655E-20</v>
      </c>
      <c r="AH10" s="100">
        <v>169.99999999999997</v>
      </c>
      <c r="AI10" s="100">
        <v>170</v>
      </c>
      <c r="AJ10" s="100">
        <v>169.99999999999997</v>
      </c>
      <c r="AK10" s="100">
        <v>170</v>
      </c>
      <c r="AL10" s="100">
        <v>169.99999999999997</v>
      </c>
      <c r="AM10" s="100">
        <v>170</v>
      </c>
      <c r="AN10" s="100">
        <v>169.99999999999997</v>
      </c>
      <c r="AO10" s="100">
        <v>170</v>
      </c>
      <c r="AP10" s="100">
        <v>169.99999999999997</v>
      </c>
      <c r="AQ10" s="100">
        <v>170</v>
      </c>
      <c r="AR10" s="100">
        <v>169.99999999999997</v>
      </c>
      <c r="AS10" s="100">
        <v>26.786230272326517</v>
      </c>
      <c r="AT10" s="100">
        <v>169.99999999999997</v>
      </c>
      <c r="AU10" s="100">
        <v>170</v>
      </c>
      <c r="AV10" s="100">
        <v>169.99999999999997</v>
      </c>
      <c r="AW10" s="100">
        <v>26.786230272326517</v>
      </c>
      <c r="AX10" s="100">
        <v>169.99999999999997</v>
      </c>
      <c r="AY10" s="100">
        <v>26.786230272326517</v>
      </c>
      <c r="AZ10" s="100">
        <v>169.99999999999997</v>
      </c>
    </row>
    <row r="11" spans="1:54">
      <c r="B11" s="119">
        <v>2</v>
      </c>
      <c r="C11" s="106" t="s">
        <v>293</v>
      </c>
      <c r="F11" s="100">
        <v>156.60688486383688</v>
      </c>
      <c r="I11" s="100">
        <v>0</v>
      </c>
      <c r="J11" s="100">
        <v>0</v>
      </c>
      <c r="L11" s="100">
        <v>0</v>
      </c>
      <c r="O11" s="100">
        <v>0</v>
      </c>
      <c r="Q11" s="100">
        <v>0</v>
      </c>
      <c r="S11" s="100">
        <v>0</v>
      </c>
      <c r="T11" s="100">
        <v>0</v>
      </c>
      <c r="U11" s="100">
        <v>0</v>
      </c>
      <c r="V11" s="100">
        <v>156.60688486383674</v>
      </c>
      <c r="X11" s="100">
        <v>156.60688486383674</v>
      </c>
      <c r="Y11" s="100">
        <v>0</v>
      </c>
      <c r="Z11" s="100">
        <v>156.60688486383674</v>
      </c>
      <c r="AB11" s="100">
        <v>0</v>
      </c>
      <c r="AC11" s="100">
        <v>0</v>
      </c>
      <c r="AE11" s="100">
        <v>0</v>
      </c>
      <c r="AH11" s="100">
        <v>0</v>
      </c>
      <c r="AI11" s="100">
        <v>0</v>
      </c>
      <c r="AL11" s="100">
        <v>0</v>
      </c>
      <c r="AM11" s="100">
        <v>0</v>
      </c>
      <c r="AO11" s="100">
        <v>0</v>
      </c>
      <c r="AP11" s="100">
        <v>0</v>
      </c>
      <c r="AQ11" s="100">
        <v>0</v>
      </c>
      <c r="AT11" s="100">
        <v>143.21376972767348</v>
      </c>
      <c r="AU11" s="100">
        <v>0</v>
      </c>
      <c r="AV11" s="100">
        <v>0</v>
      </c>
      <c r="AX11" s="100">
        <v>143.21376972767348</v>
      </c>
      <c r="AY11" s="100">
        <v>0</v>
      </c>
      <c r="AZ11" s="100">
        <v>143.21376972767348</v>
      </c>
    </row>
    <row r="12" spans="1:54">
      <c r="B12" s="120">
        <v>3</v>
      </c>
      <c r="C12" s="106" t="s">
        <v>293</v>
      </c>
      <c r="F12" s="100">
        <v>0</v>
      </c>
      <c r="O12" s="100">
        <v>0</v>
      </c>
      <c r="Q12" s="100">
        <v>0</v>
      </c>
      <c r="AD12" s="100">
        <v>0</v>
      </c>
      <c r="AJ12" s="100">
        <v>0</v>
      </c>
      <c r="AR12" s="100">
        <v>0</v>
      </c>
      <c r="AT12" s="100">
        <v>0</v>
      </c>
      <c r="AZ12" s="100">
        <v>0</v>
      </c>
      <c r="BB12" s="100">
        <v>0</v>
      </c>
    </row>
    <row r="13" spans="1:54">
      <c r="B13" s="120">
        <v>4</v>
      </c>
      <c r="C13" s="106" t="s">
        <v>293</v>
      </c>
    </row>
    <row r="14" spans="1:54">
      <c r="A14" s="115" t="s">
        <v>134</v>
      </c>
      <c r="B14" s="121">
        <v>1</v>
      </c>
      <c r="C14" s="117" t="s">
        <v>293</v>
      </c>
      <c r="D14" s="117">
        <v>86.182028648203499</v>
      </c>
      <c r="E14" s="117">
        <f t="shared" ref="E14:AZ14" si="0">D$172*SUM(D$122:D$169)</f>
        <v>86.255785531987883</v>
      </c>
      <c r="F14" s="117">
        <f t="shared" si="0"/>
        <v>6.7753396861400219</v>
      </c>
      <c r="G14" s="117">
        <f t="shared" si="0"/>
        <v>79.142504729485836</v>
      </c>
      <c r="H14" s="117">
        <f t="shared" si="0"/>
        <v>85.91016244386806</v>
      </c>
      <c r="I14" s="117">
        <f t="shared" si="0"/>
        <v>85.91016244386806</v>
      </c>
      <c r="J14" s="117">
        <f t="shared" si="0"/>
        <v>85.91016244386806</v>
      </c>
      <c r="K14" s="117">
        <f t="shared" si="0"/>
        <v>85.91016244386806</v>
      </c>
      <c r="L14" s="117">
        <f t="shared" si="0"/>
        <v>85.91016244386806</v>
      </c>
      <c r="M14" s="117">
        <f t="shared" si="0"/>
        <v>85.91016244386806</v>
      </c>
      <c r="N14" s="117">
        <f t="shared" si="0"/>
        <v>7.6819717577305026E-3</v>
      </c>
      <c r="O14" s="117">
        <f t="shared" si="0"/>
        <v>85.91016244386806</v>
      </c>
      <c r="P14" s="117">
        <f t="shared" si="0"/>
        <v>85.91016244386806</v>
      </c>
      <c r="Q14" s="117">
        <f t="shared" si="0"/>
        <v>7.6819717577305026E-3</v>
      </c>
      <c r="R14" s="117">
        <f t="shared" si="0"/>
        <v>7.6819717577305026E-3</v>
      </c>
      <c r="S14" s="117">
        <f t="shared" si="0"/>
        <v>85.91016244386806</v>
      </c>
      <c r="T14" s="117">
        <f t="shared" si="0"/>
        <v>85.91016244386806</v>
      </c>
      <c r="U14" s="117">
        <f t="shared" si="0"/>
        <v>85.91016244386806</v>
      </c>
      <c r="V14" s="117">
        <f t="shared" si="0"/>
        <v>6.7753396861400219</v>
      </c>
      <c r="W14" s="117">
        <f t="shared" si="0"/>
        <v>165.04498520159609</v>
      </c>
      <c r="X14" s="117">
        <f t="shared" si="0"/>
        <v>29.786693258989754</v>
      </c>
      <c r="Y14" s="117">
        <f t="shared" si="0"/>
        <v>165.04498520159609</v>
      </c>
      <c r="Z14" s="117">
        <f t="shared" si="0"/>
        <v>33.589618425377253</v>
      </c>
      <c r="AA14" s="117">
        <f t="shared" si="0"/>
        <v>165.04498520159609</v>
      </c>
      <c r="AB14" s="117">
        <f t="shared" si="0"/>
        <v>94.791998487258454</v>
      </c>
      <c r="AC14" s="117">
        <f t="shared" si="0"/>
        <v>85.91016244386806</v>
      </c>
      <c r="AD14" s="117">
        <f t="shared" si="0"/>
        <v>85.91016244386806</v>
      </c>
      <c r="AE14" s="117">
        <f t="shared" si="0"/>
        <v>7.681971757736294E-3</v>
      </c>
      <c r="AF14" s="117">
        <f t="shared" si="0"/>
        <v>7.6819717577305026E-3</v>
      </c>
      <c r="AG14" s="117">
        <f t="shared" si="0"/>
        <v>7.6819717577305026E-3</v>
      </c>
      <c r="AH14" s="117">
        <f t="shared" si="0"/>
        <v>7.6819717577305026E-3</v>
      </c>
      <c r="AI14" s="117">
        <f t="shared" si="0"/>
        <v>85.91016244386806</v>
      </c>
      <c r="AJ14" s="117">
        <f t="shared" si="0"/>
        <v>85.91016244386806</v>
      </c>
      <c r="AK14" s="117">
        <f t="shared" si="0"/>
        <v>85.91016244386806</v>
      </c>
      <c r="AL14" s="117">
        <f t="shared" si="0"/>
        <v>85.91016244386806</v>
      </c>
      <c r="AM14" s="117">
        <f t="shared" si="0"/>
        <v>85.91016244386806</v>
      </c>
      <c r="AN14" s="117">
        <f t="shared" si="0"/>
        <v>85.91016244386806</v>
      </c>
      <c r="AO14" s="117">
        <f t="shared" si="0"/>
        <v>85.91016244386806</v>
      </c>
      <c r="AP14" s="117">
        <f t="shared" si="0"/>
        <v>85.91016244386806</v>
      </c>
      <c r="AQ14" s="117">
        <f t="shared" si="0"/>
        <v>85.91016244386806</v>
      </c>
      <c r="AR14" s="117">
        <f t="shared" si="0"/>
        <v>85.91016244386806</v>
      </c>
      <c r="AS14" s="117">
        <f t="shared" si="0"/>
        <v>85.91016244386806</v>
      </c>
      <c r="AT14" s="117">
        <f t="shared" si="0"/>
        <v>13.542997400522312</v>
      </c>
      <c r="AU14" s="117">
        <f t="shared" si="0"/>
        <v>158.2773274872138</v>
      </c>
      <c r="AV14" s="117">
        <f t="shared" si="0"/>
        <v>99.593510325677343</v>
      </c>
      <c r="AW14" s="117">
        <f t="shared" si="0"/>
        <v>89.086800583292984</v>
      </c>
      <c r="AX14" s="117">
        <f t="shared" si="0"/>
        <v>13.542997400522317</v>
      </c>
      <c r="AY14" s="117">
        <f t="shared" si="0"/>
        <v>158.2773274872138</v>
      </c>
      <c r="AZ14" s="110">
        <f t="shared" si="0"/>
        <v>26.336181042802409</v>
      </c>
      <c r="BA14" s="107">
        <f>SUM($E14:$AZ14)</f>
        <v>3452.8070495925508</v>
      </c>
    </row>
    <row r="15" spans="1:54">
      <c r="A15" s="122" t="s">
        <v>123</v>
      </c>
      <c r="B15" s="123">
        <v>1</v>
      </c>
      <c r="C15" s="124" t="s">
        <v>293</v>
      </c>
      <c r="D15" s="124">
        <v>211.65962577057749</v>
      </c>
      <c r="E15" s="124">
        <v>16.62573534740017</v>
      </c>
      <c r="F15" s="124">
        <v>1.8850483563428874E-2</v>
      </c>
      <c r="G15" s="124">
        <v>210.81151508399654</v>
      </c>
      <c r="H15" s="124">
        <v>210.81151508399654</v>
      </c>
      <c r="I15" s="124">
        <v>210.81151508399654</v>
      </c>
      <c r="J15" s="124">
        <v>210.81151508399654</v>
      </c>
      <c r="K15" s="124">
        <v>210.81151508399654</v>
      </c>
      <c r="L15" s="124">
        <v>210.81151508399654</v>
      </c>
      <c r="M15" s="124">
        <v>1.8850483563428874E-2</v>
      </c>
      <c r="N15" s="124">
        <v>210.81151508399654</v>
      </c>
      <c r="O15" s="124">
        <v>210.81151508399654</v>
      </c>
      <c r="P15" s="124">
        <v>1.8850483563428874E-2</v>
      </c>
      <c r="Q15" s="124">
        <v>1.8850483563428874E-2</v>
      </c>
      <c r="R15" s="124">
        <v>210.81151508399654</v>
      </c>
      <c r="S15" s="124">
        <v>210.81151508399654</v>
      </c>
      <c r="T15" s="124">
        <v>210.81151508399654</v>
      </c>
      <c r="U15" s="124">
        <v>16.62573534740017</v>
      </c>
      <c r="V15" s="124">
        <v>210.81151508399654</v>
      </c>
      <c r="W15" s="124">
        <v>16.62573534740017</v>
      </c>
      <c r="X15" s="124">
        <v>210.81151508399654</v>
      </c>
      <c r="Y15" s="124">
        <v>16.62573534740017</v>
      </c>
      <c r="Z15" s="124">
        <v>210.81151508399654</v>
      </c>
      <c r="AA15" s="124">
        <v>210.81151508399654</v>
      </c>
      <c r="AB15" s="124">
        <v>210.81151508399654</v>
      </c>
      <c r="AC15" s="124">
        <v>210.81151508399654</v>
      </c>
      <c r="AD15" s="124">
        <v>1.8850483563428874E-2</v>
      </c>
      <c r="AE15" s="124">
        <v>1.8850483563428874E-2</v>
      </c>
      <c r="AF15" s="124">
        <v>1.8850483563428874E-2</v>
      </c>
      <c r="AG15" s="124">
        <v>1.8850483563428874E-2</v>
      </c>
      <c r="AH15" s="124">
        <v>210.81151508399654</v>
      </c>
      <c r="AI15" s="124">
        <v>210.81151508399654</v>
      </c>
      <c r="AJ15" s="124">
        <v>210.81151508399654</v>
      </c>
      <c r="AK15" s="124">
        <v>210.81151508399654</v>
      </c>
      <c r="AL15" s="124">
        <v>210.81151508399654</v>
      </c>
      <c r="AM15" s="124">
        <v>210.81151508399654</v>
      </c>
      <c r="AN15" s="124">
        <v>210.81151508399654</v>
      </c>
      <c r="AO15" s="124">
        <v>210.81151508399654</v>
      </c>
      <c r="AP15" s="124">
        <v>210.81151508399654</v>
      </c>
      <c r="AQ15" s="124">
        <v>210.81151508399654</v>
      </c>
      <c r="AR15" s="124">
        <v>210.81151508399654</v>
      </c>
      <c r="AS15" s="124">
        <v>33.232620211236906</v>
      </c>
      <c r="AT15" s="124">
        <v>210.81151508399654</v>
      </c>
      <c r="AU15" s="124">
        <v>210.81151508399654</v>
      </c>
      <c r="AV15" s="124">
        <v>210.81151508399654</v>
      </c>
      <c r="AW15" s="124">
        <v>33.232620211236906</v>
      </c>
      <c r="AX15" s="124">
        <v>210.81151508399654</v>
      </c>
      <c r="AY15" s="124">
        <v>33.232620211236906</v>
      </c>
      <c r="AZ15" s="100">
        <v>210.79266460043311</v>
      </c>
    </row>
    <row r="16" spans="1:54">
      <c r="A16" s="110"/>
      <c r="B16" s="119">
        <v>2</v>
      </c>
      <c r="C16" s="109" t="s">
        <v>293</v>
      </c>
      <c r="D16" s="106"/>
      <c r="E16" s="110"/>
      <c r="F16" s="110">
        <v>194.18577973659654</v>
      </c>
      <c r="G16" s="110"/>
      <c r="H16" s="110"/>
      <c r="I16" s="110">
        <v>0</v>
      </c>
      <c r="J16" s="110">
        <v>0</v>
      </c>
      <c r="K16" s="110"/>
      <c r="L16" s="110">
        <v>0</v>
      </c>
      <c r="M16" s="110"/>
      <c r="N16" s="110"/>
      <c r="O16" s="110">
        <v>0</v>
      </c>
      <c r="P16" s="110"/>
      <c r="Q16" s="110">
        <v>0</v>
      </c>
      <c r="R16" s="110"/>
      <c r="S16" s="110">
        <v>0</v>
      </c>
      <c r="T16" s="110">
        <v>0</v>
      </c>
      <c r="U16" s="110">
        <v>0</v>
      </c>
      <c r="V16" s="110">
        <v>194.18577973659637</v>
      </c>
      <c r="W16" s="110"/>
      <c r="X16" s="110">
        <v>194.18577973659637</v>
      </c>
      <c r="Y16" s="110">
        <v>0</v>
      </c>
      <c r="Z16" s="110">
        <v>194.18577973659637</v>
      </c>
      <c r="AA16" s="110"/>
      <c r="AB16" s="110">
        <v>0</v>
      </c>
      <c r="AC16" s="110">
        <v>0</v>
      </c>
      <c r="AD16" s="110"/>
      <c r="AE16" s="110">
        <v>0</v>
      </c>
      <c r="AF16" s="110"/>
      <c r="AG16" s="110"/>
      <c r="AH16" s="110">
        <v>0</v>
      </c>
      <c r="AI16" s="110">
        <v>0</v>
      </c>
      <c r="AJ16" s="110"/>
      <c r="AK16" s="110"/>
      <c r="AL16" s="110">
        <v>0</v>
      </c>
      <c r="AM16" s="110">
        <v>0</v>
      </c>
      <c r="AN16" s="110"/>
      <c r="AO16" s="110">
        <v>0</v>
      </c>
      <c r="AP16" s="110">
        <v>0</v>
      </c>
      <c r="AQ16" s="110">
        <v>0</v>
      </c>
      <c r="AR16" s="110"/>
      <c r="AS16" s="110"/>
      <c r="AT16" s="110">
        <v>177.57889487275963</v>
      </c>
      <c r="AU16" s="110">
        <v>0</v>
      </c>
      <c r="AV16" s="110">
        <v>0</v>
      </c>
      <c r="AW16" s="110"/>
      <c r="AX16" s="110">
        <v>177.57889487275963</v>
      </c>
      <c r="AY16" s="110">
        <v>0</v>
      </c>
      <c r="AZ16" s="100">
        <v>177.57889487275963</v>
      </c>
    </row>
    <row r="17" spans="1:54">
      <c r="A17" s="110"/>
      <c r="B17" s="119">
        <v>3</v>
      </c>
      <c r="C17" s="109" t="s">
        <v>293</v>
      </c>
      <c r="D17" s="106"/>
      <c r="E17" s="110"/>
      <c r="F17" s="110">
        <v>0</v>
      </c>
      <c r="G17" s="110"/>
      <c r="H17" s="110"/>
      <c r="I17" s="110"/>
      <c r="J17" s="110"/>
      <c r="K17" s="110"/>
      <c r="L17" s="110"/>
      <c r="M17" s="110"/>
      <c r="N17" s="110"/>
      <c r="O17" s="110">
        <v>0</v>
      </c>
      <c r="P17" s="110"/>
      <c r="Q17" s="110">
        <v>0</v>
      </c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>
        <v>0</v>
      </c>
      <c r="AE17" s="110"/>
      <c r="AF17" s="110"/>
      <c r="AG17" s="110"/>
      <c r="AH17" s="110"/>
      <c r="AI17" s="110"/>
      <c r="AJ17" s="110">
        <v>0</v>
      </c>
      <c r="AK17" s="110"/>
      <c r="AL17" s="110"/>
      <c r="AM17" s="110"/>
      <c r="AN17" s="110"/>
      <c r="AO17" s="110"/>
      <c r="AP17" s="110"/>
      <c r="AQ17" s="110"/>
      <c r="AR17" s="110">
        <v>0</v>
      </c>
      <c r="AS17" s="110"/>
      <c r="AT17" s="110">
        <v>0</v>
      </c>
      <c r="AU17" s="110"/>
      <c r="AV17" s="110"/>
      <c r="AW17" s="110"/>
      <c r="AX17" s="110"/>
      <c r="AY17" s="110"/>
      <c r="AZ17" s="100">
        <v>0</v>
      </c>
      <c r="BB17" s="100">
        <v>0</v>
      </c>
    </row>
    <row r="18" spans="1:54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190</v>
      </c>
      <c r="D95" s="110">
        <v>190.00000000000003</v>
      </c>
      <c r="E95" s="110">
        <v>190.00000000000003</v>
      </c>
      <c r="F95" s="110">
        <v>190.00000000000003</v>
      </c>
      <c r="G95" s="110">
        <v>190.00000000000003</v>
      </c>
      <c r="H95" s="110">
        <v>190.00000000000003</v>
      </c>
      <c r="I95" s="110">
        <v>190.00000000000003</v>
      </c>
      <c r="J95" s="110">
        <v>190.00000000000003</v>
      </c>
      <c r="K95" s="110">
        <v>190.00000000000003</v>
      </c>
      <c r="L95" s="110">
        <v>190.00000000000003</v>
      </c>
      <c r="M95" s="110">
        <v>190.00000000000003</v>
      </c>
      <c r="N95" s="110">
        <v>190.00000000000003</v>
      </c>
      <c r="O95" s="110">
        <v>190.00000000000003</v>
      </c>
      <c r="P95" s="110">
        <v>190.00000000000003</v>
      </c>
      <c r="Q95" s="110">
        <v>190.00000000000003</v>
      </c>
      <c r="R95" s="110">
        <v>190.00000000000003</v>
      </c>
      <c r="S95" s="110">
        <v>190.00000000000003</v>
      </c>
      <c r="T95" s="110">
        <v>190.00000000000003</v>
      </c>
      <c r="U95" s="110">
        <v>190.00000000000003</v>
      </c>
      <c r="V95" s="110">
        <v>190.00000000000003</v>
      </c>
      <c r="W95" s="110">
        <v>190.00000000000003</v>
      </c>
      <c r="X95" s="110">
        <v>190.00000000000003</v>
      </c>
      <c r="Y95" s="110">
        <v>190.00000000000003</v>
      </c>
      <c r="Z95" s="110">
        <v>190.00000000000003</v>
      </c>
      <c r="AA95" s="110">
        <v>190.00000000000003</v>
      </c>
      <c r="AB95" s="110">
        <v>8.5761065387644201E-21</v>
      </c>
      <c r="AC95" s="110">
        <v>8.5761065387644201E-21</v>
      </c>
      <c r="AD95" s="110">
        <v>8.5761065387644201E-21</v>
      </c>
      <c r="AE95" s="110">
        <v>8.5761065387644201E-21</v>
      </c>
      <c r="AF95" s="110">
        <v>190.00000000000003</v>
      </c>
      <c r="AG95" s="110">
        <v>190.00000000000003</v>
      </c>
      <c r="AH95" s="110">
        <v>190.00000000000003</v>
      </c>
      <c r="AI95" s="110">
        <v>190.00000000000003</v>
      </c>
      <c r="AJ95" s="110">
        <v>190.00000000000003</v>
      </c>
      <c r="AK95" s="110">
        <v>190.00000000000003</v>
      </c>
      <c r="AL95" s="110">
        <v>190.00000000000003</v>
      </c>
      <c r="AM95" s="110">
        <v>190.00000000000003</v>
      </c>
      <c r="AN95" s="110">
        <v>190.00000000000003</v>
      </c>
      <c r="AO95" s="110">
        <v>190.00000000000003</v>
      </c>
      <c r="AP95" s="110">
        <v>190.00000000000003</v>
      </c>
      <c r="AQ95" s="110">
        <v>190.00000000000003</v>
      </c>
      <c r="AR95" s="110">
        <v>190.00000000000003</v>
      </c>
      <c r="AS95" s="110">
        <v>190.00000000000003</v>
      </c>
      <c r="AT95" s="110">
        <v>190.00000000000003</v>
      </c>
      <c r="AU95" s="110">
        <v>190.00000000000003</v>
      </c>
      <c r="AV95" s="110">
        <v>190.00000000000003</v>
      </c>
      <c r="AW95" s="110">
        <v>190.00000000000003</v>
      </c>
      <c r="AX95" s="110">
        <v>190.00000000000003</v>
      </c>
      <c r="AY95" s="110">
        <v>190.00000000000003</v>
      </c>
    </row>
    <row r="96" spans="1:52">
      <c r="A96" s="109"/>
      <c r="B96" s="120">
        <v>2</v>
      </c>
      <c r="C96" s="110">
        <v>0</v>
      </c>
      <c r="D96" s="110">
        <v>19</v>
      </c>
      <c r="E96" s="110">
        <v>5.0000000000000284</v>
      </c>
      <c r="F96" s="110">
        <v>7.0000000000000568</v>
      </c>
      <c r="G96" s="110">
        <v>49.000000000000085</v>
      </c>
      <c r="H96" s="110">
        <v>26.000000000000114</v>
      </c>
      <c r="I96" s="110">
        <v>51.000000000000142</v>
      </c>
      <c r="J96" s="110">
        <v>64.000000000000171</v>
      </c>
      <c r="K96" s="110">
        <v>41.000000000000199</v>
      </c>
      <c r="L96" s="110">
        <v>72.000000000000227</v>
      </c>
      <c r="M96" s="110">
        <v>99.000000000000256</v>
      </c>
      <c r="N96" s="110">
        <v>104.00000000000028</v>
      </c>
      <c r="O96" s="110">
        <v>111.00000000000031</v>
      </c>
      <c r="P96" s="110">
        <v>123.00000000000034</v>
      </c>
      <c r="Q96" s="110">
        <v>132.00000000000037</v>
      </c>
      <c r="R96" s="110">
        <v>98.000000000000398</v>
      </c>
      <c r="S96" s="110">
        <v>92.000000000000426</v>
      </c>
      <c r="T96" s="110">
        <v>105.00000000000045</v>
      </c>
      <c r="U96" s="110">
        <v>82.000000000000483</v>
      </c>
      <c r="V96" s="110">
        <v>68.000000000000512</v>
      </c>
      <c r="W96" s="110">
        <v>68.00000000000054</v>
      </c>
      <c r="X96" s="110">
        <v>76.000000000000568</v>
      </c>
      <c r="Y96" s="110">
        <v>77.000000000000597</v>
      </c>
      <c r="Z96" s="110">
        <v>68.000000000000625</v>
      </c>
      <c r="AA96" s="110">
        <v>72.000000000000654</v>
      </c>
      <c r="AB96" s="110">
        <v>90.000000000000682</v>
      </c>
      <c r="AC96" s="110">
        <v>8.5761065387644201E-21</v>
      </c>
      <c r="AD96" s="110">
        <v>0</v>
      </c>
      <c r="AE96" s="110">
        <v>0</v>
      </c>
      <c r="AF96" s="110">
        <v>0</v>
      </c>
      <c r="AG96" s="110">
        <v>2.8421709430404007E-14</v>
      </c>
      <c r="AH96" s="110">
        <v>0</v>
      </c>
      <c r="AI96" s="110">
        <v>2.8421709430404007E-14</v>
      </c>
      <c r="AJ96" s="110">
        <v>0</v>
      </c>
      <c r="AK96" s="110">
        <v>8.0000000000000284</v>
      </c>
      <c r="AL96" s="110">
        <v>0</v>
      </c>
      <c r="AM96" s="110">
        <v>0</v>
      </c>
      <c r="AN96" s="110">
        <v>14.000000000000028</v>
      </c>
      <c r="AO96" s="110">
        <v>3.0000000000000568</v>
      </c>
      <c r="AP96" s="110">
        <v>0</v>
      </c>
      <c r="AQ96" s="110">
        <v>0</v>
      </c>
      <c r="AR96" s="110">
        <v>0</v>
      </c>
      <c r="AS96" s="110">
        <v>0</v>
      </c>
      <c r="AT96" s="110">
        <v>0</v>
      </c>
      <c r="AU96" s="110">
        <v>0</v>
      </c>
      <c r="AV96" s="110">
        <v>0</v>
      </c>
      <c r="AW96" s="110">
        <v>15.000000000000028</v>
      </c>
      <c r="AX96" s="110">
        <v>13.000000000000057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152.93851410491021</v>
      </c>
      <c r="D100" s="106">
        <v>152.93851410491021</v>
      </c>
      <c r="E100" s="106">
        <v>13.393115136163258</v>
      </c>
      <c r="F100" s="106">
        <v>0</v>
      </c>
      <c r="G100" s="106">
        <v>169.99999999999997</v>
      </c>
      <c r="H100" s="106">
        <v>170</v>
      </c>
      <c r="I100" s="106">
        <v>169.99999999999997</v>
      </c>
      <c r="J100" s="106">
        <v>170</v>
      </c>
      <c r="K100" s="106">
        <v>169.99999999999997</v>
      </c>
      <c r="L100" s="106">
        <v>170</v>
      </c>
      <c r="M100" s="106">
        <v>0</v>
      </c>
      <c r="N100" s="106">
        <v>169.99999999999997</v>
      </c>
      <c r="O100" s="106">
        <v>170</v>
      </c>
      <c r="P100" s="106">
        <v>0</v>
      </c>
      <c r="Q100" s="106">
        <v>0</v>
      </c>
      <c r="R100" s="106">
        <v>169.99999999999997</v>
      </c>
      <c r="S100" s="106">
        <v>170</v>
      </c>
      <c r="T100" s="106">
        <v>169.99999999999997</v>
      </c>
      <c r="U100" s="106">
        <v>13.393115136163258</v>
      </c>
      <c r="V100" s="106">
        <v>169.99999999999997</v>
      </c>
      <c r="W100" s="106">
        <v>13.393115136163258</v>
      </c>
      <c r="X100" s="106">
        <v>169.99999999999997</v>
      </c>
      <c r="Y100" s="106">
        <v>13.393115136163258</v>
      </c>
      <c r="Z100" s="106">
        <v>169.99999999999997</v>
      </c>
      <c r="AA100" s="106">
        <v>170</v>
      </c>
      <c r="AB100" s="106">
        <v>169.99999999999997</v>
      </c>
      <c r="AC100" s="106">
        <v>170</v>
      </c>
      <c r="AD100" s="106">
        <v>1.1479935558397655E-20</v>
      </c>
      <c r="AE100" s="106">
        <v>1.1479935558397655E-20</v>
      </c>
      <c r="AF100" s="106">
        <v>1.1479935558397655E-20</v>
      </c>
      <c r="AG100" s="106">
        <v>1.1479935558397655E-20</v>
      </c>
      <c r="AH100" s="106">
        <v>169.99999999999997</v>
      </c>
      <c r="AI100" s="106">
        <v>170</v>
      </c>
      <c r="AJ100" s="106">
        <v>169.99999999999997</v>
      </c>
      <c r="AK100" s="106">
        <v>170</v>
      </c>
      <c r="AL100" s="106">
        <v>169.99999999999997</v>
      </c>
      <c r="AM100" s="106">
        <v>170</v>
      </c>
      <c r="AN100" s="106">
        <v>169.99999999999997</v>
      </c>
      <c r="AO100" s="106">
        <v>170</v>
      </c>
      <c r="AP100" s="106">
        <v>169.99999999999997</v>
      </c>
      <c r="AQ100" s="106">
        <v>170</v>
      </c>
      <c r="AR100" s="106">
        <v>169.99999999999997</v>
      </c>
      <c r="AS100" s="106">
        <v>26.786230272326517</v>
      </c>
      <c r="AT100" s="106">
        <v>169.99999999999997</v>
      </c>
      <c r="AU100" s="106">
        <v>170</v>
      </c>
      <c r="AV100" s="106">
        <v>169.99999999999997</v>
      </c>
      <c r="AW100" s="106">
        <v>26.786230272326517</v>
      </c>
      <c r="AX100" s="106">
        <v>169.99999999999997</v>
      </c>
      <c r="AY100" s="106">
        <v>26.786230272326517</v>
      </c>
    </row>
    <row r="101" spans="1:52">
      <c r="A101" s="109"/>
      <c r="B101" s="119">
        <v>2</v>
      </c>
      <c r="C101" s="106">
        <v>1.1692619547665117</v>
      </c>
      <c r="D101" s="106">
        <v>0</v>
      </c>
      <c r="E101" s="106">
        <v>0</v>
      </c>
      <c r="F101" s="106">
        <v>156.60688486383688</v>
      </c>
      <c r="G101" s="106">
        <v>0</v>
      </c>
      <c r="H101" s="106">
        <v>0</v>
      </c>
      <c r="I101" s="106">
        <v>0</v>
      </c>
      <c r="J101" s="106">
        <v>12.999999999999972</v>
      </c>
      <c r="K101" s="106">
        <v>0</v>
      </c>
      <c r="L101" s="106">
        <v>0</v>
      </c>
      <c r="M101" s="106">
        <v>0</v>
      </c>
      <c r="N101" s="106">
        <v>0</v>
      </c>
      <c r="O101" s="106">
        <v>0</v>
      </c>
      <c r="P101" s="106">
        <v>3</v>
      </c>
      <c r="Q101" s="106">
        <v>0</v>
      </c>
      <c r="R101" s="106">
        <v>0</v>
      </c>
      <c r="S101" s="106">
        <v>0</v>
      </c>
      <c r="T101" s="106">
        <v>0</v>
      </c>
      <c r="U101" s="106">
        <v>0</v>
      </c>
      <c r="V101" s="106">
        <v>156.60688486383674</v>
      </c>
      <c r="W101" s="106">
        <v>131.60688486383671</v>
      </c>
      <c r="X101" s="106">
        <v>156.60688486383674</v>
      </c>
      <c r="Y101" s="106">
        <v>111.60688486383671</v>
      </c>
      <c r="Z101" s="106">
        <v>156.60688486383674</v>
      </c>
      <c r="AA101" s="106">
        <v>113.60688486383671</v>
      </c>
      <c r="AB101" s="106">
        <v>77.606884863836711</v>
      </c>
      <c r="AC101" s="106">
        <v>3.6068848638366831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18.999999999999972</v>
      </c>
      <c r="AL101" s="106">
        <v>0</v>
      </c>
      <c r="AM101" s="106">
        <v>0</v>
      </c>
      <c r="AN101" s="106">
        <v>0</v>
      </c>
      <c r="AO101" s="106">
        <v>0</v>
      </c>
      <c r="AP101" s="106">
        <v>11</v>
      </c>
      <c r="AQ101" s="106">
        <v>0</v>
      </c>
      <c r="AR101" s="106">
        <v>0</v>
      </c>
      <c r="AS101" s="106">
        <v>0</v>
      </c>
      <c r="AT101" s="106">
        <v>143.21376972767348</v>
      </c>
      <c r="AU101" s="106">
        <v>153.21376972767345</v>
      </c>
      <c r="AV101" s="106">
        <v>98.213769727673451</v>
      </c>
      <c r="AW101" s="106">
        <v>44.213769727673423</v>
      </c>
      <c r="AX101" s="106">
        <v>143.21376972767348</v>
      </c>
      <c r="AY101" s="106">
        <v>99.213769727673451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86.182028648203499</v>
      </c>
      <c r="D109" s="106">
        <v>86.182028648203499</v>
      </c>
      <c r="E109" s="106">
        <v>86.255785531987883</v>
      </c>
      <c r="F109" s="106">
        <v>6.7753396861400219</v>
      </c>
      <c r="G109" s="106">
        <v>79.142504729485836</v>
      </c>
      <c r="H109" s="106">
        <v>85.91016244386806</v>
      </c>
      <c r="I109" s="106">
        <v>85.91016244386806</v>
      </c>
      <c r="J109" s="106">
        <v>85.91016244386806</v>
      </c>
      <c r="K109" s="106">
        <v>85.91016244386806</v>
      </c>
      <c r="L109" s="106">
        <v>85.91016244386806</v>
      </c>
      <c r="M109" s="106">
        <v>85.91016244386806</v>
      </c>
      <c r="N109" s="106">
        <v>7.6819717577305026E-3</v>
      </c>
      <c r="O109" s="106">
        <v>85.91016244386806</v>
      </c>
      <c r="P109" s="106">
        <v>85.91016244386806</v>
      </c>
      <c r="Q109" s="106">
        <v>7.6819717577305026E-3</v>
      </c>
      <c r="R109" s="106">
        <v>7.6819717577305026E-3</v>
      </c>
      <c r="S109" s="106">
        <v>85.91016244386806</v>
      </c>
      <c r="T109" s="106">
        <v>85.91016244386806</v>
      </c>
      <c r="U109" s="106">
        <v>85.91016244386806</v>
      </c>
      <c r="V109" s="106">
        <v>6.7753396861400219</v>
      </c>
      <c r="W109" s="106">
        <v>165.04498520159609</v>
      </c>
      <c r="X109" s="106">
        <v>29.786693258989754</v>
      </c>
      <c r="Y109" s="106">
        <v>165.04498520159609</v>
      </c>
      <c r="Z109" s="106">
        <v>33.589618425377253</v>
      </c>
      <c r="AA109" s="106">
        <v>165.04498520159609</v>
      </c>
      <c r="AB109" s="106">
        <v>94.791998487258454</v>
      </c>
      <c r="AC109" s="106">
        <v>85.91016244386806</v>
      </c>
      <c r="AD109" s="106">
        <v>85.91016244386806</v>
      </c>
      <c r="AE109" s="106">
        <v>7.681971757736294E-3</v>
      </c>
      <c r="AF109" s="106">
        <v>7.6819717577305026E-3</v>
      </c>
      <c r="AG109" s="106">
        <v>7.6819717577305026E-3</v>
      </c>
      <c r="AH109" s="106">
        <v>7.6819717577305026E-3</v>
      </c>
      <c r="AI109" s="106">
        <v>85.91016244386806</v>
      </c>
      <c r="AJ109" s="106">
        <v>85.91016244386806</v>
      </c>
      <c r="AK109" s="106">
        <v>85.91016244386806</v>
      </c>
      <c r="AL109" s="106">
        <v>85.91016244386806</v>
      </c>
      <c r="AM109" s="106">
        <v>85.91016244386806</v>
      </c>
      <c r="AN109" s="106">
        <v>85.91016244386806</v>
      </c>
      <c r="AO109" s="106">
        <v>85.91016244386806</v>
      </c>
      <c r="AP109" s="106">
        <v>85.91016244386806</v>
      </c>
      <c r="AQ109" s="106">
        <v>85.91016244386806</v>
      </c>
      <c r="AR109" s="106">
        <v>85.91016244386806</v>
      </c>
      <c r="AS109" s="106">
        <v>85.91016244386806</v>
      </c>
      <c r="AT109" s="106">
        <v>13.542997400522312</v>
      </c>
      <c r="AU109" s="106">
        <v>158.2773274872138</v>
      </c>
      <c r="AV109" s="106">
        <v>99.593510325677343</v>
      </c>
      <c r="AW109" s="106">
        <v>89.086800583292984</v>
      </c>
      <c r="AX109" s="106">
        <v>13.542997400522317</v>
      </c>
      <c r="AY109" s="106">
        <v>158.2773274872138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47.075718204856571</v>
      </c>
      <c r="AA110" s="106">
        <v>0</v>
      </c>
      <c r="AB110" s="106">
        <v>16.044985201596091</v>
      </c>
      <c r="AC110" s="106">
        <v>0.83698368885454499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8.2773274872137961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211.65981794640922</v>
      </c>
      <c r="D122" s="106">
        <v>211.65962577057749</v>
      </c>
      <c r="E122" s="106">
        <v>16.62573534740017</v>
      </c>
      <c r="F122" s="106">
        <v>1.8850483563428874E-2</v>
      </c>
      <c r="G122" s="106">
        <v>210.81151508399654</v>
      </c>
      <c r="H122" s="106">
        <v>210.81151508399654</v>
      </c>
      <c r="I122" s="106">
        <v>210.81151508399654</v>
      </c>
      <c r="J122" s="106">
        <v>210.81151508399654</v>
      </c>
      <c r="K122" s="106">
        <v>210.81151508399654</v>
      </c>
      <c r="L122" s="106">
        <v>210.81151508399654</v>
      </c>
      <c r="M122" s="106">
        <v>1.8850483563428874E-2</v>
      </c>
      <c r="N122" s="106">
        <v>210.81151508399654</v>
      </c>
      <c r="O122" s="106">
        <v>210.81151508399654</v>
      </c>
      <c r="P122" s="106">
        <v>1.8850483563428874E-2</v>
      </c>
      <c r="Q122" s="106">
        <v>1.8850483563428874E-2</v>
      </c>
      <c r="R122" s="106">
        <v>210.81151508399654</v>
      </c>
      <c r="S122" s="106">
        <v>210.81151508399654</v>
      </c>
      <c r="T122" s="106">
        <v>210.81151508399654</v>
      </c>
      <c r="U122" s="106">
        <v>16.62573534740017</v>
      </c>
      <c r="V122" s="106">
        <v>210.81151508399654</v>
      </c>
      <c r="W122" s="106">
        <v>16.62573534740017</v>
      </c>
      <c r="X122" s="106">
        <v>210.81151508399654</v>
      </c>
      <c r="Y122" s="106">
        <v>16.62573534740017</v>
      </c>
      <c r="Z122" s="106">
        <v>210.81151508399654</v>
      </c>
      <c r="AA122" s="106">
        <v>210.81151508399654</v>
      </c>
      <c r="AB122" s="106">
        <v>210.81151508399654</v>
      </c>
      <c r="AC122" s="106">
        <v>210.81151508399654</v>
      </c>
      <c r="AD122" s="106">
        <v>1.8850483563428874E-2</v>
      </c>
      <c r="AE122" s="106">
        <v>1.8850483563428874E-2</v>
      </c>
      <c r="AF122" s="106">
        <v>1.8850483563428874E-2</v>
      </c>
      <c r="AG122" s="106">
        <v>1.8850483563428874E-2</v>
      </c>
      <c r="AH122" s="106">
        <v>210.81151508399654</v>
      </c>
      <c r="AI122" s="106">
        <v>210.81151508399654</v>
      </c>
      <c r="AJ122" s="106">
        <v>210.81151508399654</v>
      </c>
      <c r="AK122" s="106">
        <v>210.81151508399654</v>
      </c>
      <c r="AL122" s="106">
        <v>210.81151508399654</v>
      </c>
      <c r="AM122" s="106">
        <v>210.81151508399654</v>
      </c>
      <c r="AN122" s="106">
        <v>210.81151508399654</v>
      </c>
      <c r="AO122" s="106">
        <v>210.81151508399654</v>
      </c>
      <c r="AP122" s="106">
        <v>210.81151508399654</v>
      </c>
      <c r="AQ122" s="106">
        <v>210.81151508399654</v>
      </c>
      <c r="AR122" s="106">
        <v>210.81151508399654</v>
      </c>
      <c r="AS122" s="106">
        <v>33.232620211236906</v>
      </c>
      <c r="AT122" s="106">
        <v>210.81151508399654</v>
      </c>
      <c r="AU122" s="106">
        <v>210.81151508399654</v>
      </c>
      <c r="AV122" s="106">
        <v>210.81151508399654</v>
      </c>
      <c r="AW122" s="106">
        <v>33.232620211236906</v>
      </c>
      <c r="AX122" s="106">
        <v>210.81151508399654</v>
      </c>
      <c r="AY122" s="106">
        <v>33.232620211236906</v>
      </c>
    </row>
    <row r="123" spans="1:52">
      <c r="A123" s="109"/>
      <c r="B123" s="119">
        <v>2</v>
      </c>
      <c r="C123" s="106">
        <v>0</v>
      </c>
      <c r="D123" s="106">
        <v>0</v>
      </c>
      <c r="E123" s="106">
        <v>0</v>
      </c>
      <c r="F123" s="106">
        <v>194.18577973659654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194.18577973659637</v>
      </c>
      <c r="W123" s="106">
        <v>56.466641114729256</v>
      </c>
      <c r="X123" s="106">
        <v>194.18577973659637</v>
      </c>
      <c r="Y123" s="106">
        <v>65.798487234808746</v>
      </c>
      <c r="Z123" s="106">
        <v>194.18577973659637</v>
      </c>
      <c r="AA123" s="106">
        <v>21.794782593481457</v>
      </c>
      <c r="AB123" s="106">
        <v>1.4210854715202004E-14</v>
      </c>
      <c r="AC123" s="106">
        <v>1.4210854715202004E-14</v>
      </c>
      <c r="AD123" s="106">
        <v>1.4210854715202004E-14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177.57889487275963</v>
      </c>
      <c r="AU123" s="106">
        <v>33.577020649569292</v>
      </c>
      <c r="AV123" s="106">
        <v>7.7950254078884882</v>
      </c>
      <c r="AW123" s="106">
        <v>1.4210854715202004E-14</v>
      </c>
      <c r="AX123" s="106">
        <v>177.57889487275963</v>
      </c>
      <c r="AY123" s="106">
        <v>31.392682188664239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0.40717236499761228</v>
      </c>
      <c r="D172" s="134">
        <v>0.40752120399892616</v>
      </c>
      <c r="E172" s="134">
        <v>0.40752120399892616</v>
      </c>
      <c r="F172" s="134">
        <v>0.40752120399892616</v>
      </c>
      <c r="G172" s="134">
        <v>0.40752120399892616</v>
      </c>
      <c r="H172" s="134">
        <v>0.40752120399892616</v>
      </c>
      <c r="I172" s="134">
        <v>0.40752120399892616</v>
      </c>
      <c r="J172" s="134">
        <v>0.40752120399892616</v>
      </c>
      <c r="K172" s="134">
        <v>0.40752120399892616</v>
      </c>
      <c r="L172" s="134">
        <v>0.40752120399892616</v>
      </c>
      <c r="M172" s="134">
        <v>0.40752120399892616</v>
      </c>
      <c r="N172" s="134">
        <v>0.40752120399892616</v>
      </c>
      <c r="O172" s="134">
        <v>0.40752120399892616</v>
      </c>
      <c r="P172" s="134">
        <v>0.40752120399892616</v>
      </c>
      <c r="Q172" s="134">
        <v>0.40752120399892616</v>
      </c>
      <c r="R172" s="134">
        <v>0.40752120399892616</v>
      </c>
      <c r="S172" s="134">
        <v>0.40752120399892616</v>
      </c>
      <c r="T172" s="134">
        <v>0.40752120399892616</v>
      </c>
      <c r="U172" s="134">
        <v>0.40752120399892616</v>
      </c>
      <c r="V172" s="134">
        <v>0.40752120399892616</v>
      </c>
      <c r="W172" s="134">
        <v>0.40752120399892616</v>
      </c>
      <c r="X172" s="134">
        <v>0.40752120399892616</v>
      </c>
      <c r="Y172" s="134">
        <v>0.40752120399892616</v>
      </c>
      <c r="Z172" s="134">
        <v>0.40752120399892616</v>
      </c>
      <c r="AA172" s="134">
        <v>0.40752120399892616</v>
      </c>
      <c r="AB172" s="134">
        <v>0.40752120399892616</v>
      </c>
      <c r="AC172" s="134">
        <v>0.40752120399892616</v>
      </c>
      <c r="AD172" s="134">
        <v>0.40752120399892616</v>
      </c>
      <c r="AE172" s="134">
        <v>0.40752120399892616</v>
      </c>
      <c r="AF172" s="134">
        <v>0.40752120399892616</v>
      </c>
      <c r="AG172" s="134">
        <v>0.40752120399892616</v>
      </c>
      <c r="AH172" s="134">
        <v>0.40752120399892616</v>
      </c>
      <c r="AI172" s="134">
        <v>0.40752120399892616</v>
      </c>
      <c r="AJ172" s="134">
        <v>0.40752120399892616</v>
      </c>
      <c r="AK172" s="134">
        <v>0.40752120399892616</v>
      </c>
      <c r="AL172" s="134">
        <v>0.40752120399892616</v>
      </c>
      <c r="AM172" s="134">
        <v>0.40752120399892616</v>
      </c>
      <c r="AN172" s="134">
        <v>0.40752120399892616</v>
      </c>
      <c r="AO172" s="134">
        <v>0.40752120399892616</v>
      </c>
      <c r="AP172" s="134">
        <v>0.40752120399892616</v>
      </c>
      <c r="AQ172" s="134">
        <v>0.40752120399892616</v>
      </c>
      <c r="AR172" s="134">
        <v>0.40752120399892616</v>
      </c>
      <c r="AS172" s="134">
        <v>0.40752120399892616</v>
      </c>
      <c r="AT172" s="134">
        <v>0.40752120399892616</v>
      </c>
      <c r="AU172" s="134">
        <v>0.40752120399892616</v>
      </c>
      <c r="AV172" s="134">
        <v>0.40752120399892616</v>
      </c>
      <c r="AW172" s="134">
        <v>0.40752120399892616</v>
      </c>
      <c r="AX172" s="134">
        <v>0.40752120399892616</v>
      </c>
      <c r="AY172" s="134">
        <v>0.40752120399892616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209.00000000000003</v>
      </c>
      <c r="E175" s="124">
        <f t="shared" si="1"/>
        <v>195.00000000000006</v>
      </c>
      <c r="F175" s="124">
        <f t="shared" si="1"/>
        <v>197.00000000000009</v>
      </c>
      <c r="G175" s="124">
        <f t="shared" si="1"/>
        <v>239.00000000000011</v>
      </c>
      <c r="H175" s="124">
        <f t="shared" si="1"/>
        <v>216.00000000000014</v>
      </c>
      <c r="I175" s="124">
        <f t="shared" si="1"/>
        <v>241.00000000000017</v>
      </c>
      <c r="J175" s="124">
        <f t="shared" si="1"/>
        <v>254.0000000000002</v>
      </c>
      <c r="K175" s="124">
        <f t="shared" si="1"/>
        <v>231.00000000000023</v>
      </c>
      <c r="L175" s="124">
        <f t="shared" si="1"/>
        <v>262.00000000000023</v>
      </c>
      <c r="M175" s="124">
        <f t="shared" si="1"/>
        <v>289.00000000000028</v>
      </c>
      <c r="N175" s="124">
        <f t="shared" si="1"/>
        <v>294.00000000000034</v>
      </c>
      <c r="O175" s="124">
        <f t="shared" si="1"/>
        <v>301.00000000000034</v>
      </c>
      <c r="P175" s="124">
        <f t="shared" si="1"/>
        <v>313.00000000000034</v>
      </c>
      <c r="Q175" s="124">
        <f t="shared" si="1"/>
        <v>322.0000000000004</v>
      </c>
      <c r="R175" s="124">
        <f t="shared" si="1"/>
        <v>288.00000000000045</v>
      </c>
      <c r="S175" s="124">
        <f t="shared" si="1"/>
        <v>282.00000000000045</v>
      </c>
      <c r="T175" s="124">
        <f t="shared" si="1"/>
        <v>295.00000000000045</v>
      </c>
      <c r="U175" s="124">
        <f t="shared" si="1"/>
        <v>272.00000000000051</v>
      </c>
      <c r="V175" s="124">
        <f t="shared" si="1"/>
        <v>258.00000000000057</v>
      </c>
      <c r="W175" s="124">
        <f t="shared" si="1"/>
        <v>258.00000000000057</v>
      </c>
      <c r="X175" s="124">
        <f t="shared" si="1"/>
        <v>266.00000000000057</v>
      </c>
      <c r="Y175" s="124">
        <f t="shared" si="1"/>
        <v>267.00000000000063</v>
      </c>
      <c r="Z175" s="124">
        <f t="shared" si="1"/>
        <v>258.00000000000068</v>
      </c>
      <c r="AA175" s="124">
        <f t="shared" si="1"/>
        <v>262.00000000000068</v>
      </c>
      <c r="AB175" s="124">
        <f t="shared" si="1"/>
        <v>90.000000000000682</v>
      </c>
      <c r="AC175" s="124">
        <f t="shared" si="1"/>
        <v>1.715221307752884E-20</v>
      </c>
      <c r="AD175" s="124">
        <f t="shared" si="1"/>
        <v>8.5761065387644201E-21</v>
      </c>
      <c r="AE175" s="124">
        <f t="shared" si="1"/>
        <v>8.5761065387644201E-21</v>
      </c>
      <c r="AF175" s="124">
        <f t="shared" si="1"/>
        <v>190.00000000000003</v>
      </c>
      <c r="AG175" s="124">
        <f t="shared" si="1"/>
        <v>190.00000000000006</v>
      </c>
      <c r="AH175" s="124">
        <f t="shared" si="1"/>
        <v>190.00000000000003</v>
      </c>
      <c r="AI175" s="124">
        <f t="shared" si="1"/>
        <v>190.00000000000006</v>
      </c>
      <c r="AJ175" s="124">
        <f t="shared" si="1"/>
        <v>190.00000000000003</v>
      </c>
      <c r="AK175" s="124">
        <f t="shared" si="1"/>
        <v>198.00000000000006</v>
      </c>
      <c r="AL175" s="124">
        <f t="shared" si="1"/>
        <v>190.00000000000003</v>
      </c>
      <c r="AM175" s="124">
        <f t="shared" si="1"/>
        <v>190.00000000000003</v>
      </c>
      <c r="AN175" s="124">
        <f t="shared" si="1"/>
        <v>204.00000000000006</v>
      </c>
      <c r="AO175" s="124">
        <f t="shared" si="1"/>
        <v>193.00000000000009</v>
      </c>
      <c r="AP175" s="124">
        <f t="shared" si="1"/>
        <v>190.00000000000003</v>
      </c>
      <c r="AQ175" s="124">
        <f t="shared" si="1"/>
        <v>190.00000000000003</v>
      </c>
      <c r="AR175" s="124">
        <f t="shared" si="1"/>
        <v>190.00000000000003</v>
      </c>
      <c r="AS175" s="124">
        <f t="shared" si="1"/>
        <v>190.00000000000003</v>
      </c>
      <c r="AT175" s="124">
        <f t="shared" si="1"/>
        <v>190.00000000000003</v>
      </c>
      <c r="AU175" s="124">
        <f t="shared" si="1"/>
        <v>190.00000000000003</v>
      </c>
      <c r="AV175" s="124">
        <f t="shared" si="1"/>
        <v>190.00000000000003</v>
      </c>
      <c r="AW175" s="124">
        <f t="shared" si="1"/>
        <v>205.00000000000006</v>
      </c>
      <c r="AX175" s="124">
        <f t="shared" si="1"/>
        <v>203.00000000000009</v>
      </c>
      <c r="AY175" s="124">
        <f t="shared" si="1"/>
        <v>190.00000000000003</v>
      </c>
    </row>
    <row r="176" spans="1:52">
      <c r="A176" s="125"/>
      <c r="B176" s="136" t="s">
        <v>299</v>
      </c>
      <c r="C176" s="125" t="s">
        <v>293</v>
      </c>
      <c r="D176" s="125">
        <v>204</v>
      </c>
      <c r="E176" s="125">
        <v>188</v>
      </c>
      <c r="F176" s="125">
        <v>148</v>
      </c>
      <c r="G176" s="125">
        <v>213</v>
      </c>
      <c r="H176" s="125">
        <v>165</v>
      </c>
      <c r="I176" s="125">
        <v>177</v>
      </c>
      <c r="J176" s="125">
        <v>213</v>
      </c>
      <c r="K176" s="125">
        <v>159</v>
      </c>
      <c r="L176" s="125">
        <v>163</v>
      </c>
      <c r="M176" s="125">
        <v>185</v>
      </c>
      <c r="N176" s="125">
        <v>183</v>
      </c>
      <c r="O176" s="125">
        <v>178</v>
      </c>
      <c r="P176" s="125">
        <v>181</v>
      </c>
      <c r="Q176" s="125">
        <v>224</v>
      </c>
      <c r="R176" s="125">
        <v>196</v>
      </c>
      <c r="S176" s="125">
        <v>177</v>
      </c>
      <c r="T176" s="125">
        <v>213</v>
      </c>
      <c r="U176" s="125">
        <v>204</v>
      </c>
      <c r="V176" s="125">
        <v>190</v>
      </c>
      <c r="W176" s="125">
        <v>182</v>
      </c>
      <c r="X176" s="125">
        <v>189</v>
      </c>
      <c r="Y176" s="125">
        <v>199</v>
      </c>
      <c r="Z176" s="125">
        <v>186</v>
      </c>
      <c r="AA176" s="125">
        <v>172</v>
      </c>
      <c r="AB176" s="125">
        <v>90.000000000000682</v>
      </c>
      <c r="AC176" s="125">
        <v>1.715221307752884E-20</v>
      </c>
      <c r="AD176" s="125">
        <v>8.5761065387644201E-21</v>
      </c>
      <c r="AE176" s="125">
        <v>8.5761065387644201E-21</v>
      </c>
      <c r="AF176" s="125">
        <v>190</v>
      </c>
      <c r="AG176" s="125">
        <v>190.00000000000006</v>
      </c>
      <c r="AH176" s="125">
        <v>190</v>
      </c>
      <c r="AI176" s="125">
        <v>190.00000000000006</v>
      </c>
      <c r="AJ176" s="125">
        <v>182</v>
      </c>
      <c r="AK176" s="125">
        <v>198.00000000000006</v>
      </c>
      <c r="AL176" s="125">
        <v>190.00000000000003</v>
      </c>
      <c r="AM176" s="125">
        <v>176</v>
      </c>
      <c r="AN176" s="125">
        <v>201</v>
      </c>
      <c r="AO176" s="125">
        <v>193.00000000000009</v>
      </c>
      <c r="AP176" s="125">
        <v>190.00000000000003</v>
      </c>
      <c r="AQ176" s="125">
        <v>190.00000000000003</v>
      </c>
      <c r="AR176" s="125">
        <v>190.00000000000003</v>
      </c>
      <c r="AS176" s="125">
        <v>190.00000000000003</v>
      </c>
      <c r="AT176" s="125">
        <v>190.00000000000003</v>
      </c>
      <c r="AU176" s="125">
        <v>190.00000000000003</v>
      </c>
      <c r="AV176" s="125">
        <v>175</v>
      </c>
      <c r="AW176" s="125">
        <v>192</v>
      </c>
      <c r="AX176" s="125">
        <v>203.00000000000009</v>
      </c>
      <c r="AY176" s="125">
        <v>190.00000000000003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152.93851410491021</v>
      </c>
      <c r="E177" s="124">
        <f t="shared" si="2"/>
        <v>13.393115136163258</v>
      </c>
      <c r="F177" s="124">
        <f t="shared" si="2"/>
        <v>156.60688486383688</v>
      </c>
      <c r="G177" s="124">
        <f t="shared" si="2"/>
        <v>169.99999999999997</v>
      </c>
      <c r="H177" s="124">
        <f t="shared" si="2"/>
        <v>170</v>
      </c>
      <c r="I177" s="124">
        <f t="shared" si="2"/>
        <v>169.99999999999997</v>
      </c>
      <c r="J177" s="124">
        <f t="shared" si="2"/>
        <v>182.99999999999997</v>
      </c>
      <c r="K177" s="124">
        <f t="shared" si="2"/>
        <v>169.99999999999997</v>
      </c>
      <c r="L177" s="124">
        <f t="shared" si="2"/>
        <v>170</v>
      </c>
      <c r="M177" s="124">
        <f t="shared" si="2"/>
        <v>0</v>
      </c>
      <c r="N177" s="124">
        <f t="shared" si="2"/>
        <v>169.99999999999997</v>
      </c>
      <c r="O177" s="124">
        <f t="shared" si="2"/>
        <v>170</v>
      </c>
      <c r="P177" s="124">
        <f t="shared" si="2"/>
        <v>3</v>
      </c>
      <c r="Q177" s="124">
        <f t="shared" si="2"/>
        <v>0</v>
      </c>
      <c r="R177" s="124">
        <f t="shared" si="2"/>
        <v>169.99999999999997</v>
      </c>
      <c r="S177" s="124">
        <f t="shared" si="2"/>
        <v>170</v>
      </c>
      <c r="T177" s="124">
        <f t="shared" si="2"/>
        <v>169.99999999999997</v>
      </c>
      <c r="U177" s="124">
        <f t="shared" si="2"/>
        <v>13.393115136163258</v>
      </c>
      <c r="V177" s="124">
        <f t="shared" si="2"/>
        <v>326.60688486383674</v>
      </c>
      <c r="W177" s="124">
        <f t="shared" si="2"/>
        <v>144.99999999999997</v>
      </c>
      <c r="X177" s="124">
        <f t="shared" si="2"/>
        <v>326.60688486383674</v>
      </c>
      <c r="Y177" s="124">
        <f t="shared" si="2"/>
        <v>124.99999999999997</v>
      </c>
      <c r="Z177" s="124">
        <f t="shared" si="2"/>
        <v>326.60688486383674</v>
      </c>
      <c r="AA177" s="124">
        <f t="shared" si="2"/>
        <v>283.60688486383674</v>
      </c>
      <c r="AB177" s="124">
        <f t="shared" si="2"/>
        <v>247.60688486383668</v>
      </c>
      <c r="AC177" s="124">
        <f t="shared" si="2"/>
        <v>173.60688486383668</v>
      </c>
      <c r="AD177" s="124">
        <f t="shared" si="2"/>
        <v>1.1479935558397655E-20</v>
      </c>
      <c r="AE177" s="124">
        <f t="shared" si="2"/>
        <v>1.1479935558397655E-20</v>
      </c>
      <c r="AF177" s="124">
        <f t="shared" si="2"/>
        <v>1.1479935558397655E-20</v>
      </c>
      <c r="AG177" s="124">
        <f t="shared" si="2"/>
        <v>1.1479935558397655E-20</v>
      </c>
      <c r="AH177" s="124">
        <f t="shared" si="2"/>
        <v>169.99999999999997</v>
      </c>
      <c r="AI177" s="124">
        <f t="shared" si="2"/>
        <v>170</v>
      </c>
      <c r="AJ177" s="124">
        <f t="shared" si="2"/>
        <v>169.99999999999997</v>
      </c>
      <c r="AK177" s="124">
        <f t="shared" si="2"/>
        <v>188.99999999999997</v>
      </c>
      <c r="AL177" s="124">
        <f t="shared" si="2"/>
        <v>169.99999999999997</v>
      </c>
      <c r="AM177" s="124">
        <f t="shared" si="2"/>
        <v>170</v>
      </c>
      <c r="AN177" s="124">
        <f t="shared" si="2"/>
        <v>169.99999999999997</v>
      </c>
      <c r="AO177" s="124">
        <f t="shared" si="2"/>
        <v>170</v>
      </c>
      <c r="AP177" s="124">
        <f t="shared" si="2"/>
        <v>180.99999999999997</v>
      </c>
      <c r="AQ177" s="124">
        <f t="shared" si="2"/>
        <v>170</v>
      </c>
      <c r="AR177" s="124">
        <f t="shared" si="2"/>
        <v>169.99999999999997</v>
      </c>
      <c r="AS177" s="124">
        <f t="shared" si="2"/>
        <v>26.786230272326517</v>
      </c>
      <c r="AT177" s="124">
        <f t="shared" si="2"/>
        <v>313.21376972767348</v>
      </c>
      <c r="AU177" s="124">
        <f t="shared" si="2"/>
        <v>323.21376972767348</v>
      </c>
      <c r="AV177" s="124">
        <f t="shared" si="2"/>
        <v>268.21376972767342</v>
      </c>
      <c r="AW177" s="124">
        <f t="shared" si="2"/>
        <v>70.999999999999943</v>
      </c>
      <c r="AX177" s="124">
        <f t="shared" si="2"/>
        <v>313.21376972767348</v>
      </c>
      <c r="AY177" s="124">
        <f t="shared" si="2"/>
        <v>125.99999999999997</v>
      </c>
    </row>
    <row r="178" spans="1:51">
      <c r="A178" s="125"/>
      <c r="B178" s="136" t="s">
        <v>299</v>
      </c>
      <c r="C178" s="125" t="s">
        <v>293</v>
      </c>
      <c r="D178" s="125">
        <v>152.93851410491021</v>
      </c>
      <c r="E178" s="125">
        <v>13.393115136163258</v>
      </c>
      <c r="F178" s="125">
        <v>156.60688486383688</v>
      </c>
      <c r="G178" s="125">
        <v>169.99999999999997</v>
      </c>
      <c r="H178" s="125">
        <v>170</v>
      </c>
      <c r="I178" s="125">
        <v>157</v>
      </c>
      <c r="J178" s="125">
        <v>182.99999999999997</v>
      </c>
      <c r="K178" s="125">
        <v>169.99999999999997</v>
      </c>
      <c r="L178" s="125">
        <v>170</v>
      </c>
      <c r="M178" s="125">
        <v>0</v>
      </c>
      <c r="N178" s="125">
        <v>169.99999999999997</v>
      </c>
      <c r="O178" s="125">
        <v>167</v>
      </c>
      <c r="P178" s="125">
        <v>3</v>
      </c>
      <c r="Q178" s="125">
        <v>0</v>
      </c>
      <c r="R178" s="125">
        <v>169.99999999999997</v>
      </c>
      <c r="S178" s="125">
        <v>170</v>
      </c>
      <c r="T178" s="125">
        <v>169.99999999999997</v>
      </c>
      <c r="U178" s="125">
        <v>13.393115136163258</v>
      </c>
      <c r="V178" s="125">
        <v>195</v>
      </c>
      <c r="W178" s="125">
        <v>144.99999999999997</v>
      </c>
      <c r="X178" s="125">
        <v>215</v>
      </c>
      <c r="Y178" s="125">
        <v>124.99999999999997</v>
      </c>
      <c r="Z178" s="125">
        <v>213</v>
      </c>
      <c r="AA178" s="125">
        <v>206</v>
      </c>
      <c r="AB178" s="125">
        <v>244</v>
      </c>
      <c r="AC178" s="125">
        <v>173.60688486383668</v>
      </c>
      <c r="AD178" s="125">
        <v>1.1479935558397655E-20</v>
      </c>
      <c r="AE178" s="125">
        <v>1.1479935558397655E-20</v>
      </c>
      <c r="AF178" s="125">
        <v>1.1479935558397655E-20</v>
      </c>
      <c r="AG178" s="125">
        <v>1.1479935558397655E-20</v>
      </c>
      <c r="AH178" s="125">
        <v>169.99999999999997</v>
      </c>
      <c r="AI178" s="125">
        <v>170</v>
      </c>
      <c r="AJ178" s="125">
        <v>151</v>
      </c>
      <c r="AK178" s="125">
        <v>188.99999999999997</v>
      </c>
      <c r="AL178" s="125">
        <v>169.99999999999997</v>
      </c>
      <c r="AM178" s="125">
        <v>170</v>
      </c>
      <c r="AN178" s="125">
        <v>169.99999999999997</v>
      </c>
      <c r="AO178" s="125">
        <v>159</v>
      </c>
      <c r="AP178" s="125">
        <v>180.99999999999997</v>
      </c>
      <c r="AQ178" s="125">
        <v>170</v>
      </c>
      <c r="AR178" s="125">
        <v>169.99999999999997</v>
      </c>
      <c r="AS178" s="125">
        <v>26.786230272326517</v>
      </c>
      <c r="AT178" s="125">
        <v>160</v>
      </c>
      <c r="AU178" s="125">
        <v>225</v>
      </c>
      <c r="AV178" s="125">
        <v>224</v>
      </c>
      <c r="AW178" s="125">
        <v>70.999999999999943</v>
      </c>
      <c r="AX178" s="125">
        <v>214</v>
      </c>
      <c r="AY178" s="125">
        <v>125.99999999999997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86.182028648203499</v>
      </c>
      <c r="E179" s="124">
        <f t="shared" si="3"/>
        <v>86.255785531987883</v>
      </c>
      <c r="F179" s="124">
        <f t="shared" si="3"/>
        <v>6.7753396861400219</v>
      </c>
      <c r="G179" s="124">
        <f t="shared" si="3"/>
        <v>79.142504729485836</v>
      </c>
      <c r="H179" s="124">
        <f t="shared" si="3"/>
        <v>85.91016244386806</v>
      </c>
      <c r="I179" s="124">
        <f t="shared" si="3"/>
        <v>85.91016244386806</v>
      </c>
      <c r="J179" s="124">
        <f t="shared" si="3"/>
        <v>85.91016244386806</v>
      </c>
      <c r="K179" s="124">
        <f t="shared" si="3"/>
        <v>85.91016244386806</v>
      </c>
      <c r="L179" s="124">
        <f t="shared" si="3"/>
        <v>85.91016244386806</v>
      </c>
      <c r="M179" s="124">
        <f t="shared" si="3"/>
        <v>85.91016244386806</v>
      </c>
      <c r="N179" s="124">
        <f t="shared" si="3"/>
        <v>7.6819717577305026E-3</v>
      </c>
      <c r="O179" s="124">
        <f t="shared" si="3"/>
        <v>85.91016244386806</v>
      </c>
      <c r="P179" s="124">
        <f t="shared" si="3"/>
        <v>85.91016244386806</v>
      </c>
      <c r="Q179" s="124">
        <f t="shared" si="3"/>
        <v>7.6819717577305026E-3</v>
      </c>
      <c r="R179" s="124">
        <f t="shared" si="3"/>
        <v>7.6819717577305026E-3</v>
      </c>
      <c r="S179" s="124">
        <f t="shared" si="3"/>
        <v>85.91016244386806</v>
      </c>
      <c r="T179" s="124">
        <f t="shared" si="3"/>
        <v>85.91016244386806</v>
      </c>
      <c r="U179" s="124">
        <f t="shared" si="3"/>
        <v>85.91016244386806</v>
      </c>
      <c r="V179" s="124">
        <f t="shared" si="3"/>
        <v>6.7753396861400219</v>
      </c>
      <c r="W179" s="124">
        <f t="shared" si="3"/>
        <v>165.04498520159609</v>
      </c>
      <c r="X179" s="124">
        <f t="shared" si="3"/>
        <v>29.786693258989754</v>
      </c>
      <c r="Y179" s="124">
        <f t="shared" si="3"/>
        <v>165.04498520159609</v>
      </c>
      <c r="Z179" s="124">
        <f t="shared" si="3"/>
        <v>80.665336630233824</v>
      </c>
      <c r="AA179" s="124">
        <f t="shared" si="3"/>
        <v>165.04498520159609</v>
      </c>
      <c r="AB179" s="124">
        <f t="shared" si="3"/>
        <v>110.83698368885454</v>
      </c>
      <c r="AC179" s="124">
        <f t="shared" si="3"/>
        <v>86.747146132722605</v>
      </c>
      <c r="AD179" s="124">
        <f t="shared" si="3"/>
        <v>85.91016244386806</v>
      </c>
      <c r="AE179" s="124">
        <f t="shared" si="3"/>
        <v>7.681971757736294E-3</v>
      </c>
      <c r="AF179" s="124">
        <f t="shared" si="3"/>
        <v>7.6819717577305026E-3</v>
      </c>
      <c r="AG179" s="124">
        <f t="shared" si="3"/>
        <v>7.6819717577305026E-3</v>
      </c>
      <c r="AH179" s="124">
        <f t="shared" si="3"/>
        <v>7.6819717577305026E-3</v>
      </c>
      <c r="AI179" s="124">
        <f t="shared" si="3"/>
        <v>85.91016244386806</v>
      </c>
      <c r="AJ179" s="124">
        <f t="shared" si="3"/>
        <v>85.91016244386806</v>
      </c>
      <c r="AK179" s="124">
        <f t="shared" si="3"/>
        <v>85.91016244386806</v>
      </c>
      <c r="AL179" s="124">
        <f t="shared" si="3"/>
        <v>85.91016244386806</v>
      </c>
      <c r="AM179" s="124">
        <f t="shared" si="3"/>
        <v>85.91016244386806</v>
      </c>
      <c r="AN179" s="124">
        <f t="shared" si="3"/>
        <v>85.91016244386806</v>
      </c>
      <c r="AO179" s="124">
        <f t="shared" si="3"/>
        <v>85.91016244386806</v>
      </c>
      <c r="AP179" s="124">
        <f t="shared" si="3"/>
        <v>85.91016244386806</v>
      </c>
      <c r="AQ179" s="124">
        <f t="shared" si="3"/>
        <v>85.91016244386806</v>
      </c>
      <c r="AR179" s="124">
        <f t="shared" si="3"/>
        <v>85.91016244386806</v>
      </c>
      <c r="AS179" s="124">
        <f t="shared" si="3"/>
        <v>85.91016244386806</v>
      </c>
      <c r="AT179" s="124">
        <f t="shared" si="3"/>
        <v>13.542997400522312</v>
      </c>
      <c r="AU179" s="124">
        <f t="shared" si="3"/>
        <v>158.2773274872138</v>
      </c>
      <c r="AV179" s="124">
        <f t="shared" si="3"/>
        <v>107.87083781289114</v>
      </c>
      <c r="AW179" s="124">
        <f t="shared" si="3"/>
        <v>89.086800583292984</v>
      </c>
      <c r="AX179" s="124">
        <f t="shared" si="3"/>
        <v>13.542997400522317</v>
      </c>
      <c r="AY179" s="124">
        <f t="shared" si="3"/>
        <v>158.2773274872138</v>
      </c>
    </row>
    <row r="180" spans="1:51">
      <c r="A180" s="125"/>
      <c r="B180" s="136" t="s">
        <v>299</v>
      </c>
      <c r="C180" s="125" t="s">
        <v>293</v>
      </c>
      <c r="D180" s="125">
        <v>86.182028648203499</v>
      </c>
      <c r="E180" s="125">
        <v>86.255785531987883</v>
      </c>
      <c r="F180" s="125">
        <v>6.7753396861400219</v>
      </c>
      <c r="G180" s="125">
        <v>79.142504729485836</v>
      </c>
      <c r="H180" s="125">
        <v>85.91016244386806</v>
      </c>
      <c r="I180" s="125">
        <v>85.91016244386806</v>
      </c>
      <c r="J180" s="125">
        <v>85.91016244386806</v>
      </c>
      <c r="K180" s="125">
        <v>85.91016244386806</v>
      </c>
      <c r="L180" s="125">
        <v>85.91016244386806</v>
      </c>
      <c r="M180" s="125">
        <v>85.91016244386806</v>
      </c>
      <c r="N180" s="125">
        <v>7.6819717577305026E-3</v>
      </c>
      <c r="O180" s="125">
        <v>85.91016244386806</v>
      </c>
      <c r="P180" s="125">
        <v>85.91016244386806</v>
      </c>
      <c r="Q180" s="125">
        <v>7.6819717577305026E-3</v>
      </c>
      <c r="R180" s="125">
        <v>7.6819717577305026E-3</v>
      </c>
      <c r="S180" s="125">
        <v>85.91016244386806</v>
      </c>
      <c r="T180" s="125">
        <v>85.91016244386806</v>
      </c>
      <c r="U180" s="125">
        <v>85.91016244386806</v>
      </c>
      <c r="V180" s="125">
        <v>6.7753396861400219</v>
      </c>
      <c r="W180" s="125">
        <v>165.04498520159609</v>
      </c>
      <c r="X180" s="125">
        <v>29.786693258989754</v>
      </c>
      <c r="Y180" s="125">
        <v>117.96926699673952</v>
      </c>
      <c r="Z180" s="125">
        <v>80.665336630233824</v>
      </c>
      <c r="AA180" s="125">
        <v>149</v>
      </c>
      <c r="AB180" s="125">
        <v>110</v>
      </c>
      <c r="AC180" s="125">
        <v>86.747146132722605</v>
      </c>
      <c r="AD180" s="125">
        <v>85.91016244386806</v>
      </c>
      <c r="AE180" s="125">
        <v>7.681971757736294E-3</v>
      </c>
      <c r="AF180" s="125">
        <v>7.6819717577305026E-3</v>
      </c>
      <c r="AG180" s="125">
        <v>7.6819717577305026E-3</v>
      </c>
      <c r="AH180" s="125">
        <v>7.6819717577305026E-3</v>
      </c>
      <c r="AI180" s="125">
        <v>85.91016244386806</v>
      </c>
      <c r="AJ180" s="125">
        <v>85.91016244386806</v>
      </c>
      <c r="AK180" s="125">
        <v>85.91016244386806</v>
      </c>
      <c r="AL180" s="125">
        <v>85.91016244386806</v>
      </c>
      <c r="AM180" s="125">
        <v>85.91016244386806</v>
      </c>
      <c r="AN180" s="125">
        <v>85.91016244386806</v>
      </c>
      <c r="AO180" s="125">
        <v>85.91016244386806</v>
      </c>
      <c r="AP180" s="125">
        <v>85.91016244386806</v>
      </c>
      <c r="AQ180" s="125">
        <v>85.91016244386806</v>
      </c>
      <c r="AR180" s="125">
        <v>85.91016244386806</v>
      </c>
      <c r="AS180" s="125">
        <v>85.91016244386806</v>
      </c>
      <c r="AT180" s="125">
        <v>13.542997400522312</v>
      </c>
      <c r="AU180" s="125">
        <v>150</v>
      </c>
      <c r="AV180" s="125">
        <v>107.87083781289114</v>
      </c>
      <c r="AW180" s="125">
        <v>89.086800583292984</v>
      </c>
      <c r="AX180" s="125">
        <v>13.542997400522317</v>
      </c>
      <c r="AY180" s="125">
        <v>133.8831989382453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125.40384023858959</v>
      </c>
      <c r="E181" s="124">
        <f t="shared" si="4"/>
        <v>9.850395661260146</v>
      </c>
      <c r="F181" s="124">
        <f t="shared" si="4"/>
        <v>115.06212549067413</v>
      </c>
      <c r="G181" s="124">
        <f t="shared" si="4"/>
        <v>124.90135264012848</v>
      </c>
      <c r="H181" s="124">
        <f t="shared" si="4"/>
        <v>124.90135264012848</v>
      </c>
      <c r="I181" s="124">
        <f t="shared" si="4"/>
        <v>124.90135264012848</v>
      </c>
      <c r="J181" s="124">
        <f t="shared" si="4"/>
        <v>124.90135264012848</v>
      </c>
      <c r="K181" s="124">
        <f t="shared" si="4"/>
        <v>124.90135264012848</v>
      </c>
      <c r="L181" s="124">
        <f t="shared" si="4"/>
        <v>124.90135264012848</v>
      </c>
      <c r="M181" s="124">
        <f t="shared" si="4"/>
        <v>1.116851180569837E-2</v>
      </c>
      <c r="N181" s="124">
        <f t="shared" si="4"/>
        <v>124.90135264012848</v>
      </c>
      <c r="O181" s="124">
        <f t="shared" si="4"/>
        <v>124.90135264012848</v>
      </c>
      <c r="P181" s="124">
        <f t="shared" si="4"/>
        <v>1.116851180569837E-2</v>
      </c>
      <c r="Q181" s="124">
        <f t="shared" si="4"/>
        <v>1.116851180569837E-2</v>
      </c>
      <c r="R181" s="124">
        <f t="shared" si="4"/>
        <v>124.90135264012848</v>
      </c>
      <c r="S181" s="124">
        <f t="shared" si="4"/>
        <v>124.90135264012848</v>
      </c>
      <c r="T181" s="124">
        <f t="shared" si="4"/>
        <v>124.90135264012848</v>
      </c>
      <c r="U181" s="124">
        <f t="shared" si="4"/>
        <v>9.850395661260146</v>
      </c>
      <c r="V181" s="124">
        <f t="shared" si="4"/>
        <v>239.95230961899679</v>
      </c>
      <c r="W181" s="124">
        <f t="shared" si="4"/>
        <v>43.305683203139665</v>
      </c>
      <c r="X181" s="124">
        <f t="shared" si="4"/>
        <v>239.95230961899679</v>
      </c>
      <c r="Y181" s="124">
        <f t="shared" si="4"/>
        <v>48.834604156831652</v>
      </c>
      <c r="Z181" s="124">
        <f t="shared" si="4"/>
        <v>239.95230961899679</v>
      </c>
      <c r="AA181" s="124">
        <f t="shared" si="4"/>
        <v>137.81429919021951</v>
      </c>
      <c r="AB181" s="124">
        <f t="shared" si="4"/>
        <v>124.90135264012848</v>
      </c>
      <c r="AC181" s="124">
        <f t="shared" si="4"/>
        <v>124.90135264012848</v>
      </c>
      <c r="AD181" s="124">
        <f t="shared" si="4"/>
        <v>1.116851180570679E-2</v>
      </c>
      <c r="AE181" s="124">
        <f t="shared" si="4"/>
        <v>1.116851180569837E-2</v>
      </c>
      <c r="AF181" s="124">
        <f t="shared" si="4"/>
        <v>1.116851180569837E-2</v>
      </c>
      <c r="AG181" s="124">
        <f t="shared" si="4"/>
        <v>1.116851180569837E-2</v>
      </c>
      <c r="AH181" s="124">
        <f t="shared" si="4"/>
        <v>124.90135264012848</v>
      </c>
      <c r="AI181" s="124">
        <f t="shared" si="4"/>
        <v>124.90135264012848</v>
      </c>
      <c r="AJ181" s="124">
        <f t="shared" si="4"/>
        <v>124.90135264012848</v>
      </c>
      <c r="AK181" s="124">
        <f t="shared" si="4"/>
        <v>124.90135264012848</v>
      </c>
      <c r="AL181" s="124">
        <f t="shared" si="4"/>
        <v>124.90135264012848</v>
      </c>
      <c r="AM181" s="124">
        <f t="shared" si="4"/>
        <v>124.90135264012848</v>
      </c>
      <c r="AN181" s="124">
        <f t="shared" si="4"/>
        <v>124.90135264012848</v>
      </c>
      <c r="AO181" s="124">
        <f t="shared" si="4"/>
        <v>124.90135264012848</v>
      </c>
      <c r="AP181" s="124">
        <f t="shared" si="4"/>
        <v>124.90135264012848</v>
      </c>
      <c r="AQ181" s="124">
        <f t="shared" si="4"/>
        <v>124.90135264012848</v>
      </c>
      <c r="AR181" s="124">
        <f t="shared" si="4"/>
        <v>124.90135264012848</v>
      </c>
      <c r="AS181" s="124">
        <f t="shared" si="4"/>
        <v>19.689622810714592</v>
      </c>
      <c r="AT181" s="124">
        <f t="shared" si="4"/>
        <v>230.11308246954235</v>
      </c>
      <c r="AU181" s="124">
        <f t="shared" si="4"/>
        <v>144.79502540788849</v>
      </c>
      <c r="AV181" s="124">
        <f t="shared" si="4"/>
        <v>129.51973990859202</v>
      </c>
      <c r="AW181" s="124">
        <f t="shared" si="4"/>
        <v>19.689622810714599</v>
      </c>
      <c r="AX181" s="124">
        <f t="shared" si="4"/>
        <v>230.11308246954235</v>
      </c>
      <c r="AY181" s="124">
        <f t="shared" si="4"/>
        <v>38.289121357098736</v>
      </c>
    </row>
    <row r="182" spans="1:51">
      <c r="A182" s="125"/>
      <c r="B182" s="136" t="s">
        <v>299</v>
      </c>
      <c r="C182" s="125" t="s">
        <v>293</v>
      </c>
      <c r="D182" s="125">
        <v>125.40384023858959</v>
      </c>
      <c r="E182" s="125">
        <v>9.850395661260146</v>
      </c>
      <c r="F182" s="125">
        <v>115.06212549067413</v>
      </c>
      <c r="G182" s="125">
        <v>124.90135264012848</v>
      </c>
      <c r="H182" s="125">
        <v>124.90135264012848</v>
      </c>
      <c r="I182" s="125">
        <v>124.90135264012848</v>
      </c>
      <c r="J182" s="125">
        <v>124.90135264012848</v>
      </c>
      <c r="K182" s="125">
        <v>124.90135264012848</v>
      </c>
      <c r="L182" s="125">
        <v>124.90135264012848</v>
      </c>
      <c r="M182" s="125">
        <v>1.116851180569837E-2</v>
      </c>
      <c r="N182" s="125">
        <v>124.90135264012848</v>
      </c>
      <c r="O182" s="125">
        <v>124.90135264012848</v>
      </c>
      <c r="P182" s="125">
        <v>1.116851180569837E-2</v>
      </c>
      <c r="Q182" s="125">
        <v>1.116851180569837E-2</v>
      </c>
      <c r="R182" s="125">
        <v>124.90135264012848</v>
      </c>
      <c r="S182" s="125">
        <v>124.90135264012848</v>
      </c>
      <c r="T182" s="125">
        <v>124.90135264012848</v>
      </c>
      <c r="U182" s="125">
        <v>9.850395661260146</v>
      </c>
      <c r="V182" s="125">
        <v>183.48566850426755</v>
      </c>
      <c r="W182" s="125">
        <v>43.305683203139665</v>
      </c>
      <c r="X182" s="125">
        <v>174.15382238418806</v>
      </c>
      <c r="Y182" s="125">
        <v>48.834604156831652</v>
      </c>
      <c r="Z182" s="125">
        <v>218.15752702551535</v>
      </c>
      <c r="AA182" s="125">
        <v>137.81429919021951</v>
      </c>
      <c r="AB182" s="125">
        <v>124.90135264012848</v>
      </c>
      <c r="AC182" s="125">
        <v>124.90135264012848</v>
      </c>
      <c r="AD182" s="125">
        <v>1.116851180570679E-2</v>
      </c>
      <c r="AE182" s="125">
        <v>1.116851180569837E-2</v>
      </c>
      <c r="AF182" s="125">
        <v>1.116851180569837E-2</v>
      </c>
      <c r="AG182" s="125">
        <v>1.116851180569837E-2</v>
      </c>
      <c r="AH182" s="125">
        <v>124.90135264012848</v>
      </c>
      <c r="AI182" s="125">
        <v>124.90135264012848</v>
      </c>
      <c r="AJ182" s="125">
        <v>124.90135264012848</v>
      </c>
      <c r="AK182" s="125">
        <v>124.90135264012848</v>
      </c>
      <c r="AL182" s="125">
        <v>124.90135264012848</v>
      </c>
      <c r="AM182" s="125">
        <v>124.90135264012848</v>
      </c>
      <c r="AN182" s="125">
        <v>124.90135264012848</v>
      </c>
      <c r="AO182" s="125">
        <v>124.90135264012848</v>
      </c>
      <c r="AP182" s="125">
        <v>124.90135264012848</v>
      </c>
      <c r="AQ182" s="125">
        <v>124.90135264012848</v>
      </c>
      <c r="AR182" s="125">
        <v>124.90135264012848</v>
      </c>
      <c r="AS182" s="125">
        <v>19.689622810714592</v>
      </c>
      <c r="AT182" s="125">
        <v>196.53606181997307</v>
      </c>
      <c r="AU182" s="125">
        <v>137</v>
      </c>
      <c r="AV182" s="125">
        <v>129.51973990859202</v>
      </c>
      <c r="AW182" s="125">
        <v>19.689622810714599</v>
      </c>
      <c r="AX182" s="125">
        <v>198.72040028087812</v>
      </c>
      <c r="AY182" s="125">
        <v>38.289121357098736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171</v>
      </c>
      <c r="D185" s="124">
        <v>185</v>
      </c>
      <c r="E185" s="124">
        <v>182.99999999999997</v>
      </c>
      <c r="F185" s="124">
        <v>140.99999999999994</v>
      </c>
      <c r="G185" s="124">
        <v>163.99999999999991</v>
      </c>
      <c r="H185" s="124">
        <v>138.99999999999989</v>
      </c>
      <c r="I185" s="124">
        <v>125.99999999999986</v>
      </c>
      <c r="J185" s="124">
        <v>148.99999999999983</v>
      </c>
      <c r="K185" s="124">
        <v>117.9999999999998</v>
      </c>
      <c r="L185" s="124">
        <v>90.999999999999773</v>
      </c>
      <c r="M185" s="124">
        <v>85.999999999999744</v>
      </c>
      <c r="N185" s="124">
        <v>78.999999999999716</v>
      </c>
      <c r="O185" s="124">
        <v>66.999999999999687</v>
      </c>
      <c r="P185" s="124">
        <v>57.999999999999659</v>
      </c>
      <c r="Q185" s="124">
        <v>91.999999999999631</v>
      </c>
      <c r="R185" s="124">
        <v>97.999999999999602</v>
      </c>
      <c r="S185" s="124">
        <v>84.999999999999574</v>
      </c>
      <c r="T185" s="124">
        <v>107.99999999999955</v>
      </c>
      <c r="U185" s="124">
        <v>121.99999999999952</v>
      </c>
      <c r="V185" s="124">
        <v>121.99999999999949</v>
      </c>
      <c r="W185" s="124">
        <v>113.99999999999946</v>
      </c>
      <c r="X185" s="124">
        <v>112.99999999999943</v>
      </c>
      <c r="Y185" s="124">
        <v>121.9999999999994</v>
      </c>
      <c r="Z185" s="124">
        <v>117.99999999999937</v>
      </c>
      <c r="AA185" s="124">
        <v>99.999999999999346</v>
      </c>
      <c r="AB185" s="124">
        <v>0</v>
      </c>
      <c r="AC185" s="124">
        <v>8.5761065387644201E-21</v>
      </c>
      <c r="AD185" s="124">
        <v>8.5761065387644201E-21</v>
      </c>
      <c r="AE185" s="124">
        <v>8.5761065387644201E-21</v>
      </c>
      <c r="AF185" s="124">
        <v>190</v>
      </c>
      <c r="AG185" s="124">
        <v>190.00000000000003</v>
      </c>
      <c r="AH185" s="124">
        <v>190</v>
      </c>
      <c r="AI185" s="124">
        <v>190.00000000000003</v>
      </c>
      <c r="AJ185" s="124">
        <v>182</v>
      </c>
      <c r="AK185" s="124">
        <v>190.00000000000003</v>
      </c>
      <c r="AL185" s="124">
        <v>190.00000000000003</v>
      </c>
      <c r="AM185" s="124">
        <v>176</v>
      </c>
      <c r="AN185" s="124">
        <v>186.99999999999997</v>
      </c>
      <c r="AO185" s="124">
        <v>190.00000000000003</v>
      </c>
      <c r="AP185" s="124">
        <v>190.00000000000003</v>
      </c>
      <c r="AQ185" s="124">
        <v>190.00000000000003</v>
      </c>
      <c r="AR185" s="124">
        <v>190.00000000000003</v>
      </c>
      <c r="AS185" s="124">
        <v>190.00000000000003</v>
      </c>
      <c r="AT185" s="124">
        <v>190.00000000000003</v>
      </c>
      <c r="AU185" s="124">
        <v>190.00000000000003</v>
      </c>
      <c r="AV185" s="124">
        <v>175</v>
      </c>
      <c r="AW185" s="124">
        <v>176.99999999999997</v>
      </c>
      <c r="AX185" s="124">
        <v>190.00000000000003</v>
      </c>
      <c r="AY185" s="124">
        <v>190.00000000000003</v>
      </c>
    </row>
    <row r="186" spans="1:51">
      <c r="A186" s="109"/>
      <c r="B186" s="120">
        <v>2</v>
      </c>
      <c r="C186" s="106">
        <v>0</v>
      </c>
      <c r="D186" s="106">
        <v>19</v>
      </c>
      <c r="E186" s="106">
        <v>5.0000000000000284</v>
      </c>
      <c r="F186" s="106">
        <v>7.0000000000000568</v>
      </c>
      <c r="G186" s="106">
        <v>49.000000000000085</v>
      </c>
      <c r="H186" s="106">
        <v>26.000000000000114</v>
      </c>
      <c r="I186" s="106">
        <v>51.000000000000142</v>
      </c>
      <c r="J186" s="106">
        <v>64.000000000000171</v>
      </c>
      <c r="K186" s="106">
        <v>41.000000000000199</v>
      </c>
      <c r="L186" s="106">
        <v>72.000000000000227</v>
      </c>
      <c r="M186" s="106">
        <v>99.000000000000256</v>
      </c>
      <c r="N186" s="106">
        <v>104.00000000000028</v>
      </c>
      <c r="O186" s="106">
        <v>111.00000000000031</v>
      </c>
      <c r="P186" s="106">
        <v>123.00000000000034</v>
      </c>
      <c r="Q186" s="106">
        <v>132.00000000000037</v>
      </c>
      <c r="R186" s="106">
        <v>98.000000000000398</v>
      </c>
      <c r="S186" s="106">
        <v>92.000000000000426</v>
      </c>
      <c r="T186" s="106">
        <v>105.00000000000045</v>
      </c>
      <c r="U186" s="106">
        <v>82.000000000000483</v>
      </c>
      <c r="V186" s="106">
        <v>68.000000000000512</v>
      </c>
      <c r="W186" s="106">
        <v>68.00000000000054</v>
      </c>
      <c r="X186" s="106">
        <v>76.000000000000568</v>
      </c>
      <c r="Y186" s="106">
        <v>77.000000000000597</v>
      </c>
      <c r="Z186" s="106">
        <v>68.000000000000625</v>
      </c>
      <c r="AA186" s="106">
        <v>72.000000000000654</v>
      </c>
      <c r="AB186" s="106">
        <v>90.000000000000682</v>
      </c>
      <c r="AC186" s="106">
        <v>8.5761065387644201E-21</v>
      </c>
      <c r="AD186" s="106">
        <v>0</v>
      </c>
      <c r="AE186" s="106">
        <v>0</v>
      </c>
      <c r="AF186" s="106">
        <v>0</v>
      </c>
      <c r="AG186" s="106">
        <v>2.8421709430404007E-14</v>
      </c>
      <c r="AH186" s="106">
        <v>0</v>
      </c>
      <c r="AI186" s="106">
        <v>2.8421709430404007E-14</v>
      </c>
      <c r="AJ186" s="106">
        <v>0</v>
      </c>
      <c r="AK186" s="106">
        <v>8.0000000000000284</v>
      </c>
      <c r="AL186" s="106">
        <v>0</v>
      </c>
      <c r="AM186" s="106">
        <v>0</v>
      </c>
      <c r="AN186" s="106">
        <v>14.000000000000028</v>
      </c>
      <c r="AO186" s="106">
        <v>3.0000000000000568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15.000000000000028</v>
      </c>
      <c r="AX186" s="106">
        <v>13.000000000000057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152.93851410491021</v>
      </c>
      <c r="D189" s="124">
        <v>152.93851410491021</v>
      </c>
      <c r="E189" s="124">
        <v>13.393115136163258</v>
      </c>
      <c r="F189" s="124">
        <v>0</v>
      </c>
      <c r="G189" s="124">
        <v>169.99999999999997</v>
      </c>
      <c r="H189" s="124">
        <v>170</v>
      </c>
      <c r="I189" s="124">
        <v>157</v>
      </c>
      <c r="J189" s="124">
        <v>170</v>
      </c>
      <c r="K189" s="124">
        <v>169.99999999999997</v>
      </c>
      <c r="L189" s="124">
        <v>170</v>
      </c>
      <c r="M189" s="124">
        <v>0</v>
      </c>
      <c r="N189" s="124">
        <v>169.99999999999997</v>
      </c>
      <c r="O189" s="124">
        <v>167</v>
      </c>
      <c r="P189" s="124">
        <v>0</v>
      </c>
      <c r="Q189" s="124">
        <v>0</v>
      </c>
      <c r="R189" s="124">
        <v>169.99999999999997</v>
      </c>
      <c r="S189" s="124">
        <v>170</v>
      </c>
      <c r="T189" s="124">
        <v>169.99999999999997</v>
      </c>
      <c r="U189" s="124">
        <v>13.393115136163258</v>
      </c>
      <c r="V189" s="124">
        <v>38.39311513616326</v>
      </c>
      <c r="W189" s="124">
        <v>13.393115136163258</v>
      </c>
      <c r="X189" s="124">
        <v>58.39311513616326</v>
      </c>
      <c r="Y189" s="124">
        <v>13.393115136163258</v>
      </c>
      <c r="Z189" s="124">
        <v>56.39311513616326</v>
      </c>
      <c r="AA189" s="124">
        <v>92.393115136163289</v>
      </c>
      <c r="AB189" s="124">
        <v>166.39311513616329</v>
      </c>
      <c r="AC189" s="124">
        <v>170</v>
      </c>
      <c r="AD189" s="124">
        <v>1.1479935558397655E-20</v>
      </c>
      <c r="AE189" s="124">
        <v>1.1479935558397655E-20</v>
      </c>
      <c r="AF189" s="124">
        <v>1.1479935558397655E-20</v>
      </c>
      <c r="AG189" s="124">
        <v>1.1479935558397655E-20</v>
      </c>
      <c r="AH189" s="124">
        <v>169.99999999999997</v>
      </c>
      <c r="AI189" s="124">
        <v>170</v>
      </c>
      <c r="AJ189" s="124">
        <v>151</v>
      </c>
      <c r="AK189" s="124">
        <v>170</v>
      </c>
      <c r="AL189" s="124">
        <v>169.99999999999997</v>
      </c>
      <c r="AM189" s="124">
        <v>170</v>
      </c>
      <c r="AN189" s="124">
        <v>169.99999999999997</v>
      </c>
      <c r="AO189" s="124">
        <v>159</v>
      </c>
      <c r="AP189" s="124">
        <v>169.99999999999997</v>
      </c>
      <c r="AQ189" s="124">
        <v>170</v>
      </c>
      <c r="AR189" s="124">
        <v>169.99999999999997</v>
      </c>
      <c r="AS189" s="124">
        <v>26.786230272326517</v>
      </c>
      <c r="AT189" s="124">
        <v>16.78623027232652</v>
      </c>
      <c r="AU189" s="124">
        <v>71.786230272326549</v>
      </c>
      <c r="AV189" s="124">
        <v>125.78623027232655</v>
      </c>
      <c r="AW189" s="124">
        <v>26.786230272326517</v>
      </c>
      <c r="AX189" s="124">
        <v>70.78623027232652</v>
      </c>
      <c r="AY189" s="124">
        <v>26.786230272326517</v>
      </c>
    </row>
    <row r="190" spans="1:51">
      <c r="A190" s="109"/>
      <c r="B190" s="119">
        <v>2</v>
      </c>
      <c r="C190" s="106">
        <v>1.1692619547665117</v>
      </c>
      <c r="D190" s="106">
        <v>0</v>
      </c>
      <c r="E190" s="106">
        <v>0</v>
      </c>
      <c r="F190" s="106">
        <v>156.60688486383688</v>
      </c>
      <c r="G190" s="106">
        <v>0</v>
      </c>
      <c r="H190" s="106">
        <v>0</v>
      </c>
      <c r="I190" s="106">
        <v>0</v>
      </c>
      <c r="J190" s="106">
        <v>12.999999999999972</v>
      </c>
      <c r="K190" s="106">
        <v>0</v>
      </c>
      <c r="L190" s="106">
        <v>0</v>
      </c>
      <c r="M190" s="106">
        <v>0</v>
      </c>
      <c r="N190" s="106">
        <v>0</v>
      </c>
      <c r="O190" s="106">
        <v>0</v>
      </c>
      <c r="P190" s="106">
        <v>3</v>
      </c>
      <c r="Q190" s="106">
        <v>0</v>
      </c>
      <c r="R190" s="106">
        <v>0</v>
      </c>
      <c r="S190" s="106">
        <v>0</v>
      </c>
      <c r="T190" s="106">
        <v>0</v>
      </c>
      <c r="U190" s="106">
        <v>0</v>
      </c>
      <c r="V190" s="106">
        <v>156.60688486383674</v>
      </c>
      <c r="W190" s="106">
        <v>131.60688486383671</v>
      </c>
      <c r="X190" s="106">
        <v>156.60688486383674</v>
      </c>
      <c r="Y190" s="106">
        <v>111.60688486383671</v>
      </c>
      <c r="Z190" s="106">
        <v>156.60688486383674</v>
      </c>
      <c r="AA190" s="106">
        <v>113.60688486383671</v>
      </c>
      <c r="AB190" s="106">
        <v>77.606884863836711</v>
      </c>
      <c r="AC190" s="106">
        <v>3.6068848638366831</v>
      </c>
      <c r="AD190" s="106">
        <v>0</v>
      </c>
      <c r="AE190" s="106">
        <v>0</v>
      </c>
      <c r="AF190" s="106">
        <v>0</v>
      </c>
      <c r="AG190" s="106">
        <v>0</v>
      </c>
      <c r="AH190" s="106">
        <v>0</v>
      </c>
      <c r="AI190" s="106">
        <v>0</v>
      </c>
      <c r="AJ190" s="106">
        <v>0</v>
      </c>
      <c r="AK190" s="106">
        <v>18.999999999999972</v>
      </c>
      <c r="AL190" s="106">
        <v>0</v>
      </c>
      <c r="AM190" s="106">
        <v>0</v>
      </c>
      <c r="AN190" s="106">
        <v>0</v>
      </c>
      <c r="AO190" s="106">
        <v>0</v>
      </c>
      <c r="AP190" s="106">
        <v>11</v>
      </c>
      <c r="AQ190" s="106">
        <v>0</v>
      </c>
      <c r="AR190" s="106">
        <v>0</v>
      </c>
      <c r="AS190" s="106">
        <v>0</v>
      </c>
      <c r="AT190" s="106">
        <v>143.21376972767348</v>
      </c>
      <c r="AU190" s="106">
        <v>153.21376972767345</v>
      </c>
      <c r="AV190" s="106">
        <v>98.213769727673451</v>
      </c>
      <c r="AW190" s="106">
        <v>44.213769727673423</v>
      </c>
      <c r="AX190" s="106">
        <v>143.21376972767348</v>
      </c>
      <c r="AY190" s="106">
        <v>99.213769727673451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86.182028648203499</v>
      </c>
      <c r="D197" s="106">
        <v>86.182028648203499</v>
      </c>
      <c r="E197" s="106">
        <v>86.255785531987883</v>
      </c>
      <c r="F197" s="106">
        <v>6.7753396861400219</v>
      </c>
      <c r="G197" s="106">
        <v>79.142504729485836</v>
      </c>
      <c r="H197" s="106">
        <v>85.91016244386806</v>
      </c>
      <c r="I197" s="106">
        <v>85.91016244386806</v>
      </c>
      <c r="J197" s="106">
        <v>85.91016244386806</v>
      </c>
      <c r="K197" s="106">
        <v>85.91016244386806</v>
      </c>
      <c r="L197" s="106">
        <v>85.91016244386806</v>
      </c>
      <c r="M197" s="106">
        <v>85.91016244386806</v>
      </c>
      <c r="N197" s="106">
        <v>7.6819717577305026E-3</v>
      </c>
      <c r="O197" s="106">
        <v>85.91016244386806</v>
      </c>
      <c r="P197" s="106">
        <v>85.91016244386806</v>
      </c>
      <c r="Q197" s="106">
        <v>7.6819717577305026E-3</v>
      </c>
      <c r="R197" s="106">
        <v>7.6819717577305026E-3</v>
      </c>
      <c r="S197" s="106">
        <v>85.91016244386806</v>
      </c>
      <c r="T197" s="106">
        <v>85.91016244386806</v>
      </c>
      <c r="U197" s="106">
        <v>85.91016244386806</v>
      </c>
      <c r="V197" s="106">
        <v>6.7753396861400219</v>
      </c>
      <c r="W197" s="106">
        <v>165.04498520159609</v>
      </c>
      <c r="X197" s="106">
        <v>29.786693258989754</v>
      </c>
      <c r="Y197" s="106">
        <v>117.96926699673952</v>
      </c>
      <c r="Z197" s="106">
        <v>33.589618425377253</v>
      </c>
      <c r="AA197" s="106">
        <v>149</v>
      </c>
      <c r="AB197" s="106">
        <v>93.955014798403909</v>
      </c>
      <c r="AC197" s="106">
        <v>85.91016244386806</v>
      </c>
      <c r="AD197" s="106">
        <v>85.91016244386806</v>
      </c>
      <c r="AE197" s="106">
        <v>7.681971757736294E-3</v>
      </c>
      <c r="AF197" s="106">
        <v>7.6819717577305026E-3</v>
      </c>
      <c r="AG197" s="106">
        <v>7.6819717577305026E-3</v>
      </c>
      <c r="AH197" s="106">
        <v>7.6819717577305026E-3</v>
      </c>
      <c r="AI197" s="106">
        <v>85.91016244386806</v>
      </c>
      <c r="AJ197" s="106">
        <v>85.91016244386806</v>
      </c>
      <c r="AK197" s="106">
        <v>85.91016244386806</v>
      </c>
      <c r="AL197" s="106">
        <v>85.91016244386806</v>
      </c>
      <c r="AM197" s="106">
        <v>85.91016244386806</v>
      </c>
      <c r="AN197" s="106">
        <v>85.91016244386806</v>
      </c>
      <c r="AO197" s="106">
        <v>85.91016244386806</v>
      </c>
      <c r="AP197" s="106">
        <v>85.91016244386806</v>
      </c>
      <c r="AQ197" s="106">
        <v>85.91016244386806</v>
      </c>
      <c r="AR197" s="106">
        <v>85.91016244386806</v>
      </c>
      <c r="AS197" s="106">
        <v>85.91016244386806</v>
      </c>
      <c r="AT197" s="106">
        <v>13.542997400522312</v>
      </c>
      <c r="AU197" s="106">
        <v>150</v>
      </c>
      <c r="AV197" s="106">
        <v>99.593510325677343</v>
      </c>
      <c r="AW197" s="106">
        <v>89.086800583292984</v>
      </c>
      <c r="AX197" s="106">
        <v>13.542997400522317</v>
      </c>
      <c r="AY197" s="106">
        <v>133.8831989382453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0</v>
      </c>
      <c r="M198" s="106">
        <v>0</v>
      </c>
      <c r="N198" s="106">
        <v>0</v>
      </c>
      <c r="O198" s="106">
        <v>0</v>
      </c>
      <c r="P198" s="106">
        <v>0</v>
      </c>
      <c r="Q198" s="106">
        <v>0</v>
      </c>
      <c r="R198" s="106">
        <v>0</v>
      </c>
      <c r="S198" s="106">
        <v>0</v>
      </c>
      <c r="T198" s="106">
        <v>0</v>
      </c>
      <c r="U198" s="106">
        <v>0</v>
      </c>
      <c r="V198" s="106">
        <v>0</v>
      </c>
      <c r="W198" s="106">
        <v>0</v>
      </c>
      <c r="X198" s="106">
        <v>0</v>
      </c>
      <c r="Y198" s="106">
        <v>0</v>
      </c>
      <c r="Z198" s="106">
        <v>47.075718204856571</v>
      </c>
      <c r="AA198" s="106">
        <v>0</v>
      </c>
      <c r="AB198" s="106">
        <v>16.044985201596091</v>
      </c>
      <c r="AC198" s="106">
        <v>0.83698368885454499</v>
      </c>
      <c r="AD198" s="106">
        <v>0</v>
      </c>
      <c r="AE198" s="106">
        <v>0</v>
      </c>
      <c r="AF198" s="106">
        <v>0</v>
      </c>
      <c r="AG198" s="106">
        <v>0</v>
      </c>
      <c r="AH198" s="106">
        <v>0</v>
      </c>
      <c r="AI198" s="106">
        <v>0</v>
      </c>
      <c r="AJ198" s="106">
        <v>0</v>
      </c>
      <c r="AK198" s="106">
        <v>0</v>
      </c>
      <c r="AL198" s="106">
        <v>0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0</v>
      </c>
      <c r="AU198" s="106">
        <v>0</v>
      </c>
      <c r="AV198" s="106">
        <v>8.2773274872137961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125.47778929820574</v>
      </c>
      <c r="D209" s="124">
        <v>125.40384023858959</v>
      </c>
      <c r="E209" s="124">
        <v>9.850395661260146</v>
      </c>
      <c r="F209" s="124">
        <v>1.116851180569837E-2</v>
      </c>
      <c r="G209" s="124">
        <v>124.90135264012848</v>
      </c>
      <c r="H209" s="124">
        <v>124.90135264012848</v>
      </c>
      <c r="I209" s="124">
        <v>124.90135264012848</v>
      </c>
      <c r="J209" s="124">
        <v>124.90135264012848</v>
      </c>
      <c r="K209" s="124">
        <v>124.90135264012848</v>
      </c>
      <c r="L209" s="124">
        <v>124.90135264012848</v>
      </c>
      <c r="M209" s="124">
        <v>1.116851180569837E-2</v>
      </c>
      <c r="N209" s="124">
        <v>124.90135264012848</v>
      </c>
      <c r="O209" s="124">
        <v>124.90135264012848</v>
      </c>
      <c r="P209" s="124">
        <v>1.116851180569837E-2</v>
      </c>
      <c r="Q209" s="124">
        <v>1.116851180569837E-2</v>
      </c>
      <c r="R209" s="124">
        <v>124.90135264012848</v>
      </c>
      <c r="S209" s="124">
        <v>124.90135264012848</v>
      </c>
      <c r="T209" s="124">
        <v>124.90135264012848</v>
      </c>
      <c r="U209" s="124">
        <v>9.850395661260146</v>
      </c>
      <c r="V209" s="124">
        <v>68.434711525399223</v>
      </c>
      <c r="W209" s="124">
        <v>9.8503956612601442</v>
      </c>
      <c r="X209" s="124">
        <v>59.102865405319733</v>
      </c>
      <c r="Y209" s="124">
        <v>9.8503956612601442</v>
      </c>
      <c r="Z209" s="124">
        <v>103.10657004664702</v>
      </c>
      <c r="AA209" s="124">
        <v>124.90135264012847</v>
      </c>
      <c r="AB209" s="124">
        <v>124.90135264012847</v>
      </c>
      <c r="AC209" s="124">
        <v>124.90135264012847</v>
      </c>
      <c r="AD209" s="124">
        <v>1.116851180569837E-2</v>
      </c>
      <c r="AE209" s="124">
        <v>1.116851180569837E-2</v>
      </c>
      <c r="AF209" s="124">
        <v>1.116851180569837E-2</v>
      </c>
      <c r="AG209" s="124">
        <v>1.116851180569837E-2</v>
      </c>
      <c r="AH209" s="124">
        <v>124.90135264012848</v>
      </c>
      <c r="AI209" s="124">
        <v>124.90135264012848</v>
      </c>
      <c r="AJ209" s="124">
        <v>124.90135264012848</v>
      </c>
      <c r="AK209" s="124">
        <v>124.90135264012848</v>
      </c>
      <c r="AL209" s="124">
        <v>124.90135264012848</v>
      </c>
      <c r="AM209" s="124">
        <v>124.90135264012848</v>
      </c>
      <c r="AN209" s="124">
        <v>124.90135264012848</v>
      </c>
      <c r="AO209" s="124">
        <v>124.90135264012848</v>
      </c>
      <c r="AP209" s="124">
        <v>124.90135264012848</v>
      </c>
      <c r="AQ209" s="124">
        <v>124.90135264012848</v>
      </c>
      <c r="AR209" s="124">
        <v>124.90135264012848</v>
      </c>
      <c r="AS209" s="124">
        <v>19.689622810714592</v>
      </c>
      <c r="AT209" s="124">
        <v>91.324331990559187</v>
      </c>
      <c r="AU209" s="124">
        <v>117.10632723223999</v>
      </c>
      <c r="AV209" s="124">
        <v>124.90135264012847</v>
      </c>
      <c r="AW209" s="124">
        <v>19.689622810714592</v>
      </c>
      <c r="AX209" s="124">
        <v>93.508670451464241</v>
      </c>
      <c r="AY209" s="124">
        <v>19.689622810714592</v>
      </c>
    </row>
    <row r="210" spans="1:51">
      <c r="A210" s="109"/>
      <c r="B210" s="119">
        <v>2</v>
      </c>
      <c r="C210" s="106">
        <v>0</v>
      </c>
      <c r="D210" s="110">
        <v>0</v>
      </c>
      <c r="E210" s="110">
        <v>0</v>
      </c>
      <c r="F210" s="110">
        <v>115.05095697886843</v>
      </c>
      <c r="G210" s="110">
        <v>0</v>
      </c>
      <c r="H210" s="110">
        <v>0</v>
      </c>
      <c r="I210" s="110">
        <v>0</v>
      </c>
      <c r="J210" s="110">
        <v>0</v>
      </c>
      <c r="K210" s="110">
        <v>0</v>
      </c>
      <c r="L210" s="110">
        <v>0</v>
      </c>
      <c r="M210" s="110">
        <v>0</v>
      </c>
      <c r="N210" s="110">
        <v>0</v>
      </c>
      <c r="O210" s="110">
        <v>0</v>
      </c>
      <c r="P210" s="110">
        <v>0</v>
      </c>
      <c r="Q210" s="110">
        <v>0</v>
      </c>
      <c r="R210" s="110">
        <v>0</v>
      </c>
      <c r="S210" s="110">
        <v>0</v>
      </c>
      <c r="T210" s="110">
        <v>0</v>
      </c>
      <c r="U210" s="110">
        <v>0</v>
      </c>
      <c r="V210" s="110">
        <v>115.05095697886833</v>
      </c>
      <c r="W210" s="110">
        <v>33.455287541879521</v>
      </c>
      <c r="X210" s="110">
        <v>115.05095697886833</v>
      </c>
      <c r="Y210" s="110">
        <v>38.984208495571508</v>
      </c>
      <c r="Z210" s="110">
        <v>115.05095697886833</v>
      </c>
      <c r="AA210" s="110">
        <v>12.912946550091053</v>
      </c>
      <c r="AB210" s="110">
        <v>8.4196300918090654E-15</v>
      </c>
      <c r="AC210" s="110">
        <v>8.4196300918090654E-15</v>
      </c>
      <c r="AD210" s="110">
        <v>8.4196300918090654E-15</v>
      </c>
      <c r="AE210" s="110">
        <v>0</v>
      </c>
      <c r="AF210" s="110">
        <v>0</v>
      </c>
      <c r="AG210" s="110">
        <v>0</v>
      </c>
      <c r="AH210" s="110">
        <v>0</v>
      </c>
      <c r="AI210" s="110">
        <v>0</v>
      </c>
      <c r="AJ210" s="110">
        <v>0</v>
      </c>
      <c r="AK210" s="110">
        <v>0</v>
      </c>
      <c r="AL210" s="110">
        <v>0</v>
      </c>
      <c r="AM210" s="110">
        <v>0</v>
      </c>
      <c r="AN210" s="110">
        <v>0</v>
      </c>
      <c r="AO210" s="110">
        <v>0</v>
      </c>
      <c r="AP210" s="110">
        <v>0</v>
      </c>
      <c r="AQ210" s="110">
        <v>0</v>
      </c>
      <c r="AR210" s="110">
        <v>0</v>
      </c>
      <c r="AS210" s="110">
        <v>0</v>
      </c>
      <c r="AT210" s="110">
        <v>105.21172982941388</v>
      </c>
      <c r="AU210" s="110">
        <v>19.893672767760005</v>
      </c>
      <c r="AV210" s="110">
        <v>4.6183872684635503</v>
      </c>
      <c r="AW210" s="110">
        <v>8.4196300918090654E-15</v>
      </c>
      <c r="AX210" s="110">
        <v>105.21172982941388</v>
      </c>
      <c r="AY210" s="110">
        <v>18.59949854638414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56066.260595792126</v>
      </c>
      <c r="E259" s="124">
        <f t="shared" ref="E259:AX259" si="5">F$14*$B$259</f>
        <v>4403.9707959910138</v>
      </c>
      <c r="F259" s="124">
        <f t="shared" si="5"/>
        <v>51442.62807416579</v>
      </c>
      <c r="G259" s="124">
        <f t="shared" si="5"/>
        <v>55841.605588514241</v>
      </c>
      <c r="H259" s="124">
        <f t="shared" si="5"/>
        <v>55841.605588514241</v>
      </c>
      <c r="I259" s="124">
        <f t="shared" si="5"/>
        <v>55841.605588514241</v>
      </c>
      <c r="J259" s="124">
        <f t="shared" si="5"/>
        <v>55841.605588514241</v>
      </c>
      <c r="K259" s="124">
        <f t="shared" si="5"/>
        <v>55841.605588514241</v>
      </c>
      <c r="L259" s="124">
        <f t="shared" si="5"/>
        <v>55841.605588514241</v>
      </c>
      <c r="M259" s="124">
        <f t="shared" si="5"/>
        <v>4.9932816425248268</v>
      </c>
      <c r="N259" s="124">
        <f t="shared" si="5"/>
        <v>55841.605588514241</v>
      </c>
      <c r="O259" s="124">
        <f t="shared" si="5"/>
        <v>55841.605588514241</v>
      </c>
      <c r="P259" s="124">
        <f t="shared" si="5"/>
        <v>4.9932816425248268</v>
      </c>
      <c r="Q259" s="124">
        <f t="shared" si="5"/>
        <v>4.9932816425248268</v>
      </c>
      <c r="R259" s="124">
        <f t="shared" si="5"/>
        <v>55841.605588514241</v>
      </c>
      <c r="S259" s="124">
        <f t="shared" si="5"/>
        <v>55841.605588514241</v>
      </c>
      <c r="T259" s="124">
        <f t="shared" si="5"/>
        <v>55841.605588514241</v>
      </c>
      <c r="U259" s="124">
        <f t="shared" si="5"/>
        <v>4403.9707959910138</v>
      </c>
      <c r="V259" s="124">
        <f t="shared" si="5"/>
        <v>107279.24038103745</v>
      </c>
      <c r="W259" s="124">
        <f t="shared" si="5"/>
        <v>19361.350618343338</v>
      </c>
      <c r="X259" s="124">
        <f t="shared" si="5"/>
        <v>107279.24038103745</v>
      </c>
      <c r="Y259" s="124">
        <f t="shared" si="5"/>
        <v>21833.251976495216</v>
      </c>
      <c r="Z259" s="124">
        <f t="shared" si="5"/>
        <v>107279.24038103745</v>
      </c>
      <c r="AA259" s="124">
        <f t="shared" si="5"/>
        <v>61614.799016717996</v>
      </c>
      <c r="AB259" s="124">
        <f t="shared" si="5"/>
        <v>55841.605588514241</v>
      </c>
      <c r="AC259" s="124">
        <f t="shared" si="5"/>
        <v>55841.605588514241</v>
      </c>
      <c r="AD259" s="124">
        <f t="shared" si="5"/>
        <v>4.9932816425285909</v>
      </c>
      <c r="AE259" s="124">
        <f t="shared" si="5"/>
        <v>4.9932816425248268</v>
      </c>
      <c r="AF259" s="124">
        <f t="shared" si="5"/>
        <v>4.9932816425248268</v>
      </c>
      <c r="AG259" s="124">
        <f t="shared" si="5"/>
        <v>4.9932816425248268</v>
      </c>
      <c r="AH259" s="124">
        <f t="shared" si="5"/>
        <v>55841.605588514241</v>
      </c>
      <c r="AI259" s="124">
        <f t="shared" si="5"/>
        <v>55841.605588514241</v>
      </c>
      <c r="AJ259" s="124">
        <f t="shared" si="5"/>
        <v>55841.605588514241</v>
      </c>
      <c r="AK259" s="124">
        <f t="shared" si="5"/>
        <v>55841.605588514241</v>
      </c>
      <c r="AL259" s="124">
        <f t="shared" si="5"/>
        <v>55841.605588514241</v>
      </c>
      <c r="AM259" s="124">
        <f t="shared" si="5"/>
        <v>55841.605588514241</v>
      </c>
      <c r="AN259" s="124">
        <f t="shared" si="5"/>
        <v>55841.605588514241</v>
      </c>
      <c r="AO259" s="124">
        <f t="shared" si="5"/>
        <v>55841.605588514241</v>
      </c>
      <c r="AP259" s="124">
        <f t="shared" si="5"/>
        <v>55841.605588514241</v>
      </c>
      <c r="AQ259" s="124">
        <f t="shared" si="5"/>
        <v>55841.605588514241</v>
      </c>
      <c r="AR259" s="124">
        <f t="shared" si="5"/>
        <v>55841.605588514241</v>
      </c>
      <c r="AS259" s="124">
        <f t="shared" si="5"/>
        <v>8802.9483103395032</v>
      </c>
      <c r="AT259" s="124">
        <f t="shared" si="5"/>
        <v>102880.26286668897</v>
      </c>
      <c r="AU259" s="124">
        <f t="shared" si="5"/>
        <v>64735.781711690273</v>
      </c>
      <c r="AV259" s="124">
        <f t="shared" si="5"/>
        <v>57906.420379140436</v>
      </c>
      <c r="AW259" s="124">
        <f t="shared" si="5"/>
        <v>8802.9483103395069</v>
      </c>
      <c r="AX259" s="124">
        <f t="shared" si="5"/>
        <v>102880.26286668897</v>
      </c>
      <c r="AY259" s="124">
        <f>AZ$14*$B$259</f>
        <v>17118.517677821565</v>
      </c>
      <c r="AZ259" s="139">
        <f>SUM($D259:$AY259)</f>
        <v>2244324.5822351589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300.00000000000171</v>
      </c>
      <c r="E260" s="125">
        <f t="shared" ref="E260:AY260" si="6">(E$175-E$176+E$177-E$178+E$179-E$180+E$181-E$182)*$B$260</f>
        <v>420.0000000000033</v>
      </c>
      <c r="F260" s="125">
        <f t="shared" si="6"/>
        <v>2940.000000000005</v>
      </c>
      <c r="G260" s="125">
        <f t="shared" si="6"/>
        <v>1560.0000000000077</v>
      </c>
      <c r="H260" s="125">
        <f t="shared" si="6"/>
        <v>3060.0000000000095</v>
      </c>
      <c r="I260" s="125">
        <f t="shared" si="6"/>
        <v>4620.0000000000091</v>
      </c>
      <c r="J260" s="125">
        <f t="shared" si="6"/>
        <v>2460.0000000000109</v>
      </c>
      <c r="K260" s="125">
        <f t="shared" si="6"/>
        <v>4320.0000000000127</v>
      </c>
      <c r="L260" s="125">
        <f t="shared" si="6"/>
        <v>5940.0000000000127</v>
      </c>
      <c r="M260" s="125">
        <f t="shared" si="6"/>
        <v>6240.0000000000164</v>
      </c>
      <c r="N260" s="125">
        <f t="shared" si="6"/>
        <v>6660.0000000000209</v>
      </c>
      <c r="O260" s="125">
        <f t="shared" si="6"/>
        <v>7560.00000000002</v>
      </c>
      <c r="P260" s="125">
        <f t="shared" si="6"/>
        <v>7920.00000000002</v>
      </c>
      <c r="Q260" s="125">
        <f t="shared" si="6"/>
        <v>5880.0000000000236</v>
      </c>
      <c r="R260" s="125">
        <f t="shared" si="6"/>
        <v>5520.0000000000282</v>
      </c>
      <c r="S260" s="125">
        <f t="shared" si="6"/>
        <v>6300.0000000000264</v>
      </c>
      <c r="T260" s="125">
        <f t="shared" si="6"/>
        <v>4920.0000000000264</v>
      </c>
      <c r="U260" s="125">
        <f t="shared" si="6"/>
        <v>4080.00000000003</v>
      </c>
      <c r="V260" s="125">
        <f t="shared" si="6"/>
        <v>15364.411558713991</v>
      </c>
      <c r="W260" s="125">
        <f t="shared" si="6"/>
        <v>4560.0000000000346</v>
      </c>
      <c r="X260" s="125">
        <f t="shared" si="6"/>
        <v>15264.322325918762</v>
      </c>
      <c r="Y260" s="125">
        <f t="shared" si="6"/>
        <v>6904.543092291432</v>
      </c>
      <c r="Z260" s="125">
        <f t="shared" si="6"/>
        <v>12444.100047439129</v>
      </c>
      <c r="AA260" s="125">
        <f t="shared" si="6"/>
        <v>11019.112203926012</v>
      </c>
      <c r="AB260" s="125">
        <f t="shared" si="6"/>
        <v>266.63211316147368</v>
      </c>
      <c r="AC260" s="125">
        <f t="shared" si="6"/>
        <v>0</v>
      </c>
      <c r="AD260" s="125">
        <f t="shared" si="6"/>
        <v>0</v>
      </c>
      <c r="AE260" s="125">
        <f t="shared" si="6"/>
        <v>0</v>
      </c>
      <c r="AF260" s="125">
        <f t="shared" si="6"/>
        <v>1.7053025658242404E-12</v>
      </c>
      <c r="AG260" s="125">
        <f t="shared" si="6"/>
        <v>0</v>
      </c>
      <c r="AH260" s="125">
        <f t="shared" si="6"/>
        <v>1.7053025658242404E-12</v>
      </c>
      <c r="AI260" s="125">
        <f t="shared" si="6"/>
        <v>0</v>
      </c>
      <c r="AJ260" s="125">
        <f t="shared" si="6"/>
        <v>1620.0000000000009</v>
      </c>
      <c r="AK260" s="125">
        <f t="shared" si="6"/>
        <v>0</v>
      </c>
      <c r="AL260" s="125">
        <f t="shared" si="6"/>
        <v>0</v>
      </c>
      <c r="AM260" s="125">
        <f t="shared" si="6"/>
        <v>840.00000000000091</v>
      </c>
      <c r="AN260" s="125">
        <f t="shared" si="6"/>
        <v>180.00000000000341</v>
      </c>
      <c r="AO260" s="125">
        <f t="shared" si="6"/>
        <v>660.00000000000091</v>
      </c>
      <c r="AP260" s="125">
        <f t="shared" si="6"/>
        <v>0</v>
      </c>
      <c r="AQ260" s="125">
        <f t="shared" si="6"/>
        <v>0</v>
      </c>
      <c r="AR260" s="125">
        <f t="shared" si="6"/>
        <v>0</v>
      </c>
      <c r="AS260" s="125">
        <f t="shared" si="6"/>
        <v>0</v>
      </c>
      <c r="AT260" s="125">
        <f t="shared" si="6"/>
        <v>11207.447422634565</v>
      </c>
      <c r="AU260" s="125">
        <f t="shared" si="6"/>
        <v>6857.1673573665475</v>
      </c>
      <c r="AV260" s="125">
        <f t="shared" si="6"/>
        <v>3552.826183660407</v>
      </c>
      <c r="AW260" s="125">
        <f t="shared" si="6"/>
        <v>780.00000000000318</v>
      </c>
      <c r="AX260" s="125">
        <f t="shared" si="6"/>
        <v>7836.3871149802626</v>
      </c>
      <c r="AY260" s="125">
        <f t="shared" si="6"/>
        <v>1463.6477129381096</v>
      </c>
      <c r="AZ260" s="141">
        <f>SUM($D260:$AY260)</f>
        <v>181520.59713303103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59</v>
      </c>
    </row>
    <row r="3" spans="1:53">
      <c r="A3" s="100" t="s">
        <v>286</v>
      </c>
      <c r="B3" s="108">
        <v>5000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1051.0887666454175</v>
      </c>
      <c r="E9" s="117">
        <v>1051.0887666454175</v>
      </c>
      <c r="F9" s="117">
        <v>1051.0887666454175</v>
      </c>
      <c r="G9" s="117">
        <v>1051.0887666454175</v>
      </c>
      <c r="H9" s="117">
        <v>1051.0887666454175</v>
      </c>
      <c r="I9" s="117">
        <v>1051.0887666454175</v>
      </c>
      <c r="J9" s="117">
        <v>1051.0887666454175</v>
      </c>
      <c r="K9" s="117">
        <v>1051.0887666454175</v>
      </c>
      <c r="L9" s="117">
        <v>1051.0887666454175</v>
      </c>
      <c r="M9" s="117">
        <v>1051.0887666454175</v>
      </c>
      <c r="N9" s="117">
        <v>1051.0887666454175</v>
      </c>
      <c r="O9" s="117">
        <v>1051.0887666454175</v>
      </c>
      <c r="P9" s="117">
        <v>1051.0887666454175</v>
      </c>
      <c r="Q9" s="117">
        <v>1051.0887666454175</v>
      </c>
      <c r="R9" s="117">
        <v>1051.0887666454175</v>
      </c>
      <c r="S9" s="117">
        <v>1051.0887666454175</v>
      </c>
      <c r="T9" s="117">
        <v>1051.0887666454175</v>
      </c>
      <c r="U9" s="117">
        <v>1051.0887666454175</v>
      </c>
      <c r="V9" s="117">
        <v>1051.0887666454175</v>
      </c>
      <c r="W9" s="117">
        <v>1051.0887666454175</v>
      </c>
      <c r="X9" s="117">
        <v>1051.0887666454175</v>
      </c>
      <c r="Y9" s="117">
        <v>1051.0887666454175</v>
      </c>
      <c r="Z9" s="117">
        <v>1051.0887666454175</v>
      </c>
      <c r="AA9" s="117">
        <v>1051.0887666454175</v>
      </c>
      <c r="AB9" s="117">
        <v>1051.0887666454175</v>
      </c>
      <c r="AC9" s="117">
        <v>1051.0887666454175</v>
      </c>
      <c r="AD9" s="117">
        <v>1051.0887666454175</v>
      </c>
      <c r="AE9" s="117">
        <v>1051.0887666454175</v>
      </c>
      <c r="AF9" s="117">
        <v>1051.0887666454175</v>
      </c>
      <c r="AG9" s="117">
        <v>1051.0887666454175</v>
      </c>
      <c r="AH9" s="117">
        <v>1051.0887666454175</v>
      </c>
      <c r="AI9" s="117">
        <v>1051.0887666454175</v>
      </c>
      <c r="AJ9" s="117">
        <v>1051.0887666454175</v>
      </c>
      <c r="AK9" s="117">
        <v>1051.0887666454175</v>
      </c>
      <c r="AL9" s="117">
        <v>1051.0887666454175</v>
      </c>
      <c r="AM9" s="117">
        <v>1051.0887666454175</v>
      </c>
      <c r="AN9" s="117">
        <v>1051.0887666454175</v>
      </c>
      <c r="AO9" s="117">
        <v>1051.0887666454175</v>
      </c>
      <c r="AP9" s="117">
        <v>1051.0887666454175</v>
      </c>
      <c r="AQ9" s="117">
        <v>1051.0887666454175</v>
      </c>
      <c r="AR9" s="117">
        <v>1051.0887666454175</v>
      </c>
      <c r="AS9" s="117">
        <v>1051.0887666454175</v>
      </c>
      <c r="AT9" s="117">
        <v>1051.0887666454175</v>
      </c>
      <c r="AU9" s="117">
        <v>1051.0887666454175</v>
      </c>
      <c r="AV9" s="117">
        <v>1051.0887666454175</v>
      </c>
      <c r="AW9" s="117">
        <v>1051.0887666454175</v>
      </c>
      <c r="AX9" s="117">
        <v>1051.0887666454175</v>
      </c>
      <c r="AY9" s="117">
        <v>1051.0887666454175</v>
      </c>
    </row>
    <row r="10" spans="1:53">
      <c r="A10" s="118" t="s">
        <v>133</v>
      </c>
      <c r="B10" s="119">
        <v>1</v>
      </c>
      <c r="C10" s="106" t="s">
        <v>293</v>
      </c>
      <c r="D10" s="100">
        <v>190.30835265869783</v>
      </c>
      <c r="E10" s="100">
        <v>623.82929563616017</v>
      </c>
      <c r="F10" s="100">
        <v>650.00000000000011</v>
      </c>
      <c r="G10" s="100">
        <v>0</v>
      </c>
      <c r="H10" s="100">
        <v>198.04305384595827</v>
      </c>
      <c r="I10" s="100">
        <v>0</v>
      </c>
      <c r="J10" s="100">
        <v>198.04305384595827</v>
      </c>
      <c r="K10" s="100">
        <v>0</v>
      </c>
      <c r="L10" s="100">
        <v>650.00000000000011</v>
      </c>
      <c r="M10" s="100">
        <v>0</v>
      </c>
      <c r="N10" s="100">
        <v>198.04305384595827</v>
      </c>
      <c r="O10" s="100">
        <v>650.00000000000011</v>
      </c>
      <c r="P10" s="100">
        <v>0</v>
      </c>
      <c r="Q10" s="100">
        <v>1300.0000000000002</v>
      </c>
      <c r="R10" s="100">
        <v>0</v>
      </c>
      <c r="S10" s="100">
        <v>198.04305384595827</v>
      </c>
      <c r="T10" s="100">
        <v>650.00000000000011</v>
      </c>
      <c r="U10" s="100">
        <v>650.00000000000011</v>
      </c>
      <c r="V10" s="100">
        <v>650.00000000000011</v>
      </c>
      <c r="W10" s="100">
        <v>650.00000000000011</v>
      </c>
      <c r="X10" s="100">
        <v>0</v>
      </c>
      <c r="Y10" s="100">
        <v>650.00000000000011</v>
      </c>
      <c r="Z10" s="100">
        <v>650.00000000000011</v>
      </c>
      <c r="AA10" s="100">
        <v>650.00000000000011</v>
      </c>
      <c r="AB10" s="100">
        <v>650.00000000000011</v>
      </c>
      <c r="AC10" s="100">
        <v>650.00000000000011</v>
      </c>
      <c r="AD10" s="100">
        <v>650.00000000000011</v>
      </c>
      <c r="AE10" s="100">
        <v>650.00000000000011</v>
      </c>
      <c r="AF10" s="100">
        <v>650.00000000000011</v>
      </c>
      <c r="AG10" s="100">
        <v>198.04305384595827</v>
      </c>
      <c r="AH10" s="100">
        <v>0</v>
      </c>
      <c r="AI10" s="100">
        <v>1300.0000000000002</v>
      </c>
      <c r="AJ10" s="100">
        <v>0</v>
      </c>
      <c r="AK10" s="100">
        <v>198.04305384595827</v>
      </c>
      <c r="AL10" s="100">
        <v>0</v>
      </c>
      <c r="AM10" s="100">
        <v>650.00000000000011</v>
      </c>
      <c r="AN10" s="100">
        <v>650.00000000000011</v>
      </c>
      <c r="AO10" s="100">
        <v>198.04305384595827</v>
      </c>
      <c r="AP10" s="100">
        <v>0</v>
      </c>
      <c r="AQ10" s="100">
        <v>650.00000000000011</v>
      </c>
      <c r="AR10" s="100">
        <v>0</v>
      </c>
      <c r="AS10" s="100">
        <v>198.04305384595813</v>
      </c>
      <c r="AT10" s="100">
        <v>650.00000000000011</v>
      </c>
      <c r="AU10" s="100">
        <v>198.04305384595827</v>
      </c>
      <c r="AV10" s="100">
        <v>650.00000000000011</v>
      </c>
      <c r="AW10" s="100">
        <v>198.04305384595827</v>
      </c>
      <c r="AX10" s="100">
        <v>650.00000000000011</v>
      </c>
      <c r="AY10" s="100">
        <v>650.00000000000011</v>
      </c>
      <c r="AZ10" s="100">
        <v>650.00000000000011</v>
      </c>
    </row>
    <row r="11" spans="1:53">
      <c r="B11" s="119">
        <v>2</v>
      </c>
      <c r="C11" s="106" t="s">
        <v>293</v>
      </c>
      <c r="D11" s="100">
        <v>606.7802608817874</v>
      </c>
      <c r="E11" s="100">
        <v>416.4719082230896</v>
      </c>
      <c r="F11" s="100">
        <v>0</v>
      </c>
      <c r="G11" s="100">
        <v>0</v>
      </c>
      <c r="H11" s="100">
        <v>650.00000000000011</v>
      </c>
      <c r="I11" s="100">
        <v>0</v>
      </c>
      <c r="J11" s="100">
        <v>650.00000000000011</v>
      </c>
      <c r="K11" s="100">
        <v>451.95694615404182</v>
      </c>
      <c r="L11" s="100">
        <v>650.00000000000011</v>
      </c>
      <c r="N11" s="100">
        <v>650.00000000000011</v>
      </c>
      <c r="O11" s="100">
        <v>451.95694615404182</v>
      </c>
      <c r="R11" s="100">
        <v>0</v>
      </c>
      <c r="S11" s="100">
        <v>650.00000000000011</v>
      </c>
      <c r="T11" s="100">
        <v>451.95694615404182</v>
      </c>
      <c r="U11" s="100">
        <v>0</v>
      </c>
      <c r="V11" s="100">
        <v>0</v>
      </c>
      <c r="W11" s="100">
        <v>0</v>
      </c>
      <c r="X11" s="100">
        <v>0</v>
      </c>
      <c r="Y11" s="100">
        <v>650.00000000000011</v>
      </c>
      <c r="Z11" s="100">
        <v>0</v>
      </c>
      <c r="AD11" s="100">
        <v>0</v>
      </c>
      <c r="AE11" s="100">
        <v>0</v>
      </c>
      <c r="AF11" s="100">
        <v>0</v>
      </c>
      <c r="AG11" s="100">
        <v>0</v>
      </c>
      <c r="AH11" s="100">
        <v>451.95694615404182</v>
      </c>
      <c r="AJ11" s="100">
        <v>0</v>
      </c>
      <c r="AK11" s="100">
        <v>650.00000000000011</v>
      </c>
      <c r="AL11" s="100">
        <v>451.95694615404182</v>
      </c>
      <c r="AM11" s="100">
        <v>650.00000000000011</v>
      </c>
      <c r="AP11" s="100">
        <v>451.95694615404182</v>
      </c>
      <c r="AQ11" s="100">
        <v>650.00000000000011</v>
      </c>
      <c r="AR11" s="100">
        <v>0</v>
      </c>
      <c r="AT11" s="100">
        <v>1101.956946154042</v>
      </c>
      <c r="AV11" s="100">
        <v>451.95694615404182</v>
      </c>
      <c r="AW11" s="100">
        <v>0</v>
      </c>
      <c r="AX11" s="100">
        <v>0</v>
      </c>
      <c r="AY11" s="100">
        <v>0</v>
      </c>
      <c r="AZ11" s="100">
        <v>0</v>
      </c>
      <c r="BA11" s="100">
        <v>0</v>
      </c>
    </row>
    <row r="12" spans="1:53">
      <c r="B12" s="120">
        <v>3</v>
      </c>
      <c r="C12" s="106" t="s">
        <v>293</v>
      </c>
      <c r="D12" s="100">
        <v>416.4719082230896</v>
      </c>
      <c r="F12" s="100">
        <v>0</v>
      </c>
      <c r="J12" s="100">
        <v>451.95694615404182</v>
      </c>
      <c r="K12" s="100">
        <v>0</v>
      </c>
      <c r="M12" s="100">
        <v>0</v>
      </c>
      <c r="N12" s="100">
        <v>0</v>
      </c>
      <c r="O12" s="100">
        <v>0</v>
      </c>
      <c r="Q12" s="100">
        <v>0</v>
      </c>
      <c r="R12" s="100">
        <v>0</v>
      </c>
      <c r="U12" s="100">
        <v>0</v>
      </c>
      <c r="Z12" s="100">
        <v>0</v>
      </c>
      <c r="AD12" s="100">
        <v>0</v>
      </c>
      <c r="AJ12" s="100">
        <v>0</v>
      </c>
      <c r="AN12" s="100">
        <v>0</v>
      </c>
      <c r="AO12" s="100">
        <v>0</v>
      </c>
      <c r="AW12" s="100">
        <v>0</v>
      </c>
      <c r="AY12" s="100">
        <v>451.95694615404182</v>
      </c>
    </row>
    <row r="13" spans="1:53">
      <c r="B13" s="120">
        <v>4</v>
      </c>
      <c r="C13" s="106" t="s">
        <v>293</v>
      </c>
      <c r="D13" s="100">
        <v>0</v>
      </c>
      <c r="AC13" s="100">
        <v>0</v>
      </c>
      <c r="AD13" s="100">
        <v>0</v>
      </c>
      <c r="AQ13" s="100">
        <v>0</v>
      </c>
      <c r="AS13" s="100">
        <v>0</v>
      </c>
      <c r="AU13" s="100">
        <v>0</v>
      </c>
      <c r="AW13" s="100">
        <v>0</v>
      </c>
    </row>
    <row r="14" spans="1:53">
      <c r="A14" s="115" t="s">
        <v>134</v>
      </c>
      <c r="B14" s="121">
        <v>1</v>
      </c>
      <c r="C14" s="117" t="s">
        <v>293</v>
      </c>
      <c r="D14" s="117">
        <v>3.2993846844094961E-2</v>
      </c>
      <c r="E14" s="117">
        <f t="shared" ref="E14:AZ14" si="0">D$172*SUM(D$122:D$169)</f>
        <v>736.76984760886876</v>
      </c>
      <c r="F14" s="117">
        <f t="shared" si="0"/>
        <v>752.45129315977272</v>
      </c>
      <c r="G14" s="117">
        <f t="shared" si="0"/>
        <v>527.59333704767016</v>
      </c>
      <c r="H14" s="117">
        <f t="shared" si="0"/>
        <v>20.189729822794721</v>
      </c>
      <c r="I14" s="117">
        <f t="shared" si="0"/>
        <v>480.02656066413851</v>
      </c>
      <c r="J14" s="117">
        <f t="shared" si="0"/>
        <v>38.718557956861041</v>
      </c>
      <c r="K14" s="117">
        <f t="shared" si="0"/>
        <v>735.83488076378865</v>
      </c>
      <c r="L14" s="117">
        <f t="shared" si="0"/>
        <v>420.91759529898928</v>
      </c>
      <c r="M14" s="117">
        <f t="shared" si="0"/>
        <v>735.83488076378865</v>
      </c>
      <c r="N14" s="117">
        <f t="shared" si="0"/>
        <v>182.50032982892185</v>
      </c>
      <c r="O14" s="117">
        <f t="shared" si="0"/>
        <v>480.02656066413851</v>
      </c>
      <c r="P14" s="117">
        <f t="shared" si="0"/>
        <v>664.65230931971666</v>
      </c>
      <c r="Q14" s="117">
        <f t="shared" si="0"/>
        <v>104.72565938640281</v>
      </c>
      <c r="R14" s="117">
        <f t="shared" si="0"/>
        <v>735.83488076378865</v>
      </c>
      <c r="S14" s="117">
        <f t="shared" si="0"/>
        <v>116.88439980363125</v>
      </c>
      <c r="T14" s="117">
        <f t="shared" si="0"/>
        <v>480.02656066413851</v>
      </c>
      <c r="U14" s="117">
        <f t="shared" si="0"/>
        <v>623.74221055959583</v>
      </c>
      <c r="V14" s="117">
        <f t="shared" si="0"/>
        <v>439.68454238377325</v>
      </c>
      <c r="W14" s="117">
        <f t="shared" si="0"/>
        <v>373.10301275276544</v>
      </c>
      <c r="X14" s="117">
        <f t="shared" si="0"/>
        <v>367.93389045994576</v>
      </c>
      <c r="Y14" s="117">
        <f t="shared" si="0"/>
        <v>3.2900156102858721E-2</v>
      </c>
      <c r="Z14" s="117">
        <f t="shared" si="0"/>
        <v>735.83488076378865</v>
      </c>
      <c r="AA14" s="117">
        <f t="shared" si="0"/>
        <v>508.12669668207496</v>
      </c>
      <c r="AB14" s="117">
        <f t="shared" si="0"/>
        <v>368.38679435767426</v>
      </c>
      <c r="AC14" s="117">
        <f t="shared" si="0"/>
        <v>367.93389045994576</v>
      </c>
      <c r="AD14" s="117">
        <f t="shared" si="0"/>
        <v>367.93389045994576</v>
      </c>
      <c r="AE14" s="117">
        <f t="shared" si="0"/>
        <v>367.93389045994576</v>
      </c>
      <c r="AF14" s="117">
        <f t="shared" si="0"/>
        <v>367.93389045994576</v>
      </c>
      <c r="AG14" s="117">
        <f t="shared" si="0"/>
        <v>367.93389045994576</v>
      </c>
      <c r="AH14" s="117">
        <f t="shared" si="0"/>
        <v>112.12557036029564</v>
      </c>
      <c r="AI14" s="117">
        <f t="shared" si="0"/>
        <v>255.84122025575294</v>
      </c>
      <c r="AJ14" s="117">
        <f t="shared" si="0"/>
        <v>735.83488076378865</v>
      </c>
      <c r="AK14" s="117">
        <f t="shared" si="0"/>
        <v>105.52127363001124</v>
      </c>
      <c r="AL14" s="117">
        <f t="shared" si="0"/>
        <v>480.02656066413851</v>
      </c>
      <c r="AM14" s="117">
        <f t="shared" si="0"/>
        <v>255.841220255753</v>
      </c>
      <c r="AN14" s="117">
        <f t="shared" si="0"/>
        <v>735.83488076378865</v>
      </c>
      <c r="AO14" s="117">
        <f t="shared" si="0"/>
        <v>455.94632954583136</v>
      </c>
      <c r="AP14" s="117">
        <f t="shared" si="0"/>
        <v>112.12557036029564</v>
      </c>
      <c r="AQ14" s="117">
        <f t="shared" si="0"/>
        <v>255.84122025575294</v>
      </c>
      <c r="AR14" s="117">
        <f t="shared" si="0"/>
        <v>735.83488076378865</v>
      </c>
      <c r="AS14" s="117">
        <f t="shared" si="0"/>
        <v>141.24594119860441</v>
      </c>
      <c r="AT14" s="117">
        <f t="shared" si="0"/>
        <v>112.12557036029568</v>
      </c>
      <c r="AU14" s="117">
        <f t="shared" si="0"/>
        <v>991.64320086343866</v>
      </c>
      <c r="AV14" s="117">
        <f t="shared" si="0"/>
        <v>331.92511399049283</v>
      </c>
      <c r="AW14" s="117">
        <f t="shared" si="0"/>
        <v>623.74221055959583</v>
      </c>
      <c r="AX14" s="117">
        <f t="shared" si="0"/>
        <v>182.98644590037813</v>
      </c>
      <c r="AY14" s="117">
        <f t="shared" si="0"/>
        <v>367.93389045994576</v>
      </c>
      <c r="AZ14" s="110">
        <f t="shared" si="0"/>
        <v>623.74221055959583</v>
      </c>
      <c r="BA14" s="107">
        <f>SUM($E14:$AZ14)</f>
        <v>20085.619955444407</v>
      </c>
    </row>
    <row r="15" spans="1:53">
      <c r="A15" s="122" t="s">
        <v>123</v>
      </c>
      <c r="B15" s="123">
        <v>1</v>
      </c>
      <c r="C15" s="124" t="s">
        <v>293</v>
      </c>
      <c r="D15" s="124">
        <v>259.76559885699515</v>
      </c>
      <c r="E15" s="124">
        <v>793.73028632544606</v>
      </c>
      <c r="F15" s="124">
        <v>827.02552502309936</v>
      </c>
      <c r="G15" s="124">
        <v>7.3951515692927822E-2</v>
      </c>
      <c r="H15" s="124">
        <v>252.03089766973474</v>
      </c>
      <c r="I15" s="124">
        <v>7.3951515692927822E-2</v>
      </c>
      <c r="J15" s="124">
        <v>252.03089766973474</v>
      </c>
      <c r="K15" s="124">
        <v>7.3951515692927822E-2</v>
      </c>
      <c r="L15" s="124">
        <v>827.02552502309936</v>
      </c>
      <c r="M15" s="124">
        <v>7.3951515692927822E-2</v>
      </c>
      <c r="N15" s="124">
        <v>252.03089766973474</v>
      </c>
      <c r="O15" s="124">
        <v>827.02552502309936</v>
      </c>
      <c r="P15" s="124">
        <v>7.3951515692927822E-2</v>
      </c>
      <c r="Q15" s="124">
        <v>1653.9770985305058</v>
      </c>
      <c r="R15" s="124">
        <v>7.3951515692927822E-2</v>
      </c>
      <c r="S15" s="124">
        <v>252.03089766973474</v>
      </c>
      <c r="T15" s="124">
        <v>827.02552502309936</v>
      </c>
      <c r="U15" s="124">
        <v>827.02552502309936</v>
      </c>
      <c r="V15" s="124">
        <v>827.02552502309936</v>
      </c>
      <c r="W15" s="124">
        <v>827.02552502309936</v>
      </c>
      <c r="X15" s="124">
        <v>7.3951515692927822E-2</v>
      </c>
      <c r="Y15" s="124">
        <v>827.02552502309936</v>
      </c>
      <c r="Z15" s="124">
        <v>827.02552502309936</v>
      </c>
      <c r="AA15" s="124">
        <v>827.02552502309936</v>
      </c>
      <c r="AB15" s="124">
        <v>827.02552502309936</v>
      </c>
      <c r="AC15" s="124">
        <v>827.02552502309936</v>
      </c>
      <c r="AD15" s="124">
        <v>827.02552502309936</v>
      </c>
      <c r="AE15" s="124">
        <v>827.02552502309936</v>
      </c>
      <c r="AF15" s="124">
        <v>827.02552502309936</v>
      </c>
      <c r="AG15" s="124">
        <v>252.03089766973474</v>
      </c>
      <c r="AH15" s="124">
        <v>7.3951515692927822E-2</v>
      </c>
      <c r="AI15" s="124">
        <v>1653.9770985305058</v>
      </c>
      <c r="AJ15" s="124">
        <v>7.3951515692927822E-2</v>
      </c>
      <c r="AK15" s="124">
        <v>252.03089766973474</v>
      </c>
      <c r="AL15" s="124">
        <v>7.3951515692927822E-2</v>
      </c>
      <c r="AM15" s="124">
        <v>827.02552502309936</v>
      </c>
      <c r="AN15" s="124">
        <v>827.02552502309936</v>
      </c>
      <c r="AO15" s="124">
        <v>252.03089766973474</v>
      </c>
      <c r="AP15" s="124">
        <v>7.3951515692927822E-2</v>
      </c>
      <c r="AQ15" s="124">
        <v>827.02552502309936</v>
      </c>
      <c r="AR15" s="124">
        <v>7.3951515692927822E-2</v>
      </c>
      <c r="AS15" s="124">
        <v>252.03089766973483</v>
      </c>
      <c r="AT15" s="124">
        <v>827.02552502309936</v>
      </c>
      <c r="AU15" s="124">
        <v>252.03089766973474</v>
      </c>
      <c r="AV15" s="124">
        <v>827.02552502309936</v>
      </c>
      <c r="AW15" s="124">
        <v>252.03089766973474</v>
      </c>
      <c r="AX15" s="124">
        <v>827.02552502309936</v>
      </c>
      <c r="AY15" s="124">
        <v>827.02552502309936</v>
      </c>
      <c r="AZ15" s="100">
        <v>826.95157350740647</v>
      </c>
    </row>
    <row r="16" spans="1:53">
      <c r="A16" s="110"/>
      <c r="B16" s="119">
        <v>2</v>
      </c>
      <c r="C16" s="109" t="s">
        <v>293</v>
      </c>
      <c r="D16" s="106">
        <v>828.00236206749935</v>
      </c>
      <c r="E16" s="110">
        <v>568.31071472619715</v>
      </c>
      <c r="F16" s="110">
        <v>0</v>
      </c>
      <c r="G16" s="110">
        <v>0</v>
      </c>
      <c r="H16" s="110">
        <v>826.95157350740647</v>
      </c>
      <c r="I16" s="110">
        <v>0</v>
      </c>
      <c r="J16" s="110">
        <v>826.95157350740647</v>
      </c>
      <c r="K16" s="110">
        <v>574.99462735336465</v>
      </c>
      <c r="L16" s="110">
        <v>826.95157350740647</v>
      </c>
      <c r="M16" s="110"/>
      <c r="N16" s="110">
        <v>826.95157350740647</v>
      </c>
      <c r="O16" s="110">
        <v>574.99462735336465</v>
      </c>
      <c r="P16" s="110"/>
      <c r="Q16" s="110"/>
      <c r="R16" s="110">
        <v>0</v>
      </c>
      <c r="S16" s="110">
        <v>826.95157350740647</v>
      </c>
      <c r="T16" s="110">
        <v>574.99462735336465</v>
      </c>
      <c r="U16" s="110">
        <v>0</v>
      </c>
      <c r="V16" s="110">
        <v>0</v>
      </c>
      <c r="W16" s="110">
        <v>0</v>
      </c>
      <c r="X16" s="110">
        <v>0</v>
      </c>
      <c r="Y16" s="110">
        <v>826.95157350740647</v>
      </c>
      <c r="Z16" s="110">
        <v>0</v>
      </c>
      <c r="AA16" s="110"/>
      <c r="AB16" s="110"/>
      <c r="AC16" s="110"/>
      <c r="AD16" s="110">
        <v>0</v>
      </c>
      <c r="AE16" s="110">
        <v>0</v>
      </c>
      <c r="AF16" s="110">
        <v>0</v>
      </c>
      <c r="AG16" s="110">
        <v>0</v>
      </c>
      <c r="AH16" s="110">
        <v>574.99462735336465</v>
      </c>
      <c r="AI16" s="110"/>
      <c r="AJ16" s="110">
        <v>0</v>
      </c>
      <c r="AK16" s="110">
        <v>826.95157350740647</v>
      </c>
      <c r="AL16" s="110">
        <v>574.99462735336465</v>
      </c>
      <c r="AM16" s="110">
        <v>826.95157350740647</v>
      </c>
      <c r="AN16" s="110"/>
      <c r="AO16" s="110"/>
      <c r="AP16" s="110">
        <v>574.99462735336465</v>
      </c>
      <c r="AQ16" s="110">
        <v>826.95157350740647</v>
      </c>
      <c r="AR16" s="110">
        <v>0</v>
      </c>
      <c r="AS16" s="110"/>
      <c r="AT16" s="110">
        <v>1401.9462008607711</v>
      </c>
      <c r="AU16" s="110"/>
      <c r="AV16" s="110">
        <v>574.99462735336465</v>
      </c>
      <c r="AW16" s="110">
        <v>0</v>
      </c>
      <c r="AX16" s="110">
        <v>0</v>
      </c>
      <c r="AY16" s="110">
        <v>0</v>
      </c>
      <c r="AZ16" s="100">
        <v>0</v>
      </c>
      <c r="BA16" s="100">
        <v>0</v>
      </c>
    </row>
    <row r="17" spans="1:51">
      <c r="A17" s="110"/>
      <c r="B17" s="119">
        <v>3</v>
      </c>
      <c r="C17" s="109" t="s">
        <v>293</v>
      </c>
      <c r="D17" s="106">
        <v>568.31071472619715</v>
      </c>
      <c r="E17" s="110"/>
      <c r="F17" s="110">
        <v>0</v>
      </c>
      <c r="G17" s="110"/>
      <c r="H17" s="110"/>
      <c r="I17" s="110"/>
      <c r="J17" s="110">
        <v>574.99462735336465</v>
      </c>
      <c r="K17" s="110">
        <v>0</v>
      </c>
      <c r="L17" s="110"/>
      <c r="M17" s="110">
        <v>0</v>
      </c>
      <c r="N17" s="110">
        <v>0</v>
      </c>
      <c r="O17" s="110">
        <v>0</v>
      </c>
      <c r="P17" s="110"/>
      <c r="Q17" s="110">
        <v>0</v>
      </c>
      <c r="R17" s="110">
        <v>0</v>
      </c>
      <c r="S17" s="110"/>
      <c r="T17" s="110"/>
      <c r="U17" s="110">
        <v>0</v>
      </c>
      <c r="V17" s="110"/>
      <c r="W17" s="110"/>
      <c r="X17" s="110"/>
      <c r="Y17" s="110"/>
      <c r="Z17" s="110">
        <v>0</v>
      </c>
      <c r="AA17" s="110"/>
      <c r="AB17" s="110"/>
      <c r="AC17" s="110"/>
      <c r="AD17" s="110">
        <v>0</v>
      </c>
      <c r="AE17" s="110"/>
      <c r="AF17" s="110"/>
      <c r="AG17" s="110"/>
      <c r="AH17" s="110"/>
      <c r="AI17" s="110"/>
      <c r="AJ17" s="110">
        <v>0</v>
      </c>
      <c r="AK17" s="110"/>
      <c r="AL17" s="110"/>
      <c r="AM17" s="110"/>
      <c r="AN17" s="110">
        <v>0</v>
      </c>
      <c r="AO17" s="110">
        <v>0</v>
      </c>
      <c r="AP17" s="110"/>
      <c r="AQ17" s="110"/>
      <c r="AR17" s="110"/>
      <c r="AS17" s="110"/>
      <c r="AT17" s="110"/>
      <c r="AU17" s="110"/>
      <c r="AV17" s="110"/>
      <c r="AW17" s="110">
        <v>0</v>
      </c>
      <c r="AX17" s="110"/>
      <c r="AY17" s="110">
        <v>574.99462735336465</v>
      </c>
    </row>
    <row r="18" spans="1:51">
      <c r="A18" s="125"/>
      <c r="B18" s="116">
        <v>4</v>
      </c>
      <c r="C18" s="125" t="s">
        <v>293</v>
      </c>
      <c r="D18" s="125">
        <v>0</v>
      </c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>
        <v>0</v>
      </c>
      <c r="AD18" s="125">
        <v>0</v>
      </c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>
        <v>0</v>
      </c>
      <c r="AR18" s="125"/>
      <c r="AS18" s="125">
        <v>0</v>
      </c>
      <c r="AT18" s="125"/>
      <c r="AU18" s="125">
        <v>0</v>
      </c>
      <c r="AV18" s="125"/>
      <c r="AW18" s="125">
        <v>0</v>
      </c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>
        <v>92.047075236695719</v>
      </c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>
        <v>144.14300904362563</v>
      </c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>
        <v>162.13642799592594</v>
      </c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>
        <v>5.177533290835072</v>
      </c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>
        <v>0</v>
      </c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>
        <v>0</v>
      </c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>
        <v>0</v>
      </c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>
        <v>0</v>
      </c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>
        <v>0</v>
      </c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>
        <v>0</v>
      </c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>
        <v>0</v>
      </c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>
        <v>0</v>
      </c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>
        <v>0</v>
      </c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>
        <v>0</v>
      </c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>
        <v>0</v>
      </c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>
        <v>0</v>
      </c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>
        <v>0</v>
      </c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>
        <v>0</v>
      </c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>
        <v>0</v>
      </c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>
        <v>0</v>
      </c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>
        <v>0</v>
      </c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>
        <v>0</v>
      </c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>
        <v>0</v>
      </c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>
        <v>0</v>
      </c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403.50404556708236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1052.0238306752542</v>
      </c>
      <c r="D95" s="110">
        <v>1051.0887666454175</v>
      </c>
      <c r="E95" s="110">
        <v>959.04169140872182</v>
      </c>
      <c r="F95" s="110">
        <v>1051.0887666454175</v>
      </c>
      <c r="G95" s="110">
        <v>1051.0887666454175</v>
      </c>
      <c r="H95" s="110">
        <v>1051.0887666454175</v>
      </c>
      <c r="I95" s="110">
        <v>1051.0887666454175</v>
      </c>
      <c r="J95" s="110">
        <v>1051.0887666454175</v>
      </c>
      <c r="K95" s="110">
        <v>1051.0887666454175</v>
      </c>
      <c r="L95" s="110">
        <v>1051.0887666454175</v>
      </c>
      <c r="M95" s="110">
        <v>1051.0887666454175</v>
      </c>
      <c r="N95" s="110">
        <v>1051.0887666454175</v>
      </c>
      <c r="O95" s="110">
        <v>1051.0887666454175</v>
      </c>
      <c r="P95" s="110">
        <v>1051.0887666454175</v>
      </c>
      <c r="Q95" s="110">
        <v>1051.0887666454175</v>
      </c>
      <c r="R95" s="110">
        <v>1051.0887666454175</v>
      </c>
      <c r="S95" s="110">
        <v>1051.0887666454175</v>
      </c>
      <c r="T95" s="110">
        <v>1051.0887666454175</v>
      </c>
      <c r="U95" s="110">
        <v>1051.0887666454175</v>
      </c>
      <c r="V95" s="110">
        <v>1051.0887666454175</v>
      </c>
      <c r="W95" s="110">
        <v>1051.0887666454175</v>
      </c>
      <c r="X95" s="110">
        <v>1051.0887666454175</v>
      </c>
      <c r="Y95" s="110">
        <v>1051.0887666454175</v>
      </c>
      <c r="Z95" s="110">
        <v>1051.0887666454175</v>
      </c>
      <c r="AA95" s="110">
        <v>1051.0887666454175</v>
      </c>
      <c r="AB95" s="110">
        <v>1051.0887666454175</v>
      </c>
      <c r="AC95" s="110">
        <v>1051.0887666454175</v>
      </c>
      <c r="AD95" s="110">
        <v>1051.0887666454175</v>
      </c>
      <c r="AE95" s="110">
        <v>1051.0887666454175</v>
      </c>
      <c r="AF95" s="110">
        <v>1051.0887666454175</v>
      </c>
      <c r="AG95" s="110">
        <v>1051.0887666454175</v>
      </c>
      <c r="AH95" s="110">
        <v>1051.0887666454175</v>
      </c>
      <c r="AI95" s="110">
        <v>1051.0887666454175</v>
      </c>
      <c r="AJ95" s="110">
        <v>1051.0887666454175</v>
      </c>
      <c r="AK95" s="110">
        <v>1051.0887666454175</v>
      </c>
      <c r="AL95" s="110">
        <v>1051.0887666454175</v>
      </c>
      <c r="AM95" s="110">
        <v>1051.0887666454175</v>
      </c>
      <c r="AN95" s="110">
        <v>1051.0887666454175</v>
      </c>
      <c r="AO95" s="110">
        <v>1051.0887666454175</v>
      </c>
      <c r="AP95" s="110">
        <v>1051.0887666454175</v>
      </c>
      <c r="AQ95" s="110">
        <v>1051.0887666454175</v>
      </c>
      <c r="AR95" s="110">
        <v>1051.0887666454175</v>
      </c>
      <c r="AS95" s="110">
        <v>1051.0887666454175</v>
      </c>
      <c r="AT95" s="110">
        <v>906.94575760179191</v>
      </c>
      <c r="AU95" s="110">
        <v>1051.0887666454175</v>
      </c>
      <c r="AV95" s="110">
        <v>1051.0887666454175</v>
      </c>
      <c r="AW95" s="110">
        <v>1051.0887666454175</v>
      </c>
      <c r="AX95" s="110">
        <v>1051.0887666454175</v>
      </c>
      <c r="AY95" s="110">
        <v>1051.0887666454175</v>
      </c>
    </row>
    <row r="96" spans="1:52">
      <c r="A96" s="109"/>
      <c r="B96" s="120">
        <v>2</v>
      </c>
      <c r="C96" s="110">
        <v>90.023830675254203</v>
      </c>
      <c r="D96" s="110">
        <v>9.047661350508406</v>
      </c>
      <c r="E96" s="110">
        <v>0</v>
      </c>
      <c r="F96" s="110">
        <v>0</v>
      </c>
      <c r="G96" s="110">
        <v>0</v>
      </c>
      <c r="H96" s="110">
        <v>107.08876664541754</v>
      </c>
      <c r="I96" s="110">
        <v>269.17753329083507</v>
      </c>
      <c r="J96" s="110">
        <v>227.26629993625261</v>
      </c>
      <c r="K96" s="110">
        <v>118.35506658167014</v>
      </c>
      <c r="L96" s="110">
        <v>50.44383322708768</v>
      </c>
      <c r="M96" s="110">
        <v>42.532599872505216</v>
      </c>
      <c r="N96" s="110">
        <v>0</v>
      </c>
      <c r="O96" s="110">
        <v>0</v>
      </c>
      <c r="P96" s="110">
        <v>0</v>
      </c>
      <c r="Q96" s="110">
        <v>0</v>
      </c>
      <c r="R96" s="110">
        <v>54.088766645417536</v>
      </c>
      <c r="S96" s="110">
        <v>0</v>
      </c>
      <c r="T96" s="110">
        <v>0</v>
      </c>
      <c r="U96" s="110">
        <v>0</v>
      </c>
      <c r="V96" s="110">
        <v>0</v>
      </c>
      <c r="W96" s="110">
        <v>0</v>
      </c>
      <c r="X96" s="110">
        <v>0</v>
      </c>
      <c r="Y96" s="110">
        <v>11.088766645417536</v>
      </c>
      <c r="Z96" s="110">
        <v>0</v>
      </c>
      <c r="AA96" s="110">
        <v>0</v>
      </c>
      <c r="AB96" s="110">
        <v>0</v>
      </c>
      <c r="AC96" s="110">
        <v>0</v>
      </c>
      <c r="AD96" s="110">
        <v>0</v>
      </c>
      <c r="AE96" s="110">
        <v>8.088766645417536</v>
      </c>
      <c r="AF96" s="110">
        <v>0</v>
      </c>
      <c r="AG96" s="110">
        <v>0</v>
      </c>
      <c r="AH96" s="110">
        <v>185.08876664541754</v>
      </c>
      <c r="AI96" s="110">
        <v>80.177533290835072</v>
      </c>
      <c r="AJ96" s="110">
        <v>0</v>
      </c>
      <c r="AK96" s="110">
        <v>0</v>
      </c>
      <c r="AL96" s="110">
        <v>0</v>
      </c>
      <c r="AM96" s="110">
        <v>84.088766645417536</v>
      </c>
      <c r="AN96" s="110">
        <v>0</v>
      </c>
      <c r="AO96" s="110">
        <v>28.088766645417536</v>
      </c>
      <c r="AP96" s="110">
        <v>0</v>
      </c>
      <c r="AQ96" s="110">
        <v>0</v>
      </c>
      <c r="AR96" s="110">
        <v>0</v>
      </c>
      <c r="AS96" s="110">
        <v>14.088766645417536</v>
      </c>
      <c r="AT96" s="110">
        <v>0</v>
      </c>
      <c r="AU96" s="110">
        <v>0</v>
      </c>
      <c r="AV96" s="110">
        <v>0</v>
      </c>
      <c r="AW96" s="110">
        <v>0</v>
      </c>
      <c r="AX96" s="110">
        <v>0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0</v>
      </c>
      <c r="D100" s="106">
        <v>190.30835265869783</v>
      </c>
      <c r="E100" s="106">
        <v>623.82929563616017</v>
      </c>
      <c r="F100" s="106">
        <v>650.00000000000011</v>
      </c>
      <c r="G100" s="106">
        <v>0</v>
      </c>
      <c r="H100" s="106">
        <v>198.04305384595827</v>
      </c>
      <c r="I100" s="106">
        <v>0</v>
      </c>
      <c r="J100" s="106">
        <v>198.04305384595827</v>
      </c>
      <c r="K100" s="106">
        <v>0</v>
      </c>
      <c r="L100" s="106">
        <v>650.00000000000011</v>
      </c>
      <c r="M100" s="106">
        <v>0</v>
      </c>
      <c r="N100" s="106">
        <v>198.04305384595827</v>
      </c>
      <c r="O100" s="106">
        <v>650.00000000000011</v>
      </c>
      <c r="P100" s="106">
        <v>0</v>
      </c>
      <c r="Q100" s="106">
        <v>1300.0000000000002</v>
      </c>
      <c r="R100" s="106">
        <v>0</v>
      </c>
      <c r="S100" s="106">
        <v>198.04305384595827</v>
      </c>
      <c r="T100" s="106">
        <v>650.00000000000011</v>
      </c>
      <c r="U100" s="106">
        <v>650.00000000000011</v>
      </c>
      <c r="V100" s="106">
        <v>650.00000000000011</v>
      </c>
      <c r="W100" s="106">
        <v>650.00000000000011</v>
      </c>
      <c r="X100" s="106">
        <v>0</v>
      </c>
      <c r="Y100" s="106">
        <v>650.00000000000011</v>
      </c>
      <c r="Z100" s="106">
        <v>650.00000000000011</v>
      </c>
      <c r="AA100" s="106">
        <v>650.00000000000011</v>
      </c>
      <c r="AB100" s="106">
        <v>650.00000000000011</v>
      </c>
      <c r="AC100" s="106">
        <v>650.00000000000011</v>
      </c>
      <c r="AD100" s="106">
        <v>650.00000000000011</v>
      </c>
      <c r="AE100" s="106">
        <v>650.00000000000011</v>
      </c>
      <c r="AF100" s="106">
        <v>650.00000000000011</v>
      </c>
      <c r="AG100" s="106">
        <v>198.04305384595827</v>
      </c>
      <c r="AH100" s="106">
        <v>0</v>
      </c>
      <c r="AI100" s="106">
        <v>1300.0000000000002</v>
      </c>
      <c r="AJ100" s="106">
        <v>0</v>
      </c>
      <c r="AK100" s="106">
        <v>198.04305384595827</v>
      </c>
      <c r="AL100" s="106">
        <v>0</v>
      </c>
      <c r="AM100" s="106">
        <v>650.00000000000011</v>
      </c>
      <c r="AN100" s="106">
        <v>650.00000000000011</v>
      </c>
      <c r="AO100" s="106">
        <v>198.04305384595827</v>
      </c>
      <c r="AP100" s="106">
        <v>0</v>
      </c>
      <c r="AQ100" s="106">
        <v>650.00000000000011</v>
      </c>
      <c r="AR100" s="106">
        <v>0</v>
      </c>
      <c r="AS100" s="106">
        <v>198.04305384595813</v>
      </c>
      <c r="AT100" s="106">
        <v>650.00000000000011</v>
      </c>
      <c r="AU100" s="106">
        <v>198.04305384595827</v>
      </c>
      <c r="AV100" s="106">
        <v>650.00000000000011</v>
      </c>
      <c r="AW100" s="106">
        <v>198.04305384595827</v>
      </c>
      <c r="AX100" s="106">
        <v>650.00000000000011</v>
      </c>
      <c r="AY100" s="106">
        <v>650.00000000000011</v>
      </c>
    </row>
    <row r="101" spans="1:52">
      <c r="A101" s="109"/>
      <c r="B101" s="119">
        <v>2</v>
      </c>
      <c r="C101" s="106">
        <v>67.681565290724421</v>
      </c>
      <c r="D101" s="106">
        <v>606.7802608817874</v>
      </c>
      <c r="E101" s="106">
        <v>606.7802608817874</v>
      </c>
      <c r="F101" s="106">
        <v>623.82929563616017</v>
      </c>
      <c r="G101" s="106">
        <v>650.00000000000011</v>
      </c>
      <c r="H101" s="106">
        <v>650.00000000000011</v>
      </c>
      <c r="I101" s="106">
        <v>198.04305384595827</v>
      </c>
      <c r="J101" s="106">
        <v>650.00000000000011</v>
      </c>
      <c r="K101" s="106">
        <v>650.00000000000011</v>
      </c>
      <c r="L101" s="106">
        <v>650.00000000000011</v>
      </c>
      <c r="M101" s="106">
        <v>650.00000000000011</v>
      </c>
      <c r="N101" s="106">
        <v>650.00000000000011</v>
      </c>
      <c r="O101" s="106">
        <v>650.00000000000011</v>
      </c>
      <c r="P101" s="106">
        <v>650.00000000000011</v>
      </c>
      <c r="Q101" s="106">
        <v>0</v>
      </c>
      <c r="R101" s="106">
        <v>878.95694615404284</v>
      </c>
      <c r="S101" s="106">
        <v>650.00000000000011</v>
      </c>
      <c r="T101" s="106">
        <v>650.00000000000011</v>
      </c>
      <c r="U101" s="106">
        <v>650.00000000000011</v>
      </c>
      <c r="V101" s="106">
        <v>650.00000000000011</v>
      </c>
      <c r="W101" s="106">
        <v>650.00000000000011</v>
      </c>
      <c r="X101" s="106">
        <v>650.00000000000011</v>
      </c>
      <c r="Y101" s="106">
        <v>650.00000000000011</v>
      </c>
      <c r="Z101" s="106">
        <v>650.00000000000011</v>
      </c>
      <c r="AA101" s="106">
        <v>633.95694615404386</v>
      </c>
      <c r="AB101" s="106">
        <v>591.95694615404398</v>
      </c>
      <c r="AC101" s="106">
        <v>568.95694615404409</v>
      </c>
      <c r="AD101" s="106">
        <v>374.9569461540442</v>
      </c>
      <c r="AE101" s="106">
        <v>470.95694615404432</v>
      </c>
      <c r="AF101" s="106">
        <v>384.95694615404443</v>
      </c>
      <c r="AG101" s="106">
        <v>285.95694615404454</v>
      </c>
      <c r="AH101" s="106">
        <v>451.95694615404182</v>
      </c>
      <c r="AI101" s="106">
        <v>0</v>
      </c>
      <c r="AJ101" s="106">
        <v>442.00000000000023</v>
      </c>
      <c r="AK101" s="106">
        <v>650.00000000000011</v>
      </c>
      <c r="AL101" s="106">
        <v>532.00000000000023</v>
      </c>
      <c r="AM101" s="106">
        <v>650.00000000000011</v>
      </c>
      <c r="AN101" s="106">
        <v>545.00000000000023</v>
      </c>
      <c r="AO101" s="106">
        <v>380.00000000000034</v>
      </c>
      <c r="AP101" s="106">
        <v>451.95694615404182</v>
      </c>
      <c r="AQ101" s="106">
        <v>650.00000000000011</v>
      </c>
      <c r="AR101" s="106">
        <v>549.00000000000023</v>
      </c>
      <c r="AS101" s="106">
        <v>0</v>
      </c>
      <c r="AT101" s="106">
        <v>1101.956946154042</v>
      </c>
      <c r="AU101" s="106">
        <v>650.00000000000011</v>
      </c>
      <c r="AV101" s="106">
        <v>650.00000000000011</v>
      </c>
      <c r="AW101" s="106">
        <v>650.00000000000011</v>
      </c>
      <c r="AX101" s="106">
        <v>198.04305384595827</v>
      </c>
      <c r="AY101" s="106">
        <v>379.0000000000008</v>
      </c>
    </row>
    <row r="102" spans="1:52">
      <c r="A102" s="109"/>
      <c r="B102" s="120">
        <v>3</v>
      </c>
      <c r="C102" s="106">
        <v>0</v>
      </c>
      <c r="D102" s="106">
        <v>416.4719082230896</v>
      </c>
      <c r="E102" s="106">
        <v>382.252169104877</v>
      </c>
      <c r="F102" s="106">
        <v>401.0324299866644</v>
      </c>
      <c r="G102" s="106">
        <v>362.86172562282457</v>
      </c>
      <c r="H102" s="106">
        <v>467.86172562282468</v>
      </c>
      <c r="I102" s="106">
        <v>460.86172562282479</v>
      </c>
      <c r="J102" s="106">
        <v>451.95694615404182</v>
      </c>
      <c r="K102" s="106">
        <v>480.95694615404193</v>
      </c>
      <c r="L102" s="106">
        <v>286.95694615404204</v>
      </c>
      <c r="M102" s="106">
        <v>257.95694615404216</v>
      </c>
      <c r="N102" s="106">
        <v>194.95694615404227</v>
      </c>
      <c r="O102" s="106">
        <v>219.95694615404238</v>
      </c>
      <c r="P102" s="106">
        <v>203.9569461540425</v>
      </c>
      <c r="Q102" s="106">
        <v>248.95694615404261</v>
      </c>
      <c r="R102" s="106">
        <v>0</v>
      </c>
      <c r="S102" s="106">
        <v>286.95694615404284</v>
      </c>
      <c r="T102" s="106">
        <v>332.95694615404295</v>
      </c>
      <c r="U102" s="106">
        <v>346.95694615404307</v>
      </c>
      <c r="V102" s="106">
        <v>276.95694615404318</v>
      </c>
      <c r="W102" s="106">
        <v>229.95694615404329</v>
      </c>
      <c r="X102" s="106">
        <v>182.95694615404341</v>
      </c>
      <c r="Y102" s="106">
        <v>125.95694615404352</v>
      </c>
      <c r="Z102" s="106">
        <v>33.956946154043635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26.000000000000227</v>
      </c>
      <c r="AT102" s="106">
        <v>0</v>
      </c>
      <c r="AU102" s="106">
        <v>262.95694615404204</v>
      </c>
      <c r="AV102" s="106">
        <v>356.95694615404216</v>
      </c>
      <c r="AW102" s="106">
        <v>290.95694615404227</v>
      </c>
      <c r="AX102" s="106">
        <v>191.95694615404238</v>
      </c>
      <c r="AY102" s="106">
        <v>451.95694615404182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481.7365575255759</v>
      </c>
      <c r="D109" s="106">
        <v>3.2993846844094961E-2</v>
      </c>
      <c r="E109" s="106">
        <v>736.76984760886876</v>
      </c>
      <c r="F109" s="106">
        <v>752.45129315977272</v>
      </c>
      <c r="G109" s="106">
        <v>527.59333704767016</v>
      </c>
      <c r="H109" s="106">
        <v>20.189729822794721</v>
      </c>
      <c r="I109" s="106">
        <v>480.02656066413851</v>
      </c>
      <c r="J109" s="106">
        <v>38.718557956861041</v>
      </c>
      <c r="K109" s="106">
        <v>735.83488076378865</v>
      </c>
      <c r="L109" s="106">
        <v>420.91759529898928</v>
      </c>
      <c r="M109" s="106">
        <v>735.83488076378865</v>
      </c>
      <c r="N109" s="106">
        <v>182.50032982892185</v>
      </c>
      <c r="O109" s="106">
        <v>480.02656066413851</v>
      </c>
      <c r="P109" s="106">
        <v>664.65230931971666</v>
      </c>
      <c r="Q109" s="106">
        <v>104.72565938640281</v>
      </c>
      <c r="R109" s="106">
        <v>735.83488076378865</v>
      </c>
      <c r="S109" s="106">
        <v>116.88439980363125</v>
      </c>
      <c r="T109" s="106">
        <v>480.02656066413851</v>
      </c>
      <c r="U109" s="106">
        <v>623.74221055959583</v>
      </c>
      <c r="V109" s="106">
        <v>439.68454238377325</v>
      </c>
      <c r="W109" s="106">
        <v>373.10301275276544</v>
      </c>
      <c r="X109" s="106">
        <v>367.93389045994576</v>
      </c>
      <c r="Y109" s="106">
        <v>3.2900156102858721E-2</v>
      </c>
      <c r="Z109" s="106">
        <v>735.83488076378865</v>
      </c>
      <c r="AA109" s="106">
        <v>508.12669668207496</v>
      </c>
      <c r="AB109" s="106">
        <v>368.38679435767426</v>
      </c>
      <c r="AC109" s="106">
        <v>367.93389045994576</v>
      </c>
      <c r="AD109" s="106">
        <v>367.93389045994576</v>
      </c>
      <c r="AE109" s="106">
        <v>367.93389045994576</v>
      </c>
      <c r="AF109" s="106">
        <v>367.93389045994576</v>
      </c>
      <c r="AG109" s="106">
        <v>367.93389045994576</v>
      </c>
      <c r="AH109" s="106">
        <v>112.12557036029564</v>
      </c>
      <c r="AI109" s="106">
        <v>255.84122025575294</v>
      </c>
      <c r="AJ109" s="106">
        <v>735.83488076378865</v>
      </c>
      <c r="AK109" s="106">
        <v>105.52127363001124</v>
      </c>
      <c r="AL109" s="106">
        <v>480.02656066413851</v>
      </c>
      <c r="AM109" s="106">
        <v>255.841220255753</v>
      </c>
      <c r="AN109" s="106">
        <v>735.83488076378865</v>
      </c>
      <c r="AO109" s="106">
        <v>455.94632954583136</v>
      </c>
      <c r="AP109" s="106">
        <v>112.12557036029564</v>
      </c>
      <c r="AQ109" s="106">
        <v>255.84122025575294</v>
      </c>
      <c r="AR109" s="106">
        <v>735.83488076378865</v>
      </c>
      <c r="AS109" s="106">
        <v>141.24594119860441</v>
      </c>
      <c r="AT109" s="106">
        <v>112.12557036029568</v>
      </c>
      <c r="AU109" s="106">
        <v>991.64320086343866</v>
      </c>
      <c r="AV109" s="106">
        <v>331.92511399049283</v>
      </c>
      <c r="AW109" s="106">
        <v>623.74221055959583</v>
      </c>
      <c r="AX109" s="106">
        <v>182.98644590037813</v>
      </c>
      <c r="AY109" s="106">
        <v>367.93389045994576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280.76984760886876</v>
      </c>
      <c r="G110" s="106">
        <v>606.22114076864148</v>
      </c>
      <c r="H110" s="106">
        <v>527.59333704767016</v>
      </c>
      <c r="I110" s="106">
        <v>20.189729822794721</v>
      </c>
      <c r="J110" s="106">
        <v>283.89261139446165</v>
      </c>
      <c r="K110" s="106">
        <v>0</v>
      </c>
      <c r="L110" s="106">
        <v>207.83488076378865</v>
      </c>
      <c r="M110" s="106">
        <v>218.75247606277793</v>
      </c>
      <c r="N110" s="106">
        <v>467.58735682656658</v>
      </c>
      <c r="O110" s="106">
        <v>147.08768665548843</v>
      </c>
      <c r="P110" s="106">
        <v>101.11424731962694</v>
      </c>
      <c r="Q110" s="106">
        <v>262.76655663934361</v>
      </c>
      <c r="R110" s="106">
        <v>0</v>
      </c>
      <c r="S110" s="106">
        <v>179.83488076378865</v>
      </c>
      <c r="T110" s="106">
        <v>0</v>
      </c>
      <c r="U110" s="106">
        <v>23.026560664138515</v>
      </c>
      <c r="V110" s="106">
        <v>242.76877122373435</v>
      </c>
      <c r="W110" s="106">
        <v>150.4533136075076</v>
      </c>
      <c r="X110" s="106">
        <v>61.556326360273033</v>
      </c>
      <c r="Y110" s="106">
        <v>0</v>
      </c>
      <c r="Z110" s="106">
        <v>0</v>
      </c>
      <c r="AA110" s="106">
        <v>210.83488076378865</v>
      </c>
      <c r="AB110" s="106">
        <v>175.96157744586361</v>
      </c>
      <c r="AC110" s="106">
        <v>129.34837180353787</v>
      </c>
      <c r="AD110" s="106">
        <v>12.282262263483631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147.32051039341832</v>
      </c>
      <c r="AL110" s="106">
        <v>0</v>
      </c>
      <c r="AM110" s="106">
        <v>0</v>
      </c>
      <c r="AN110" s="106">
        <v>0</v>
      </c>
      <c r="AO110" s="106">
        <v>209.83488076378865</v>
      </c>
      <c r="AP110" s="106">
        <v>174.68961042451247</v>
      </c>
      <c r="AQ110" s="106">
        <v>1.4210854715202004E-14</v>
      </c>
      <c r="AR110" s="106">
        <v>0</v>
      </c>
      <c r="AS110" s="106">
        <v>199.83488076378865</v>
      </c>
      <c r="AT110" s="106">
        <v>0</v>
      </c>
      <c r="AU110" s="106">
        <v>0</v>
      </c>
      <c r="AV110" s="106">
        <v>466.64320086343866</v>
      </c>
      <c r="AW110" s="106">
        <v>304.5683148539315</v>
      </c>
      <c r="AX110" s="106">
        <v>481.31052541352733</v>
      </c>
      <c r="AY110" s="106">
        <v>148.29697131390546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177.22114076864148</v>
      </c>
      <c r="I111" s="106">
        <v>215.81447781631164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7.4500610470069645E-2</v>
      </c>
      <c r="D122" s="106">
        <v>259.76559885699515</v>
      </c>
      <c r="E122" s="106">
        <v>793.73028632544606</v>
      </c>
      <c r="F122" s="106">
        <v>827.02552502309936</v>
      </c>
      <c r="G122" s="106">
        <v>7.3951515692927822E-2</v>
      </c>
      <c r="H122" s="106">
        <v>252.03089766973474</v>
      </c>
      <c r="I122" s="106">
        <v>7.3951515692927822E-2</v>
      </c>
      <c r="J122" s="106">
        <v>252.03089766973474</v>
      </c>
      <c r="K122" s="106">
        <v>7.3951515692927822E-2</v>
      </c>
      <c r="L122" s="106">
        <v>827.02552502309936</v>
      </c>
      <c r="M122" s="106">
        <v>7.3951515692927822E-2</v>
      </c>
      <c r="N122" s="106">
        <v>252.03089766973474</v>
      </c>
      <c r="O122" s="106">
        <v>827.02552502309936</v>
      </c>
      <c r="P122" s="106">
        <v>7.3951515692927822E-2</v>
      </c>
      <c r="Q122" s="106">
        <v>1653.9770985305058</v>
      </c>
      <c r="R122" s="106">
        <v>7.3951515692927822E-2</v>
      </c>
      <c r="S122" s="106">
        <v>252.03089766973474</v>
      </c>
      <c r="T122" s="106">
        <v>827.02552502309936</v>
      </c>
      <c r="U122" s="106">
        <v>827.02552502309936</v>
      </c>
      <c r="V122" s="106">
        <v>827.02552502309936</v>
      </c>
      <c r="W122" s="106">
        <v>827.02552502309936</v>
      </c>
      <c r="X122" s="106">
        <v>7.3951515692927822E-2</v>
      </c>
      <c r="Y122" s="106">
        <v>827.02552502309936</v>
      </c>
      <c r="Z122" s="106">
        <v>827.02552502309936</v>
      </c>
      <c r="AA122" s="106">
        <v>827.02552502309936</v>
      </c>
      <c r="AB122" s="106">
        <v>827.02552502309936</v>
      </c>
      <c r="AC122" s="106">
        <v>827.02552502309936</v>
      </c>
      <c r="AD122" s="106">
        <v>827.02552502309936</v>
      </c>
      <c r="AE122" s="106">
        <v>827.02552502309936</v>
      </c>
      <c r="AF122" s="106">
        <v>827.02552502309936</v>
      </c>
      <c r="AG122" s="106">
        <v>252.03089766973474</v>
      </c>
      <c r="AH122" s="106">
        <v>7.3951515692927822E-2</v>
      </c>
      <c r="AI122" s="106">
        <v>1653.9770985305058</v>
      </c>
      <c r="AJ122" s="106">
        <v>7.3951515692927822E-2</v>
      </c>
      <c r="AK122" s="106">
        <v>252.03089766973474</v>
      </c>
      <c r="AL122" s="106">
        <v>7.3951515692927822E-2</v>
      </c>
      <c r="AM122" s="106">
        <v>827.02552502309936</v>
      </c>
      <c r="AN122" s="106">
        <v>827.02552502309936</v>
      </c>
      <c r="AO122" s="106">
        <v>252.03089766973474</v>
      </c>
      <c r="AP122" s="106">
        <v>7.3951515692927822E-2</v>
      </c>
      <c r="AQ122" s="106">
        <v>827.02552502309936</v>
      </c>
      <c r="AR122" s="106">
        <v>7.3951515692927822E-2</v>
      </c>
      <c r="AS122" s="106">
        <v>252.03089766973483</v>
      </c>
      <c r="AT122" s="106">
        <v>827.02552502309936</v>
      </c>
      <c r="AU122" s="106">
        <v>252.03089766973474</v>
      </c>
      <c r="AV122" s="106">
        <v>827.02552502309936</v>
      </c>
      <c r="AW122" s="106">
        <v>252.03089766973474</v>
      </c>
      <c r="AX122" s="106">
        <v>827.02552502309936</v>
      </c>
      <c r="AY122" s="106">
        <v>827.02552502309936</v>
      </c>
    </row>
    <row r="123" spans="1:52">
      <c r="A123" s="109"/>
      <c r="B123" s="119">
        <v>2</v>
      </c>
      <c r="C123" s="106">
        <v>0</v>
      </c>
      <c r="D123" s="106">
        <v>828.00236206749935</v>
      </c>
      <c r="E123" s="106">
        <v>712.50966599702224</v>
      </c>
      <c r="F123" s="106">
        <v>358.87544219981214</v>
      </c>
      <c r="G123" s="106">
        <v>45.307630175241457</v>
      </c>
      <c r="H123" s="106">
        <v>826.95157350740647</v>
      </c>
      <c r="I123" s="106">
        <v>86.955910513002749</v>
      </c>
      <c r="J123" s="106">
        <v>826.95157350740647</v>
      </c>
      <c r="K123" s="106">
        <v>714.89995466280379</v>
      </c>
      <c r="L123" s="106">
        <v>826.95157350740647</v>
      </c>
      <c r="M123" s="106">
        <v>410.14221776671729</v>
      </c>
      <c r="N123" s="106">
        <v>826.95157350740647</v>
      </c>
      <c r="O123" s="106">
        <v>666.95053786636743</v>
      </c>
      <c r="P123" s="106">
        <v>235.32375356975024</v>
      </c>
      <c r="Q123" s="106">
        <v>0</v>
      </c>
      <c r="R123" s="106">
        <v>262.65363249068264</v>
      </c>
      <c r="S123" s="106">
        <v>826.95157350740647</v>
      </c>
      <c r="T123" s="106">
        <v>574.99462735336476</v>
      </c>
      <c r="U123" s="106">
        <v>161.27794181686829</v>
      </c>
      <c r="V123" s="106">
        <v>11.618924456194463</v>
      </c>
      <c r="W123" s="106">
        <v>0</v>
      </c>
      <c r="X123" s="106">
        <v>0</v>
      </c>
      <c r="Y123" s="106">
        <v>826.95157350740647</v>
      </c>
      <c r="Z123" s="106">
        <v>315.11918900805881</v>
      </c>
      <c r="AA123" s="106">
        <v>1.0180173490832658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574.99462735336465</v>
      </c>
      <c r="AI123" s="106">
        <v>0</v>
      </c>
      <c r="AJ123" s="106">
        <v>237.11210007600323</v>
      </c>
      <c r="AK123" s="106">
        <v>826.95157350740647</v>
      </c>
      <c r="AL123" s="106">
        <v>574.99462735336476</v>
      </c>
      <c r="AM123" s="106">
        <v>826.95157350740647</v>
      </c>
      <c r="AN123" s="106">
        <v>197.83046773043066</v>
      </c>
      <c r="AO123" s="106">
        <v>0</v>
      </c>
      <c r="AP123" s="106">
        <v>574.99462735336465</v>
      </c>
      <c r="AQ123" s="106">
        <v>826.95157350740647</v>
      </c>
      <c r="AR123" s="106">
        <v>317.412427711649</v>
      </c>
      <c r="AS123" s="106">
        <v>0</v>
      </c>
      <c r="AT123" s="106">
        <v>1401.9462008607711</v>
      </c>
      <c r="AU123" s="106">
        <v>459.09163456315366</v>
      </c>
      <c r="AV123" s="106">
        <v>574.99462735336465</v>
      </c>
      <c r="AW123" s="106">
        <v>159.27794181686824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568.31071472619715</v>
      </c>
      <c r="E124" s="106">
        <v>185.08678303711645</v>
      </c>
      <c r="F124" s="106">
        <v>0</v>
      </c>
      <c r="G124" s="106">
        <v>0</v>
      </c>
      <c r="H124" s="106">
        <v>0</v>
      </c>
      <c r="I124" s="106">
        <v>0</v>
      </c>
      <c r="J124" s="106">
        <v>574.99462735336465</v>
      </c>
      <c r="K124" s="106">
        <v>231.14604707844086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34.964057733532172</v>
      </c>
      <c r="AV124" s="106">
        <v>0</v>
      </c>
      <c r="AW124" s="106">
        <v>0</v>
      </c>
      <c r="AX124" s="106">
        <v>0</v>
      </c>
      <c r="AY124" s="106">
        <v>574.99462735336465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0.44286679848549865</v>
      </c>
      <c r="D172" s="134">
        <v>0.44488819187251699</v>
      </c>
      <c r="E172" s="134">
        <v>0.44488819187251699</v>
      </c>
      <c r="F172" s="134">
        <v>0.44488819187251699</v>
      </c>
      <c r="G172" s="134">
        <v>0.44488819187251699</v>
      </c>
      <c r="H172" s="134">
        <v>0.44488819187251699</v>
      </c>
      <c r="I172" s="134">
        <v>0.44488819187251699</v>
      </c>
      <c r="J172" s="134">
        <v>0.44488819187251699</v>
      </c>
      <c r="K172" s="134">
        <v>0.44488819187251699</v>
      </c>
      <c r="L172" s="134">
        <v>0.44488819187251699</v>
      </c>
      <c r="M172" s="134">
        <v>0.44488819187251699</v>
      </c>
      <c r="N172" s="134">
        <v>0.44488819187251699</v>
      </c>
      <c r="O172" s="134">
        <v>0.44488819187251699</v>
      </c>
      <c r="P172" s="134">
        <v>0.44488819187251699</v>
      </c>
      <c r="Q172" s="134">
        <v>0.44488819187251699</v>
      </c>
      <c r="R172" s="134">
        <v>0.44488819187251699</v>
      </c>
      <c r="S172" s="134">
        <v>0.44488819187251699</v>
      </c>
      <c r="T172" s="134">
        <v>0.44488819187251699</v>
      </c>
      <c r="U172" s="134">
        <v>0.44488819187251699</v>
      </c>
      <c r="V172" s="134">
        <v>0.44488819187251699</v>
      </c>
      <c r="W172" s="134">
        <v>0.44488819187251699</v>
      </c>
      <c r="X172" s="134">
        <v>0.44488819187251699</v>
      </c>
      <c r="Y172" s="134">
        <v>0.44488819187251699</v>
      </c>
      <c r="Z172" s="134">
        <v>0.44488819187251699</v>
      </c>
      <c r="AA172" s="134">
        <v>0.44488819187251699</v>
      </c>
      <c r="AB172" s="134">
        <v>0.44488819187251699</v>
      </c>
      <c r="AC172" s="134">
        <v>0.44488819187251699</v>
      </c>
      <c r="AD172" s="134">
        <v>0.44488819187251699</v>
      </c>
      <c r="AE172" s="134">
        <v>0.44488819187251699</v>
      </c>
      <c r="AF172" s="134">
        <v>0.44488819187251699</v>
      </c>
      <c r="AG172" s="134">
        <v>0.44488819187251699</v>
      </c>
      <c r="AH172" s="134">
        <v>0.44488819187251699</v>
      </c>
      <c r="AI172" s="134">
        <v>0.44488819187251699</v>
      </c>
      <c r="AJ172" s="134">
        <v>0.44488819187251699</v>
      </c>
      <c r="AK172" s="134">
        <v>0.44488819187251699</v>
      </c>
      <c r="AL172" s="134">
        <v>0.44488819187251699</v>
      </c>
      <c r="AM172" s="134">
        <v>0.44488819187251699</v>
      </c>
      <c r="AN172" s="134">
        <v>0.44488819187251699</v>
      </c>
      <c r="AO172" s="134">
        <v>0.44488819187251699</v>
      </c>
      <c r="AP172" s="134">
        <v>0.44488819187251699</v>
      </c>
      <c r="AQ172" s="134">
        <v>0.44488819187251699</v>
      </c>
      <c r="AR172" s="134">
        <v>0.44488819187251699</v>
      </c>
      <c r="AS172" s="134">
        <v>0.44488819187251699</v>
      </c>
      <c r="AT172" s="134">
        <v>0.44488819187251699</v>
      </c>
      <c r="AU172" s="134">
        <v>0.44488819187251699</v>
      </c>
      <c r="AV172" s="134">
        <v>0.44488819187251699</v>
      </c>
      <c r="AW172" s="134">
        <v>0.44488819187251699</v>
      </c>
      <c r="AX172" s="134">
        <v>0.44488819187251699</v>
      </c>
      <c r="AY172" s="134">
        <v>0.44488819187251699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1060.1364279959259</v>
      </c>
      <c r="E175" s="124">
        <f t="shared" si="1"/>
        <v>959.04169140872182</v>
      </c>
      <c r="F175" s="124">
        <f t="shared" si="1"/>
        <v>1051.0887666454175</v>
      </c>
      <c r="G175" s="124">
        <f t="shared" si="1"/>
        <v>1051.0887666454175</v>
      </c>
      <c r="H175" s="124">
        <f t="shared" si="1"/>
        <v>1158.1775332908351</v>
      </c>
      <c r="I175" s="124">
        <f t="shared" si="1"/>
        <v>1320.2662999362526</v>
      </c>
      <c r="J175" s="124">
        <f t="shared" si="1"/>
        <v>1278.3550665816701</v>
      </c>
      <c r="K175" s="124">
        <f t="shared" si="1"/>
        <v>1169.4438332270877</v>
      </c>
      <c r="L175" s="124">
        <f t="shared" si="1"/>
        <v>1101.5325998725052</v>
      </c>
      <c r="M175" s="124">
        <f t="shared" si="1"/>
        <v>1093.6213665179228</v>
      </c>
      <c r="N175" s="124">
        <f t="shared" si="1"/>
        <v>1051.0887666454175</v>
      </c>
      <c r="O175" s="124">
        <f t="shared" si="1"/>
        <v>1051.0887666454175</v>
      </c>
      <c r="P175" s="124">
        <f t="shared" si="1"/>
        <v>1051.0887666454175</v>
      </c>
      <c r="Q175" s="124">
        <f t="shared" si="1"/>
        <v>1051.0887666454175</v>
      </c>
      <c r="R175" s="124">
        <f t="shared" si="1"/>
        <v>1105.1775332908351</v>
      </c>
      <c r="S175" s="124">
        <f t="shared" si="1"/>
        <v>1051.0887666454175</v>
      </c>
      <c r="T175" s="124">
        <f t="shared" si="1"/>
        <v>1051.0887666454175</v>
      </c>
      <c r="U175" s="124">
        <f t="shared" si="1"/>
        <v>1051.0887666454175</v>
      </c>
      <c r="V175" s="124">
        <f t="shared" si="1"/>
        <v>1051.0887666454175</v>
      </c>
      <c r="W175" s="124">
        <f t="shared" si="1"/>
        <v>1051.0887666454175</v>
      </c>
      <c r="X175" s="124">
        <f t="shared" si="1"/>
        <v>1051.0887666454175</v>
      </c>
      <c r="Y175" s="124">
        <f t="shared" si="1"/>
        <v>1062.1775332908351</v>
      </c>
      <c r="Z175" s="124">
        <f t="shared" si="1"/>
        <v>1051.0887666454175</v>
      </c>
      <c r="AA175" s="124">
        <f t="shared" si="1"/>
        <v>1051.0887666454175</v>
      </c>
      <c r="AB175" s="124">
        <f t="shared" si="1"/>
        <v>1051.0887666454175</v>
      </c>
      <c r="AC175" s="124">
        <f t="shared" si="1"/>
        <v>1051.0887666454175</v>
      </c>
      <c r="AD175" s="124">
        <f t="shared" si="1"/>
        <v>1051.0887666454175</v>
      </c>
      <c r="AE175" s="124">
        <f t="shared" si="1"/>
        <v>1059.1775332908351</v>
      </c>
      <c r="AF175" s="124">
        <f t="shared" si="1"/>
        <v>1051.0887666454175</v>
      </c>
      <c r="AG175" s="124">
        <f t="shared" si="1"/>
        <v>1051.0887666454175</v>
      </c>
      <c r="AH175" s="124">
        <f t="shared" si="1"/>
        <v>1236.1775332908351</v>
      </c>
      <c r="AI175" s="124">
        <f t="shared" si="1"/>
        <v>1131.2662999362526</v>
      </c>
      <c r="AJ175" s="124">
        <f t="shared" si="1"/>
        <v>1051.0887666454175</v>
      </c>
      <c r="AK175" s="124">
        <f t="shared" si="1"/>
        <v>1051.0887666454175</v>
      </c>
      <c r="AL175" s="124">
        <f t="shared" si="1"/>
        <v>1051.0887666454175</v>
      </c>
      <c r="AM175" s="124">
        <f t="shared" si="1"/>
        <v>1135.1775332908351</v>
      </c>
      <c r="AN175" s="124">
        <f t="shared" si="1"/>
        <v>1051.0887666454175</v>
      </c>
      <c r="AO175" s="124">
        <f t="shared" si="1"/>
        <v>1079.1775332908351</v>
      </c>
      <c r="AP175" s="124">
        <f t="shared" si="1"/>
        <v>1051.0887666454175</v>
      </c>
      <c r="AQ175" s="124">
        <f t="shared" si="1"/>
        <v>1051.0887666454175</v>
      </c>
      <c r="AR175" s="124">
        <f t="shared" si="1"/>
        <v>1051.0887666454175</v>
      </c>
      <c r="AS175" s="124">
        <f t="shared" si="1"/>
        <v>1065.1775332908351</v>
      </c>
      <c r="AT175" s="124">
        <f t="shared" si="1"/>
        <v>906.94575760179191</v>
      </c>
      <c r="AU175" s="124">
        <f t="shared" si="1"/>
        <v>1051.0887666454175</v>
      </c>
      <c r="AV175" s="124">
        <f t="shared" si="1"/>
        <v>1051.0887666454175</v>
      </c>
      <c r="AW175" s="124">
        <f t="shared" si="1"/>
        <v>1051.0887666454175</v>
      </c>
      <c r="AX175" s="124">
        <f t="shared" si="1"/>
        <v>1051.0887666454175</v>
      </c>
      <c r="AY175" s="124">
        <f t="shared" si="1"/>
        <v>1051.0887666454175</v>
      </c>
    </row>
    <row r="176" spans="1:52">
      <c r="A176" s="125"/>
      <c r="B176" s="136" t="s">
        <v>299</v>
      </c>
      <c r="C176" s="125" t="s">
        <v>293</v>
      </c>
      <c r="D176" s="125">
        <v>898</v>
      </c>
      <c r="E176" s="125">
        <v>959.04169140872182</v>
      </c>
      <c r="F176" s="125">
        <v>1051.0887666454175</v>
      </c>
      <c r="G176" s="125">
        <v>944</v>
      </c>
      <c r="H176" s="125">
        <v>889</v>
      </c>
      <c r="I176" s="125">
        <v>1093</v>
      </c>
      <c r="J176" s="125">
        <v>1160</v>
      </c>
      <c r="K176" s="125">
        <v>1119</v>
      </c>
      <c r="L176" s="125">
        <v>1059</v>
      </c>
      <c r="M176" s="125">
        <v>1093.6213665179228</v>
      </c>
      <c r="N176" s="125">
        <v>1051.0887666454175</v>
      </c>
      <c r="O176" s="125">
        <v>1051.0887666454175</v>
      </c>
      <c r="P176" s="125">
        <v>1051.0887666454175</v>
      </c>
      <c r="Q176" s="125">
        <v>997</v>
      </c>
      <c r="R176" s="125">
        <v>1105.1775332908351</v>
      </c>
      <c r="S176" s="125">
        <v>1051.0887666454175</v>
      </c>
      <c r="T176" s="125">
        <v>1051.0887666454175</v>
      </c>
      <c r="U176" s="125">
        <v>1051.0887666454175</v>
      </c>
      <c r="V176" s="125">
        <v>1051.0887666454175</v>
      </c>
      <c r="W176" s="125">
        <v>1051.0887666454175</v>
      </c>
      <c r="X176" s="125">
        <v>1040</v>
      </c>
      <c r="Y176" s="125">
        <v>1062.1775332908351</v>
      </c>
      <c r="Z176" s="125">
        <v>1051.0887666454175</v>
      </c>
      <c r="AA176" s="125">
        <v>1051.0887666454175</v>
      </c>
      <c r="AB176" s="125">
        <v>1051.0887666454175</v>
      </c>
      <c r="AC176" s="125">
        <v>1051.0887666454175</v>
      </c>
      <c r="AD176" s="125">
        <v>1043</v>
      </c>
      <c r="AE176" s="125">
        <v>1059.1775332908351</v>
      </c>
      <c r="AF176" s="125">
        <v>1051.0887666454175</v>
      </c>
      <c r="AG176" s="125">
        <v>866</v>
      </c>
      <c r="AH176" s="125">
        <v>1156</v>
      </c>
      <c r="AI176" s="125">
        <v>1131.2662999362526</v>
      </c>
      <c r="AJ176" s="125">
        <v>1051.0887666454175</v>
      </c>
      <c r="AK176" s="125">
        <v>1051.0887666454175</v>
      </c>
      <c r="AL176" s="125">
        <v>967</v>
      </c>
      <c r="AM176" s="125">
        <v>1135.1775332908351</v>
      </c>
      <c r="AN176" s="125">
        <v>1023</v>
      </c>
      <c r="AO176" s="125">
        <v>1079.1775332908351</v>
      </c>
      <c r="AP176" s="125">
        <v>1051.0887666454175</v>
      </c>
      <c r="AQ176" s="125">
        <v>1051.0887666454175</v>
      </c>
      <c r="AR176" s="125">
        <v>1037</v>
      </c>
      <c r="AS176" s="125">
        <v>1060</v>
      </c>
      <c r="AT176" s="125">
        <v>906.94575760179191</v>
      </c>
      <c r="AU176" s="125">
        <v>1051.0887666454175</v>
      </c>
      <c r="AV176" s="125">
        <v>1051.0887666454175</v>
      </c>
      <c r="AW176" s="125">
        <v>1051.0887666454175</v>
      </c>
      <c r="AX176" s="125">
        <v>1051.0887666454175</v>
      </c>
      <c r="AY176" s="125">
        <v>1051.0887666454175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1213.5605217635748</v>
      </c>
      <c r="E177" s="124">
        <f t="shared" si="2"/>
        <v>1612.8617256228245</v>
      </c>
      <c r="F177" s="124">
        <f t="shared" si="2"/>
        <v>1674.8617256228245</v>
      </c>
      <c r="G177" s="124">
        <f t="shared" si="2"/>
        <v>1012.8617256228247</v>
      </c>
      <c r="H177" s="124">
        <f t="shared" si="2"/>
        <v>1315.9047794687831</v>
      </c>
      <c r="I177" s="124">
        <f t="shared" si="2"/>
        <v>658.90477946878309</v>
      </c>
      <c r="J177" s="124">
        <f t="shared" si="2"/>
        <v>1300.0000000000002</v>
      </c>
      <c r="K177" s="124">
        <f t="shared" si="2"/>
        <v>1130.956946154042</v>
      </c>
      <c r="L177" s="124">
        <f t="shared" si="2"/>
        <v>1586.9569461540423</v>
      </c>
      <c r="M177" s="124">
        <f t="shared" si="2"/>
        <v>907.95694615404227</v>
      </c>
      <c r="N177" s="124">
        <f t="shared" si="2"/>
        <v>1043.0000000000007</v>
      </c>
      <c r="O177" s="124">
        <f t="shared" si="2"/>
        <v>1519.9569461540427</v>
      </c>
      <c r="P177" s="124">
        <f t="shared" si="2"/>
        <v>853.95694615404261</v>
      </c>
      <c r="Q177" s="124">
        <f t="shared" si="2"/>
        <v>1548.9569461540427</v>
      </c>
      <c r="R177" s="124">
        <f t="shared" si="2"/>
        <v>878.95694615404284</v>
      </c>
      <c r="S177" s="124">
        <f t="shared" si="2"/>
        <v>1135.0000000000014</v>
      </c>
      <c r="T177" s="124">
        <f t="shared" si="2"/>
        <v>1632.9569461540432</v>
      </c>
      <c r="U177" s="124">
        <f t="shared" si="2"/>
        <v>1646.9569461540432</v>
      </c>
      <c r="V177" s="124">
        <f t="shared" si="2"/>
        <v>1576.9569461540434</v>
      </c>
      <c r="W177" s="124">
        <f t="shared" si="2"/>
        <v>1529.9569461540436</v>
      </c>
      <c r="X177" s="124">
        <f t="shared" si="2"/>
        <v>832.95694615404352</v>
      </c>
      <c r="Y177" s="124">
        <f t="shared" si="2"/>
        <v>1425.9569461540436</v>
      </c>
      <c r="Z177" s="124">
        <f t="shared" si="2"/>
        <v>1333.9569461540439</v>
      </c>
      <c r="AA177" s="124">
        <f t="shared" si="2"/>
        <v>1283.9569461540441</v>
      </c>
      <c r="AB177" s="124">
        <f t="shared" si="2"/>
        <v>1241.9569461540441</v>
      </c>
      <c r="AC177" s="124">
        <f t="shared" si="2"/>
        <v>1218.9569461540441</v>
      </c>
      <c r="AD177" s="124">
        <f t="shared" si="2"/>
        <v>1024.9569461540443</v>
      </c>
      <c r="AE177" s="124">
        <f t="shared" si="2"/>
        <v>1120.9569461540445</v>
      </c>
      <c r="AF177" s="124">
        <f t="shared" si="2"/>
        <v>1034.9569461540445</v>
      </c>
      <c r="AG177" s="124">
        <f t="shared" si="2"/>
        <v>484.00000000000284</v>
      </c>
      <c r="AH177" s="124">
        <f t="shared" si="2"/>
        <v>451.95694615404182</v>
      </c>
      <c r="AI177" s="124">
        <f t="shared" si="2"/>
        <v>1300.0000000000002</v>
      </c>
      <c r="AJ177" s="124">
        <f t="shared" si="2"/>
        <v>442.00000000000023</v>
      </c>
      <c r="AK177" s="124">
        <f t="shared" si="2"/>
        <v>848.04305384595841</v>
      </c>
      <c r="AL177" s="124">
        <f t="shared" si="2"/>
        <v>532.00000000000023</v>
      </c>
      <c r="AM177" s="124">
        <f t="shared" si="2"/>
        <v>1300.0000000000002</v>
      </c>
      <c r="AN177" s="124">
        <f t="shared" si="2"/>
        <v>1195.0000000000005</v>
      </c>
      <c r="AO177" s="124">
        <f t="shared" si="2"/>
        <v>578.04305384595864</v>
      </c>
      <c r="AP177" s="124">
        <f t="shared" si="2"/>
        <v>451.95694615404182</v>
      </c>
      <c r="AQ177" s="124">
        <f t="shared" si="2"/>
        <v>1300.0000000000002</v>
      </c>
      <c r="AR177" s="124">
        <f t="shared" si="2"/>
        <v>549.00000000000023</v>
      </c>
      <c r="AS177" s="124">
        <f t="shared" si="2"/>
        <v>224.04305384595835</v>
      </c>
      <c r="AT177" s="124">
        <f t="shared" si="2"/>
        <v>1751.9569461540423</v>
      </c>
      <c r="AU177" s="124">
        <f t="shared" si="2"/>
        <v>1111.0000000000005</v>
      </c>
      <c r="AV177" s="124">
        <f t="shared" si="2"/>
        <v>1656.9569461540423</v>
      </c>
      <c r="AW177" s="124">
        <f t="shared" si="2"/>
        <v>1139.0000000000007</v>
      </c>
      <c r="AX177" s="124">
        <f t="shared" si="2"/>
        <v>1040.0000000000009</v>
      </c>
      <c r="AY177" s="124">
        <f t="shared" si="2"/>
        <v>1480.9569461540427</v>
      </c>
    </row>
    <row r="178" spans="1:51">
      <c r="A178" s="125"/>
      <c r="B178" s="136" t="s">
        <v>299</v>
      </c>
      <c r="C178" s="125" t="s">
        <v>293</v>
      </c>
      <c r="D178" s="125">
        <v>641</v>
      </c>
      <c r="E178" s="125">
        <v>588</v>
      </c>
      <c r="F178" s="125">
        <v>662</v>
      </c>
      <c r="G178" s="125">
        <v>545</v>
      </c>
      <c r="H178" s="125">
        <v>657</v>
      </c>
      <c r="I178" s="125">
        <v>658.90477946878309</v>
      </c>
      <c r="J178" s="125">
        <v>621</v>
      </c>
      <c r="K178" s="125">
        <v>844</v>
      </c>
      <c r="L178" s="125">
        <v>679</v>
      </c>
      <c r="M178" s="125">
        <v>713</v>
      </c>
      <c r="N178" s="125">
        <v>625</v>
      </c>
      <c r="O178" s="125">
        <v>666</v>
      </c>
      <c r="P178" s="125">
        <v>605</v>
      </c>
      <c r="Q178" s="125">
        <v>670</v>
      </c>
      <c r="R178" s="125">
        <v>592</v>
      </c>
      <c r="S178" s="125">
        <v>604</v>
      </c>
      <c r="T178" s="125">
        <v>636</v>
      </c>
      <c r="U178" s="125">
        <v>720</v>
      </c>
      <c r="V178" s="125">
        <v>697</v>
      </c>
      <c r="W178" s="125">
        <v>697</v>
      </c>
      <c r="X178" s="125">
        <v>707</v>
      </c>
      <c r="Y178" s="125">
        <v>742</v>
      </c>
      <c r="Z178" s="125">
        <v>700</v>
      </c>
      <c r="AA178" s="125">
        <v>692</v>
      </c>
      <c r="AB178" s="125">
        <v>673</v>
      </c>
      <c r="AC178" s="125">
        <v>844</v>
      </c>
      <c r="AD178" s="125">
        <v>554</v>
      </c>
      <c r="AE178" s="125">
        <v>736</v>
      </c>
      <c r="AF178" s="125">
        <v>749</v>
      </c>
      <c r="AG178" s="125">
        <v>484.00000000000284</v>
      </c>
      <c r="AH178" s="125">
        <v>451.95694615404182</v>
      </c>
      <c r="AI178" s="125">
        <v>858</v>
      </c>
      <c r="AJ178" s="125">
        <v>442.00000000000023</v>
      </c>
      <c r="AK178" s="125">
        <v>768</v>
      </c>
      <c r="AL178" s="125">
        <v>532.00000000000023</v>
      </c>
      <c r="AM178" s="125">
        <v>755</v>
      </c>
      <c r="AN178" s="125">
        <v>815</v>
      </c>
      <c r="AO178" s="125">
        <v>578.04305384595864</v>
      </c>
      <c r="AP178" s="125">
        <v>451.95694615404182</v>
      </c>
      <c r="AQ178" s="125">
        <v>751</v>
      </c>
      <c r="AR178" s="125">
        <v>523</v>
      </c>
      <c r="AS178" s="125">
        <v>224.04305384595835</v>
      </c>
      <c r="AT178" s="125">
        <v>839</v>
      </c>
      <c r="AU178" s="125">
        <v>556</v>
      </c>
      <c r="AV178" s="125">
        <v>716</v>
      </c>
      <c r="AW178" s="125">
        <v>749</v>
      </c>
      <c r="AX178" s="125">
        <v>661</v>
      </c>
      <c r="AY178" s="125">
        <v>707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3.2993846844094961E-2</v>
      </c>
      <c r="E179" s="124">
        <f t="shared" si="3"/>
        <v>736.76984760886876</v>
      </c>
      <c r="F179" s="124">
        <f t="shared" si="3"/>
        <v>1033.2211407686414</v>
      </c>
      <c r="G179" s="124">
        <f t="shared" si="3"/>
        <v>1133.8144778163116</v>
      </c>
      <c r="H179" s="124">
        <f t="shared" si="3"/>
        <v>725.00420763910631</v>
      </c>
      <c r="I179" s="124">
        <f t="shared" si="3"/>
        <v>716.03076830324494</v>
      </c>
      <c r="J179" s="124">
        <f t="shared" si="3"/>
        <v>322.6111693513227</v>
      </c>
      <c r="K179" s="124">
        <f t="shared" si="3"/>
        <v>735.83488076378865</v>
      </c>
      <c r="L179" s="124">
        <f t="shared" si="3"/>
        <v>628.75247606277799</v>
      </c>
      <c r="M179" s="124">
        <f t="shared" si="3"/>
        <v>954.58735682656652</v>
      </c>
      <c r="N179" s="124">
        <f t="shared" si="3"/>
        <v>650.08768665548837</v>
      </c>
      <c r="O179" s="124">
        <f t="shared" si="3"/>
        <v>627.11424731962688</v>
      </c>
      <c r="P179" s="124">
        <f t="shared" si="3"/>
        <v>765.76655663934366</v>
      </c>
      <c r="Q179" s="124">
        <f t="shared" si="3"/>
        <v>367.49221602574642</v>
      </c>
      <c r="R179" s="124">
        <f t="shared" si="3"/>
        <v>735.83488076378865</v>
      </c>
      <c r="S179" s="124">
        <f t="shared" si="3"/>
        <v>296.7192805674199</v>
      </c>
      <c r="T179" s="124">
        <f t="shared" si="3"/>
        <v>480.02656066413851</v>
      </c>
      <c r="U179" s="124">
        <f t="shared" si="3"/>
        <v>646.76877122373435</v>
      </c>
      <c r="V179" s="124">
        <f t="shared" si="3"/>
        <v>682.45331360750765</v>
      </c>
      <c r="W179" s="124">
        <f t="shared" si="3"/>
        <v>523.55632636027303</v>
      </c>
      <c r="X179" s="124">
        <f t="shared" si="3"/>
        <v>429.49021682021879</v>
      </c>
      <c r="Y179" s="124">
        <f t="shared" si="3"/>
        <v>3.2900156102858721E-2</v>
      </c>
      <c r="Z179" s="124">
        <f t="shared" si="3"/>
        <v>735.83488076378865</v>
      </c>
      <c r="AA179" s="124">
        <f t="shared" si="3"/>
        <v>718.96157744586367</v>
      </c>
      <c r="AB179" s="124">
        <f t="shared" si="3"/>
        <v>544.34837180353793</v>
      </c>
      <c r="AC179" s="124">
        <f t="shared" si="3"/>
        <v>497.28226226348363</v>
      </c>
      <c r="AD179" s="124">
        <f t="shared" si="3"/>
        <v>380.21615272342939</v>
      </c>
      <c r="AE179" s="124">
        <f t="shared" si="3"/>
        <v>367.93389045994576</v>
      </c>
      <c r="AF179" s="124">
        <f t="shared" si="3"/>
        <v>367.93389045994576</v>
      </c>
      <c r="AG179" s="124">
        <f t="shared" si="3"/>
        <v>367.93389045994576</v>
      </c>
      <c r="AH179" s="124">
        <f t="shared" si="3"/>
        <v>112.12557036029564</v>
      </c>
      <c r="AI179" s="124">
        <f t="shared" si="3"/>
        <v>255.84122025575294</v>
      </c>
      <c r="AJ179" s="124">
        <f t="shared" si="3"/>
        <v>735.83488076378865</v>
      </c>
      <c r="AK179" s="124">
        <f t="shared" si="3"/>
        <v>252.84178402342957</v>
      </c>
      <c r="AL179" s="124">
        <f t="shared" si="3"/>
        <v>480.02656066413851</v>
      </c>
      <c r="AM179" s="124">
        <f t="shared" si="3"/>
        <v>255.841220255753</v>
      </c>
      <c r="AN179" s="124">
        <f t="shared" si="3"/>
        <v>735.83488076378865</v>
      </c>
      <c r="AO179" s="124">
        <f t="shared" si="3"/>
        <v>665.78121030962006</v>
      </c>
      <c r="AP179" s="124">
        <f t="shared" si="3"/>
        <v>286.81518078480809</v>
      </c>
      <c r="AQ179" s="124">
        <f t="shared" si="3"/>
        <v>255.84122025575294</v>
      </c>
      <c r="AR179" s="124">
        <f t="shared" si="3"/>
        <v>735.83488076378865</v>
      </c>
      <c r="AS179" s="124">
        <f t="shared" si="3"/>
        <v>341.08082196239309</v>
      </c>
      <c r="AT179" s="124">
        <f t="shared" si="3"/>
        <v>112.12557036029568</v>
      </c>
      <c r="AU179" s="124">
        <f t="shared" si="3"/>
        <v>991.64320086343866</v>
      </c>
      <c r="AV179" s="124">
        <f t="shared" si="3"/>
        <v>798.5683148539315</v>
      </c>
      <c r="AW179" s="124">
        <f t="shared" si="3"/>
        <v>928.31052541352733</v>
      </c>
      <c r="AX179" s="124">
        <f t="shared" si="3"/>
        <v>664.29697131390549</v>
      </c>
      <c r="AY179" s="124">
        <f t="shared" si="3"/>
        <v>516.23086177385119</v>
      </c>
    </row>
    <row r="180" spans="1:51">
      <c r="A180" s="125"/>
      <c r="B180" s="136" t="s">
        <v>299</v>
      </c>
      <c r="C180" s="125" t="s">
        <v>293</v>
      </c>
      <c r="D180" s="125">
        <v>3.2993846844094961E-2</v>
      </c>
      <c r="E180" s="125">
        <v>456</v>
      </c>
      <c r="F180" s="125">
        <v>427</v>
      </c>
      <c r="G180" s="125">
        <v>429</v>
      </c>
      <c r="H180" s="125">
        <v>489</v>
      </c>
      <c r="I180" s="125">
        <v>432.13815690878323</v>
      </c>
      <c r="J180" s="125">
        <v>322.6111693513227</v>
      </c>
      <c r="K180" s="125">
        <v>528</v>
      </c>
      <c r="L180" s="125">
        <v>410</v>
      </c>
      <c r="M180" s="125">
        <v>487</v>
      </c>
      <c r="N180" s="125">
        <v>503</v>
      </c>
      <c r="O180" s="125">
        <v>526</v>
      </c>
      <c r="P180" s="125">
        <v>503</v>
      </c>
      <c r="Q180" s="125">
        <v>367.49221602574642</v>
      </c>
      <c r="R180" s="125">
        <v>556</v>
      </c>
      <c r="S180" s="125">
        <v>296.7192805674199</v>
      </c>
      <c r="T180" s="125">
        <v>457</v>
      </c>
      <c r="U180" s="125">
        <v>404</v>
      </c>
      <c r="V180" s="125">
        <v>532</v>
      </c>
      <c r="W180" s="125">
        <v>462</v>
      </c>
      <c r="X180" s="125">
        <v>429.49021682021879</v>
      </c>
      <c r="Y180" s="125">
        <v>3.2900156102858721E-2</v>
      </c>
      <c r="Z180" s="125">
        <v>525</v>
      </c>
      <c r="AA180" s="125">
        <v>543</v>
      </c>
      <c r="AB180" s="125">
        <v>415</v>
      </c>
      <c r="AC180" s="125">
        <v>485</v>
      </c>
      <c r="AD180" s="125">
        <v>380.21615272342939</v>
      </c>
      <c r="AE180" s="125">
        <v>367.93389045994576</v>
      </c>
      <c r="AF180" s="125">
        <v>367.93389045994576</v>
      </c>
      <c r="AG180" s="125">
        <v>367.93389045994576</v>
      </c>
      <c r="AH180" s="125">
        <v>112.12557036029564</v>
      </c>
      <c r="AI180" s="125">
        <v>255.84122025575294</v>
      </c>
      <c r="AJ180" s="125">
        <v>588.51437037037033</v>
      </c>
      <c r="AK180" s="125">
        <v>252.84178402342957</v>
      </c>
      <c r="AL180" s="125">
        <v>480.02656066413851</v>
      </c>
      <c r="AM180" s="125">
        <v>255.841220255753</v>
      </c>
      <c r="AN180" s="125">
        <v>526</v>
      </c>
      <c r="AO180" s="125">
        <v>491.09159988510754</v>
      </c>
      <c r="AP180" s="125">
        <v>286.81518078480809</v>
      </c>
      <c r="AQ180" s="125">
        <v>255.84122025575294</v>
      </c>
      <c r="AR180" s="125">
        <v>536</v>
      </c>
      <c r="AS180" s="125">
        <v>341.08082196239309</v>
      </c>
      <c r="AT180" s="125">
        <v>112.12557036029568</v>
      </c>
      <c r="AU180" s="125">
        <v>525</v>
      </c>
      <c r="AV180" s="125">
        <v>494</v>
      </c>
      <c r="AW180" s="125">
        <v>447</v>
      </c>
      <c r="AX180" s="125">
        <v>516</v>
      </c>
      <c r="AY180" s="125">
        <v>466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919.30882804182295</v>
      </c>
      <c r="E181" s="124">
        <f t="shared" si="4"/>
        <v>938.87544219981214</v>
      </c>
      <c r="F181" s="124">
        <f t="shared" si="4"/>
        <v>658.30763017524146</v>
      </c>
      <c r="G181" s="124">
        <f t="shared" si="4"/>
        <v>25.191851868139665</v>
      </c>
      <c r="H181" s="124">
        <f t="shared" si="4"/>
        <v>598.95591051300266</v>
      </c>
      <c r="I181" s="124">
        <f t="shared" si="4"/>
        <v>48.311304071834634</v>
      </c>
      <c r="J181" s="124">
        <f t="shared" si="4"/>
        <v>918.14221776671729</v>
      </c>
      <c r="K181" s="124">
        <f t="shared" si="4"/>
        <v>525.20235795794838</v>
      </c>
      <c r="L181" s="124">
        <f t="shared" si="4"/>
        <v>918.14221776671729</v>
      </c>
      <c r="M181" s="124">
        <f t="shared" si="4"/>
        <v>227.71583945348843</v>
      </c>
      <c r="N181" s="124">
        <f t="shared" si="4"/>
        <v>598.95591051300266</v>
      </c>
      <c r="O181" s="124">
        <f t="shared" si="4"/>
        <v>829.32375356975035</v>
      </c>
      <c r="P181" s="124">
        <f t="shared" si="4"/>
        <v>130.67204569904038</v>
      </c>
      <c r="Q181" s="124">
        <f t="shared" si="4"/>
        <v>918.14221776671729</v>
      </c>
      <c r="R181" s="124">
        <f t="shared" si="4"/>
        <v>145.84318420274437</v>
      </c>
      <c r="S181" s="124">
        <f t="shared" si="4"/>
        <v>598.95591051300266</v>
      </c>
      <c r="T181" s="124">
        <f t="shared" si="4"/>
        <v>778.27794181686829</v>
      </c>
      <c r="U181" s="124">
        <f t="shared" si="4"/>
        <v>548.61892445619446</v>
      </c>
      <c r="V181" s="124">
        <f t="shared" si="4"/>
        <v>465.54143672652845</v>
      </c>
      <c r="W181" s="124">
        <f t="shared" si="4"/>
        <v>459.09163456315366</v>
      </c>
      <c r="X181" s="124">
        <f t="shared" si="4"/>
        <v>4.10513595900691E-2</v>
      </c>
      <c r="Y181" s="124">
        <f t="shared" si="4"/>
        <v>918.14221776671729</v>
      </c>
      <c r="Z181" s="124">
        <f t="shared" si="4"/>
        <v>634.01801734908327</v>
      </c>
      <c r="AA181" s="124">
        <f t="shared" si="4"/>
        <v>459.65674801450842</v>
      </c>
      <c r="AB181" s="124">
        <f t="shared" si="4"/>
        <v>459.09163456315366</v>
      </c>
      <c r="AC181" s="124">
        <f t="shared" si="4"/>
        <v>459.09163456315366</v>
      </c>
      <c r="AD181" s="124">
        <f t="shared" si="4"/>
        <v>459.09163456315366</v>
      </c>
      <c r="AE181" s="124">
        <f t="shared" si="4"/>
        <v>459.09163456315366</v>
      </c>
      <c r="AF181" s="124">
        <f t="shared" si="4"/>
        <v>459.09163456315366</v>
      </c>
      <c r="AG181" s="124">
        <f t="shared" si="4"/>
        <v>139.90532730943912</v>
      </c>
      <c r="AH181" s="124">
        <f t="shared" si="4"/>
        <v>319.22735861330466</v>
      </c>
      <c r="AI181" s="124">
        <f t="shared" si="4"/>
        <v>918.14221776671729</v>
      </c>
      <c r="AJ181" s="124">
        <f t="shared" si="4"/>
        <v>131.66477796168493</v>
      </c>
      <c r="AK181" s="124">
        <f t="shared" si="4"/>
        <v>598.95591051300266</v>
      </c>
      <c r="AL181" s="124">
        <f t="shared" si="4"/>
        <v>319.22735861330472</v>
      </c>
      <c r="AM181" s="124">
        <f t="shared" si="4"/>
        <v>918.14221776671729</v>
      </c>
      <c r="AN181" s="124">
        <f t="shared" si="4"/>
        <v>568.90966320769871</v>
      </c>
      <c r="AO181" s="124">
        <f t="shared" si="4"/>
        <v>139.90532730943912</v>
      </c>
      <c r="AP181" s="124">
        <f t="shared" si="4"/>
        <v>319.22735861330466</v>
      </c>
      <c r="AQ181" s="124">
        <f t="shared" si="4"/>
        <v>918.14221776671729</v>
      </c>
      <c r="AR181" s="124">
        <f t="shared" si="4"/>
        <v>176.24043802873757</v>
      </c>
      <c r="AS181" s="124">
        <f t="shared" si="4"/>
        <v>139.90532730943914</v>
      </c>
      <c r="AT181" s="124">
        <f t="shared" si="4"/>
        <v>1237.3285250204319</v>
      </c>
      <c r="AU181" s="124">
        <f t="shared" si="4"/>
        <v>414.16147597592777</v>
      </c>
      <c r="AV181" s="124">
        <f t="shared" si="4"/>
        <v>778.27794181686829</v>
      </c>
      <c r="AW181" s="124">
        <f t="shared" si="4"/>
        <v>228.3223935862249</v>
      </c>
      <c r="AX181" s="124">
        <f t="shared" si="4"/>
        <v>459.09163456315366</v>
      </c>
      <c r="AY181" s="124">
        <f t="shared" si="4"/>
        <v>778.27794181686829</v>
      </c>
    </row>
    <row r="182" spans="1:51">
      <c r="A182" s="125"/>
      <c r="B182" s="136" t="s">
        <v>299</v>
      </c>
      <c r="C182" s="125" t="s">
        <v>293</v>
      </c>
      <c r="D182" s="125">
        <v>590.02309373388152</v>
      </c>
      <c r="E182" s="125">
        <v>580</v>
      </c>
      <c r="F182" s="125">
        <v>613</v>
      </c>
      <c r="G182" s="125">
        <v>25.191851868139665</v>
      </c>
      <c r="H182" s="125">
        <v>512</v>
      </c>
      <c r="I182" s="125">
        <v>48.311304071834634</v>
      </c>
      <c r="J182" s="125">
        <v>547.09084337883735</v>
      </c>
      <c r="K182" s="125">
        <v>525.20235795794838</v>
      </c>
      <c r="L182" s="125">
        <v>508</v>
      </c>
      <c r="M182" s="125">
        <v>227.71583945348843</v>
      </c>
      <c r="N182" s="125">
        <v>507</v>
      </c>
      <c r="O182" s="125">
        <v>594</v>
      </c>
      <c r="P182" s="125">
        <v>130.67204569904038</v>
      </c>
      <c r="Q182" s="125">
        <v>655.48858527603466</v>
      </c>
      <c r="R182" s="125">
        <v>145.84318420274437</v>
      </c>
      <c r="S182" s="125">
        <v>598.95591051300266</v>
      </c>
      <c r="T182" s="125">
        <v>617</v>
      </c>
      <c r="U182" s="125">
        <v>537</v>
      </c>
      <c r="V182" s="125">
        <v>465.54143672652845</v>
      </c>
      <c r="W182" s="125">
        <v>459.09163456315366</v>
      </c>
      <c r="X182" s="125">
        <v>4.10513595900691E-2</v>
      </c>
      <c r="Y182" s="125">
        <v>603.02302875865848</v>
      </c>
      <c r="Z182" s="125">
        <v>633</v>
      </c>
      <c r="AA182" s="125">
        <v>459.65674801450842</v>
      </c>
      <c r="AB182" s="125">
        <v>459.09163456315366</v>
      </c>
      <c r="AC182" s="125">
        <v>459.09163456315366</v>
      </c>
      <c r="AD182" s="125">
        <v>459.09163456315366</v>
      </c>
      <c r="AE182" s="125">
        <v>459.09163456315366</v>
      </c>
      <c r="AF182" s="125">
        <v>459.09163456315366</v>
      </c>
      <c r="AG182" s="125">
        <v>139.90532730943912</v>
      </c>
      <c r="AH182" s="125">
        <v>319.22735861330466</v>
      </c>
      <c r="AI182" s="125">
        <v>681.03011769071406</v>
      </c>
      <c r="AJ182" s="125">
        <v>131.66477796168493</v>
      </c>
      <c r="AK182" s="125">
        <v>598.95591051300266</v>
      </c>
      <c r="AL182" s="125">
        <v>319.22735861330472</v>
      </c>
      <c r="AM182" s="125">
        <v>720.31175003628664</v>
      </c>
      <c r="AN182" s="125">
        <v>568.90966320769871</v>
      </c>
      <c r="AO182" s="125">
        <v>139.90532730943912</v>
      </c>
      <c r="AP182" s="125">
        <v>319.22735861330466</v>
      </c>
      <c r="AQ182" s="125">
        <v>600.72979005506829</v>
      </c>
      <c r="AR182" s="125">
        <v>176.24043802873757</v>
      </c>
      <c r="AS182" s="125">
        <v>139.90532730943914</v>
      </c>
      <c r="AT182" s="125">
        <v>743.27283272374598</v>
      </c>
      <c r="AU182" s="125">
        <v>414.16147597592777</v>
      </c>
      <c r="AV182" s="125">
        <v>619</v>
      </c>
      <c r="AW182" s="125">
        <v>228.3223935862249</v>
      </c>
      <c r="AX182" s="125">
        <v>459.09163456315366</v>
      </c>
      <c r="AY182" s="125">
        <v>618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1042.9761693247458</v>
      </c>
      <c r="D185" s="124">
        <v>888.95233864949159</v>
      </c>
      <c r="E185" s="124">
        <v>959.04169140872182</v>
      </c>
      <c r="F185" s="124">
        <v>1051.0887666454175</v>
      </c>
      <c r="G185" s="124">
        <v>944</v>
      </c>
      <c r="H185" s="124">
        <v>781.91123335458246</v>
      </c>
      <c r="I185" s="124">
        <v>823.82246670916493</v>
      </c>
      <c r="J185" s="124">
        <v>932.73370006374739</v>
      </c>
      <c r="K185" s="124">
        <v>1000.6449334183299</v>
      </c>
      <c r="L185" s="124">
        <v>1008.5561667729123</v>
      </c>
      <c r="M185" s="124">
        <v>1051.0887666454175</v>
      </c>
      <c r="N185" s="124">
        <v>1051.0887666454175</v>
      </c>
      <c r="O185" s="124">
        <v>1051.0887666454175</v>
      </c>
      <c r="P185" s="124">
        <v>1051.0887666454175</v>
      </c>
      <c r="Q185" s="124">
        <v>997</v>
      </c>
      <c r="R185" s="124">
        <v>1051.0887666454175</v>
      </c>
      <c r="S185" s="124">
        <v>1051.0887666454175</v>
      </c>
      <c r="T185" s="124">
        <v>1051.0887666454175</v>
      </c>
      <c r="U185" s="124">
        <v>1051.0887666454175</v>
      </c>
      <c r="V185" s="124">
        <v>1051.0887666454175</v>
      </c>
      <c r="W185" s="124">
        <v>1051.0887666454175</v>
      </c>
      <c r="X185" s="124">
        <v>1040</v>
      </c>
      <c r="Y185" s="124">
        <v>1051.0887666454175</v>
      </c>
      <c r="Z185" s="124">
        <v>1051.0887666454175</v>
      </c>
      <c r="AA185" s="124">
        <v>1051.0887666454175</v>
      </c>
      <c r="AB185" s="124">
        <v>1051.0887666454175</v>
      </c>
      <c r="AC185" s="124">
        <v>1051.0887666454175</v>
      </c>
      <c r="AD185" s="124">
        <v>1043</v>
      </c>
      <c r="AE185" s="124">
        <v>1051.0887666454175</v>
      </c>
      <c r="AF185" s="124">
        <v>1051.0887666454175</v>
      </c>
      <c r="AG185" s="124">
        <v>866</v>
      </c>
      <c r="AH185" s="124">
        <v>970.91123335458246</v>
      </c>
      <c r="AI185" s="124">
        <v>1051.0887666454175</v>
      </c>
      <c r="AJ185" s="124">
        <v>1051.0887666454175</v>
      </c>
      <c r="AK185" s="124">
        <v>1051.0887666454175</v>
      </c>
      <c r="AL185" s="124">
        <v>967</v>
      </c>
      <c r="AM185" s="124">
        <v>1051.0887666454175</v>
      </c>
      <c r="AN185" s="124">
        <v>1023</v>
      </c>
      <c r="AO185" s="124">
        <v>1051.0887666454175</v>
      </c>
      <c r="AP185" s="124">
        <v>1051.0887666454175</v>
      </c>
      <c r="AQ185" s="124">
        <v>1051.0887666454175</v>
      </c>
      <c r="AR185" s="124">
        <v>1037</v>
      </c>
      <c r="AS185" s="124">
        <v>1045.9112333545825</v>
      </c>
      <c r="AT185" s="124">
        <v>906.94575760179191</v>
      </c>
      <c r="AU185" s="124">
        <v>1051.0887666454175</v>
      </c>
      <c r="AV185" s="124">
        <v>1051.0887666454175</v>
      </c>
      <c r="AW185" s="124">
        <v>1051.0887666454175</v>
      </c>
      <c r="AX185" s="124">
        <v>1051.0887666454175</v>
      </c>
      <c r="AY185" s="124">
        <v>1051.0887666454175</v>
      </c>
    </row>
    <row r="186" spans="1:51">
      <c r="A186" s="109"/>
      <c r="B186" s="120">
        <v>2</v>
      </c>
      <c r="C186" s="106">
        <v>90.023830675254203</v>
      </c>
      <c r="D186" s="106">
        <v>9.047661350508406</v>
      </c>
      <c r="E186" s="106">
        <v>0</v>
      </c>
      <c r="F186" s="106">
        <v>0</v>
      </c>
      <c r="G186" s="106">
        <v>0</v>
      </c>
      <c r="H186" s="106">
        <v>107.08876664541754</v>
      </c>
      <c r="I186" s="106">
        <v>269.17753329083507</v>
      </c>
      <c r="J186" s="106">
        <v>227.26629993625261</v>
      </c>
      <c r="K186" s="106">
        <v>118.35506658167014</v>
      </c>
      <c r="L186" s="106">
        <v>50.44383322708768</v>
      </c>
      <c r="M186" s="106">
        <v>42.532599872505216</v>
      </c>
      <c r="N186" s="106">
        <v>0</v>
      </c>
      <c r="O186" s="106">
        <v>0</v>
      </c>
      <c r="P186" s="106">
        <v>0</v>
      </c>
      <c r="Q186" s="106">
        <v>0</v>
      </c>
      <c r="R186" s="106">
        <v>54.088766645417536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11.088766645417536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8.088766645417536</v>
      </c>
      <c r="AF186" s="106">
        <v>0</v>
      </c>
      <c r="AG186" s="106">
        <v>0</v>
      </c>
      <c r="AH186" s="106">
        <v>185.08876664541754</v>
      </c>
      <c r="AI186" s="106">
        <v>80.177533290835072</v>
      </c>
      <c r="AJ186" s="106">
        <v>0</v>
      </c>
      <c r="AK186" s="106">
        <v>0</v>
      </c>
      <c r="AL186" s="106">
        <v>0</v>
      </c>
      <c r="AM186" s="106">
        <v>84.088766645417536</v>
      </c>
      <c r="AN186" s="106">
        <v>0</v>
      </c>
      <c r="AO186" s="106">
        <v>28.088766645417536</v>
      </c>
      <c r="AP186" s="106">
        <v>0</v>
      </c>
      <c r="AQ186" s="106">
        <v>0</v>
      </c>
      <c r="AR186" s="106">
        <v>0</v>
      </c>
      <c r="AS186" s="106">
        <v>14.088766645417536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0</v>
      </c>
      <c r="E189" s="124">
        <v>0</v>
      </c>
      <c r="F189" s="124">
        <v>0</v>
      </c>
      <c r="G189" s="124">
        <v>0</v>
      </c>
      <c r="H189" s="124">
        <v>0</v>
      </c>
      <c r="I189" s="124">
        <v>0</v>
      </c>
      <c r="J189" s="124">
        <v>0</v>
      </c>
      <c r="K189" s="124">
        <v>0</v>
      </c>
      <c r="L189" s="124">
        <v>0</v>
      </c>
      <c r="M189" s="124">
        <v>0</v>
      </c>
      <c r="N189" s="124">
        <v>0</v>
      </c>
      <c r="O189" s="124">
        <v>0</v>
      </c>
      <c r="P189" s="124">
        <v>0</v>
      </c>
      <c r="Q189" s="124">
        <v>421.04305384595739</v>
      </c>
      <c r="R189" s="124">
        <v>0</v>
      </c>
      <c r="S189" s="124">
        <v>0</v>
      </c>
      <c r="T189" s="124">
        <v>0</v>
      </c>
      <c r="U189" s="124">
        <v>0</v>
      </c>
      <c r="V189" s="124">
        <v>0</v>
      </c>
      <c r="W189" s="124">
        <v>0</v>
      </c>
      <c r="X189" s="124">
        <v>0</v>
      </c>
      <c r="Y189" s="124">
        <v>0</v>
      </c>
      <c r="Z189" s="124">
        <v>16.043053845956251</v>
      </c>
      <c r="AA189" s="124">
        <v>58.043053845956138</v>
      </c>
      <c r="AB189" s="124">
        <v>81.043053845956024</v>
      </c>
      <c r="AC189" s="124">
        <v>275.04305384595591</v>
      </c>
      <c r="AD189" s="124">
        <v>179.0430538459558</v>
      </c>
      <c r="AE189" s="124">
        <v>265.04305384595568</v>
      </c>
      <c r="AF189" s="124">
        <v>364.04305384595557</v>
      </c>
      <c r="AG189" s="124">
        <v>198.04305384595827</v>
      </c>
      <c r="AH189" s="124">
        <v>0</v>
      </c>
      <c r="AI189" s="124">
        <v>858</v>
      </c>
      <c r="AJ189" s="124">
        <v>0</v>
      </c>
      <c r="AK189" s="124">
        <v>117.99999999999989</v>
      </c>
      <c r="AL189" s="124">
        <v>0</v>
      </c>
      <c r="AM189" s="124">
        <v>104.99999999999989</v>
      </c>
      <c r="AN189" s="124">
        <v>269.99999999999977</v>
      </c>
      <c r="AO189" s="124">
        <v>198.04305384595827</v>
      </c>
      <c r="AP189" s="124">
        <v>0</v>
      </c>
      <c r="AQ189" s="124">
        <v>100.99999999999989</v>
      </c>
      <c r="AR189" s="124">
        <v>0</v>
      </c>
      <c r="AS189" s="124">
        <v>198.04305384595813</v>
      </c>
      <c r="AT189" s="124">
        <v>0</v>
      </c>
      <c r="AU189" s="124">
        <v>0</v>
      </c>
      <c r="AV189" s="124">
        <v>0</v>
      </c>
      <c r="AW189" s="124">
        <v>0</v>
      </c>
      <c r="AX189" s="124">
        <v>270.99999999999932</v>
      </c>
      <c r="AY189" s="124">
        <v>0</v>
      </c>
    </row>
    <row r="190" spans="1:51">
      <c r="A190" s="109"/>
      <c r="B190" s="119">
        <v>2</v>
      </c>
      <c r="C190" s="106">
        <v>67.681565290724421</v>
      </c>
      <c r="D190" s="106">
        <v>224.5280917769104</v>
      </c>
      <c r="E190" s="106">
        <v>205.747830895123</v>
      </c>
      <c r="F190" s="106">
        <v>260.9675700133356</v>
      </c>
      <c r="G190" s="106">
        <v>182.13827437717543</v>
      </c>
      <c r="H190" s="106">
        <v>189.13827437717532</v>
      </c>
      <c r="I190" s="106">
        <v>198.04305384595827</v>
      </c>
      <c r="J190" s="106">
        <v>169.04305384595818</v>
      </c>
      <c r="K190" s="106">
        <v>363.04305384595807</v>
      </c>
      <c r="L190" s="106">
        <v>392.04305384595796</v>
      </c>
      <c r="M190" s="106">
        <v>455.04305384595784</v>
      </c>
      <c r="N190" s="106">
        <v>430.04305384595773</v>
      </c>
      <c r="O190" s="106">
        <v>446.04305384595762</v>
      </c>
      <c r="P190" s="106">
        <v>401.0430538459575</v>
      </c>
      <c r="Q190" s="106">
        <v>0</v>
      </c>
      <c r="R190" s="106">
        <v>592</v>
      </c>
      <c r="S190" s="106">
        <v>317.04305384595716</v>
      </c>
      <c r="T190" s="106">
        <v>303.04305384595705</v>
      </c>
      <c r="U190" s="106">
        <v>373.04305384595693</v>
      </c>
      <c r="V190" s="106">
        <v>420.04305384595682</v>
      </c>
      <c r="W190" s="106">
        <v>467.04305384595671</v>
      </c>
      <c r="X190" s="106">
        <v>524.04305384595659</v>
      </c>
      <c r="Y190" s="106">
        <v>616.04305384595648</v>
      </c>
      <c r="Z190" s="106">
        <v>650.00000000000011</v>
      </c>
      <c r="AA190" s="106">
        <v>633.95694615404386</v>
      </c>
      <c r="AB190" s="106">
        <v>591.95694615404398</v>
      </c>
      <c r="AC190" s="106">
        <v>568.95694615404409</v>
      </c>
      <c r="AD190" s="106">
        <v>374.9569461540442</v>
      </c>
      <c r="AE190" s="106">
        <v>470.95694615404432</v>
      </c>
      <c r="AF190" s="106">
        <v>384.95694615404443</v>
      </c>
      <c r="AG190" s="106">
        <v>285.95694615404454</v>
      </c>
      <c r="AH190" s="106">
        <v>451.95694615404182</v>
      </c>
      <c r="AI190" s="106">
        <v>0</v>
      </c>
      <c r="AJ190" s="106">
        <v>442.00000000000023</v>
      </c>
      <c r="AK190" s="106">
        <v>650.00000000000011</v>
      </c>
      <c r="AL190" s="106">
        <v>532.00000000000023</v>
      </c>
      <c r="AM190" s="106">
        <v>650.00000000000011</v>
      </c>
      <c r="AN190" s="106">
        <v>545.00000000000023</v>
      </c>
      <c r="AO190" s="106">
        <v>380.00000000000034</v>
      </c>
      <c r="AP190" s="106">
        <v>451.95694615404182</v>
      </c>
      <c r="AQ190" s="106">
        <v>650.00000000000011</v>
      </c>
      <c r="AR190" s="106">
        <v>523</v>
      </c>
      <c r="AS190" s="106">
        <v>0</v>
      </c>
      <c r="AT190" s="106">
        <v>839</v>
      </c>
      <c r="AU190" s="106">
        <v>293.04305384595796</v>
      </c>
      <c r="AV190" s="106">
        <v>359.04305384595784</v>
      </c>
      <c r="AW190" s="106">
        <v>458.04305384595773</v>
      </c>
      <c r="AX190" s="106">
        <v>198.04305384595827</v>
      </c>
      <c r="AY190" s="106">
        <v>255.04305384595818</v>
      </c>
    </row>
    <row r="191" spans="1:51">
      <c r="A191" s="109"/>
      <c r="B191" s="120">
        <v>3</v>
      </c>
      <c r="C191" s="106">
        <v>0</v>
      </c>
      <c r="D191" s="106">
        <v>416.4719082230896</v>
      </c>
      <c r="E191" s="106">
        <v>382.252169104877</v>
      </c>
      <c r="F191" s="106">
        <v>401.0324299866644</v>
      </c>
      <c r="G191" s="106">
        <v>362.86172562282457</v>
      </c>
      <c r="H191" s="106">
        <v>467.86172562282468</v>
      </c>
      <c r="I191" s="106">
        <v>460.86172562282479</v>
      </c>
      <c r="J191" s="106">
        <v>451.95694615404182</v>
      </c>
      <c r="K191" s="106">
        <v>480.95694615404193</v>
      </c>
      <c r="L191" s="106">
        <v>286.95694615404204</v>
      </c>
      <c r="M191" s="106">
        <v>257.95694615404216</v>
      </c>
      <c r="N191" s="106">
        <v>194.95694615404227</v>
      </c>
      <c r="O191" s="106">
        <v>219.95694615404238</v>
      </c>
      <c r="P191" s="106">
        <v>203.9569461540425</v>
      </c>
      <c r="Q191" s="106">
        <v>248.95694615404261</v>
      </c>
      <c r="R191" s="106">
        <v>0</v>
      </c>
      <c r="S191" s="106">
        <v>286.95694615404284</v>
      </c>
      <c r="T191" s="106">
        <v>332.95694615404295</v>
      </c>
      <c r="U191" s="106">
        <v>346.95694615404307</v>
      </c>
      <c r="V191" s="106">
        <v>276.95694615404318</v>
      </c>
      <c r="W191" s="106">
        <v>229.95694615404329</v>
      </c>
      <c r="X191" s="106">
        <v>182.95694615404341</v>
      </c>
      <c r="Y191" s="106">
        <v>125.95694615404352</v>
      </c>
      <c r="Z191" s="106">
        <v>33.956946154043635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26.000000000000227</v>
      </c>
      <c r="AT191" s="106">
        <v>0</v>
      </c>
      <c r="AU191" s="106">
        <v>262.95694615404204</v>
      </c>
      <c r="AV191" s="106">
        <v>356.95694615404216</v>
      </c>
      <c r="AW191" s="106">
        <v>290.95694615404227</v>
      </c>
      <c r="AX191" s="106">
        <v>191.95694615404238</v>
      </c>
      <c r="AY191" s="106">
        <v>451.95694615404182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481.7365575255759</v>
      </c>
      <c r="D197" s="106">
        <v>3.2993846844094961E-2</v>
      </c>
      <c r="E197" s="106">
        <v>456</v>
      </c>
      <c r="F197" s="106">
        <v>146.23015239113124</v>
      </c>
      <c r="G197" s="106">
        <v>0</v>
      </c>
      <c r="H197" s="106">
        <v>0</v>
      </c>
      <c r="I197" s="106">
        <v>196.13394926967686</v>
      </c>
      <c r="J197" s="106">
        <v>38.718557956861041</v>
      </c>
      <c r="K197" s="106">
        <v>528</v>
      </c>
      <c r="L197" s="106">
        <v>202.16511923621135</v>
      </c>
      <c r="M197" s="106">
        <v>268.24752393722207</v>
      </c>
      <c r="N197" s="106">
        <v>35.412643173433423</v>
      </c>
      <c r="O197" s="106">
        <v>378.91231334451157</v>
      </c>
      <c r="P197" s="106">
        <v>401.88575268037306</v>
      </c>
      <c r="Q197" s="106">
        <v>104.72565938640281</v>
      </c>
      <c r="R197" s="106">
        <v>556</v>
      </c>
      <c r="S197" s="106">
        <v>116.88439980363125</v>
      </c>
      <c r="T197" s="106">
        <v>457</v>
      </c>
      <c r="U197" s="106">
        <v>380.97343933586149</v>
      </c>
      <c r="V197" s="106">
        <v>289.23122877626565</v>
      </c>
      <c r="W197" s="106">
        <v>311.5466863924924</v>
      </c>
      <c r="X197" s="106">
        <v>367.93389045994576</v>
      </c>
      <c r="Y197" s="106">
        <v>3.2900156102858721E-2</v>
      </c>
      <c r="Z197" s="106">
        <v>525</v>
      </c>
      <c r="AA197" s="106">
        <v>332.16511923621135</v>
      </c>
      <c r="AB197" s="106">
        <v>239.03842255413639</v>
      </c>
      <c r="AC197" s="106">
        <v>355.65162819646213</v>
      </c>
      <c r="AD197" s="106">
        <v>367.93389045994576</v>
      </c>
      <c r="AE197" s="106">
        <v>367.93389045994576</v>
      </c>
      <c r="AF197" s="106">
        <v>367.93389045994576</v>
      </c>
      <c r="AG197" s="106">
        <v>367.93389045994576</v>
      </c>
      <c r="AH197" s="106">
        <v>112.12557036029564</v>
      </c>
      <c r="AI197" s="106">
        <v>255.84122025575294</v>
      </c>
      <c r="AJ197" s="106">
        <v>588.51437037037033</v>
      </c>
      <c r="AK197" s="106">
        <v>105.52127363001124</v>
      </c>
      <c r="AL197" s="106">
        <v>480.02656066413851</v>
      </c>
      <c r="AM197" s="106">
        <v>255.841220255753</v>
      </c>
      <c r="AN197" s="106">
        <v>526</v>
      </c>
      <c r="AO197" s="106">
        <v>281.25671912131889</v>
      </c>
      <c r="AP197" s="106">
        <v>112.12557036029563</v>
      </c>
      <c r="AQ197" s="106">
        <v>255.84122025575294</v>
      </c>
      <c r="AR197" s="106">
        <v>536</v>
      </c>
      <c r="AS197" s="106">
        <v>141.24594119860441</v>
      </c>
      <c r="AT197" s="106">
        <v>112.12557036029568</v>
      </c>
      <c r="AU197" s="106">
        <v>525</v>
      </c>
      <c r="AV197" s="106">
        <v>27.356799136561335</v>
      </c>
      <c r="AW197" s="106">
        <v>142.4316851460685</v>
      </c>
      <c r="AX197" s="106">
        <v>34.68947458647267</v>
      </c>
      <c r="AY197" s="106">
        <v>317.70302868609451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280.76984760886876</v>
      </c>
      <c r="G198" s="106">
        <v>429</v>
      </c>
      <c r="H198" s="106">
        <v>311.77885923135852</v>
      </c>
      <c r="I198" s="106">
        <v>20.189729822794721</v>
      </c>
      <c r="J198" s="106">
        <v>283.89261139446165</v>
      </c>
      <c r="K198" s="106">
        <v>0</v>
      </c>
      <c r="L198" s="106">
        <v>207.83488076378865</v>
      </c>
      <c r="M198" s="106">
        <v>218.75247606277793</v>
      </c>
      <c r="N198" s="106">
        <v>467.58735682656658</v>
      </c>
      <c r="O198" s="106">
        <v>147.08768665548843</v>
      </c>
      <c r="P198" s="106">
        <v>101.11424731962694</v>
      </c>
      <c r="Q198" s="106">
        <v>262.76655663934361</v>
      </c>
      <c r="R198" s="106">
        <v>0</v>
      </c>
      <c r="S198" s="106">
        <v>179.83488076378865</v>
      </c>
      <c r="T198" s="106">
        <v>0</v>
      </c>
      <c r="U198" s="106">
        <v>23.026560664138515</v>
      </c>
      <c r="V198" s="106">
        <v>242.76877122373435</v>
      </c>
      <c r="W198" s="106">
        <v>150.4533136075076</v>
      </c>
      <c r="X198" s="106">
        <v>61.556326360273033</v>
      </c>
      <c r="Y198" s="106">
        <v>0</v>
      </c>
      <c r="Z198" s="106">
        <v>0</v>
      </c>
      <c r="AA198" s="106">
        <v>210.83488076378865</v>
      </c>
      <c r="AB198" s="106">
        <v>175.96157744586361</v>
      </c>
      <c r="AC198" s="106">
        <v>129.34837180353787</v>
      </c>
      <c r="AD198" s="106">
        <v>12.282262263483631</v>
      </c>
      <c r="AE198" s="106">
        <v>0</v>
      </c>
      <c r="AF198" s="106">
        <v>0</v>
      </c>
      <c r="AG198" s="106">
        <v>0</v>
      </c>
      <c r="AH198" s="106">
        <v>0</v>
      </c>
      <c r="AI198" s="106">
        <v>0</v>
      </c>
      <c r="AJ198" s="106">
        <v>0</v>
      </c>
      <c r="AK198" s="106">
        <v>147.32051039341832</v>
      </c>
      <c r="AL198" s="106">
        <v>0</v>
      </c>
      <c r="AM198" s="106">
        <v>0</v>
      </c>
      <c r="AN198" s="106">
        <v>0</v>
      </c>
      <c r="AO198" s="106">
        <v>209.83488076378865</v>
      </c>
      <c r="AP198" s="106">
        <v>174.68961042451247</v>
      </c>
      <c r="AQ198" s="106">
        <v>1.4210854715202004E-14</v>
      </c>
      <c r="AR198" s="106">
        <v>0</v>
      </c>
      <c r="AS198" s="106">
        <v>199.83488076378865</v>
      </c>
      <c r="AT198" s="106">
        <v>0</v>
      </c>
      <c r="AU198" s="106">
        <v>0</v>
      </c>
      <c r="AV198" s="106">
        <v>466.64320086343866</v>
      </c>
      <c r="AW198" s="106">
        <v>304.5683148539315</v>
      </c>
      <c r="AX198" s="106">
        <v>481.31052541352733</v>
      </c>
      <c r="AY198" s="106">
        <v>148.29697131390546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177.22114076864148</v>
      </c>
      <c r="I199" s="106">
        <v>215.81447781631164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4.1506763625974684E-2</v>
      </c>
      <c r="D209" s="124">
        <v>0</v>
      </c>
      <c r="E209" s="124">
        <v>81.733612207851081</v>
      </c>
      <c r="F209" s="124">
        <v>413.7840043879122</v>
      </c>
      <c r="G209" s="124">
        <v>4.1051359590067449E-2</v>
      </c>
      <c r="H209" s="124">
        <v>52.949416796436367</v>
      </c>
      <c r="I209" s="124">
        <v>4.1051359590063896E-2</v>
      </c>
      <c r="J209" s="124">
        <v>0</v>
      </c>
      <c r="K209" s="124">
        <v>4.10513595900691E-2</v>
      </c>
      <c r="L209" s="124">
        <v>48.949416796436367</v>
      </c>
      <c r="M209" s="124">
        <v>4.10513595900691E-2</v>
      </c>
      <c r="N209" s="124">
        <v>47.949416796436367</v>
      </c>
      <c r="O209" s="124">
        <v>223.76788099340342</v>
      </c>
      <c r="P209" s="124">
        <v>4.10513595900691E-2</v>
      </c>
      <c r="Q209" s="124">
        <v>655.48858527603466</v>
      </c>
      <c r="R209" s="124">
        <v>4.10513595900691E-2</v>
      </c>
      <c r="S209" s="124">
        <v>139.90532730943903</v>
      </c>
      <c r="T209" s="124">
        <v>297.81369274628537</v>
      </c>
      <c r="U209" s="124">
        <v>447.4727101069592</v>
      </c>
      <c r="V209" s="124">
        <v>459.09163456315366</v>
      </c>
      <c r="W209" s="124">
        <v>459.09163456315366</v>
      </c>
      <c r="X209" s="124">
        <v>4.10513595900691E-2</v>
      </c>
      <c r="Y209" s="124">
        <v>143.97244555509485</v>
      </c>
      <c r="Z209" s="124">
        <v>458.0736172140704</v>
      </c>
      <c r="AA209" s="124">
        <v>459.09163456315366</v>
      </c>
      <c r="AB209" s="124">
        <v>459.09163456315366</v>
      </c>
      <c r="AC209" s="124">
        <v>459.09163456315366</v>
      </c>
      <c r="AD209" s="124">
        <v>459.09163456315366</v>
      </c>
      <c r="AE209" s="124">
        <v>459.09163456315366</v>
      </c>
      <c r="AF209" s="124">
        <v>459.09163456315366</v>
      </c>
      <c r="AG209" s="124">
        <v>139.90532730943912</v>
      </c>
      <c r="AH209" s="124">
        <v>4.10513595900691E-2</v>
      </c>
      <c r="AI209" s="124">
        <v>681.03011769071406</v>
      </c>
      <c r="AJ209" s="124">
        <v>4.1051359590056791E-2</v>
      </c>
      <c r="AK209" s="124">
        <v>139.90532730943903</v>
      </c>
      <c r="AL209" s="124">
        <v>4.10513595900691E-2</v>
      </c>
      <c r="AM209" s="124">
        <v>261.26116683272301</v>
      </c>
      <c r="AN209" s="124">
        <v>459.09163456315366</v>
      </c>
      <c r="AO209" s="124">
        <v>139.90532730943912</v>
      </c>
      <c r="AP209" s="124">
        <v>4.10513595900691E-2</v>
      </c>
      <c r="AQ209" s="124">
        <v>141.67920685150466</v>
      </c>
      <c r="AR209" s="124">
        <v>4.10513595900691E-2</v>
      </c>
      <c r="AS209" s="124">
        <v>139.90532730943914</v>
      </c>
      <c r="AT209" s="124">
        <v>0</v>
      </c>
      <c r="AU209" s="124">
        <v>139.90532730943909</v>
      </c>
      <c r="AV209" s="124">
        <v>299.81369274628543</v>
      </c>
      <c r="AW209" s="124">
        <v>139.90532730943912</v>
      </c>
      <c r="AX209" s="124">
        <v>459.09163456315366</v>
      </c>
      <c r="AY209" s="124">
        <v>298.81369274628543</v>
      </c>
    </row>
    <row r="210" spans="1:51">
      <c r="A210" s="109"/>
      <c r="B210" s="119">
        <v>2</v>
      </c>
      <c r="C210" s="106">
        <v>0</v>
      </c>
      <c r="D210" s="110">
        <v>274.54710530400001</v>
      </c>
      <c r="E210" s="110">
        <v>395.52252899991606</v>
      </c>
      <c r="F210" s="110">
        <v>199.21599561208777</v>
      </c>
      <c r="G210" s="110">
        <v>25.150800508549597</v>
      </c>
      <c r="H210" s="110">
        <v>459.05058320356363</v>
      </c>
      <c r="I210" s="110">
        <v>48.27025271224457</v>
      </c>
      <c r="J210" s="110">
        <v>227.90453612512277</v>
      </c>
      <c r="K210" s="110">
        <v>396.84940646312469</v>
      </c>
      <c r="L210" s="110">
        <v>459.05058320356363</v>
      </c>
      <c r="M210" s="110">
        <v>227.67478809389834</v>
      </c>
      <c r="N210" s="110">
        <v>459.05058320356363</v>
      </c>
      <c r="O210" s="110">
        <v>370.23211900659658</v>
      </c>
      <c r="P210" s="110">
        <v>130.6309943394503</v>
      </c>
      <c r="Q210" s="110">
        <v>0</v>
      </c>
      <c r="R210" s="110">
        <v>145.80213284315428</v>
      </c>
      <c r="S210" s="110">
        <v>459.05058320356363</v>
      </c>
      <c r="T210" s="110">
        <v>319.18630725371463</v>
      </c>
      <c r="U210" s="110">
        <v>89.527289893040773</v>
      </c>
      <c r="V210" s="110">
        <v>6.4498021633747413</v>
      </c>
      <c r="W210" s="110">
        <v>0</v>
      </c>
      <c r="X210" s="110">
        <v>0</v>
      </c>
      <c r="Y210" s="110">
        <v>459.05058320356363</v>
      </c>
      <c r="Z210" s="110">
        <v>174.9263827859296</v>
      </c>
      <c r="AA210" s="110">
        <v>0.56511345135475877</v>
      </c>
      <c r="AB210" s="110">
        <v>0</v>
      </c>
      <c r="AC210" s="110">
        <v>0</v>
      </c>
      <c r="AD210" s="110">
        <v>0</v>
      </c>
      <c r="AE210" s="110">
        <v>0</v>
      </c>
      <c r="AF210" s="110">
        <v>0</v>
      </c>
      <c r="AG210" s="110">
        <v>0</v>
      </c>
      <c r="AH210" s="110">
        <v>319.18630725371457</v>
      </c>
      <c r="AI210" s="110">
        <v>0</v>
      </c>
      <c r="AJ210" s="110">
        <v>131.62372660209488</v>
      </c>
      <c r="AK210" s="110">
        <v>459.05058320356363</v>
      </c>
      <c r="AL210" s="110">
        <v>319.18630725371463</v>
      </c>
      <c r="AM210" s="110">
        <v>459.05058320356363</v>
      </c>
      <c r="AN210" s="110">
        <v>109.81802864454505</v>
      </c>
      <c r="AO210" s="110">
        <v>0</v>
      </c>
      <c r="AP210" s="110">
        <v>319.18630725371457</v>
      </c>
      <c r="AQ210" s="110">
        <v>459.05058320356363</v>
      </c>
      <c r="AR210" s="110">
        <v>176.19938666914749</v>
      </c>
      <c r="AS210" s="110">
        <v>0</v>
      </c>
      <c r="AT210" s="110">
        <v>743.27283272374598</v>
      </c>
      <c r="AU210" s="110">
        <v>254.84718735855392</v>
      </c>
      <c r="AV210" s="110">
        <v>319.18630725371457</v>
      </c>
      <c r="AW210" s="110">
        <v>88.417066276785775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315.47598842988151</v>
      </c>
      <c r="E211" s="110">
        <v>102.74385879223287</v>
      </c>
      <c r="F211" s="110">
        <v>0</v>
      </c>
      <c r="G211" s="110">
        <v>0</v>
      </c>
      <c r="H211" s="110">
        <v>0</v>
      </c>
      <c r="I211" s="110">
        <v>0</v>
      </c>
      <c r="J211" s="110">
        <v>319.18630725371457</v>
      </c>
      <c r="K211" s="110">
        <v>128.31190013523363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19.408961307934753</v>
      </c>
      <c r="AV211" s="110">
        <v>0</v>
      </c>
      <c r="AW211" s="110">
        <v>0</v>
      </c>
      <c r="AX211" s="110">
        <v>0</v>
      </c>
      <c r="AY211" s="110">
        <v>319.18630725371457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478900.40094576468</v>
      </c>
      <c r="E259" s="124">
        <f t="shared" ref="E259:AX259" si="5">F$14*$B$259</f>
        <v>489093.34055385226</v>
      </c>
      <c r="F259" s="124">
        <f t="shared" si="5"/>
        <v>342935.66908098559</v>
      </c>
      <c r="G259" s="124">
        <f t="shared" si="5"/>
        <v>13123.324384816569</v>
      </c>
      <c r="H259" s="124">
        <f t="shared" si="5"/>
        <v>312017.26443169004</v>
      </c>
      <c r="I259" s="124">
        <f t="shared" si="5"/>
        <v>25167.062671959677</v>
      </c>
      <c r="J259" s="124">
        <f t="shared" si="5"/>
        <v>478292.67249646265</v>
      </c>
      <c r="K259" s="124">
        <f t="shared" si="5"/>
        <v>273596.43694434303</v>
      </c>
      <c r="L259" s="124">
        <f t="shared" si="5"/>
        <v>478292.67249646265</v>
      </c>
      <c r="M259" s="124">
        <f t="shared" si="5"/>
        <v>118625.2143887992</v>
      </c>
      <c r="N259" s="124">
        <f t="shared" si="5"/>
        <v>312017.26443169004</v>
      </c>
      <c r="O259" s="124">
        <f t="shared" si="5"/>
        <v>432024.00105781585</v>
      </c>
      <c r="P259" s="124">
        <f t="shared" si="5"/>
        <v>68071.678601161824</v>
      </c>
      <c r="Q259" s="124">
        <f t="shared" si="5"/>
        <v>478292.67249646265</v>
      </c>
      <c r="R259" s="124">
        <f t="shared" si="5"/>
        <v>75974.859872360321</v>
      </c>
      <c r="S259" s="124">
        <f t="shared" si="5"/>
        <v>312017.26443169004</v>
      </c>
      <c r="T259" s="124">
        <f t="shared" si="5"/>
        <v>405432.4368637373</v>
      </c>
      <c r="U259" s="124">
        <f t="shared" si="5"/>
        <v>285794.9525494526</v>
      </c>
      <c r="V259" s="124">
        <f t="shared" si="5"/>
        <v>242516.95828929753</v>
      </c>
      <c r="W259" s="124">
        <f t="shared" si="5"/>
        <v>239157.02879896475</v>
      </c>
      <c r="X259" s="124">
        <f t="shared" si="5"/>
        <v>21.38510146685817</v>
      </c>
      <c r="Y259" s="124">
        <f t="shared" si="5"/>
        <v>478292.67249646265</v>
      </c>
      <c r="Z259" s="124">
        <f t="shared" si="5"/>
        <v>330282.35284334875</v>
      </c>
      <c r="AA259" s="124">
        <f t="shared" si="5"/>
        <v>239451.41633248827</v>
      </c>
      <c r="AB259" s="124">
        <f t="shared" si="5"/>
        <v>239157.02879896475</v>
      </c>
      <c r="AC259" s="124">
        <f t="shared" si="5"/>
        <v>239157.02879896475</v>
      </c>
      <c r="AD259" s="124">
        <f t="shared" si="5"/>
        <v>239157.02879896475</v>
      </c>
      <c r="AE259" s="124">
        <f t="shared" si="5"/>
        <v>239157.02879896475</v>
      </c>
      <c r="AF259" s="124">
        <f t="shared" si="5"/>
        <v>239157.02879896475</v>
      </c>
      <c r="AG259" s="124">
        <f t="shared" si="5"/>
        <v>72881.620734192169</v>
      </c>
      <c r="AH259" s="124">
        <f t="shared" si="5"/>
        <v>166296.79316623943</v>
      </c>
      <c r="AI259" s="124">
        <f t="shared" si="5"/>
        <v>478292.67249646265</v>
      </c>
      <c r="AJ259" s="124">
        <f t="shared" si="5"/>
        <v>68588.827859507306</v>
      </c>
      <c r="AK259" s="124">
        <f t="shared" si="5"/>
        <v>312017.26443169004</v>
      </c>
      <c r="AL259" s="124">
        <f t="shared" si="5"/>
        <v>166296.79316623945</v>
      </c>
      <c r="AM259" s="124">
        <f t="shared" si="5"/>
        <v>478292.67249646265</v>
      </c>
      <c r="AN259" s="124">
        <f t="shared" si="5"/>
        <v>296365.11420479038</v>
      </c>
      <c r="AO259" s="124">
        <f t="shared" si="5"/>
        <v>72881.620734192169</v>
      </c>
      <c r="AP259" s="124">
        <f t="shared" si="5"/>
        <v>166296.79316623943</v>
      </c>
      <c r="AQ259" s="124">
        <f t="shared" si="5"/>
        <v>478292.67249646265</v>
      </c>
      <c r="AR259" s="124">
        <f t="shared" si="5"/>
        <v>91809.861779092869</v>
      </c>
      <c r="AS259" s="124">
        <f t="shared" si="5"/>
        <v>72881.620734192198</v>
      </c>
      <c r="AT259" s="124">
        <f t="shared" si="5"/>
        <v>644568.08056123508</v>
      </c>
      <c r="AU259" s="124">
        <f t="shared" si="5"/>
        <v>215751.32409382035</v>
      </c>
      <c r="AV259" s="124">
        <f t="shared" si="5"/>
        <v>405432.4368637373</v>
      </c>
      <c r="AW259" s="124">
        <f t="shared" si="5"/>
        <v>118941.18983524578</v>
      </c>
      <c r="AX259" s="124">
        <f t="shared" si="5"/>
        <v>239157.02879896475</v>
      </c>
      <c r="AY259" s="124">
        <f>AZ$14*$B$259</f>
        <v>405432.4368637373</v>
      </c>
      <c r="AZ259" s="139">
        <f>SUM($D259:$AY259)</f>
        <v>13055652.971038865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63838.961044046533</v>
      </c>
      <c r="E260" s="125">
        <f t="shared" ref="E260:AY260" si="6">(E$175-E$176+E$177-E$178+E$179-E$180+E$181-E$182)*$B$260</f>
        <v>99870.420925890328</v>
      </c>
      <c r="F260" s="125">
        <f t="shared" si="6"/>
        <v>99863.429794002426</v>
      </c>
      <c r="G260" s="125">
        <f t="shared" si="6"/>
        <v>76785.89820507323</v>
      </c>
      <c r="H260" s="125">
        <f t="shared" si="6"/>
        <v>75062.54585470364</v>
      </c>
      <c r="I260" s="125">
        <f t="shared" si="6"/>
        <v>30669.534679842862</v>
      </c>
      <c r="J260" s="125">
        <f t="shared" si="6"/>
        <v>70104.386458173045</v>
      </c>
      <c r="K260" s="125">
        <f t="shared" si="6"/>
        <v>32714.139608695095</v>
      </c>
      <c r="L260" s="125">
        <f t="shared" si="6"/>
        <v>94763.054391362559</v>
      </c>
      <c r="M260" s="125">
        <f t="shared" si="6"/>
        <v>39752.658178836529</v>
      </c>
      <c r="N260" s="125">
        <f t="shared" si="6"/>
        <v>39422.615830109506</v>
      </c>
      <c r="O260" s="125">
        <f t="shared" si="6"/>
        <v>71423.696822605198</v>
      </c>
      <c r="P260" s="125">
        <f t="shared" si="6"/>
        <v>30703.410167603175</v>
      </c>
      <c r="Q260" s="125">
        <f t="shared" si="6"/>
        <v>71741.960717408554</v>
      </c>
      <c r="R260" s="125">
        <f t="shared" si="6"/>
        <v>28007.509615069888</v>
      </c>
      <c r="S260" s="125">
        <f t="shared" si="6"/>
        <v>31860.00000000008</v>
      </c>
      <c r="T260" s="125">
        <f t="shared" si="6"/>
        <v>70875.686918102991</v>
      </c>
      <c r="U260" s="125">
        <f t="shared" si="6"/>
        <v>70880.678510038313</v>
      </c>
      <c r="V260" s="125">
        <f t="shared" si="6"/>
        <v>61824.615585693064</v>
      </c>
      <c r="W260" s="125">
        <f t="shared" si="6"/>
        <v>53670.796350858996</v>
      </c>
      <c r="X260" s="125">
        <f t="shared" si="6"/>
        <v>8222.7427679676603</v>
      </c>
      <c r="Y260" s="125">
        <f t="shared" si="6"/>
        <v>59944.568109726148</v>
      </c>
      <c r="Z260" s="125">
        <f t="shared" si="6"/>
        <v>50748.590656014952</v>
      </c>
      <c r="AA260" s="125">
        <f t="shared" si="6"/>
        <v>46075.111415994463</v>
      </c>
      <c r="AB260" s="125">
        <f t="shared" si="6"/>
        <v>41898.319077454929</v>
      </c>
      <c r="AC260" s="125">
        <f t="shared" si="6"/>
        <v>23234.352505051662</v>
      </c>
      <c r="AD260" s="125">
        <f t="shared" si="6"/>
        <v>28742.742767967706</v>
      </c>
      <c r="AE260" s="125">
        <f t="shared" si="6"/>
        <v>23097.416769242678</v>
      </c>
      <c r="AF260" s="125">
        <f t="shared" si="6"/>
        <v>17157.416769242678</v>
      </c>
      <c r="AG260" s="125">
        <f t="shared" si="6"/>
        <v>11105.325998725053</v>
      </c>
      <c r="AH260" s="125">
        <f t="shared" si="6"/>
        <v>4810.6519974501043</v>
      </c>
      <c r="AI260" s="125">
        <f t="shared" si="6"/>
        <v>40746.726004560209</v>
      </c>
      <c r="AJ260" s="125">
        <f t="shared" si="6"/>
        <v>8839.230623605099</v>
      </c>
      <c r="AK260" s="125">
        <f t="shared" si="6"/>
        <v>4802.5832307575047</v>
      </c>
      <c r="AL260" s="125">
        <f t="shared" si="6"/>
        <v>5045.3259987250522</v>
      </c>
      <c r="AM260" s="125">
        <f t="shared" si="6"/>
        <v>44569.828063825851</v>
      </c>
      <c r="AN260" s="125">
        <f t="shared" si="6"/>
        <v>37075.418844552405</v>
      </c>
      <c r="AO260" s="125">
        <f t="shared" si="6"/>
        <v>10481.37662547075</v>
      </c>
      <c r="AP260" s="125">
        <f t="shared" si="6"/>
        <v>0</v>
      </c>
      <c r="AQ260" s="125">
        <f t="shared" si="6"/>
        <v>51984.745662698951</v>
      </c>
      <c r="AR260" s="125">
        <f t="shared" si="6"/>
        <v>14395.418844552385</v>
      </c>
      <c r="AS260" s="125">
        <f t="shared" si="6"/>
        <v>310.65199745010432</v>
      </c>
      <c r="AT260" s="125">
        <f t="shared" si="6"/>
        <v>84420.758307043681</v>
      </c>
      <c r="AU260" s="125">
        <f t="shared" si="6"/>
        <v>61298.59205180635</v>
      </c>
      <c r="AV260" s="125">
        <f t="shared" si="6"/>
        <v>84288.192169490532</v>
      </c>
      <c r="AW260" s="125">
        <f t="shared" si="6"/>
        <v>52278.631524811681</v>
      </c>
      <c r="AX260" s="125">
        <f t="shared" si="6"/>
        <v>31637.818278834384</v>
      </c>
      <c r="AY260" s="125">
        <f t="shared" si="6"/>
        <v>59067.944984685746</v>
      </c>
      <c r="AZ260" s="141">
        <f>SUM($D260:$AY260)</f>
        <v>2120116.4817058258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23</v>
      </c>
      <c r="E6" s="100">
        <v>13303.199999999999</v>
      </c>
      <c r="F6" s="100">
        <v>11.683756646603717</v>
      </c>
      <c r="G6" s="100">
        <v>6757.8848443955894</v>
      </c>
      <c r="H6" s="100">
        <v>16.610709218277012</v>
      </c>
      <c r="I6" s="100">
        <v>9607.634211851424</v>
      </c>
      <c r="J6" s="100">
        <v>15</v>
      </c>
      <c r="K6" s="100">
        <v>8676</v>
      </c>
      <c r="L6" s="100">
        <v>16</v>
      </c>
      <c r="M6" s="100">
        <v>9254.4</v>
      </c>
      <c r="N6" s="100">
        <v>18</v>
      </c>
      <c r="O6" s="100">
        <v>10411.199999999999</v>
      </c>
      <c r="P6" s="100">
        <v>28</v>
      </c>
      <c r="Q6" s="100">
        <v>16195.199999999999</v>
      </c>
      <c r="R6" s="100">
        <v>21</v>
      </c>
      <c r="S6" s="100">
        <v>12146.4</v>
      </c>
      <c r="T6" s="100">
        <v>18</v>
      </c>
      <c r="U6" s="100">
        <v>10411.199999999999</v>
      </c>
      <c r="V6" s="100">
        <v>19.119254659404245</v>
      </c>
      <c r="W6" s="100">
        <v>11058.576894999414</v>
      </c>
      <c r="X6" s="100">
        <v>20.934548049369312</v>
      </c>
      <c r="Y6" s="100">
        <v>12108.542591755209</v>
      </c>
      <c r="Z6" s="100">
        <v>23.037562008666686</v>
      </c>
      <c r="AA6" s="100">
        <v>13324.925865812811</v>
      </c>
      <c r="AB6" s="100">
        <v>18.923038352045161</v>
      </c>
      <c r="AC6" s="100">
        <v>10945.085382822921</v>
      </c>
      <c r="AD6" s="100">
        <v>15</v>
      </c>
      <c r="AE6" s="100">
        <v>8676</v>
      </c>
      <c r="AF6" s="100">
        <v>14.934831530957231</v>
      </c>
      <c r="AG6" s="100">
        <v>8638.3065575056626</v>
      </c>
      <c r="AH6" s="100">
        <v>26.803720825201907</v>
      </c>
      <c r="AI6" s="100">
        <v>15503.272125296782</v>
      </c>
      <c r="AJ6" s="100">
        <v>25.025923015367084</v>
      </c>
      <c r="AK6" s="100">
        <v>14474.99387208832</v>
      </c>
      <c r="AL6" s="100">
        <v>20.532162233494258</v>
      </c>
      <c r="AM6" s="100">
        <v>11875.802635853079</v>
      </c>
      <c r="AN6" s="100">
        <v>19.402120090565493</v>
      </c>
      <c r="AO6" s="100">
        <v>11222.186260383081</v>
      </c>
      <c r="AP6" s="100">
        <v>24.356780688752991</v>
      </c>
      <c r="AQ6" s="100">
        <v>14087.961950374729</v>
      </c>
      <c r="AR6" s="100">
        <v>27</v>
      </c>
      <c r="AS6" s="100">
        <v>15616.8</v>
      </c>
      <c r="AT6" s="100">
        <v>21.392367132827676</v>
      </c>
      <c r="AU6" s="100">
        <v>12373.345149627527</v>
      </c>
      <c r="AV6" s="100">
        <v>16.953044623313186</v>
      </c>
      <c r="AW6" s="100">
        <v>9805.6410101243473</v>
      </c>
      <c r="AX6" s="100">
        <v>26.622323357810764</v>
      </c>
      <c r="AY6" s="100">
        <v>15398.351830157746</v>
      </c>
      <c r="AZ6" s="100">
        <v>20.869993561551613</v>
      </c>
      <c r="BA6" s="100">
        <v>12071.204276001452</v>
      </c>
      <c r="BB6" s="100">
        <v>21.565603597542019</v>
      </c>
      <c r="BC6" s="100">
        <v>12473.545120818304</v>
      </c>
      <c r="BD6" s="100">
        <v>20</v>
      </c>
      <c r="BE6" s="100">
        <v>11568</v>
      </c>
      <c r="BF6" s="100">
        <v>20.458213988058272</v>
      </c>
      <c r="BG6" s="100">
        <v>11833.030970692904</v>
      </c>
      <c r="BH6" s="100">
        <v>20.366505166676159</v>
      </c>
      <c r="BI6" s="100">
        <v>11779.986588405491</v>
      </c>
      <c r="BJ6" s="100">
        <v>15</v>
      </c>
      <c r="BK6" s="100">
        <v>8676</v>
      </c>
      <c r="BL6" s="100">
        <v>27</v>
      </c>
      <c r="BM6" s="100">
        <v>15616.8</v>
      </c>
      <c r="BN6" s="100">
        <v>26.17325629672564</v>
      </c>
      <c r="BO6" s="100">
        <v>15138.611442026109</v>
      </c>
      <c r="BP6" s="100">
        <v>23.676979457821151</v>
      </c>
      <c r="BQ6" s="100">
        <v>13694.764918403753</v>
      </c>
      <c r="BR6" s="100">
        <v>15.7570626393052</v>
      </c>
      <c r="BS6" s="100">
        <v>9113.8850305741271</v>
      </c>
      <c r="BT6" s="100">
        <v>18</v>
      </c>
      <c r="BU6" s="100">
        <v>10411.199999999999</v>
      </c>
      <c r="BV6" s="100">
        <v>25.860289446531201</v>
      </c>
      <c r="BW6" s="100">
        <v>14957.591415873647</v>
      </c>
      <c r="BX6" s="100">
        <v>22</v>
      </c>
      <c r="BY6" s="100">
        <v>12724.8</v>
      </c>
      <c r="BZ6" s="100">
        <v>22.535029697488433</v>
      </c>
      <c r="CA6" s="100">
        <v>13034.261177027309</v>
      </c>
      <c r="CB6" s="100">
        <v>19.374908140929357</v>
      </c>
      <c r="CC6" s="100">
        <v>11206.44686871354</v>
      </c>
      <c r="CD6" s="100">
        <v>21.466437247317064</v>
      </c>
      <c r="CE6" s="100">
        <v>12416.18730384819</v>
      </c>
      <c r="CF6" s="100">
        <v>20</v>
      </c>
      <c r="CG6" s="100">
        <v>11568</v>
      </c>
      <c r="CH6" s="100">
        <v>20</v>
      </c>
      <c r="CI6" s="100">
        <v>11568</v>
      </c>
      <c r="CJ6" s="100">
        <v>15.598575683568903</v>
      </c>
      <c r="CK6" s="100">
        <v>9022.2161753762539</v>
      </c>
      <c r="CL6" s="100">
        <v>23.599575071486061</v>
      </c>
      <c r="CM6" s="100">
        <v>13649.994221347537</v>
      </c>
      <c r="CN6" s="100">
        <v>20.981809980564421</v>
      </c>
      <c r="CO6" s="100">
        <v>12135.878892758461</v>
      </c>
      <c r="CP6" s="100">
        <v>26.575042923031479</v>
      </c>
      <c r="CQ6" s="100">
        <v>15371.004826681406</v>
      </c>
      <c r="CR6" s="100">
        <v>28.455871855036683</v>
      </c>
      <c r="CS6" s="100">
        <v>16458.876280953216</v>
      </c>
      <c r="CT6" s="100">
        <v>23.12909266456909</v>
      </c>
      <c r="CU6" s="100">
        <v>13377.867197186761</v>
      </c>
    </row>
    <row r="7" spans="1:99">
      <c r="C7" s="99" t="s">
        <v>173</v>
      </c>
      <c r="D7" s="100">
        <v>25</v>
      </c>
      <c r="E7" s="100">
        <v>19710</v>
      </c>
      <c r="F7" s="100">
        <v>12.657403033820694</v>
      </c>
      <c r="G7" s="100">
        <v>9979.0965518642352</v>
      </c>
      <c r="H7" s="100">
        <v>13.842257681897509</v>
      </c>
      <c r="I7" s="100">
        <v>10913.235956407996</v>
      </c>
      <c r="J7" s="100">
        <v>13</v>
      </c>
      <c r="K7" s="100">
        <v>10249.199999999999</v>
      </c>
      <c r="L7" s="100">
        <v>14</v>
      </c>
      <c r="M7" s="100">
        <v>11037.6</v>
      </c>
      <c r="N7" s="100">
        <v>17</v>
      </c>
      <c r="O7" s="100">
        <v>13402.8</v>
      </c>
      <c r="P7" s="100">
        <v>26</v>
      </c>
      <c r="Q7" s="100">
        <v>20498.399999999998</v>
      </c>
      <c r="R7" s="100">
        <v>22</v>
      </c>
      <c r="S7" s="100">
        <v>17344.8</v>
      </c>
      <c r="T7" s="100">
        <v>17</v>
      </c>
      <c r="U7" s="100">
        <v>13402.8</v>
      </c>
      <c r="V7" s="100">
        <v>18.163291926434031</v>
      </c>
      <c r="W7" s="100">
        <v>14319.93935480059</v>
      </c>
      <c r="X7" s="100">
        <v>20.062275213978925</v>
      </c>
      <c r="Y7" s="100">
        <v>15817.097778700983</v>
      </c>
      <c r="Z7" s="100">
        <v>20.157866757583353</v>
      </c>
      <c r="AA7" s="100">
        <v>15892.462151678716</v>
      </c>
      <c r="AB7" s="100">
        <v>18.923038352045161</v>
      </c>
      <c r="AC7" s="100">
        <v>14918.923436752404</v>
      </c>
      <c r="AD7" s="100">
        <v>14</v>
      </c>
      <c r="AE7" s="100">
        <v>11037.6</v>
      </c>
      <c r="AF7" s="100">
        <v>14.934831530957231</v>
      </c>
      <c r="AG7" s="100">
        <v>11774.621179006681</v>
      </c>
      <c r="AH7" s="100">
        <v>23.931893593930269</v>
      </c>
      <c r="AI7" s="100">
        <v>18867.904909454624</v>
      </c>
      <c r="AJ7" s="100">
        <v>25.025923015367084</v>
      </c>
      <c r="AK7" s="100">
        <v>19730.437705315409</v>
      </c>
      <c r="AL7" s="100">
        <v>18.952765138610083</v>
      </c>
      <c r="AM7" s="100">
        <v>14942.36003528019</v>
      </c>
      <c r="AN7" s="100">
        <v>20.245690529285731</v>
      </c>
      <c r="AO7" s="100">
        <v>15961.702413288871</v>
      </c>
      <c r="AP7" s="100">
        <v>23.419981431493259</v>
      </c>
      <c r="AQ7" s="100">
        <v>18464.313360589284</v>
      </c>
      <c r="AR7" s="100">
        <v>28</v>
      </c>
      <c r="AS7" s="100">
        <v>22075.200000000001</v>
      </c>
      <c r="AT7" s="100">
        <v>23.252572970464865</v>
      </c>
      <c r="AU7" s="100">
        <v>18332.328529914499</v>
      </c>
      <c r="AV7" s="100">
        <v>16.953044623313186</v>
      </c>
      <c r="AW7" s="100">
        <v>13365.780381020115</v>
      </c>
      <c r="AX7" s="100">
        <v>22.678275452949912</v>
      </c>
      <c r="AY7" s="100">
        <v>17879.552367105709</v>
      </c>
      <c r="AZ7" s="100">
        <v>19.921357490571992</v>
      </c>
      <c r="BA7" s="100">
        <v>15705.998245566958</v>
      </c>
      <c r="BB7" s="100">
        <v>21.565603597542019</v>
      </c>
      <c r="BC7" s="100">
        <v>17002.321876302129</v>
      </c>
      <c r="BD7" s="100">
        <v>21</v>
      </c>
      <c r="BE7" s="100">
        <v>16556.399999999998</v>
      </c>
      <c r="BF7" s="100">
        <v>19.528295170419259</v>
      </c>
      <c r="BG7" s="100">
        <v>15396.107912358544</v>
      </c>
      <c r="BH7" s="100">
        <v>15.93900404348569</v>
      </c>
      <c r="BI7" s="100">
        <v>12566.310787884118</v>
      </c>
      <c r="BJ7" s="100">
        <v>16</v>
      </c>
      <c r="BK7" s="100">
        <v>12614.4</v>
      </c>
      <c r="BL7" s="100">
        <v>28</v>
      </c>
      <c r="BM7" s="100">
        <v>22075.200000000001</v>
      </c>
      <c r="BN7" s="100">
        <v>30.050775748092402</v>
      </c>
      <c r="BO7" s="100">
        <v>23692.03159979605</v>
      </c>
      <c r="BP7" s="100">
        <v>23.676979457821151</v>
      </c>
      <c r="BQ7" s="100">
        <v>18666.930604546196</v>
      </c>
      <c r="BR7" s="100">
        <v>14.830176601699012</v>
      </c>
      <c r="BS7" s="100">
        <v>11692.111232779502</v>
      </c>
      <c r="BT7" s="100">
        <v>16</v>
      </c>
      <c r="BU7" s="100">
        <v>12614.4</v>
      </c>
      <c r="BV7" s="100">
        <v>24.968555327685294</v>
      </c>
      <c r="BW7" s="100">
        <v>19685.209020347087</v>
      </c>
      <c r="BX7" s="100">
        <v>20</v>
      </c>
      <c r="BY7" s="100">
        <v>15768</v>
      </c>
      <c r="BZ7" s="100">
        <v>20.865768238415217</v>
      </c>
      <c r="CA7" s="100">
        <v>16450.571679166558</v>
      </c>
      <c r="CB7" s="100">
        <v>18.406162733882887</v>
      </c>
      <c r="CC7" s="100">
        <v>14511.418699393267</v>
      </c>
      <c r="CD7" s="100">
        <v>20.699778774198595</v>
      </c>
      <c r="CE7" s="100">
        <v>16319.705585578173</v>
      </c>
      <c r="CF7" s="100">
        <v>21</v>
      </c>
      <c r="CG7" s="100">
        <v>16556.399999999998</v>
      </c>
      <c r="CH7" s="100">
        <v>20</v>
      </c>
      <c r="CI7" s="100">
        <v>15768</v>
      </c>
      <c r="CJ7" s="100">
        <v>15.598575683568903</v>
      </c>
      <c r="CK7" s="100">
        <v>12297.917068925723</v>
      </c>
      <c r="CL7" s="100">
        <v>23.599575071486061</v>
      </c>
      <c r="CM7" s="100">
        <v>18605.904986359612</v>
      </c>
      <c r="CN7" s="100">
        <v>17.984408554769502</v>
      </c>
      <c r="CO7" s="100">
        <v>14178.907704580275</v>
      </c>
      <c r="CP7" s="100">
        <v>26.575042923031479</v>
      </c>
      <c r="CQ7" s="100">
        <v>20951.763840518019</v>
      </c>
      <c r="CR7" s="100">
        <v>26.677379864096892</v>
      </c>
      <c r="CS7" s="100">
        <v>21032.446284853988</v>
      </c>
      <c r="CT7" s="100">
        <v>23.985725726219798</v>
      </c>
      <c r="CU7" s="100">
        <v>18910.346162551687</v>
      </c>
    </row>
    <row r="8" spans="1:99">
      <c r="C8" s="99" t="s">
        <v>174</v>
      </c>
      <c r="D8" s="100">
        <v>25</v>
      </c>
      <c r="E8" s="100">
        <v>7739.9999999999991</v>
      </c>
      <c r="F8" s="100">
        <v>13.631049421037671</v>
      </c>
      <c r="G8" s="100">
        <v>4220.1729007532622</v>
      </c>
      <c r="H8" s="100">
        <v>15.687892039483843</v>
      </c>
      <c r="I8" s="100">
        <v>4856.9713754241975</v>
      </c>
      <c r="J8" s="100">
        <v>14</v>
      </c>
      <c r="K8" s="100">
        <v>4334.3999999999996</v>
      </c>
      <c r="L8" s="100">
        <v>18</v>
      </c>
      <c r="M8" s="100">
        <v>5572.7999999999993</v>
      </c>
      <c r="N8" s="100">
        <v>18</v>
      </c>
      <c r="O8" s="100">
        <v>5572.7999999999993</v>
      </c>
      <c r="P8" s="100">
        <v>27</v>
      </c>
      <c r="Q8" s="100">
        <v>8359.1999999999989</v>
      </c>
      <c r="R8" s="100">
        <v>26</v>
      </c>
      <c r="S8" s="100">
        <v>8049.5999999999995</v>
      </c>
      <c r="T8" s="100">
        <v>16</v>
      </c>
      <c r="U8" s="100">
        <v>4953.5999999999995</v>
      </c>
      <c r="V8" s="100">
        <v>21.031180125344669</v>
      </c>
      <c r="W8" s="100">
        <v>6511.253366806709</v>
      </c>
      <c r="X8" s="100">
        <v>22.679093720150089</v>
      </c>
      <c r="Y8" s="100">
        <v>7021.4474157584664</v>
      </c>
      <c r="Z8" s="100">
        <v>23.997460425694463</v>
      </c>
      <c r="AA8" s="100">
        <v>7429.6137477950051</v>
      </c>
      <c r="AB8" s="100">
        <v>19.783176458956302</v>
      </c>
      <c r="AC8" s="100">
        <v>6124.8714316928699</v>
      </c>
      <c r="AD8" s="100">
        <v>14</v>
      </c>
      <c r="AE8" s="100">
        <v>4334.3999999999996</v>
      </c>
      <c r="AF8" s="100">
        <v>14.934831530957231</v>
      </c>
      <c r="AG8" s="100">
        <v>4623.8238419843583</v>
      </c>
      <c r="AH8" s="100">
        <v>26.803720825201907</v>
      </c>
      <c r="AI8" s="100">
        <v>8298.4319674825092</v>
      </c>
      <c r="AJ8" s="100">
        <v>25.952809052973272</v>
      </c>
      <c r="AK8" s="100">
        <v>8034.989682800524</v>
      </c>
      <c r="AL8" s="100">
        <v>19.742463686052169</v>
      </c>
      <c r="AM8" s="100">
        <v>6112.2667572017508</v>
      </c>
      <c r="AN8" s="100">
        <v>21.08926096800597</v>
      </c>
      <c r="AO8" s="100">
        <v>6529.2351956946477</v>
      </c>
      <c r="AP8" s="100">
        <v>26.230379203272452</v>
      </c>
      <c r="AQ8" s="100">
        <v>8120.9254013331501</v>
      </c>
      <c r="AR8" s="100">
        <v>29</v>
      </c>
      <c r="AS8" s="100">
        <v>8978.4</v>
      </c>
      <c r="AT8" s="100">
        <v>24.182675889283459</v>
      </c>
      <c r="AU8" s="100">
        <v>7486.956455322158</v>
      </c>
      <c r="AV8" s="100">
        <v>18.648349085644504</v>
      </c>
      <c r="AW8" s="100">
        <v>5773.5288769155377</v>
      </c>
      <c r="AX8" s="100">
        <v>26.622323357810764</v>
      </c>
      <c r="AY8" s="100">
        <v>8242.2713115782117</v>
      </c>
      <c r="AZ8" s="100">
        <v>20.869993561551613</v>
      </c>
      <c r="BA8" s="100">
        <v>6461.3500066563784</v>
      </c>
      <c r="BB8" s="100">
        <v>20.627968658518455</v>
      </c>
      <c r="BC8" s="100">
        <v>6386.4190966773131</v>
      </c>
      <c r="BD8" s="100">
        <v>19</v>
      </c>
      <c r="BE8" s="100">
        <v>5882.4</v>
      </c>
      <c r="BF8" s="100">
        <v>19.528295170419259</v>
      </c>
      <c r="BG8" s="100">
        <v>6045.9601847618023</v>
      </c>
      <c r="BH8" s="100">
        <v>19.481004942038066</v>
      </c>
      <c r="BI8" s="100">
        <v>6031.3191300549843</v>
      </c>
      <c r="BJ8" s="100">
        <v>17</v>
      </c>
      <c r="BK8" s="100">
        <v>5263.2</v>
      </c>
      <c r="BL8" s="100">
        <v>29</v>
      </c>
      <c r="BM8" s="100">
        <v>8978.4</v>
      </c>
      <c r="BN8" s="100">
        <v>31.989535473775778</v>
      </c>
      <c r="BO8" s="100">
        <v>9903.9601826809794</v>
      </c>
      <c r="BP8" s="100">
        <v>23.676979457821151</v>
      </c>
      <c r="BQ8" s="100">
        <v>7330.3928401414278</v>
      </c>
      <c r="BR8" s="100">
        <v>15.7570626393052</v>
      </c>
      <c r="BS8" s="100">
        <v>4878.3865931288892</v>
      </c>
      <c r="BT8" s="100">
        <v>17</v>
      </c>
      <c r="BU8" s="100">
        <v>5263.2</v>
      </c>
      <c r="BV8" s="100">
        <v>27.643757684223008</v>
      </c>
      <c r="BW8" s="100">
        <v>8558.5073790354418</v>
      </c>
      <c r="BX8" s="100">
        <v>20</v>
      </c>
      <c r="BY8" s="100">
        <v>6191.9999999999991</v>
      </c>
      <c r="BZ8" s="100">
        <v>21.700398967951827</v>
      </c>
      <c r="CA8" s="100">
        <v>6718.4435204778847</v>
      </c>
      <c r="CB8" s="100">
        <v>19.374908140929357</v>
      </c>
      <c r="CC8" s="100">
        <v>5998.471560431728</v>
      </c>
      <c r="CD8" s="100">
        <v>25.299729612909395</v>
      </c>
      <c r="CE8" s="100">
        <v>7832.7962881567482</v>
      </c>
      <c r="CF8" s="100">
        <v>20</v>
      </c>
      <c r="CG8" s="100">
        <v>6191.9999999999991</v>
      </c>
      <c r="CH8" s="100">
        <v>21</v>
      </c>
      <c r="CI8" s="100">
        <v>6501.5999999999995</v>
      </c>
      <c r="CJ8" s="100">
        <v>16.341365001834088</v>
      </c>
      <c r="CK8" s="100">
        <v>5059.2866045678329</v>
      </c>
      <c r="CL8" s="100">
        <v>26.322602964349834</v>
      </c>
      <c r="CM8" s="100">
        <v>8149.477877762708</v>
      </c>
      <c r="CN8" s="100">
        <v>19.982676171966112</v>
      </c>
      <c r="CO8" s="100">
        <v>6186.636542840708</v>
      </c>
      <c r="CP8" s="100">
        <v>28.407804503930205</v>
      </c>
      <c r="CQ8" s="100">
        <v>8795.056274416791</v>
      </c>
      <c r="CR8" s="100">
        <v>27.566625859566788</v>
      </c>
      <c r="CS8" s="100">
        <v>8534.6273661218765</v>
      </c>
      <c r="CT8" s="100">
        <v>28.268891034473331</v>
      </c>
      <c r="CU8" s="100">
        <v>8752.0486642729429</v>
      </c>
    </row>
    <row r="9" spans="1:99">
      <c r="C9" s="99" t="s">
        <v>175</v>
      </c>
      <c r="D9" s="100">
        <v>23</v>
      </c>
      <c r="E9" s="100">
        <v>16146</v>
      </c>
      <c r="F9" s="100">
        <v>13.631049421037671</v>
      </c>
      <c r="G9" s="100">
        <v>9568.9966935684461</v>
      </c>
      <c r="H9" s="100">
        <v>13.842257681897509</v>
      </c>
      <c r="I9" s="100">
        <v>9717.2648926920519</v>
      </c>
      <c r="J9" s="100">
        <v>13</v>
      </c>
      <c r="K9" s="100">
        <v>9126</v>
      </c>
      <c r="L9" s="100">
        <v>17</v>
      </c>
      <c r="M9" s="100">
        <v>11934</v>
      </c>
      <c r="N9" s="100">
        <v>19</v>
      </c>
      <c r="O9" s="100">
        <v>13338</v>
      </c>
      <c r="P9" s="100">
        <v>25</v>
      </c>
      <c r="Q9" s="100">
        <v>17550</v>
      </c>
      <c r="R9" s="100">
        <v>24</v>
      </c>
      <c r="S9" s="100">
        <v>16848</v>
      </c>
      <c r="T9" s="100">
        <v>15</v>
      </c>
      <c r="U9" s="100">
        <v>10530</v>
      </c>
      <c r="V9" s="100">
        <v>18.163291926434031</v>
      </c>
      <c r="W9" s="100">
        <v>12750.630932356689</v>
      </c>
      <c r="X9" s="100">
        <v>19.190002378588538</v>
      </c>
      <c r="Y9" s="100">
        <v>13471.381669769155</v>
      </c>
      <c r="Z9" s="100">
        <v>19.197968340555569</v>
      </c>
      <c r="AA9" s="100">
        <v>13476.97377507001</v>
      </c>
      <c r="AB9" s="100">
        <v>16.342624031311729</v>
      </c>
      <c r="AC9" s="100">
        <v>11472.522069980834</v>
      </c>
      <c r="AD9" s="100">
        <v>15</v>
      </c>
      <c r="AE9" s="100">
        <v>10530</v>
      </c>
      <c r="AF9" s="100">
        <v>15.93048696635438</v>
      </c>
      <c r="AG9" s="100">
        <v>11183.201850380774</v>
      </c>
      <c r="AH9" s="100">
        <v>28.718272312716326</v>
      </c>
      <c r="AI9" s="100">
        <v>20160.227163526863</v>
      </c>
      <c r="AJ9" s="100">
        <v>23.172150940154705</v>
      </c>
      <c r="AK9" s="100">
        <v>16266.849959988602</v>
      </c>
      <c r="AL9" s="100">
        <v>18.952765138610083</v>
      </c>
      <c r="AM9" s="100">
        <v>13304.841127304278</v>
      </c>
      <c r="AN9" s="100">
        <v>21.08926096800597</v>
      </c>
      <c r="AO9" s="100">
        <v>14804.661199540191</v>
      </c>
      <c r="AP9" s="100">
        <v>22.48318217423353</v>
      </c>
      <c r="AQ9" s="100">
        <v>15783.193886311938</v>
      </c>
      <c r="AR9" s="100">
        <v>26</v>
      </c>
      <c r="AS9" s="100">
        <v>18252</v>
      </c>
      <c r="AT9" s="100">
        <v>22.32247005164627</v>
      </c>
      <c r="AU9" s="100">
        <v>15670.373976255682</v>
      </c>
      <c r="AV9" s="100">
        <v>16.953044623313186</v>
      </c>
      <c r="AW9" s="100">
        <v>11901.037325565856</v>
      </c>
      <c r="AX9" s="100">
        <v>22.678275452949912</v>
      </c>
      <c r="AY9" s="100">
        <v>15920.149367970838</v>
      </c>
      <c r="AZ9" s="100">
        <v>21.818629632531231</v>
      </c>
      <c r="BA9" s="100">
        <v>15316.678002036924</v>
      </c>
      <c r="BB9" s="100">
        <v>21.565603597542019</v>
      </c>
      <c r="BC9" s="100">
        <v>15139.053725474498</v>
      </c>
      <c r="BD9" s="100">
        <v>20</v>
      </c>
      <c r="BE9" s="100">
        <v>14040</v>
      </c>
      <c r="BF9" s="100">
        <v>19.528295170419259</v>
      </c>
      <c r="BG9" s="100">
        <v>13708.863209634319</v>
      </c>
      <c r="BH9" s="100">
        <v>16.824504268123782</v>
      </c>
      <c r="BI9" s="100">
        <v>11810.801996222895</v>
      </c>
      <c r="BJ9" s="100">
        <v>17</v>
      </c>
      <c r="BK9" s="100">
        <v>11934</v>
      </c>
      <c r="BL9" s="100">
        <v>28</v>
      </c>
      <c r="BM9" s="100">
        <v>19656</v>
      </c>
      <c r="BN9" s="100">
        <v>28.112016022409019</v>
      </c>
      <c r="BO9" s="100">
        <v>19734.63524773113</v>
      </c>
      <c r="BP9" s="100">
        <v>23.676979457821151</v>
      </c>
      <c r="BQ9" s="100">
        <v>16621.239579390447</v>
      </c>
      <c r="BR9" s="100">
        <v>15.7570626393052</v>
      </c>
      <c r="BS9" s="100">
        <v>11061.45797279225</v>
      </c>
      <c r="BT9" s="100">
        <v>16</v>
      </c>
      <c r="BU9" s="100">
        <v>11232</v>
      </c>
      <c r="BV9" s="100">
        <v>25.860289446531201</v>
      </c>
      <c r="BW9" s="100">
        <v>18153.923191464903</v>
      </c>
      <c r="BX9" s="100">
        <v>20</v>
      </c>
      <c r="BY9" s="100">
        <v>14040</v>
      </c>
      <c r="BZ9" s="100">
        <v>21.700398967951827</v>
      </c>
      <c r="CA9" s="100">
        <v>15233.680075502183</v>
      </c>
      <c r="CB9" s="100">
        <v>20.343653547975823</v>
      </c>
      <c r="CC9" s="100">
        <v>14281.244790679028</v>
      </c>
      <c r="CD9" s="100">
        <v>22.233095720435525</v>
      </c>
      <c r="CE9" s="100">
        <v>15607.633195745739</v>
      </c>
      <c r="CF9" s="100">
        <v>19</v>
      </c>
      <c r="CG9" s="100">
        <v>13338</v>
      </c>
      <c r="CH9" s="100">
        <v>18</v>
      </c>
      <c r="CI9" s="100">
        <v>12636</v>
      </c>
      <c r="CJ9" s="100">
        <v>17.826943638364458</v>
      </c>
      <c r="CK9" s="100">
        <v>12514.51443413185</v>
      </c>
      <c r="CL9" s="100">
        <v>22.691899107198132</v>
      </c>
      <c r="CM9" s="100">
        <v>15929.713173253089</v>
      </c>
      <c r="CN9" s="100">
        <v>20.981809980564421</v>
      </c>
      <c r="CO9" s="100">
        <v>14729.230606356223</v>
      </c>
      <c r="CP9" s="100">
        <v>27.491423713480842</v>
      </c>
      <c r="CQ9" s="100">
        <v>19298.979446863552</v>
      </c>
      <c r="CR9" s="100">
        <v>25.788133868626993</v>
      </c>
      <c r="CS9" s="100">
        <v>18103.269975776147</v>
      </c>
      <c r="CT9" s="100">
        <v>23.985725726219798</v>
      </c>
      <c r="CU9" s="100">
        <v>16837.979459806298</v>
      </c>
    </row>
    <row r="10" spans="1:99">
      <c r="C10" s="99" t="s">
        <v>176</v>
      </c>
      <c r="D10" s="100">
        <v>24</v>
      </c>
      <c r="E10" s="100">
        <v>13075.199999999999</v>
      </c>
      <c r="F10" s="100">
        <v>11.683756646603717</v>
      </c>
      <c r="G10" s="100">
        <v>6365.3106210697042</v>
      </c>
      <c r="H10" s="100">
        <v>16.610709218277012</v>
      </c>
      <c r="I10" s="100">
        <v>9049.5143821173151</v>
      </c>
      <c r="J10" s="100">
        <v>14</v>
      </c>
      <c r="K10" s="100">
        <v>7627.1999999999989</v>
      </c>
      <c r="L10" s="100">
        <v>15</v>
      </c>
      <c r="M10" s="100">
        <v>8171.9999999999991</v>
      </c>
      <c r="N10" s="100">
        <v>17</v>
      </c>
      <c r="O10" s="100">
        <v>9261.5999999999985</v>
      </c>
      <c r="P10" s="100">
        <v>28</v>
      </c>
      <c r="Q10" s="100">
        <v>15254.399999999998</v>
      </c>
      <c r="R10" s="100">
        <v>26</v>
      </c>
      <c r="S10" s="100">
        <v>14164.8</v>
      </c>
      <c r="T10" s="100">
        <v>18</v>
      </c>
      <c r="U10" s="100">
        <v>9806.4</v>
      </c>
      <c r="V10" s="100">
        <v>18.163291926434031</v>
      </c>
      <c r="W10" s="100">
        <v>9895.3614415212596</v>
      </c>
      <c r="X10" s="100">
        <v>20.934548049369312</v>
      </c>
      <c r="Y10" s="100">
        <v>11405.1417772964</v>
      </c>
      <c r="Z10" s="100">
        <v>21.117765174611129</v>
      </c>
      <c r="AA10" s="100">
        <v>11504.958467128143</v>
      </c>
      <c r="AB10" s="100">
        <v>18.923038352045161</v>
      </c>
      <c r="AC10" s="100">
        <v>10309.271294194203</v>
      </c>
      <c r="AD10" s="100">
        <v>15</v>
      </c>
      <c r="AE10" s="100">
        <v>8171.9999999999991</v>
      </c>
      <c r="AF10" s="100">
        <v>13.939176095560082</v>
      </c>
      <c r="AG10" s="100">
        <v>7594.0631368611321</v>
      </c>
      <c r="AH10" s="100">
        <v>28.718272312716326</v>
      </c>
      <c r="AI10" s="100">
        <v>15645.714755967854</v>
      </c>
      <c r="AJ10" s="100">
        <v>24.099036977760896</v>
      </c>
      <c r="AK10" s="100">
        <v>13129.155345484136</v>
      </c>
      <c r="AL10" s="100">
        <v>22.11155932837843</v>
      </c>
      <c r="AM10" s="100">
        <v>12046.377522100567</v>
      </c>
      <c r="AN10" s="100">
        <v>21.08926096800597</v>
      </c>
      <c r="AO10" s="100">
        <v>11489.429375369651</v>
      </c>
      <c r="AP10" s="100">
        <v>25.29357994601272</v>
      </c>
      <c r="AQ10" s="100">
        <v>13779.942354587729</v>
      </c>
      <c r="AR10" s="100">
        <v>27</v>
      </c>
      <c r="AS10" s="100">
        <v>14709.599999999999</v>
      </c>
      <c r="AT10" s="100">
        <v>24.182675889283459</v>
      </c>
      <c r="AU10" s="100">
        <v>13174.721824481627</v>
      </c>
      <c r="AV10" s="100">
        <v>17.800696854478847</v>
      </c>
      <c r="AW10" s="100">
        <v>9697.8196463200748</v>
      </c>
      <c r="AX10" s="100">
        <v>23.664287429165121</v>
      </c>
      <c r="AY10" s="100">
        <v>12892.303791409156</v>
      </c>
      <c r="AZ10" s="100">
        <v>21.818629632531231</v>
      </c>
      <c r="BA10" s="100">
        <v>11886.789423803013</v>
      </c>
      <c r="BB10" s="100">
        <v>22.503238536565583</v>
      </c>
      <c r="BC10" s="100">
        <v>12259.764354720928</v>
      </c>
      <c r="BD10" s="100">
        <v>21</v>
      </c>
      <c r="BE10" s="100">
        <v>11440.8</v>
      </c>
      <c r="BF10" s="100">
        <v>19.528295170419259</v>
      </c>
      <c r="BG10" s="100">
        <v>10639.015208844412</v>
      </c>
      <c r="BH10" s="100">
        <v>20.366505166676159</v>
      </c>
      <c r="BI10" s="100">
        <v>11095.67201480517</v>
      </c>
      <c r="BJ10" s="100">
        <v>15</v>
      </c>
      <c r="BK10" s="100">
        <v>8171.9999999999991</v>
      </c>
      <c r="BL10" s="100">
        <v>24</v>
      </c>
      <c r="BM10" s="100">
        <v>13075.199999999999</v>
      </c>
      <c r="BN10" s="100">
        <v>27.142636159567328</v>
      </c>
      <c r="BO10" s="100">
        <v>14787.308179732279</v>
      </c>
      <c r="BP10" s="100">
        <v>21.985766639405355</v>
      </c>
      <c r="BQ10" s="100">
        <v>11977.845665148037</v>
      </c>
      <c r="BR10" s="100">
        <v>15.7570626393052</v>
      </c>
      <c r="BS10" s="100">
        <v>8584.447725893473</v>
      </c>
      <c r="BT10" s="100">
        <v>16</v>
      </c>
      <c r="BU10" s="100">
        <v>8716.7999999999993</v>
      </c>
      <c r="BV10" s="100">
        <v>25.860289446531201</v>
      </c>
      <c r="BW10" s="100">
        <v>14088.685690470198</v>
      </c>
      <c r="BX10" s="100">
        <v>19</v>
      </c>
      <c r="BY10" s="100">
        <v>10351.199999999999</v>
      </c>
      <c r="BZ10" s="100">
        <v>22.535029697488433</v>
      </c>
      <c r="CA10" s="100">
        <v>12277.084179191697</v>
      </c>
      <c r="CB10" s="100">
        <v>20.343653547975823</v>
      </c>
      <c r="CC10" s="100">
        <v>11083.222452937227</v>
      </c>
      <c r="CD10" s="100">
        <v>23.766412666672462</v>
      </c>
      <c r="CE10" s="100">
        <v>12947.941620803156</v>
      </c>
      <c r="CF10" s="100">
        <v>20</v>
      </c>
      <c r="CG10" s="100">
        <v>10896</v>
      </c>
      <c r="CH10" s="100">
        <v>21</v>
      </c>
      <c r="CI10" s="100">
        <v>11440.8</v>
      </c>
      <c r="CJ10" s="100">
        <v>15.598575683568903</v>
      </c>
      <c r="CK10" s="100">
        <v>8498.1040324083369</v>
      </c>
      <c r="CL10" s="100">
        <v>24.507251035773983</v>
      </c>
      <c r="CM10" s="100">
        <v>13351.550364289666</v>
      </c>
      <c r="CN10" s="100">
        <v>18.983542363367807</v>
      </c>
      <c r="CO10" s="100">
        <v>10342.23387956278</v>
      </c>
      <c r="CP10" s="100">
        <v>24.742281342132756</v>
      </c>
      <c r="CQ10" s="100">
        <v>13479.594875193925</v>
      </c>
      <c r="CR10" s="100">
        <v>27.566625859566788</v>
      </c>
      <c r="CS10" s="100">
        <v>15018.297768291985</v>
      </c>
      <c r="CT10" s="100">
        <v>27.412257972822623</v>
      </c>
      <c r="CU10" s="100">
        <v>14934.198143593763</v>
      </c>
    </row>
    <row r="11" spans="1:99">
      <c r="C11" s="99" t="s">
        <v>177</v>
      </c>
      <c r="D11" s="100">
        <v>25</v>
      </c>
      <c r="E11" s="100">
        <v>13319.999999999998</v>
      </c>
      <c r="F11" s="100">
        <v>11.683756646603717</v>
      </c>
      <c r="G11" s="100">
        <v>6225.1055413104596</v>
      </c>
      <c r="H11" s="100">
        <v>15.687892039483843</v>
      </c>
      <c r="I11" s="100">
        <v>8358.5088786369906</v>
      </c>
      <c r="J11" s="100">
        <v>13</v>
      </c>
      <c r="K11" s="100">
        <v>6926.4</v>
      </c>
      <c r="L11" s="100">
        <v>14</v>
      </c>
      <c r="M11" s="100">
        <v>7459.1999999999989</v>
      </c>
      <c r="N11" s="100">
        <v>19</v>
      </c>
      <c r="O11" s="100">
        <v>10123.199999999999</v>
      </c>
      <c r="P11" s="100">
        <v>26</v>
      </c>
      <c r="Q11" s="100">
        <v>13852.8</v>
      </c>
      <c r="R11" s="100">
        <v>24</v>
      </c>
      <c r="S11" s="100">
        <v>12787.199999999999</v>
      </c>
      <c r="T11" s="100">
        <v>16</v>
      </c>
      <c r="U11" s="100">
        <v>8524.7999999999993</v>
      </c>
      <c r="V11" s="100">
        <v>21.031180125344669</v>
      </c>
      <c r="W11" s="100">
        <v>11205.412770783638</v>
      </c>
      <c r="X11" s="100">
        <v>19.190002378588538</v>
      </c>
      <c r="Y11" s="100">
        <v>10224.433267311972</v>
      </c>
      <c r="Z11" s="100">
        <v>21.117765174611129</v>
      </c>
      <c r="AA11" s="100">
        <v>11251.545285032809</v>
      </c>
      <c r="AB11" s="100">
        <v>18.923038352045161</v>
      </c>
      <c r="AC11" s="100">
        <v>10082.194833969661</v>
      </c>
      <c r="AD11" s="100">
        <v>14</v>
      </c>
      <c r="AE11" s="100">
        <v>7459.1999999999989</v>
      </c>
      <c r="AF11" s="100">
        <v>15.93048696635438</v>
      </c>
      <c r="AG11" s="100">
        <v>8487.763455673612</v>
      </c>
      <c r="AH11" s="100">
        <v>27.760996568959115</v>
      </c>
      <c r="AI11" s="100">
        <v>14791.058971941415</v>
      </c>
      <c r="AJ11" s="100">
        <v>25.025923015367084</v>
      </c>
      <c r="AK11" s="100">
        <v>13333.811782587582</v>
      </c>
      <c r="AL11" s="100">
        <v>22.11155932837843</v>
      </c>
      <c r="AM11" s="100">
        <v>11781.038810160026</v>
      </c>
      <c r="AN11" s="100">
        <v>21.932831406726208</v>
      </c>
      <c r="AO11" s="100">
        <v>11685.812573503723</v>
      </c>
      <c r="AP11" s="100">
        <v>26.230379203272452</v>
      </c>
      <c r="AQ11" s="100">
        <v>13975.546039503561</v>
      </c>
      <c r="AR11" s="100">
        <v>24</v>
      </c>
      <c r="AS11" s="100">
        <v>12787.199999999999</v>
      </c>
      <c r="AT11" s="100">
        <v>24.182675889283459</v>
      </c>
      <c r="AU11" s="100">
        <v>12884.529713810225</v>
      </c>
      <c r="AV11" s="100">
        <v>16.953044623313186</v>
      </c>
      <c r="AW11" s="100">
        <v>9032.5821753012642</v>
      </c>
      <c r="AX11" s="100">
        <v>22.678275452949912</v>
      </c>
      <c r="AY11" s="100">
        <v>12082.985161331711</v>
      </c>
      <c r="AZ11" s="100">
        <v>19.921357490571992</v>
      </c>
      <c r="BA11" s="100">
        <v>10614.099270976756</v>
      </c>
      <c r="BB11" s="100">
        <v>23.44087347558915</v>
      </c>
      <c r="BC11" s="100">
        <v>12489.297387793898</v>
      </c>
      <c r="BD11" s="100">
        <v>22</v>
      </c>
      <c r="BE11" s="100">
        <v>11721.599999999999</v>
      </c>
      <c r="BF11" s="100">
        <v>18.598376352780246</v>
      </c>
      <c r="BG11" s="100">
        <v>9909.2149207613147</v>
      </c>
      <c r="BH11" s="100">
        <v>20.366505166676159</v>
      </c>
      <c r="BI11" s="100">
        <v>10851.273952805057</v>
      </c>
      <c r="BJ11" s="100">
        <v>17</v>
      </c>
      <c r="BK11" s="100">
        <v>9057.5999999999985</v>
      </c>
      <c r="BL11" s="100">
        <v>29</v>
      </c>
      <c r="BM11" s="100">
        <v>15451.199999999999</v>
      </c>
      <c r="BN11" s="100">
        <v>31.020155610934093</v>
      </c>
      <c r="BO11" s="100">
        <v>16527.538909505685</v>
      </c>
      <c r="BP11" s="100">
        <v>25.368192276236947</v>
      </c>
      <c r="BQ11" s="100">
        <v>13516.172844779045</v>
      </c>
      <c r="BR11" s="100">
        <v>16.683948676911388</v>
      </c>
      <c r="BS11" s="100">
        <v>8889.2078550583865</v>
      </c>
      <c r="BT11" s="100">
        <v>18</v>
      </c>
      <c r="BU11" s="100">
        <v>9590.4</v>
      </c>
      <c r="BV11" s="100">
        <v>24.968555327685294</v>
      </c>
      <c r="BW11" s="100">
        <v>13303.246278590723</v>
      </c>
      <c r="BX11" s="100">
        <v>20</v>
      </c>
      <c r="BY11" s="100">
        <v>10656</v>
      </c>
      <c r="BZ11" s="100">
        <v>23.369660427025046</v>
      </c>
      <c r="CA11" s="100">
        <v>12451.355075518943</v>
      </c>
      <c r="CB11" s="100">
        <v>17.437417326836421</v>
      </c>
      <c r="CC11" s="100">
        <v>9290.6559517384449</v>
      </c>
      <c r="CD11" s="100">
        <v>22.233095720435525</v>
      </c>
      <c r="CE11" s="100">
        <v>11845.793399848048</v>
      </c>
      <c r="CF11" s="100">
        <v>22</v>
      </c>
      <c r="CG11" s="100">
        <v>11721.599999999999</v>
      </c>
      <c r="CH11" s="100">
        <v>21</v>
      </c>
      <c r="CI11" s="100">
        <v>11188.8</v>
      </c>
      <c r="CJ11" s="100">
        <v>16.341365001834088</v>
      </c>
      <c r="CK11" s="100">
        <v>8706.6792729772005</v>
      </c>
      <c r="CL11" s="100">
        <v>24.507251035773983</v>
      </c>
      <c r="CM11" s="100">
        <v>13057.463351860377</v>
      </c>
      <c r="CN11" s="100">
        <v>20.981809980564421</v>
      </c>
      <c r="CO11" s="100">
        <v>11179.108357644722</v>
      </c>
      <c r="CP11" s="100">
        <v>25.658662132582119</v>
      </c>
      <c r="CQ11" s="100">
        <v>13670.935184239752</v>
      </c>
      <c r="CR11" s="100">
        <v>28.455871855036683</v>
      </c>
      <c r="CS11" s="100">
        <v>15161.288524363543</v>
      </c>
      <c r="CT11" s="100">
        <v>23.12909266456909</v>
      </c>
      <c r="CU11" s="100">
        <v>12323.180571682409</v>
      </c>
    </row>
    <row r="12" spans="1:99">
      <c r="C12" s="99" t="s">
        <v>178</v>
      </c>
      <c r="D12" s="100">
        <v>25</v>
      </c>
      <c r="E12" s="100">
        <v>14069.999999999998</v>
      </c>
      <c r="F12" s="100">
        <v>11.683756646603717</v>
      </c>
      <c r="G12" s="100">
        <v>6575.6182407085716</v>
      </c>
      <c r="H12" s="100">
        <v>16.610709218277012</v>
      </c>
      <c r="I12" s="100">
        <v>9348.5071480463012</v>
      </c>
      <c r="J12" s="100">
        <v>14</v>
      </c>
      <c r="K12" s="100">
        <v>7879.1999999999989</v>
      </c>
      <c r="L12" s="100">
        <v>17</v>
      </c>
      <c r="M12" s="100">
        <v>9567.5999999999985</v>
      </c>
      <c r="N12" s="100">
        <v>17</v>
      </c>
      <c r="O12" s="100">
        <v>9567.5999999999985</v>
      </c>
      <c r="P12" s="100">
        <v>25</v>
      </c>
      <c r="Q12" s="100">
        <v>14069.999999999998</v>
      </c>
      <c r="R12" s="100">
        <v>23</v>
      </c>
      <c r="S12" s="100">
        <v>12944.4</v>
      </c>
      <c r="T12" s="100">
        <v>17</v>
      </c>
      <c r="U12" s="100">
        <v>9567.5999999999985</v>
      </c>
      <c r="V12" s="100">
        <v>19.119254659404245</v>
      </c>
      <c r="W12" s="100">
        <v>10760.316522312709</v>
      </c>
      <c r="X12" s="100">
        <v>19.190002378588538</v>
      </c>
      <c r="Y12" s="100">
        <v>10800.133338669628</v>
      </c>
      <c r="Z12" s="100">
        <v>23.037562008666686</v>
      </c>
      <c r="AA12" s="100">
        <v>12965.539898477609</v>
      </c>
      <c r="AB12" s="100">
        <v>17.202762138222873</v>
      </c>
      <c r="AC12" s="100">
        <v>9681.7145313918318</v>
      </c>
      <c r="AD12" s="100">
        <v>15</v>
      </c>
      <c r="AE12" s="100">
        <v>8442</v>
      </c>
      <c r="AF12" s="100">
        <v>15.93048696635438</v>
      </c>
      <c r="AG12" s="100">
        <v>8965.6780646642437</v>
      </c>
      <c r="AH12" s="100">
        <v>24.889169337687484</v>
      </c>
      <c r="AI12" s="100">
        <v>14007.624503250516</v>
      </c>
      <c r="AJ12" s="100">
        <v>24.099036977760896</v>
      </c>
      <c r="AK12" s="100">
        <v>13562.938011083832</v>
      </c>
      <c r="AL12" s="100">
        <v>22.11155932837843</v>
      </c>
      <c r="AM12" s="100">
        <v>12444.385590011379</v>
      </c>
      <c r="AN12" s="100">
        <v>20.245690529285731</v>
      </c>
      <c r="AO12" s="100">
        <v>11394.274629882009</v>
      </c>
      <c r="AP12" s="100">
        <v>26.230379203272452</v>
      </c>
      <c r="AQ12" s="100">
        <v>14762.457415601735</v>
      </c>
      <c r="AR12" s="100">
        <v>29</v>
      </c>
      <c r="AS12" s="100">
        <v>16321.199999999999</v>
      </c>
      <c r="AT12" s="100">
        <v>20.462264214009082</v>
      </c>
      <c r="AU12" s="100">
        <v>11516.162299644311</v>
      </c>
      <c r="AV12" s="100">
        <v>17.800696854478847</v>
      </c>
      <c r="AW12" s="100">
        <v>10018.232189700695</v>
      </c>
      <c r="AX12" s="100">
        <v>22.678275452949912</v>
      </c>
      <c r="AY12" s="100">
        <v>12763.333424920209</v>
      </c>
      <c r="AZ12" s="100">
        <v>20.869993561551613</v>
      </c>
      <c r="BA12" s="100">
        <v>11745.632376441246</v>
      </c>
      <c r="BB12" s="100">
        <v>23.44087347558915</v>
      </c>
      <c r="BC12" s="100">
        <v>13192.523592061572</v>
      </c>
      <c r="BD12" s="100">
        <v>19</v>
      </c>
      <c r="BE12" s="100">
        <v>10693.199999999999</v>
      </c>
      <c r="BF12" s="100">
        <v>18.598376352780246</v>
      </c>
      <c r="BG12" s="100">
        <v>10467.166211344722</v>
      </c>
      <c r="BH12" s="100">
        <v>19.481004942038066</v>
      </c>
      <c r="BI12" s="100">
        <v>10963.909581379023</v>
      </c>
      <c r="BJ12" s="100">
        <v>16</v>
      </c>
      <c r="BK12" s="100">
        <v>9004.7999999999993</v>
      </c>
      <c r="BL12" s="100">
        <v>26</v>
      </c>
      <c r="BM12" s="100">
        <v>14632.8</v>
      </c>
      <c r="BN12" s="100">
        <v>29.081395885250711</v>
      </c>
      <c r="BO12" s="100">
        <v>16367.009604219098</v>
      </c>
      <c r="BP12" s="100">
        <v>23.676979457821151</v>
      </c>
      <c r="BQ12" s="100">
        <v>13325.404038861743</v>
      </c>
      <c r="BR12" s="100">
        <v>18.537720752123764</v>
      </c>
      <c r="BS12" s="100">
        <v>10433.029239295254</v>
      </c>
      <c r="BT12" s="100">
        <v>15</v>
      </c>
      <c r="BU12" s="100">
        <v>8442</v>
      </c>
      <c r="BV12" s="100">
        <v>24.076821208839391</v>
      </c>
      <c r="BW12" s="100">
        <v>13550.434976334807</v>
      </c>
      <c r="BX12" s="100">
        <v>21</v>
      </c>
      <c r="BY12" s="100">
        <v>11818.8</v>
      </c>
      <c r="BZ12" s="100">
        <v>22.535029697488433</v>
      </c>
      <c r="CA12" s="100">
        <v>12682.714713746489</v>
      </c>
      <c r="CB12" s="100">
        <v>19.374908140929357</v>
      </c>
      <c r="CC12" s="100">
        <v>10904.198301715041</v>
      </c>
      <c r="CD12" s="100">
        <v>22.999754193553994</v>
      </c>
      <c r="CE12" s="100">
        <v>12944.261660132186</v>
      </c>
      <c r="CF12" s="100">
        <v>20</v>
      </c>
      <c r="CG12" s="100">
        <v>11256</v>
      </c>
      <c r="CH12" s="100">
        <v>18</v>
      </c>
      <c r="CI12" s="100">
        <v>10130.4</v>
      </c>
      <c r="CJ12" s="100">
        <v>15.598575683568903</v>
      </c>
      <c r="CK12" s="100">
        <v>8778.8783947125776</v>
      </c>
      <c r="CL12" s="100">
        <v>25.414927000061912</v>
      </c>
      <c r="CM12" s="100">
        <v>14303.520915634843</v>
      </c>
      <c r="CN12" s="100">
        <v>18.983542363367807</v>
      </c>
      <c r="CO12" s="100">
        <v>10683.937642103401</v>
      </c>
      <c r="CP12" s="100">
        <v>28.407804503930205</v>
      </c>
      <c r="CQ12" s="100">
        <v>15987.912374811918</v>
      </c>
      <c r="CR12" s="100">
        <v>26.677379864096892</v>
      </c>
      <c r="CS12" s="100">
        <v>15014.02938751373</v>
      </c>
      <c r="CT12" s="100">
        <v>27.412257972822623</v>
      </c>
      <c r="CU12" s="100">
        <v>15427.618787104571</v>
      </c>
    </row>
    <row r="13" spans="1:99">
      <c r="C13" s="99" t="s">
        <v>179</v>
      </c>
      <c r="D13" s="100">
        <v>26</v>
      </c>
      <c r="E13" s="100">
        <v>2215.2000000000003</v>
      </c>
      <c r="F13" s="100">
        <v>14.604695808254647</v>
      </c>
      <c r="G13" s="100">
        <v>1244.320082863296</v>
      </c>
      <c r="H13" s="100">
        <v>17.53352639707018</v>
      </c>
      <c r="I13" s="100">
        <v>1493.8564490303793</v>
      </c>
      <c r="J13" s="100">
        <v>13</v>
      </c>
      <c r="K13" s="100">
        <v>1107.6000000000001</v>
      </c>
      <c r="L13" s="100">
        <v>16</v>
      </c>
      <c r="M13" s="100">
        <v>1363.2</v>
      </c>
      <c r="N13" s="100">
        <v>21</v>
      </c>
      <c r="O13" s="100">
        <v>1789.2</v>
      </c>
      <c r="P13" s="100">
        <v>29</v>
      </c>
      <c r="Q13" s="100">
        <v>2470.8000000000002</v>
      </c>
      <c r="R13" s="100">
        <v>26</v>
      </c>
      <c r="S13" s="100">
        <v>2215.2000000000003</v>
      </c>
      <c r="T13" s="100">
        <v>18</v>
      </c>
      <c r="U13" s="100">
        <v>1533.6000000000001</v>
      </c>
      <c r="V13" s="100">
        <v>21.031180125344669</v>
      </c>
      <c r="W13" s="100">
        <v>1791.8565466793659</v>
      </c>
      <c r="X13" s="100">
        <v>20.934548049369312</v>
      </c>
      <c r="Y13" s="100">
        <v>1783.6234938062655</v>
      </c>
      <c r="Z13" s="100">
        <v>23.037562008666686</v>
      </c>
      <c r="AA13" s="100">
        <v>1962.8002831384017</v>
      </c>
      <c r="AB13" s="100">
        <v>18.062900245134017</v>
      </c>
      <c r="AC13" s="100">
        <v>1538.9591008854184</v>
      </c>
      <c r="AD13" s="100">
        <v>15</v>
      </c>
      <c r="AE13" s="100">
        <v>1278</v>
      </c>
      <c r="AF13" s="100">
        <v>15.93048696635438</v>
      </c>
      <c r="AG13" s="100">
        <v>1357.2774895333932</v>
      </c>
      <c r="AH13" s="100">
        <v>29.675548056473538</v>
      </c>
      <c r="AI13" s="100">
        <v>2528.3566944115455</v>
      </c>
      <c r="AJ13" s="100">
        <v>25.025923015367084</v>
      </c>
      <c r="AK13" s="100">
        <v>2132.2086409092758</v>
      </c>
      <c r="AL13" s="100">
        <v>22.901257875820516</v>
      </c>
      <c r="AM13" s="100">
        <v>1951.187171019908</v>
      </c>
      <c r="AN13" s="100">
        <v>23.619972284166685</v>
      </c>
      <c r="AO13" s="100">
        <v>2012.4216386110018</v>
      </c>
      <c r="AP13" s="100">
        <v>27.167178460532185</v>
      </c>
      <c r="AQ13" s="100">
        <v>2314.6436048373421</v>
      </c>
      <c r="AR13" s="100">
        <v>28</v>
      </c>
      <c r="AS13" s="100">
        <v>2385.6</v>
      </c>
      <c r="AT13" s="100">
        <v>21.392367132827676</v>
      </c>
      <c r="AU13" s="100">
        <v>1822.629679716918</v>
      </c>
      <c r="AV13" s="100">
        <v>17.800696854478847</v>
      </c>
      <c r="AW13" s="100">
        <v>1516.6193720015979</v>
      </c>
      <c r="AX13" s="100">
        <v>26.622323357810764</v>
      </c>
      <c r="AY13" s="100">
        <v>2268.2219500854771</v>
      </c>
      <c r="AZ13" s="100">
        <v>22.767265703510848</v>
      </c>
      <c r="BA13" s="100">
        <v>1939.7710379391242</v>
      </c>
      <c r="BB13" s="100">
        <v>25.316143353636281</v>
      </c>
      <c r="BC13" s="100">
        <v>2156.9354137298114</v>
      </c>
      <c r="BD13" s="100">
        <v>21</v>
      </c>
      <c r="BE13" s="100">
        <v>1789.2</v>
      </c>
      <c r="BF13" s="100">
        <v>21.388132805697282</v>
      </c>
      <c r="BG13" s="100">
        <v>1822.2689150454084</v>
      </c>
      <c r="BH13" s="100">
        <v>17.710004492761879</v>
      </c>
      <c r="BI13" s="100">
        <v>1508.8923827833121</v>
      </c>
      <c r="BJ13" s="100">
        <v>18</v>
      </c>
      <c r="BK13" s="100">
        <v>1533.6000000000001</v>
      </c>
      <c r="BL13" s="100">
        <v>27</v>
      </c>
      <c r="BM13" s="100">
        <v>2300.4</v>
      </c>
      <c r="BN13" s="100">
        <v>29.081395885250711</v>
      </c>
      <c r="BO13" s="100">
        <v>2477.7349294233604</v>
      </c>
      <c r="BP13" s="100">
        <v>24.522585867029051</v>
      </c>
      <c r="BQ13" s="100">
        <v>2089.3243158708751</v>
      </c>
      <c r="BR13" s="100">
        <v>17.610834714517576</v>
      </c>
      <c r="BS13" s="100">
        <v>1500.4431176768976</v>
      </c>
      <c r="BT13" s="100">
        <v>17</v>
      </c>
      <c r="BU13" s="100">
        <v>1448.4</v>
      </c>
      <c r="BV13" s="100">
        <v>27.643757684223008</v>
      </c>
      <c r="BW13" s="100">
        <v>2355.2481546958002</v>
      </c>
      <c r="BX13" s="100">
        <v>23</v>
      </c>
      <c r="BY13" s="100">
        <v>1959.6000000000001</v>
      </c>
      <c r="BZ13" s="100">
        <v>23.369660427025046</v>
      </c>
      <c r="CA13" s="100">
        <v>1991.095068382534</v>
      </c>
      <c r="CB13" s="100">
        <v>19.374908140929357</v>
      </c>
      <c r="CC13" s="100">
        <v>1650.7421736071813</v>
      </c>
      <c r="CD13" s="100">
        <v>25.299729612909395</v>
      </c>
      <c r="CE13" s="100">
        <v>2155.5369630198807</v>
      </c>
      <c r="CF13" s="100">
        <v>20</v>
      </c>
      <c r="CG13" s="100">
        <v>1704</v>
      </c>
      <c r="CH13" s="100">
        <v>21</v>
      </c>
      <c r="CI13" s="100">
        <v>1789.2</v>
      </c>
      <c r="CJ13" s="100">
        <v>19.312522274894832</v>
      </c>
      <c r="CK13" s="100">
        <v>1645.4268978210398</v>
      </c>
      <c r="CL13" s="100">
        <v>23.599575071486061</v>
      </c>
      <c r="CM13" s="100">
        <v>2010.6837960906125</v>
      </c>
      <c r="CN13" s="100">
        <v>20.981809980564421</v>
      </c>
      <c r="CO13" s="100">
        <v>1787.6502103440887</v>
      </c>
      <c r="CP13" s="100">
        <v>29.324185294379568</v>
      </c>
      <c r="CQ13" s="100">
        <v>2498.4205870811393</v>
      </c>
      <c r="CR13" s="100">
        <v>25.788133868626993</v>
      </c>
      <c r="CS13" s="100">
        <v>2197.1490056070197</v>
      </c>
      <c r="CT13" s="100">
        <v>28.268891034473331</v>
      </c>
      <c r="CU13" s="100">
        <v>2408.5095161371278</v>
      </c>
    </row>
    <row r="14" spans="1:99">
      <c r="C14" s="99" t="s">
        <v>180</v>
      </c>
      <c r="D14" s="100">
        <v>25</v>
      </c>
      <c r="E14" s="100">
        <v>12210</v>
      </c>
      <c r="F14" s="100">
        <v>13.631049421037671</v>
      </c>
      <c r="G14" s="100">
        <v>6657.4045372347982</v>
      </c>
      <c r="H14" s="100">
        <v>14.765074860690676</v>
      </c>
      <c r="I14" s="100">
        <v>7211.2625619613264</v>
      </c>
      <c r="J14" s="100">
        <v>14</v>
      </c>
      <c r="K14" s="100">
        <v>6837.5999999999995</v>
      </c>
      <c r="L14" s="100">
        <v>16</v>
      </c>
      <c r="M14" s="100">
        <v>7814.4</v>
      </c>
      <c r="N14" s="100">
        <v>19</v>
      </c>
      <c r="O14" s="100">
        <v>9279.6</v>
      </c>
      <c r="P14" s="100">
        <v>26</v>
      </c>
      <c r="Q14" s="100">
        <v>12698.4</v>
      </c>
      <c r="R14" s="100">
        <v>22</v>
      </c>
      <c r="S14" s="100">
        <v>10744.8</v>
      </c>
      <c r="T14" s="100">
        <v>16</v>
      </c>
      <c r="U14" s="100">
        <v>7814.4</v>
      </c>
      <c r="V14" s="100">
        <v>18.163291926434031</v>
      </c>
      <c r="W14" s="100">
        <v>8870.9517768703809</v>
      </c>
      <c r="X14" s="100">
        <v>20.934548049369312</v>
      </c>
      <c r="Y14" s="100">
        <v>10224.433267311972</v>
      </c>
      <c r="Z14" s="100">
        <v>22.07766359163891</v>
      </c>
      <c r="AA14" s="100">
        <v>10782.730898156444</v>
      </c>
      <c r="AB14" s="100">
        <v>20.643314565867449</v>
      </c>
      <c r="AC14" s="100">
        <v>10082.194833969661</v>
      </c>
      <c r="AD14" s="100">
        <v>15</v>
      </c>
      <c r="AE14" s="100">
        <v>7326</v>
      </c>
      <c r="AF14" s="100">
        <v>14.934831530957231</v>
      </c>
      <c r="AG14" s="100">
        <v>7294.1717197195112</v>
      </c>
      <c r="AH14" s="100">
        <v>24.889169337687484</v>
      </c>
      <c r="AI14" s="100">
        <v>12155.870304526567</v>
      </c>
      <c r="AJ14" s="100">
        <v>22.245264902548517</v>
      </c>
      <c r="AK14" s="100">
        <v>10864.587378404694</v>
      </c>
      <c r="AL14" s="100">
        <v>21.321860780936344</v>
      </c>
      <c r="AM14" s="100">
        <v>10413.59680540931</v>
      </c>
      <c r="AN14" s="100">
        <v>20.245690529285731</v>
      </c>
      <c r="AO14" s="100">
        <v>9887.9952545031501</v>
      </c>
      <c r="AP14" s="100">
        <v>23.419981431493259</v>
      </c>
      <c r="AQ14" s="100">
        <v>11438.318931141308</v>
      </c>
      <c r="AR14" s="100">
        <v>27</v>
      </c>
      <c r="AS14" s="100">
        <v>13186.8</v>
      </c>
      <c r="AT14" s="100">
        <v>22.32247005164627</v>
      </c>
      <c r="AU14" s="100">
        <v>10902.294373224038</v>
      </c>
      <c r="AV14" s="100">
        <v>18.648349085644504</v>
      </c>
      <c r="AW14" s="100">
        <v>9107.8536934287749</v>
      </c>
      <c r="AX14" s="100">
        <v>25.636311381595551</v>
      </c>
      <c r="AY14" s="100">
        <v>12520.774478771267</v>
      </c>
      <c r="AZ14" s="100">
        <v>20.869993561551613</v>
      </c>
      <c r="BA14" s="100">
        <v>10192.904855461808</v>
      </c>
      <c r="BB14" s="100">
        <v>20.627968658518455</v>
      </c>
      <c r="BC14" s="100">
        <v>10074.699892820412</v>
      </c>
      <c r="BD14" s="100">
        <v>22</v>
      </c>
      <c r="BE14" s="100">
        <v>10744.8</v>
      </c>
      <c r="BF14" s="100">
        <v>22.318051623336295</v>
      </c>
      <c r="BG14" s="100">
        <v>10900.136412837446</v>
      </c>
      <c r="BH14" s="100">
        <v>20.366505166676159</v>
      </c>
      <c r="BI14" s="100">
        <v>9947.001123404636</v>
      </c>
      <c r="BJ14" s="100">
        <v>17</v>
      </c>
      <c r="BK14" s="100">
        <v>8302.7999999999993</v>
      </c>
      <c r="BL14" s="100">
        <v>25</v>
      </c>
      <c r="BM14" s="100">
        <v>12210</v>
      </c>
      <c r="BN14" s="100">
        <v>31.020155610934093</v>
      </c>
      <c r="BO14" s="100">
        <v>15150.244000380211</v>
      </c>
      <c r="BP14" s="100">
        <v>24.522585867029051</v>
      </c>
      <c r="BQ14" s="100">
        <v>11976.830937456987</v>
      </c>
      <c r="BR14" s="100">
        <v>17.610834714517576</v>
      </c>
      <c r="BS14" s="100">
        <v>8601.1316745703843</v>
      </c>
      <c r="BT14" s="100">
        <v>16</v>
      </c>
      <c r="BU14" s="100">
        <v>7814.4</v>
      </c>
      <c r="BV14" s="100">
        <v>27.643757684223008</v>
      </c>
      <c r="BW14" s="100">
        <v>13501.211252974517</v>
      </c>
      <c r="BX14" s="100">
        <v>20</v>
      </c>
      <c r="BY14" s="100">
        <v>9768</v>
      </c>
      <c r="BZ14" s="100">
        <v>25.038921886098262</v>
      </c>
      <c r="CA14" s="100">
        <v>12229.009449170391</v>
      </c>
      <c r="CB14" s="100">
        <v>21.312398955022292</v>
      </c>
      <c r="CC14" s="100">
        <v>10408.975649632886</v>
      </c>
      <c r="CD14" s="100">
        <v>22.999754193553994</v>
      </c>
      <c r="CE14" s="100">
        <v>11233.07994813177</v>
      </c>
      <c r="CF14" s="100">
        <v>22</v>
      </c>
      <c r="CG14" s="100">
        <v>10744.8</v>
      </c>
      <c r="CH14" s="100">
        <v>21</v>
      </c>
      <c r="CI14" s="100">
        <v>10256.4</v>
      </c>
      <c r="CJ14" s="100">
        <v>17.826943638364458</v>
      </c>
      <c r="CK14" s="100">
        <v>8706.6792729772005</v>
      </c>
      <c r="CL14" s="100">
        <v>25.414927000061912</v>
      </c>
      <c r="CM14" s="100">
        <v>12412.650346830238</v>
      </c>
      <c r="CN14" s="100">
        <v>21.980943789162723</v>
      </c>
      <c r="CO14" s="100">
        <v>10735.492946627073</v>
      </c>
      <c r="CP14" s="100">
        <v>24.742281342132756</v>
      </c>
      <c r="CQ14" s="100">
        <v>12084.130207497637</v>
      </c>
      <c r="CR14" s="100">
        <v>24.898887873157101</v>
      </c>
      <c r="CS14" s="100">
        <v>12160.616837249927</v>
      </c>
      <c r="CT14" s="100">
        <v>27.412257972822623</v>
      </c>
      <c r="CU14" s="100">
        <v>13388.146793926568</v>
      </c>
    </row>
    <row r="15" spans="1:99">
      <c r="C15" s="99" t="s">
        <v>181</v>
      </c>
      <c r="D15" s="100">
        <v>24</v>
      </c>
      <c r="E15" s="100">
        <v>18316.8</v>
      </c>
      <c r="F15" s="100">
        <v>13.631049421037671</v>
      </c>
      <c r="G15" s="100">
        <v>10403.21691813595</v>
      </c>
      <c r="H15" s="100">
        <v>14.765074860690676</v>
      </c>
      <c r="I15" s="100">
        <v>11268.705133679123</v>
      </c>
      <c r="J15" s="100">
        <v>15</v>
      </c>
      <c r="K15" s="100">
        <v>11447.999999999998</v>
      </c>
      <c r="L15" s="100">
        <v>15</v>
      </c>
      <c r="M15" s="100">
        <v>11447.999999999998</v>
      </c>
      <c r="N15" s="100">
        <v>17</v>
      </c>
      <c r="O15" s="100">
        <v>12974.4</v>
      </c>
      <c r="P15" s="100">
        <v>28</v>
      </c>
      <c r="Q15" s="100">
        <v>21369.599999999999</v>
      </c>
      <c r="R15" s="100">
        <v>23</v>
      </c>
      <c r="S15" s="100">
        <v>17553.599999999999</v>
      </c>
      <c r="T15" s="100">
        <v>17</v>
      </c>
      <c r="U15" s="100">
        <v>12974.4</v>
      </c>
      <c r="V15" s="100">
        <v>20.075217392374455</v>
      </c>
      <c r="W15" s="100">
        <v>15321.405913860182</v>
      </c>
      <c r="X15" s="100">
        <v>20.934548049369312</v>
      </c>
      <c r="Y15" s="100">
        <v>15977.247071278658</v>
      </c>
      <c r="Z15" s="100">
        <v>21.117765174611129</v>
      </c>
      <c r="AA15" s="100">
        <v>16117.078381263213</v>
      </c>
      <c r="AB15" s="100">
        <v>17.202762138222873</v>
      </c>
      <c r="AC15" s="100">
        <v>13129.148063891695</v>
      </c>
      <c r="AD15" s="100">
        <v>15</v>
      </c>
      <c r="AE15" s="100">
        <v>11447.999999999998</v>
      </c>
      <c r="AF15" s="100">
        <v>13.939176095560082</v>
      </c>
      <c r="AG15" s="100">
        <v>10638.379196131455</v>
      </c>
      <c r="AH15" s="100">
        <v>27.760996568959115</v>
      </c>
      <c r="AI15" s="100">
        <v>21187.192581429594</v>
      </c>
      <c r="AJ15" s="100">
        <v>23.172150940154705</v>
      </c>
      <c r="AK15" s="100">
        <v>17684.985597526069</v>
      </c>
      <c r="AL15" s="100">
        <v>21.321860780936344</v>
      </c>
      <c r="AM15" s="100">
        <v>16272.844148010616</v>
      </c>
      <c r="AN15" s="100">
        <v>19.402120090565493</v>
      </c>
      <c r="AO15" s="100">
        <v>14807.698053119582</v>
      </c>
      <c r="AP15" s="100">
        <v>24.356780688752991</v>
      </c>
      <c r="AQ15" s="100">
        <v>18589.095021656281</v>
      </c>
      <c r="AR15" s="100">
        <v>29</v>
      </c>
      <c r="AS15" s="100">
        <v>22132.799999999999</v>
      </c>
      <c r="AT15" s="100">
        <v>21.392367132827676</v>
      </c>
      <c r="AU15" s="100">
        <v>16326.654595774082</v>
      </c>
      <c r="AV15" s="100">
        <v>16.953044623313186</v>
      </c>
      <c r="AW15" s="100">
        <v>12938.563656512622</v>
      </c>
      <c r="AX15" s="100">
        <v>22.678275452949912</v>
      </c>
      <c r="AY15" s="100">
        <v>17308.059825691373</v>
      </c>
      <c r="AZ15" s="100">
        <v>20.869993561551613</v>
      </c>
      <c r="BA15" s="100">
        <v>15927.97908617619</v>
      </c>
      <c r="BB15" s="100">
        <v>22.503238536565583</v>
      </c>
      <c r="BC15" s="100">
        <v>17174.471651106851</v>
      </c>
      <c r="BD15" s="100">
        <v>20</v>
      </c>
      <c r="BE15" s="100">
        <v>15263.999999999998</v>
      </c>
      <c r="BF15" s="100">
        <v>19.528295170419259</v>
      </c>
      <c r="BG15" s="100">
        <v>14903.994874063977</v>
      </c>
      <c r="BH15" s="100">
        <v>19.481004942038066</v>
      </c>
      <c r="BI15" s="100">
        <v>14867.902971763451</v>
      </c>
      <c r="BJ15" s="100">
        <v>15</v>
      </c>
      <c r="BK15" s="100">
        <v>11447.999999999998</v>
      </c>
      <c r="BL15" s="100">
        <v>26</v>
      </c>
      <c r="BM15" s="100">
        <v>19843.199999999997</v>
      </c>
      <c r="BN15" s="100">
        <v>26.17325629672564</v>
      </c>
      <c r="BO15" s="100">
        <v>19975.429205661007</v>
      </c>
      <c r="BP15" s="100">
        <v>21.140160230197456</v>
      </c>
      <c r="BQ15" s="100">
        <v>16134.170287686697</v>
      </c>
      <c r="BR15" s="100">
        <v>14.830176601699012</v>
      </c>
      <c r="BS15" s="100">
        <v>11318.390782416685</v>
      </c>
      <c r="BT15" s="100">
        <v>15</v>
      </c>
      <c r="BU15" s="100">
        <v>11447.999999999998</v>
      </c>
      <c r="BV15" s="100">
        <v>24.076821208839391</v>
      </c>
      <c r="BW15" s="100">
        <v>18375.42994658622</v>
      </c>
      <c r="BX15" s="100">
        <v>21</v>
      </c>
      <c r="BY15" s="100">
        <v>16027.199999999999</v>
      </c>
      <c r="BZ15" s="100">
        <v>20.865768238415217</v>
      </c>
      <c r="CA15" s="100">
        <v>15924.754319558493</v>
      </c>
      <c r="CB15" s="100">
        <v>17.437417326836421</v>
      </c>
      <c r="CC15" s="100">
        <v>13308.236903841555</v>
      </c>
      <c r="CD15" s="100">
        <v>21.466437247317064</v>
      </c>
      <c r="CE15" s="100">
        <v>16383.184907152381</v>
      </c>
      <c r="CF15" s="100">
        <v>18</v>
      </c>
      <c r="CG15" s="100">
        <v>13737.599999999999</v>
      </c>
      <c r="CH15" s="100">
        <v>20</v>
      </c>
      <c r="CI15" s="100">
        <v>15263.999999999998</v>
      </c>
      <c r="CJ15" s="100">
        <v>17.084154320099273</v>
      </c>
      <c r="CK15" s="100">
        <v>13038.626577099763</v>
      </c>
      <c r="CL15" s="100">
        <v>21.784223142910207</v>
      </c>
      <c r="CM15" s="100">
        <v>16625.719102669067</v>
      </c>
      <c r="CN15" s="100">
        <v>18.983542363367807</v>
      </c>
      <c r="CO15" s="100">
        <v>14488.239531722309</v>
      </c>
      <c r="CP15" s="100">
        <v>26.575042923031479</v>
      </c>
      <c r="CQ15" s="100">
        <v>20282.072758857623</v>
      </c>
      <c r="CR15" s="100">
        <v>27.566625859566788</v>
      </c>
      <c r="CS15" s="100">
        <v>21038.84885602137</v>
      </c>
      <c r="CT15" s="100">
        <v>25.698991849521214</v>
      </c>
      <c r="CU15" s="100">
        <v>19613.470579554589</v>
      </c>
    </row>
    <row r="16" spans="1:99">
      <c r="C16" s="99" t="s">
        <v>182</v>
      </c>
      <c r="D16" s="100">
        <v>25</v>
      </c>
      <c r="E16" s="100">
        <v>8520</v>
      </c>
      <c r="F16" s="100">
        <v>12.657403033820694</v>
      </c>
      <c r="G16" s="100">
        <v>4313.6429539260926</v>
      </c>
      <c r="H16" s="100">
        <v>17.53352639707018</v>
      </c>
      <c r="I16" s="100">
        <v>5975.4257961215171</v>
      </c>
      <c r="J16" s="100">
        <v>14</v>
      </c>
      <c r="K16" s="100">
        <v>4771.2</v>
      </c>
      <c r="L16" s="100">
        <v>15</v>
      </c>
      <c r="M16" s="100">
        <v>5112</v>
      </c>
      <c r="N16" s="100">
        <v>18</v>
      </c>
      <c r="O16" s="100">
        <v>6134.4000000000005</v>
      </c>
      <c r="P16" s="100">
        <v>28</v>
      </c>
      <c r="Q16" s="100">
        <v>9542.4</v>
      </c>
      <c r="R16" s="100">
        <v>22</v>
      </c>
      <c r="S16" s="100">
        <v>7497.6</v>
      </c>
      <c r="T16" s="100">
        <v>15</v>
      </c>
      <c r="U16" s="100">
        <v>5112</v>
      </c>
      <c r="V16" s="100">
        <v>21.031180125344669</v>
      </c>
      <c r="W16" s="100">
        <v>7167.4261867174637</v>
      </c>
      <c r="X16" s="100">
        <v>22.679093720150089</v>
      </c>
      <c r="Y16" s="100">
        <v>7729.0351398271505</v>
      </c>
      <c r="Z16" s="100">
        <v>23.037562008666686</v>
      </c>
      <c r="AA16" s="100">
        <v>7851.2011325536068</v>
      </c>
      <c r="AB16" s="100">
        <v>19.783176458956302</v>
      </c>
      <c r="AC16" s="100">
        <v>6742.1065372123076</v>
      </c>
      <c r="AD16" s="100">
        <v>15</v>
      </c>
      <c r="AE16" s="100">
        <v>5112</v>
      </c>
      <c r="AF16" s="100">
        <v>14.934831530957231</v>
      </c>
      <c r="AG16" s="100">
        <v>5089.7905857502246</v>
      </c>
      <c r="AH16" s="100">
        <v>26.803720825201907</v>
      </c>
      <c r="AI16" s="100">
        <v>9134.7080572288105</v>
      </c>
      <c r="AJ16" s="100">
        <v>25.025923015367084</v>
      </c>
      <c r="AK16" s="100">
        <v>8528.8345636371032</v>
      </c>
      <c r="AL16" s="100">
        <v>19.742463686052169</v>
      </c>
      <c r="AM16" s="100">
        <v>6728.231624206579</v>
      </c>
      <c r="AN16" s="100">
        <v>21.932831406726208</v>
      </c>
      <c r="AO16" s="100">
        <v>7474.7089434122918</v>
      </c>
      <c r="AP16" s="100">
        <v>28.103977717791913</v>
      </c>
      <c r="AQ16" s="100">
        <v>9577.8356062234852</v>
      </c>
      <c r="AR16" s="100">
        <v>26</v>
      </c>
      <c r="AS16" s="100">
        <v>8860.8000000000011</v>
      </c>
      <c r="AT16" s="100">
        <v>24.182675889283459</v>
      </c>
      <c r="AU16" s="100">
        <v>8241.4559430678037</v>
      </c>
      <c r="AV16" s="100">
        <v>17.800696854478847</v>
      </c>
      <c r="AW16" s="100">
        <v>6066.4774880063915</v>
      </c>
      <c r="AX16" s="100">
        <v>24.650299405380334</v>
      </c>
      <c r="AY16" s="100">
        <v>8400.8220373536187</v>
      </c>
      <c r="AZ16" s="100">
        <v>20.869993561551613</v>
      </c>
      <c r="BA16" s="100">
        <v>7112.4938057767904</v>
      </c>
      <c r="BB16" s="100">
        <v>20.627968658518455</v>
      </c>
      <c r="BC16" s="100">
        <v>7030.0117188230897</v>
      </c>
      <c r="BD16" s="100">
        <v>20</v>
      </c>
      <c r="BE16" s="100">
        <v>6816</v>
      </c>
      <c r="BF16" s="100">
        <v>18.598376352780246</v>
      </c>
      <c r="BG16" s="100">
        <v>6338.3266610275077</v>
      </c>
      <c r="BH16" s="100">
        <v>17.710004492761879</v>
      </c>
      <c r="BI16" s="100">
        <v>6035.5695311332483</v>
      </c>
      <c r="BJ16" s="100">
        <v>18</v>
      </c>
      <c r="BK16" s="100">
        <v>6134.4000000000005</v>
      </c>
      <c r="BL16" s="100">
        <v>29</v>
      </c>
      <c r="BM16" s="100">
        <v>9883.2000000000007</v>
      </c>
      <c r="BN16" s="100">
        <v>30.050775748092402</v>
      </c>
      <c r="BO16" s="100">
        <v>10241.30437494989</v>
      </c>
      <c r="BP16" s="100">
        <v>21.140160230197456</v>
      </c>
      <c r="BQ16" s="100">
        <v>7204.5666064512934</v>
      </c>
      <c r="BR16" s="100">
        <v>18.537720752123764</v>
      </c>
      <c r="BS16" s="100">
        <v>6317.6552323237793</v>
      </c>
      <c r="BT16" s="100">
        <v>18</v>
      </c>
      <c r="BU16" s="100">
        <v>6134.4000000000005</v>
      </c>
      <c r="BV16" s="100">
        <v>28.535491803068911</v>
      </c>
      <c r="BW16" s="100">
        <v>9724.8956064858849</v>
      </c>
      <c r="BX16" s="100">
        <v>21</v>
      </c>
      <c r="BY16" s="100">
        <v>7156.8</v>
      </c>
      <c r="BZ16" s="100">
        <v>22.535029697488433</v>
      </c>
      <c r="CA16" s="100">
        <v>7679.9381209040585</v>
      </c>
      <c r="CB16" s="100">
        <v>19.374908140929357</v>
      </c>
      <c r="CC16" s="100">
        <v>6602.968694428725</v>
      </c>
      <c r="CD16" s="100">
        <v>24.533071139790927</v>
      </c>
      <c r="CE16" s="100">
        <v>8360.8706444407489</v>
      </c>
      <c r="CF16" s="100">
        <v>21</v>
      </c>
      <c r="CG16" s="100">
        <v>7156.8</v>
      </c>
      <c r="CH16" s="100">
        <v>21</v>
      </c>
      <c r="CI16" s="100">
        <v>7156.8</v>
      </c>
      <c r="CJ16" s="100">
        <v>16.341365001834088</v>
      </c>
      <c r="CK16" s="100">
        <v>5569.1371926250577</v>
      </c>
      <c r="CL16" s="100">
        <v>28.137954892925684</v>
      </c>
      <c r="CM16" s="100">
        <v>9589.4150275090742</v>
      </c>
      <c r="CN16" s="100">
        <v>20.981809980564421</v>
      </c>
      <c r="CO16" s="100">
        <v>7150.6008413763548</v>
      </c>
      <c r="CP16" s="100">
        <v>28.407804503930205</v>
      </c>
      <c r="CQ16" s="100">
        <v>9681.3797749394143</v>
      </c>
      <c r="CR16" s="100">
        <v>25.788133868626993</v>
      </c>
      <c r="CS16" s="100">
        <v>8788.5960224280789</v>
      </c>
      <c r="CT16" s="100">
        <v>27.412257972822623</v>
      </c>
      <c r="CU16" s="100">
        <v>9342.0975171379505</v>
      </c>
    </row>
    <row r="17" spans="2:99">
      <c r="C17" s="99" t="s">
        <v>183</v>
      </c>
      <c r="D17" s="100">
        <v>24</v>
      </c>
      <c r="E17" s="100">
        <v>10137.599999999999</v>
      </c>
      <c r="F17" s="100">
        <v>12.657403033820694</v>
      </c>
      <c r="G17" s="100">
        <v>5346.4870414858606</v>
      </c>
      <c r="H17" s="100">
        <v>14.765074860690676</v>
      </c>
      <c r="I17" s="100">
        <v>6236.7676211557409</v>
      </c>
      <c r="J17" s="100">
        <v>15</v>
      </c>
      <c r="K17" s="100">
        <v>6336</v>
      </c>
      <c r="L17" s="100">
        <v>16</v>
      </c>
      <c r="M17" s="100">
        <v>6758.4</v>
      </c>
      <c r="N17" s="100">
        <v>19</v>
      </c>
      <c r="O17" s="100">
        <v>8025.5999999999995</v>
      </c>
      <c r="P17" s="100">
        <v>25</v>
      </c>
      <c r="Q17" s="100">
        <v>10560</v>
      </c>
      <c r="R17" s="100">
        <v>24</v>
      </c>
      <c r="S17" s="100">
        <v>10137.599999999999</v>
      </c>
      <c r="T17" s="100">
        <v>18</v>
      </c>
      <c r="U17" s="100">
        <v>7603.2</v>
      </c>
      <c r="V17" s="100">
        <v>20.075217392374455</v>
      </c>
      <c r="W17" s="100">
        <v>8479.7718265389685</v>
      </c>
      <c r="X17" s="100">
        <v>20.934548049369312</v>
      </c>
      <c r="Y17" s="100">
        <v>8842.7530960535969</v>
      </c>
      <c r="Z17" s="100">
        <v>23.037562008666686</v>
      </c>
      <c r="AA17" s="100">
        <v>9731.0661924608085</v>
      </c>
      <c r="AB17" s="100">
        <v>20.643314565867449</v>
      </c>
      <c r="AC17" s="100">
        <v>8719.7360726224106</v>
      </c>
      <c r="AD17" s="100">
        <v>15</v>
      </c>
      <c r="AE17" s="100">
        <v>6336</v>
      </c>
      <c r="AF17" s="100">
        <v>15.93048696635438</v>
      </c>
      <c r="AG17" s="100">
        <v>6729.0376945880898</v>
      </c>
      <c r="AH17" s="100">
        <v>29.675548056473538</v>
      </c>
      <c r="AI17" s="100">
        <v>12534.951499054421</v>
      </c>
      <c r="AJ17" s="100">
        <v>24.099036977760896</v>
      </c>
      <c r="AK17" s="100">
        <v>10179.433219406203</v>
      </c>
      <c r="AL17" s="100">
        <v>22.11155932837843</v>
      </c>
      <c r="AM17" s="100">
        <v>9339.9226603070474</v>
      </c>
      <c r="AN17" s="100">
        <v>21.08926096800597</v>
      </c>
      <c r="AO17" s="100">
        <v>8908.1038328857212</v>
      </c>
      <c r="AP17" s="100">
        <v>23.419981431493259</v>
      </c>
      <c r="AQ17" s="100">
        <v>9892.6001566627529</v>
      </c>
      <c r="AR17" s="100">
        <v>28</v>
      </c>
      <c r="AS17" s="100">
        <v>11827.199999999999</v>
      </c>
      <c r="AT17" s="100">
        <v>23.252572970464865</v>
      </c>
      <c r="AU17" s="100">
        <v>9821.8868227243584</v>
      </c>
      <c r="AV17" s="100">
        <v>17.800696854478847</v>
      </c>
      <c r="AW17" s="100">
        <v>7519.0143513318644</v>
      </c>
      <c r="AX17" s="100">
        <v>23.664287429165121</v>
      </c>
      <c r="AY17" s="100">
        <v>9995.795010079346</v>
      </c>
      <c r="AZ17" s="100">
        <v>18.972721419592375</v>
      </c>
      <c r="BA17" s="100">
        <v>8014.077527635819</v>
      </c>
      <c r="BB17" s="100">
        <v>21.565603597542019</v>
      </c>
      <c r="BC17" s="100">
        <v>9109.3109596017475</v>
      </c>
      <c r="BD17" s="100">
        <v>19</v>
      </c>
      <c r="BE17" s="100">
        <v>8025.5999999999995</v>
      </c>
      <c r="BF17" s="100">
        <v>22.318051623336295</v>
      </c>
      <c r="BG17" s="100">
        <v>9427.1450056972499</v>
      </c>
      <c r="BH17" s="100">
        <v>19.481004942038066</v>
      </c>
      <c r="BI17" s="100">
        <v>8228.7764875168778</v>
      </c>
      <c r="BJ17" s="100">
        <v>16</v>
      </c>
      <c r="BK17" s="100">
        <v>6758.4</v>
      </c>
      <c r="BL17" s="100">
        <v>26</v>
      </c>
      <c r="BM17" s="100">
        <v>10982.4</v>
      </c>
      <c r="BN17" s="100">
        <v>27.142636159567328</v>
      </c>
      <c r="BO17" s="100">
        <v>11465.049513801239</v>
      </c>
      <c r="BP17" s="100">
        <v>24.522585867029051</v>
      </c>
      <c r="BQ17" s="100">
        <v>10358.34027023307</v>
      </c>
      <c r="BR17" s="100">
        <v>17.610834714517576</v>
      </c>
      <c r="BS17" s="100">
        <v>7438.8165834122237</v>
      </c>
      <c r="BT17" s="100">
        <v>17</v>
      </c>
      <c r="BU17" s="100">
        <v>7180.7999999999993</v>
      </c>
      <c r="BV17" s="100">
        <v>24.968555327685294</v>
      </c>
      <c r="BW17" s="100">
        <v>10546.717770414267</v>
      </c>
      <c r="BX17" s="100">
        <v>20</v>
      </c>
      <c r="BY17" s="100">
        <v>8448</v>
      </c>
      <c r="BZ17" s="100">
        <v>21.700398967951827</v>
      </c>
      <c r="CA17" s="100">
        <v>9166.2485240628521</v>
      </c>
      <c r="CB17" s="100">
        <v>18.406162733882887</v>
      </c>
      <c r="CC17" s="100">
        <v>7774.763138792131</v>
      </c>
      <c r="CD17" s="100">
        <v>22.999754193553994</v>
      </c>
      <c r="CE17" s="100">
        <v>9715.0961713572069</v>
      </c>
      <c r="CF17" s="100">
        <v>22</v>
      </c>
      <c r="CG17" s="100">
        <v>9292.7999999999993</v>
      </c>
      <c r="CH17" s="100">
        <v>20</v>
      </c>
      <c r="CI17" s="100">
        <v>8448</v>
      </c>
      <c r="CJ17" s="100">
        <v>17.826943638364458</v>
      </c>
      <c r="CK17" s="100">
        <v>7530.1009928451467</v>
      </c>
      <c r="CL17" s="100">
        <v>26.322602964349834</v>
      </c>
      <c r="CM17" s="100">
        <v>11118.667492141369</v>
      </c>
      <c r="CN17" s="100">
        <v>20.981809980564421</v>
      </c>
      <c r="CO17" s="100">
        <v>8862.7165357904105</v>
      </c>
      <c r="CP17" s="100">
        <v>26.575042923031479</v>
      </c>
      <c r="CQ17" s="100">
        <v>11225.298130688496</v>
      </c>
      <c r="CR17" s="100">
        <v>28.455871855036683</v>
      </c>
      <c r="CS17" s="100">
        <v>12019.760271567495</v>
      </c>
      <c r="CT17" s="100">
        <v>25.698991849521214</v>
      </c>
      <c r="CU17" s="100">
        <v>10855.25415723776</v>
      </c>
    </row>
    <row r="18" spans="2:99">
      <c r="C18" s="99" t="s">
        <v>184</v>
      </c>
      <c r="D18" s="100">
        <v>24</v>
      </c>
      <c r="E18" s="100">
        <v>15667.199999999999</v>
      </c>
      <c r="F18" s="100">
        <v>13.631049421037671</v>
      </c>
      <c r="G18" s="100">
        <v>8898.3490620533921</v>
      </c>
      <c r="H18" s="100">
        <v>16.610709218277012</v>
      </c>
      <c r="I18" s="100">
        <v>10843.470977691233</v>
      </c>
      <c r="J18" s="100">
        <v>14</v>
      </c>
      <c r="K18" s="100">
        <v>9139.1999999999989</v>
      </c>
      <c r="L18" s="100">
        <v>17</v>
      </c>
      <c r="M18" s="100">
        <v>11097.599999999999</v>
      </c>
      <c r="N18" s="100">
        <v>20</v>
      </c>
      <c r="O18" s="100">
        <v>13056</v>
      </c>
      <c r="P18" s="100">
        <v>28</v>
      </c>
      <c r="Q18" s="100">
        <v>18278.399999999998</v>
      </c>
      <c r="R18" s="100">
        <v>24</v>
      </c>
      <c r="S18" s="100">
        <v>15667.199999999999</v>
      </c>
      <c r="T18" s="100">
        <v>17</v>
      </c>
      <c r="U18" s="100">
        <v>11097.599999999999</v>
      </c>
      <c r="V18" s="100">
        <v>20.075217392374455</v>
      </c>
      <c r="W18" s="100">
        <v>13105.101913742043</v>
      </c>
      <c r="X18" s="100">
        <v>20.934548049369312</v>
      </c>
      <c r="Y18" s="100">
        <v>13666.072966628286</v>
      </c>
      <c r="Z18" s="100">
        <v>23.037562008666686</v>
      </c>
      <c r="AA18" s="100">
        <v>15038.920479257611</v>
      </c>
      <c r="AB18" s="100">
        <v>18.062900245134017</v>
      </c>
      <c r="AC18" s="100">
        <v>11791.461280023486</v>
      </c>
      <c r="AD18" s="100">
        <v>13</v>
      </c>
      <c r="AE18" s="100">
        <v>8486.4</v>
      </c>
      <c r="AF18" s="100">
        <v>15.93048696635438</v>
      </c>
      <c r="AG18" s="100">
        <v>10399.421891636139</v>
      </c>
      <c r="AH18" s="100">
        <v>24.889169337687484</v>
      </c>
      <c r="AI18" s="100">
        <v>16247.649743642389</v>
      </c>
      <c r="AJ18" s="100">
        <v>23.172150940154705</v>
      </c>
      <c r="AK18" s="100">
        <v>15126.780133732989</v>
      </c>
      <c r="AL18" s="100">
        <v>19.742463686052169</v>
      </c>
      <c r="AM18" s="100">
        <v>12887.880294254855</v>
      </c>
      <c r="AN18" s="100">
        <v>21.932831406726208</v>
      </c>
      <c r="AO18" s="100">
        <v>14317.752342310869</v>
      </c>
      <c r="AP18" s="100">
        <v>25.29357994601272</v>
      </c>
      <c r="AQ18" s="100">
        <v>16511.648988757104</v>
      </c>
      <c r="AR18" s="100">
        <v>24</v>
      </c>
      <c r="AS18" s="100">
        <v>15667.199999999999</v>
      </c>
      <c r="AT18" s="100">
        <v>23.252572970464865</v>
      </c>
      <c r="AU18" s="100">
        <v>15179.279635119463</v>
      </c>
      <c r="AV18" s="100">
        <v>16.953044623313186</v>
      </c>
      <c r="AW18" s="100">
        <v>11066.947530098847</v>
      </c>
      <c r="AX18" s="100">
        <v>25.636311381595551</v>
      </c>
      <c r="AY18" s="100">
        <v>16735.384069905573</v>
      </c>
      <c r="AZ18" s="100">
        <v>19.921357490571992</v>
      </c>
      <c r="BA18" s="100">
        <v>13004.662169845396</v>
      </c>
      <c r="BB18" s="100">
        <v>20.627968658518455</v>
      </c>
      <c r="BC18" s="100">
        <v>13465.937940280846</v>
      </c>
      <c r="BD18" s="100">
        <v>20</v>
      </c>
      <c r="BE18" s="100">
        <v>13056</v>
      </c>
      <c r="BF18" s="100">
        <v>18.598376352780246</v>
      </c>
      <c r="BG18" s="100">
        <v>12141.020083094943</v>
      </c>
      <c r="BH18" s="100">
        <v>16.824504268123782</v>
      </c>
      <c r="BI18" s="100">
        <v>10983.036386231204</v>
      </c>
      <c r="BJ18" s="100">
        <v>18</v>
      </c>
      <c r="BK18" s="100">
        <v>11750.4</v>
      </c>
      <c r="BL18" s="100">
        <v>25</v>
      </c>
      <c r="BM18" s="100">
        <v>16319.999999999998</v>
      </c>
      <c r="BN18" s="100">
        <v>30.050775748092402</v>
      </c>
      <c r="BO18" s="100">
        <v>19617.146408354718</v>
      </c>
      <c r="BP18" s="100">
        <v>21.985766639405355</v>
      </c>
      <c r="BQ18" s="100">
        <v>14352.308462203815</v>
      </c>
      <c r="BR18" s="100">
        <v>18.537720752123764</v>
      </c>
      <c r="BS18" s="100">
        <v>12101.424106986393</v>
      </c>
      <c r="BT18" s="100">
        <v>15</v>
      </c>
      <c r="BU18" s="100">
        <v>9792</v>
      </c>
      <c r="BV18" s="100">
        <v>25.860289446531201</v>
      </c>
      <c r="BW18" s="100">
        <v>16881.596950695566</v>
      </c>
      <c r="BX18" s="100">
        <v>19</v>
      </c>
      <c r="BY18" s="100">
        <v>12403.199999999999</v>
      </c>
      <c r="BZ18" s="100">
        <v>22.535029697488433</v>
      </c>
      <c r="CA18" s="100">
        <v>14710.867386520447</v>
      </c>
      <c r="CB18" s="100">
        <v>19.374908140929357</v>
      </c>
      <c r="CC18" s="100">
        <v>12647.940034398684</v>
      </c>
      <c r="CD18" s="100">
        <v>22.233095720435525</v>
      </c>
      <c r="CE18" s="100">
        <v>14513.764886300311</v>
      </c>
      <c r="CF18" s="100">
        <v>19</v>
      </c>
      <c r="CG18" s="100">
        <v>12403.199999999999</v>
      </c>
      <c r="CH18" s="100">
        <v>19</v>
      </c>
      <c r="CI18" s="100">
        <v>12403.199999999999</v>
      </c>
      <c r="CJ18" s="100">
        <v>16.341365001834088</v>
      </c>
      <c r="CK18" s="100">
        <v>10667.643073197292</v>
      </c>
      <c r="CL18" s="100">
        <v>23.599575071486061</v>
      </c>
      <c r="CM18" s="100">
        <v>15405.8026066661</v>
      </c>
      <c r="CN18" s="100">
        <v>20.981809980564421</v>
      </c>
      <c r="CO18" s="100">
        <v>13696.925555312453</v>
      </c>
      <c r="CP18" s="100">
        <v>24.742281342132756</v>
      </c>
      <c r="CQ18" s="100">
        <v>16151.761260144262</v>
      </c>
      <c r="CR18" s="100">
        <v>25.788133868626993</v>
      </c>
      <c r="CS18" s="100">
        <v>16834.493789439701</v>
      </c>
      <c r="CT18" s="100">
        <v>25.698991849521214</v>
      </c>
      <c r="CU18" s="100">
        <v>16776.301879367446</v>
      </c>
    </row>
    <row r="19" spans="2:99">
      <c r="C19" s="99" t="s">
        <v>185</v>
      </c>
      <c r="D19" s="100">
        <v>24</v>
      </c>
      <c r="E19" s="100">
        <v>7920</v>
      </c>
      <c r="F19" s="100">
        <v>13.631049421037671</v>
      </c>
      <c r="G19" s="100">
        <v>4498.2463089424318</v>
      </c>
      <c r="H19" s="100">
        <v>16.610709218277012</v>
      </c>
      <c r="I19" s="100">
        <v>5481.5340420314142</v>
      </c>
      <c r="J19" s="100">
        <v>16</v>
      </c>
      <c r="K19" s="100">
        <v>5280</v>
      </c>
      <c r="L19" s="100">
        <v>16</v>
      </c>
      <c r="M19" s="100">
        <v>5280</v>
      </c>
      <c r="N19" s="100">
        <v>18</v>
      </c>
      <c r="O19" s="100">
        <v>5940</v>
      </c>
      <c r="P19" s="100">
        <v>25</v>
      </c>
      <c r="Q19" s="100">
        <v>8250</v>
      </c>
      <c r="R19" s="100">
        <v>23</v>
      </c>
      <c r="S19" s="100">
        <v>7590</v>
      </c>
      <c r="T19" s="100">
        <v>19</v>
      </c>
      <c r="U19" s="100">
        <v>6270</v>
      </c>
      <c r="V19" s="100">
        <v>20.075217392374455</v>
      </c>
      <c r="W19" s="100">
        <v>6624.8217394835701</v>
      </c>
      <c r="X19" s="100">
        <v>21.806820884759698</v>
      </c>
      <c r="Y19" s="100">
        <v>7196.2508919707006</v>
      </c>
      <c r="Z19" s="100">
        <v>23.997460425694463</v>
      </c>
      <c r="AA19" s="100">
        <v>7919.1619404791727</v>
      </c>
      <c r="AB19" s="100">
        <v>18.923038352045161</v>
      </c>
      <c r="AC19" s="100">
        <v>6244.6026561749031</v>
      </c>
      <c r="AD19" s="100">
        <v>15</v>
      </c>
      <c r="AE19" s="100">
        <v>4950</v>
      </c>
      <c r="AF19" s="100">
        <v>13.939176095560082</v>
      </c>
      <c r="AG19" s="100">
        <v>4599.9281115348267</v>
      </c>
      <c r="AH19" s="100">
        <v>27.760996568959115</v>
      </c>
      <c r="AI19" s="100">
        <v>9161.128867756508</v>
      </c>
      <c r="AJ19" s="100">
        <v>24.099036977760896</v>
      </c>
      <c r="AK19" s="100">
        <v>7952.6822026610953</v>
      </c>
      <c r="AL19" s="100">
        <v>19.742463686052169</v>
      </c>
      <c r="AM19" s="100">
        <v>6515.0130163972153</v>
      </c>
      <c r="AN19" s="100">
        <v>21.08926096800597</v>
      </c>
      <c r="AO19" s="100">
        <v>6959.4561194419703</v>
      </c>
      <c r="AP19" s="100">
        <v>24.356780688752991</v>
      </c>
      <c r="AQ19" s="100">
        <v>8037.7376272884867</v>
      </c>
      <c r="AR19" s="100">
        <v>27</v>
      </c>
      <c r="AS19" s="100">
        <v>8910</v>
      </c>
      <c r="AT19" s="100">
        <v>21.392367132827676</v>
      </c>
      <c r="AU19" s="100">
        <v>7059.4811538331332</v>
      </c>
      <c r="AV19" s="100">
        <v>16.105392392147525</v>
      </c>
      <c r="AW19" s="100">
        <v>5314.7794894086837</v>
      </c>
      <c r="AX19" s="100">
        <v>25.636311381595551</v>
      </c>
      <c r="AY19" s="100">
        <v>8459.9827559265323</v>
      </c>
      <c r="AZ19" s="100">
        <v>18.972721419592375</v>
      </c>
      <c r="BA19" s="100">
        <v>6260.9980684654838</v>
      </c>
      <c r="BB19" s="100">
        <v>22.503238536565583</v>
      </c>
      <c r="BC19" s="100">
        <v>7426.0687170666424</v>
      </c>
      <c r="BD19" s="100">
        <v>22</v>
      </c>
      <c r="BE19" s="100">
        <v>7260</v>
      </c>
      <c r="BF19" s="100">
        <v>18.598376352780246</v>
      </c>
      <c r="BG19" s="100">
        <v>6137.4641964174807</v>
      </c>
      <c r="BH19" s="100">
        <v>17.710004492761879</v>
      </c>
      <c r="BI19" s="100">
        <v>5844.3014826114204</v>
      </c>
      <c r="BJ19" s="100">
        <v>17</v>
      </c>
      <c r="BK19" s="100">
        <v>5610</v>
      </c>
      <c r="BL19" s="100">
        <v>25</v>
      </c>
      <c r="BM19" s="100">
        <v>8250</v>
      </c>
      <c r="BN19" s="100">
        <v>28.112016022409019</v>
      </c>
      <c r="BO19" s="100">
        <v>9276.9652873949763</v>
      </c>
      <c r="BP19" s="100">
        <v>21.140160230197456</v>
      </c>
      <c r="BQ19" s="100">
        <v>6976.2528759651605</v>
      </c>
      <c r="BR19" s="100">
        <v>17.610834714517576</v>
      </c>
      <c r="BS19" s="100">
        <v>5811.5754557908003</v>
      </c>
      <c r="BT19" s="100">
        <v>18</v>
      </c>
      <c r="BU19" s="100">
        <v>5940</v>
      </c>
      <c r="BV19" s="100">
        <v>25.860289446531201</v>
      </c>
      <c r="BW19" s="100">
        <v>8533.8955173552968</v>
      </c>
      <c r="BX19" s="100">
        <v>22</v>
      </c>
      <c r="BY19" s="100">
        <v>7260</v>
      </c>
      <c r="BZ19" s="100">
        <v>22.535029697488433</v>
      </c>
      <c r="CA19" s="100">
        <v>7436.5598001711833</v>
      </c>
      <c r="CB19" s="100">
        <v>21.312398955022292</v>
      </c>
      <c r="CC19" s="100">
        <v>7033.0916551573564</v>
      </c>
      <c r="CD19" s="100">
        <v>23.766412666672462</v>
      </c>
      <c r="CE19" s="100">
        <v>7842.9161800019128</v>
      </c>
      <c r="CF19" s="100">
        <v>21</v>
      </c>
      <c r="CG19" s="100">
        <v>6930</v>
      </c>
      <c r="CH19" s="100">
        <v>19</v>
      </c>
      <c r="CI19" s="100">
        <v>6270</v>
      </c>
      <c r="CJ19" s="100">
        <v>15.598575683568903</v>
      </c>
      <c r="CK19" s="100">
        <v>5147.5299755777378</v>
      </c>
      <c r="CL19" s="100">
        <v>28.137954892925684</v>
      </c>
      <c r="CM19" s="100">
        <v>9285.5251146654755</v>
      </c>
      <c r="CN19" s="100">
        <v>20.981809980564421</v>
      </c>
      <c r="CO19" s="100">
        <v>6923.9972935862588</v>
      </c>
      <c r="CP19" s="100">
        <v>28.407804503930205</v>
      </c>
      <c r="CQ19" s="100">
        <v>9374.5754862969679</v>
      </c>
      <c r="CR19" s="100">
        <v>27.566625859566788</v>
      </c>
      <c r="CS19" s="100">
        <v>9096.9865336570401</v>
      </c>
      <c r="CT19" s="100">
        <v>25.698991849521214</v>
      </c>
      <c r="CU19" s="100">
        <v>8480.6673103419998</v>
      </c>
    </row>
    <row r="20" spans="2:99">
      <c r="B20" s="99" t="s">
        <v>127</v>
      </c>
      <c r="C20" s="99" t="s">
        <v>186</v>
      </c>
      <c r="D20" s="100">
        <v>17</v>
      </c>
      <c r="E20" s="100">
        <v>4875.6000000000004</v>
      </c>
      <c r="F20" s="100">
        <v>24.341159680424411</v>
      </c>
      <c r="G20" s="100">
        <v>6981.0445963457214</v>
      </c>
      <c r="H20" s="100">
        <v>23.993246648622346</v>
      </c>
      <c r="I20" s="100">
        <v>6881.2631388248892</v>
      </c>
      <c r="J20" s="100">
        <v>16</v>
      </c>
      <c r="K20" s="100">
        <v>4588.8</v>
      </c>
      <c r="L20" s="100">
        <v>22</v>
      </c>
      <c r="M20" s="100">
        <v>6309.6</v>
      </c>
      <c r="N20" s="100">
        <v>25</v>
      </c>
      <c r="O20" s="100">
        <v>7170</v>
      </c>
      <c r="P20" s="100">
        <v>24</v>
      </c>
      <c r="Q20" s="100">
        <v>6883.2000000000007</v>
      </c>
      <c r="R20" s="100">
        <v>29</v>
      </c>
      <c r="S20" s="100">
        <v>8317.2000000000007</v>
      </c>
      <c r="T20" s="100">
        <v>25</v>
      </c>
      <c r="U20" s="100">
        <v>7170</v>
      </c>
      <c r="V20" s="100">
        <v>19.119254659404245</v>
      </c>
      <c r="W20" s="100">
        <v>5483.402236317138</v>
      </c>
      <c r="X20" s="100">
        <v>23.551366555540476</v>
      </c>
      <c r="Y20" s="100">
        <v>6754.5319281290085</v>
      </c>
      <c r="Z20" s="100">
        <v>23.037562008666686</v>
      </c>
      <c r="AA20" s="100">
        <v>6607.1727840856056</v>
      </c>
      <c r="AB20" s="100">
        <v>25.804143207334306</v>
      </c>
      <c r="AC20" s="100">
        <v>7400.6282718634793</v>
      </c>
      <c r="AD20" s="100">
        <v>22</v>
      </c>
      <c r="AE20" s="100">
        <v>6309.6</v>
      </c>
      <c r="AF20" s="100">
        <v>27.878352191120165</v>
      </c>
      <c r="AG20" s="100">
        <v>7995.5114084132638</v>
      </c>
      <c r="AH20" s="100">
        <v>24.889169337687484</v>
      </c>
      <c r="AI20" s="100">
        <v>7138.2137660487706</v>
      </c>
      <c r="AJ20" s="100">
        <v>21.318378864942328</v>
      </c>
      <c r="AK20" s="100">
        <v>6114.1110584654598</v>
      </c>
      <c r="AL20" s="100">
        <v>21.321860780936344</v>
      </c>
      <c r="AM20" s="100">
        <v>6115.1096719725438</v>
      </c>
      <c r="AN20" s="100">
        <v>21.932831406726208</v>
      </c>
      <c r="AO20" s="100">
        <v>6290.3360474490764</v>
      </c>
      <c r="AP20" s="100">
        <v>14.988788116155686</v>
      </c>
      <c r="AQ20" s="100">
        <v>4298.7844317134504</v>
      </c>
      <c r="AR20" s="100">
        <v>19</v>
      </c>
      <c r="AS20" s="100">
        <v>5449.2</v>
      </c>
      <c r="AT20" s="100">
        <v>23.252572970464865</v>
      </c>
      <c r="AU20" s="100">
        <v>6668.8379279293231</v>
      </c>
      <c r="AV20" s="100">
        <v>24.58191470380412</v>
      </c>
      <c r="AW20" s="100">
        <v>7050.0931370510216</v>
      </c>
      <c r="AX20" s="100">
        <v>16.762203595658626</v>
      </c>
      <c r="AY20" s="100">
        <v>4807.3999912348945</v>
      </c>
      <c r="AZ20" s="100">
        <v>30.356354271347801</v>
      </c>
      <c r="BA20" s="100">
        <v>8706.20240502255</v>
      </c>
      <c r="BB20" s="100">
        <v>23.44087347558915</v>
      </c>
      <c r="BC20" s="100">
        <v>6722.8425127989685</v>
      </c>
      <c r="BD20" s="100">
        <v>20</v>
      </c>
      <c r="BE20" s="100">
        <v>5736</v>
      </c>
      <c r="BF20" s="100">
        <v>22.318051623336295</v>
      </c>
      <c r="BG20" s="100">
        <v>6400.8172055728501</v>
      </c>
      <c r="BH20" s="100">
        <v>25.679506514504727</v>
      </c>
      <c r="BI20" s="100">
        <v>7364.882468359956</v>
      </c>
      <c r="BJ20" s="100">
        <v>16</v>
      </c>
      <c r="BK20" s="100">
        <v>4588.8</v>
      </c>
      <c r="BL20" s="100">
        <v>29</v>
      </c>
      <c r="BM20" s="100">
        <v>8317.2000000000007</v>
      </c>
      <c r="BN20" s="100">
        <v>18.418217393992116</v>
      </c>
      <c r="BO20" s="100">
        <v>5282.3447485969391</v>
      </c>
      <c r="BP20" s="100">
        <v>24.522585867029051</v>
      </c>
      <c r="BQ20" s="100">
        <v>7033.0776266639323</v>
      </c>
      <c r="BR20" s="100">
        <v>28.733467165791836</v>
      </c>
      <c r="BS20" s="100">
        <v>8240.7583831490992</v>
      </c>
      <c r="BT20" s="100">
        <v>18</v>
      </c>
      <c r="BU20" s="100">
        <v>5162.4000000000005</v>
      </c>
      <c r="BV20" s="100">
        <v>20.509884733455777</v>
      </c>
      <c r="BW20" s="100">
        <v>5882.2349415551171</v>
      </c>
      <c r="BX20" s="100">
        <v>20</v>
      </c>
      <c r="BY20" s="100">
        <v>5736</v>
      </c>
      <c r="BZ20" s="100">
        <v>20.031137508878608</v>
      </c>
      <c r="CA20" s="100">
        <v>5744.9302375463849</v>
      </c>
      <c r="CB20" s="100">
        <v>19.374908140929357</v>
      </c>
      <c r="CC20" s="100">
        <v>5556.7236548185401</v>
      </c>
      <c r="CD20" s="100">
        <v>21.466437247317064</v>
      </c>
      <c r="CE20" s="100">
        <v>6156.5742025305344</v>
      </c>
      <c r="CF20" s="100">
        <v>26</v>
      </c>
      <c r="CG20" s="100">
        <v>7456.8</v>
      </c>
      <c r="CH20" s="100">
        <v>19</v>
      </c>
      <c r="CI20" s="100">
        <v>5449.2</v>
      </c>
      <c r="CJ20" s="100">
        <v>23.02646886622076</v>
      </c>
      <c r="CK20" s="100">
        <v>6603.9912708321144</v>
      </c>
      <c r="CL20" s="100">
        <v>20.876547178622282</v>
      </c>
      <c r="CM20" s="100">
        <v>5987.3937308288705</v>
      </c>
      <c r="CN20" s="100">
        <v>20.981809980564421</v>
      </c>
      <c r="CO20" s="100">
        <v>6017.5831024258759</v>
      </c>
      <c r="CP20" s="100">
        <v>19.243996599436588</v>
      </c>
      <c r="CQ20" s="100">
        <v>5519.1782247184137</v>
      </c>
      <c r="CR20" s="100">
        <v>22.23114988674741</v>
      </c>
      <c r="CS20" s="100">
        <v>6375.8937875191577</v>
      </c>
      <c r="CT20" s="100">
        <v>19.702560417966261</v>
      </c>
      <c r="CU20" s="100">
        <v>5650.694327872724</v>
      </c>
    </row>
    <row r="21" spans="2:99">
      <c r="C21" s="99" t="s">
        <v>187</v>
      </c>
      <c r="D21" s="100">
        <v>15</v>
      </c>
      <c r="E21" s="100">
        <v>936</v>
      </c>
      <c r="F21" s="100">
        <v>26.288452454858366</v>
      </c>
      <c r="G21" s="100">
        <v>1640.399433183162</v>
      </c>
      <c r="H21" s="100">
        <v>26.761698185001851</v>
      </c>
      <c r="I21" s="100">
        <v>1669.9299667441155</v>
      </c>
      <c r="J21" s="100">
        <v>16</v>
      </c>
      <c r="K21" s="100">
        <v>998.4</v>
      </c>
      <c r="L21" s="100">
        <v>21</v>
      </c>
      <c r="M21" s="100">
        <v>1310.3999999999999</v>
      </c>
      <c r="N21" s="100">
        <v>27</v>
      </c>
      <c r="O21" s="100">
        <v>1684.8</v>
      </c>
      <c r="P21" s="100">
        <v>25</v>
      </c>
      <c r="Q21" s="100">
        <v>1560</v>
      </c>
      <c r="R21" s="100">
        <v>25</v>
      </c>
      <c r="S21" s="100">
        <v>1560</v>
      </c>
      <c r="T21" s="100">
        <v>27</v>
      </c>
      <c r="U21" s="100">
        <v>1684.8</v>
      </c>
      <c r="V21" s="100">
        <v>21.031180125344669</v>
      </c>
      <c r="W21" s="100">
        <v>1312.3456398215073</v>
      </c>
      <c r="X21" s="100">
        <v>27.040457897102026</v>
      </c>
      <c r="Y21" s="100">
        <v>1687.3245727791664</v>
      </c>
      <c r="Z21" s="100">
        <v>25.91725725975002</v>
      </c>
      <c r="AA21" s="100">
        <v>1617.2368530084011</v>
      </c>
      <c r="AB21" s="100">
        <v>24.083866993512022</v>
      </c>
      <c r="AC21" s="100">
        <v>1502.8333003951502</v>
      </c>
      <c r="AD21" s="100">
        <v>20</v>
      </c>
      <c r="AE21" s="100">
        <v>1248</v>
      </c>
      <c r="AF21" s="100">
        <v>27.878352191120165</v>
      </c>
      <c r="AG21" s="100">
        <v>1739.6091767258981</v>
      </c>
      <c r="AH21" s="100">
        <v>22.01734210641585</v>
      </c>
      <c r="AI21" s="100">
        <v>1373.8821474403489</v>
      </c>
      <c r="AJ21" s="100">
        <v>19.464606789729952</v>
      </c>
      <c r="AK21" s="100">
        <v>1214.591463679149</v>
      </c>
      <c r="AL21" s="100">
        <v>23.690956423262602</v>
      </c>
      <c r="AM21" s="100">
        <v>1478.3156808115864</v>
      </c>
      <c r="AN21" s="100">
        <v>22.776401845446447</v>
      </c>
      <c r="AO21" s="100">
        <v>1421.2474751558582</v>
      </c>
      <c r="AP21" s="100">
        <v>16.86238663067515</v>
      </c>
      <c r="AQ21" s="100">
        <v>1052.2129257541294</v>
      </c>
      <c r="AR21" s="100">
        <v>19</v>
      </c>
      <c r="AS21" s="100">
        <v>1185.5999999999999</v>
      </c>
      <c r="AT21" s="100">
        <v>25.112778808102057</v>
      </c>
      <c r="AU21" s="100">
        <v>1567.0373976255682</v>
      </c>
      <c r="AV21" s="100">
        <v>27.124871397301099</v>
      </c>
      <c r="AW21" s="100">
        <v>1692.5919751915885</v>
      </c>
      <c r="AX21" s="100">
        <v>17.748215571873843</v>
      </c>
      <c r="AY21" s="100">
        <v>1107.4886516849278</v>
      </c>
      <c r="AZ21" s="100">
        <v>27.510446058408945</v>
      </c>
      <c r="BA21" s="100">
        <v>1716.651834044718</v>
      </c>
      <c r="BB21" s="100">
        <v>24.378508414612718</v>
      </c>
      <c r="BC21" s="100">
        <v>1521.2189250718336</v>
      </c>
      <c r="BD21" s="100">
        <v>19</v>
      </c>
      <c r="BE21" s="100">
        <v>1185.5999999999999</v>
      </c>
      <c r="BF21" s="100">
        <v>23.247970440975308</v>
      </c>
      <c r="BG21" s="100">
        <v>1450.6733555168591</v>
      </c>
      <c r="BH21" s="100">
        <v>24.794006289866633</v>
      </c>
      <c r="BI21" s="100">
        <v>1547.1459924876779</v>
      </c>
      <c r="BJ21" s="100">
        <v>17</v>
      </c>
      <c r="BK21" s="100">
        <v>1060.8</v>
      </c>
      <c r="BL21" s="100">
        <v>26</v>
      </c>
      <c r="BM21" s="100">
        <v>1622.3999999999999</v>
      </c>
      <c r="BN21" s="100">
        <v>20.356977119675498</v>
      </c>
      <c r="BO21" s="100">
        <v>1270.275372267751</v>
      </c>
      <c r="BP21" s="100">
        <v>21.985766639405355</v>
      </c>
      <c r="BQ21" s="100">
        <v>1371.9118382988941</v>
      </c>
      <c r="BR21" s="100">
        <v>27.806581128185648</v>
      </c>
      <c r="BS21" s="100">
        <v>1735.1306623987844</v>
      </c>
      <c r="BT21" s="100">
        <v>20</v>
      </c>
      <c r="BU21" s="100">
        <v>1248</v>
      </c>
      <c r="BV21" s="100">
        <v>24.076821208839391</v>
      </c>
      <c r="BW21" s="100">
        <v>1502.3936434315779</v>
      </c>
      <c r="BX21" s="100">
        <v>20</v>
      </c>
      <c r="BY21" s="100">
        <v>1248</v>
      </c>
      <c r="BZ21" s="100">
        <v>24.204291156561656</v>
      </c>
      <c r="CA21" s="100">
        <v>1510.3477681694474</v>
      </c>
      <c r="CB21" s="100">
        <v>21.312398955022292</v>
      </c>
      <c r="CC21" s="100">
        <v>1329.893694793391</v>
      </c>
      <c r="CD21" s="100">
        <v>26.06638808602786</v>
      </c>
      <c r="CE21" s="100">
        <v>1626.5426165681386</v>
      </c>
      <c r="CF21" s="100">
        <v>28</v>
      </c>
      <c r="CG21" s="100">
        <v>1747.2</v>
      </c>
      <c r="CH21" s="100">
        <v>18</v>
      </c>
      <c r="CI21" s="100">
        <v>1123.2</v>
      </c>
      <c r="CJ21" s="100">
        <v>25.997626139281504</v>
      </c>
      <c r="CK21" s="100">
        <v>1622.2518710911659</v>
      </c>
      <c r="CL21" s="100">
        <v>19.061195250046431</v>
      </c>
      <c r="CM21" s="100">
        <v>1189.4185836028973</v>
      </c>
      <c r="CN21" s="100">
        <v>23.979211406359337</v>
      </c>
      <c r="CO21" s="100">
        <v>1496.3027917568227</v>
      </c>
      <c r="CP21" s="100">
        <v>20.160377389885952</v>
      </c>
      <c r="CQ21" s="100">
        <v>1258.0075491288833</v>
      </c>
      <c r="CR21" s="100">
        <v>19.563411900337719</v>
      </c>
      <c r="CS21" s="100">
        <v>1220.7569025810737</v>
      </c>
      <c r="CT21" s="100">
        <v>17.989294294664848</v>
      </c>
      <c r="CU21" s="100">
        <v>1122.5319639870866</v>
      </c>
    </row>
    <row r="22" spans="2:99">
      <c r="C22" s="99" t="s">
        <v>188</v>
      </c>
      <c r="D22" s="100">
        <v>17</v>
      </c>
      <c r="E22" s="100">
        <v>3182.3999999999996</v>
      </c>
      <c r="F22" s="100">
        <v>23.367513293207434</v>
      </c>
      <c r="G22" s="100">
        <v>4374.3984884884312</v>
      </c>
      <c r="H22" s="100">
        <v>26.761698185001851</v>
      </c>
      <c r="I22" s="100">
        <v>5009.7899002323466</v>
      </c>
      <c r="J22" s="100">
        <v>16</v>
      </c>
      <c r="K22" s="100">
        <v>2995.2</v>
      </c>
      <c r="L22" s="100">
        <v>20</v>
      </c>
      <c r="M22" s="100">
        <v>3744</v>
      </c>
      <c r="N22" s="100">
        <v>29</v>
      </c>
      <c r="O22" s="100">
        <v>5428.7999999999993</v>
      </c>
      <c r="P22" s="100">
        <v>24</v>
      </c>
      <c r="Q22" s="100">
        <v>4492.7999999999993</v>
      </c>
      <c r="R22" s="100">
        <v>28</v>
      </c>
      <c r="S22" s="100">
        <v>5241.5999999999995</v>
      </c>
      <c r="T22" s="100">
        <v>25</v>
      </c>
      <c r="U22" s="100">
        <v>4680</v>
      </c>
      <c r="V22" s="100">
        <v>20.075217392374455</v>
      </c>
      <c r="W22" s="100">
        <v>3758.0806958524977</v>
      </c>
      <c r="X22" s="100">
        <v>25.295912226321253</v>
      </c>
      <c r="Y22" s="100">
        <v>4735.3947687673381</v>
      </c>
      <c r="Z22" s="100">
        <v>22.07766359163891</v>
      </c>
      <c r="AA22" s="100">
        <v>4132.9386243548033</v>
      </c>
      <c r="AB22" s="100">
        <v>24.944005100423166</v>
      </c>
      <c r="AC22" s="100">
        <v>4669.5177547992162</v>
      </c>
      <c r="AD22" s="100">
        <v>21</v>
      </c>
      <c r="AE22" s="100">
        <v>3931.2</v>
      </c>
      <c r="AF22" s="100">
        <v>31.86097393270876</v>
      </c>
      <c r="AG22" s="100">
        <v>5964.3743202030792</v>
      </c>
      <c r="AH22" s="100">
        <v>26.803720825201907</v>
      </c>
      <c r="AI22" s="100">
        <v>5017.6565384777969</v>
      </c>
      <c r="AJ22" s="100">
        <v>18.537720752123764</v>
      </c>
      <c r="AK22" s="100">
        <v>3470.2613247975682</v>
      </c>
      <c r="AL22" s="100">
        <v>21.321860780936344</v>
      </c>
      <c r="AM22" s="100">
        <v>3991.4523381912832</v>
      </c>
      <c r="AN22" s="100">
        <v>21.932831406726208</v>
      </c>
      <c r="AO22" s="100">
        <v>4105.8260393391456</v>
      </c>
      <c r="AP22" s="100">
        <v>14.988788116155686</v>
      </c>
      <c r="AQ22" s="100">
        <v>2805.9011353443443</v>
      </c>
      <c r="AR22" s="100">
        <v>18</v>
      </c>
      <c r="AS22" s="100">
        <v>3369.6</v>
      </c>
      <c r="AT22" s="100">
        <v>21.392367132827676</v>
      </c>
      <c r="AU22" s="100">
        <v>4004.6511272653406</v>
      </c>
      <c r="AV22" s="100">
        <v>25.429566934969777</v>
      </c>
      <c r="AW22" s="100">
        <v>4760.4149302263422</v>
      </c>
      <c r="AX22" s="100">
        <v>15.776191619443415</v>
      </c>
      <c r="AY22" s="100">
        <v>2953.3030711598071</v>
      </c>
      <c r="AZ22" s="100">
        <v>26.561809987429321</v>
      </c>
      <c r="BA22" s="100">
        <v>4972.3708296467685</v>
      </c>
      <c r="BB22" s="100">
        <v>21.565603597542019</v>
      </c>
      <c r="BC22" s="100">
        <v>4037.0809934598656</v>
      </c>
      <c r="BD22" s="100">
        <v>19</v>
      </c>
      <c r="BE22" s="100">
        <v>3556.7999999999997</v>
      </c>
      <c r="BF22" s="100">
        <v>21.388132805697282</v>
      </c>
      <c r="BG22" s="100">
        <v>4003.8584612265308</v>
      </c>
      <c r="BH22" s="100">
        <v>23.908506065228536</v>
      </c>
      <c r="BI22" s="100">
        <v>4475.6723354107817</v>
      </c>
      <c r="BJ22" s="100">
        <v>15</v>
      </c>
      <c r="BK22" s="100">
        <v>2808</v>
      </c>
      <c r="BL22" s="100">
        <v>27</v>
      </c>
      <c r="BM22" s="100">
        <v>5054.3999999999996</v>
      </c>
      <c r="BN22" s="100">
        <v>17.448837531150424</v>
      </c>
      <c r="BO22" s="100">
        <v>3266.4223858313594</v>
      </c>
      <c r="BP22" s="100">
        <v>21.140160230197456</v>
      </c>
      <c r="BQ22" s="100">
        <v>3957.4379950929633</v>
      </c>
      <c r="BR22" s="100">
        <v>25.952809052973272</v>
      </c>
      <c r="BS22" s="100">
        <v>4858.365854716596</v>
      </c>
      <c r="BT22" s="100">
        <v>19</v>
      </c>
      <c r="BU22" s="100">
        <v>3556.7999999999997</v>
      </c>
      <c r="BV22" s="100">
        <v>24.076821208839391</v>
      </c>
      <c r="BW22" s="100">
        <v>4507.180930294734</v>
      </c>
      <c r="BX22" s="100">
        <v>19</v>
      </c>
      <c r="BY22" s="100">
        <v>3556.7999999999997</v>
      </c>
      <c r="BZ22" s="100">
        <v>20.865768238415217</v>
      </c>
      <c r="CA22" s="100">
        <v>3906.0718142313285</v>
      </c>
      <c r="CB22" s="100">
        <v>18.406162733882887</v>
      </c>
      <c r="CC22" s="100">
        <v>3445.6336637828763</v>
      </c>
      <c r="CD22" s="100">
        <v>24.533071139790927</v>
      </c>
      <c r="CE22" s="100">
        <v>4592.5909173688615</v>
      </c>
      <c r="CF22" s="100">
        <v>25</v>
      </c>
      <c r="CG22" s="100">
        <v>4680</v>
      </c>
      <c r="CH22" s="100">
        <v>18</v>
      </c>
      <c r="CI22" s="100">
        <v>3369.6</v>
      </c>
      <c r="CJ22" s="100">
        <v>23.02646886622076</v>
      </c>
      <c r="CK22" s="100">
        <v>4310.5549717565264</v>
      </c>
      <c r="CL22" s="100">
        <v>18.153519285758506</v>
      </c>
      <c r="CM22" s="100">
        <v>3398.3388102939921</v>
      </c>
      <c r="CN22" s="100">
        <v>22.980077597761028</v>
      </c>
      <c r="CO22" s="100">
        <v>4301.8705263008642</v>
      </c>
      <c r="CP22" s="100">
        <v>21.993138970784674</v>
      </c>
      <c r="CQ22" s="100">
        <v>4117.1156153308912</v>
      </c>
      <c r="CR22" s="100">
        <v>19.563411900337719</v>
      </c>
      <c r="CS22" s="100">
        <v>3662.270707743221</v>
      </c>
      <c r="CT22" s="100">
        <v>17.989294294664848</v>
      </c>
      <c r="CU22" s="100">
        <v>3367.5958919612594</v>
      </c>
    </row>
    <row r="23" spans="2:99">
      <c r="C23" s="99" t="s">
        <v>189</v>
      </c>
      <c r="D23" s="100">
        <v>15</v>
      </c>
      <c r="E23" s="100">
        <v>4410</v>
      </c>
      <c r="F23" s="100">
        <v>22.393866905990457</v>
      </c>
      <c r="G23" s="100">
        <v>6583.7968703611941</v>
      </c>
      <c r="H23" s="100">
        <v>23.070429469829183</v>
      </c>
      <c r="I23" s="100">
        <v>6782.7062641297798</v>
      </c>
      <c r="J23" s="100">
        <v>15</v>
      </c>
      <c r="K23" s="100">
        <v>4410</v>
      </c>
      <c r="L23" s="100">
        <v>19</v>
      </c>
      <c r="M23" s="100">
        <v>5586</v>
      </c>
      <c r="N23" s="100">
        <v>27</v>
      </c>
      <c r="O23" s="100">
        <v>7938</v>
      </c>
      <c r="P23" s="100">
        <v>28</v>
      </c>
      <c r="Q23" s="100">
        <v>8232</v>
      </c>
      <c r="R23" s="100">
        <v>25</v>
      </c>
      <c r="S23" s="100">
        <v>7350</v>
      </c>
      <c r="T23" s="100">
        <v>24</v>
      </c>
      <c r="U23" s="100">
        <v>7056</v>
      </c>
      <c r="V23" s="100">
        <v>19.119254659404245</v>
      </c>
      <c r="W23" s="100">
        <v>5621.0608698648475</v>
      </c>
      <c r="X23" s="100">
        <v>22.679093720150089</v>
      </c>
      <c r="Y23" s="100">
        <v>6667.6535537241261</v>
      </c>
      <c r="Z23" s="100">
        <v>24.957358842722243</v>
      </c>
      <c r="AA23" s="100">
        <v>7337.4634997603398</v>
      </c>
      <c r="AB23" s="100">
        <v>24.083866993512022</v>
      </c>
      <c r="AC23" s="100">
        <v>7080.6568960925342</v>
      </c>
      <c r="AD23" s="100">
        <v>20</v>
      </c>
      <c r="AE23" s="100">
        <v>5880</v>
      </c>
      <c r="AF23" s="100">
        <v>26.882696755723018</v>
      </c>
      <c r="AG23" s="100">
        <v>7903.512846182567</v>
      </c>
      <c r="AH23" s="100">
        <v>23.931893593930269</v>
      </c>
      <c r="AI23" s="100">
        <v>7035.9767166154988</v>
      </c>
      <c r="AJ23" s="100">
        <v>20.39149282733614</v>
      </c>
      <c r="AK23" s="100">
        <v>5995.0988912368257</v>
      </c>
      <c r="AL23" s="100">
        <v>24.480654970704688</v>
      </c>
      <c r="AM23" s="100">
        <v>7197.312561387178</v>
      </c>
      <c r="AN23" s="100">
        <v>21.932831406726208</v>
      </c>
      <c r="AO23" s="100">
        <v>6448.2524335775051</v>
      </c>
      <c r="AP23" s="100">
        <v>15.925587373415418</v>
      </c>
      <c r="AQ23" s="100">
        <v>4682.1226877841327</v>
      </c>
      <c r="AR23" s="100">
        <v>17</v>
      </c>
      <c r="AS23" s="100">
        <v>4998</v>
      </c>
      <c r="AT23" s="100">
        <v>21.392367132827676</v>
      </c>
      <c r="AU23" s="100">
        <v>6289.3559370513367</v>
      </c>
      <c r="AV23" s="100">
        <v>24.58191470380412</v>
      </c>
      <c r="AW23" s="100">
        <v>7227.082922918411</v>
      </c>
      <c r="AX23" s="100">
        <v>15.776191619443415</v>
      </c>
      <c r="AY23" s="100">
        <v>4638.2003361163643</v>
      </c>
      <c r="AZ23" s="100">
        <v>25.613173916449703</v>
      </c>
      <c r="BA23" s="100">
        <v>7530.2731314362127</v>
      </c>
      <c r="BB23" s="100">
        <v>22.503238536565583</v>
      </c>
      <c r="BC23" s="100">
        <v>6615.9521297502815</v>
      </c>
      <c r="BD23" s="100">
        <v>17</v>
      </c>
      <c r="BE23" s="100">
        <v>4998</v>
      </c>
      <c r="BF23" s="100">
        <v>20.458213988058272</v>
      </c>
      <c r="BG23" s="100">
        <v>6014.7149124891321</v>
      </c>
      <c r="BH23" s="100">
        <v>22.13750561595235</v>
      </c>
      <c r="BI23" s="100">
        <v>6508.4266510899906</v>
      </c>
      <c r="BJ23" s="100">
        <v>15</v>
      </c>
      <c r="BK23" s="100">
        <v>4410</v>
      </c>
      <c r="BL23" s="100">
        <v>25</v>
      </c>
      <c r="BM23" s="100">
        <v>7350</v>
      </c>
      <c r="BN23" s="100">
        <v>18.418217393992116</v>
      </c>
      <c r="BO23" s="100">
        <v>5414.9559138336817</v>
      </c>
      <c r="BP23" s="100">
        <v>22.831373048613251</v>
      </c>
      <c r="BQ23" s="100">
        <v>6712.4236762922956</v>
      </c>
      <c r="BR23" s="100">
        <v>26.87969509057946</v>
      </c>
      <c r="BS23" s="100">
        <v>7902.6303566303613</v>
      </c>
      <c r="BT23" s="100">
        <v>21</v>
      </c>
      <c r="BU23" s="100">
        <v>6174</v>
      </c>
      <c r="BV23" s="100">
        <v>24.076821208839391</v>
      </c>
      <c r="BW23" s="100">
        <v>7078.5854353987806</v>
      </c>
      <c r="BX23" s="100">
        <v>20</v>
      </c>
      <c r="BY23" s="100">
        <v>5880</v>
      </c>
      <c r="BZ23" s="100">
        <v>20.031137508878608</v>
      </c>
      <c r="CA23" s="100">
        <v>5889.1544276103104</v>
      </c>
      <c r="CB23" s="100">
        <v>19.374908140929357</v>
      </c>
      <c r="CC23" s="100">
        <v>5696.2229934332308</v>
      </c>
      <c r="CD23" s="100">
        <v>23.766412666672462</v>
      </c>
      <c r="CE23" s="100">
        <v>6987.3253240017038</v>
      </c>
      <c r="CF23" s="100">
        <v>28</v>
      </c>
      <c r="CG23" s="100">
        <v>8232</v>
      </c>
      <c r="CH23" s="100">
        <v>19</v>
      </c>
      <c r="CI23" s="100">
        <v>5586</v>
      </c>
      <c r="CJ23" s="100">
        <v>23.769258184485949</v>
      </c>
      <c r="CK23" s="100">
        <v>6988.1619062388691</v>
      </c>
      <c r="CL23" s="100">
        <v>21.784223142910207</v>
      </c>
      <c r="CM23" s="100">
        <v>6404.561604015601</v>
      </c>
      <c r="CN23" s="100">
        <v>21.980943789162723</v>
      </c>
      <c r="CO23" s="100">
        <v>6462.3974740138401</v>
      </c>
      <c r="CP23" s="100">
        <v>20.160377389885952</v>
      </c>
      <c r="CQ23" s="100">
        <v>5927.1509526264699</v>
      </c>
      <c r="CR23" s="100">
        <v>21.341903891277511</v>
      </c>
      <c r="CS23" s="100">
        <v>6274.5197440355878</v>
      </c>
      <c r="CT23" s="100">
        <v>20.559193479616969</v>
      </c>
      <c r="CU23" s="100">
        <v>6044.4028830073885</v>
      </c>
    </row>
    <row r="24" spans="2:99">
      <c r="C24" s="99" t="s">
        <v>190</v>
      </c>
      <c r="D24" s="100">
        <v>17</v>
      </c>
      <c r="E24" s="100">
        <v>6242.4</v>
      </c>
      <c r="F24" s="100">
        <v>24.341159680424411</v>
      </c>
      <c r="G24" s="100">
        <v>8938.0738346518428</v>
      </c>
      <c r="H24" s="100">
        <v>25.838881006208684</v>
      </c>
      <c r="I24" s="100">
        <v>9488.0371054798288</v>
      </c>
      <c r="J24" s="100">
        <v>17</v>
      </c>
      <c r="K24" s="100">
        <v>6242.4</v>
      </c>
      <c r="L24" s="100">
        <v>21</v>
      </c>
      <c r="M24" s="100">
        <v>7711.2</v>
      </c>
      <c r="N24" s="100">
        <v>26</v>
      </c>
      <c r="O24" s="100">
        <v>9547.1999999999989</v>
      </c>
      <c r="P24" s="100">
        <v>24</v>
      </c>
      <c r="Q24" s="100">
        <v>8812.7999999999993</v>
      </c>
      <c r="R24" s="100">
        <v>26</v>
      </c>
      <c r="S24" s="100">
        <v>9547.1999999999989</v>
      </c>
      <c r="T24" s="100">
        <v>22</v>
      </c>
      <c r="U24" s="100">
        <v>8078.4</v>
      </c>
      <c r="V24" s="100">
        <v>18.163291926434031</v>
      </c>
      <c r="W24" s="100">
        <v>6669.5607953865756</v>
      </c>
      <c r="X24" s="100">
        <v>22.679093720150089</v>
      </c>
      <c r="Y24" s="100">
        <v>8327.7632140391124</v>
      </c>
      <c r="Z24" s="100">
        <v>23.037562008666686</v>
      </c>
      <c r="AA24" s="100">
        <v>8459.3927695824077</v>
      </c>
      <c r="AB24" s="100">
        <v>24.083866993512022</v>
      </c>
      <c r="AC24" s="100">
        <v>8843.5959600176138</v>
      </c>
      <c r="AD24" s="100">
        <v>23</v>
      </c>
      <c r="AE24" s="100">
        <v>8445.6</v>
      </c>
      <c r="AF24" s="100">
        <v>26.882696755723018</v>
      </c>
      <c r="AG24" s="100">
        <v>9871.3262487014927</v>
      </c>
      <c r="AH24" s="100">
        <v>22.974617850173061</v>
      </c>
      <c r="AI24" s="100">
        <v>8436.2796745835476</v>
      </c>
      <c r="AJ24" s="100">
        <v>18.537720752123764</v>
      </c>
      <c r="AK24" s="100">
        <v>6807.051060179846</v>
      </c>
      <c r="AL24" s="100">
        <v>21.321860780936344</v>
      </c>
      <c r="AM24" s="100">
        <v>7829.3872787598257</v>
      </c>
      <c r="AN24" s="100">
        <v>22.776401845446447</v>
      </c>
      <c r="AO24" s="100">
        <v>8363.4947576479353</v>
      </c>
      <c r="AP24" s="100">
        <v>14.988788116155686</v>
      </c>
      <c r="AQ24" s="100">
        <v>5503.8829962523678</v>
      </c>
      <c r="AR24" s="100">
        <v>18</v>
      </c>
      <c r="AS24" s="100">
        <v>6609.5999999999995</v>
      </c>
      <c r="AT24" s="100">
        <v>24.182675889283459</v>
      </c>
      <c r="AU24" s="100">
        <v>8879.8785865448863</v>
      </c>
      <c r="AV24" s="100">
        <v>22.886610241472802</v>
      </c>
      <c r="AW24" s="100">
        <v>8403.9632806688132</v>
      </c>
      <c r="AX24" s="100">
        <v>17.748215571873843</v>
      </c>
      <c r="AY24" s="100">
        <v>6517.144757992075</v>
      </c>
      <c r="AZ24" s="100">
        <v>27.510446058408945</v>
      </c>
      <c r="BA24" s="100">
        <v>10101.835792647764</v>
      </c>
      <c r="BB24" s="100">
        <v>23.44087347558915</v>
      </c>
      <c r="BC24" s="100">
        <v>8607.4887402363365</v>
      </c>
      <c r="BD24" s="100">
        <v>17</v>
      </c>
      <c r="BE24" s="100">
        <v>6242.4</v>
      </c>
      <c r="BF24" s="100">
        <v>19.528295170419259</v>
      </c>
      <c r="BG24" s="100">
        <v>7170.7899865779518</v>
      </c>
      <c r="BH24" s="100">
        <v>25.679506514504727</v>
      </c>
      <c r="BI24" s="100">
        <v>9429.5147921261359</v>
      </c>
      <c r="BJ24" s="100">
        <v>17</v>
      </c>
      <c r="BK24" s="100">
        <v>6242.4</v>
      </c>
      <c r="BL24" s="100">
        <v>26</v>
      </c>
      <c r="BM24" s="100">
        <v>9547.1999999999989</v>
      </c>
      <c r="BN24" s="100">
        <v>17.448837531150424</v>
      </c>
      <c r="BO24" s="100">
        <v>6407.2131414384357</v>
      </c>
      <c r="BP24" s="100">
        <v>24.522585867029051</v>
      </c>
      <c r="BQ24" s="100">
        <v>9004.6935303730679</v>
      </c>
      <c r="BR24" s="100">
        <v>28.733467165791836</v>
      </c>
      <c r="BS24" s="100">
        <v>10550.929143278761</v>
      </c>
      <c r="BT24" s="100">
        <v>20</v>
      </c>
      <c r="BU24" s="100">
        <v>7344</v>
      </c>
      <c r="BV24" s="100">
        <v>20.509884733455777</v>
      </c>
      <c r="BW24" s="100">
        <v>7531.2296741249611</v>
      </c>
      <c r="BX24" s="100">
        <v>20</v>
      </c>
      <c r="BY24" s="100">
        <v>7344</v>
      </c>
      <c r="BZ24" s="100">
        <v>20.865768238415217</v>
      </c>
      <c r="CA24" s="100">
        <v>7661.9100971460675</v>
      </c>
      <c r="CB24" s="100">
        <v>19.374908140929357</v>
      </c>
      <c r="CC24" s="100">
        <v>7114.4662693492592</v>
      </c>
      <c r="CD24" s="100">
        <v>24.533071139790927</v>
      </c>
      <c r="CE24" s="100">
        <v>9008.5437225312289</v>
      </c>
      <c r="CF24" s="100">
        <v>27</v>
      </c>
      <c r="CG24" s="100">
        <v>9914.4</v>
      </c>
      <c r="CH24" s="100">
        <v>19</v>
      </c>
      <c r="CI24" s="100">
        <v>6976.8</v>
      </c>
      <c r="CJ24" s="100">
        <v>25.254836821016319</v>
      </c>
      <c r="CK24" s="100">
        <v>9273.5760806771923</v>
      </c>
      <c r="CL24" s="100">
        <v>20.876547178622282</v>
      </c>
      <c r="CM24" s="100">
        <v>7665.8681239901016</v>
      </c>
      <c r="CN24" s="100">
        <v>21.980943789162723</v>
      </c>
      <c r="CO24" s="100">
        <v>8071.4025593805518</v>
      </c>
      <c r="CP24" s="100">
        <v>19.243996599436588</v>
      </c>
      <c r="CQ24" s="100">
        <v>7066.395551313115</v>
      </c>
      <c r="CR24" s="100">
        <v>20.452657895807619</v>
      </c>
      <c r="CS24" s="100">
        <v>7510.2159793405572</v>
      </c>
      <c r="CT24" s="100">
        <v>17.989294294664848</v>
      </c>
      <c r="CU24" s="100">
        <v>6605.6688650009319</v>
      </c>
    </row>
    <row r="25" spans="2:99">
      <c r="C25" s="99" t="s">
        <v>191</v>
      </c>
      <c r="D25" s="100">
        <v>15</v>
      </c>
      <c r="E25" s="100">
        <v>7956</v>
      </c>
      <c r="F25" s="100">
        <v>24.341159680424411</v>
      </c>
      <c r="G25" s="100">
        <v>12910.551094497107</v>
      </c>
      <c r="H25" s="100">
        <v>22.147612291036015</v>
      </c>
      <c r="I25" s="100">
        <v>11747.093559165502</v>
      </c>
      <c r="J25" s="100">
        <v>18</v>
      </c>
      <c r="K25" s="100">
        <v>9547.1999999999989</v>
      </c>
      <c r="L25" s="100">
        <v>20</v>
      </c>
      <c r="M25" s="100">
        <v>10608</v>
      </c>
      <c r="N25" s="100">
        <v>26</v>
      </c>
      <c r="O25" s="100">
        <v>13790.4</v>
      </c>
      <c r="P25" s="100">
        <v>28</v>
      </c>
      <c r="Q25" s="100">
        <v>14851.199999999999</v>
      </c>
      <c r="R25" s="100">
        <v>25</v>
      </c>
      <c r="S25" s="100">
        <v>13260</v>
      </c>
      <c r="T25" s="100">
        <v>26</v>
      </c>
      <c r="U25" s="100">
        <v>13790.4</v>
      </c>
      <c r="V25" s="100">
        <v>21.031180125344669</v>
      </c>
      <c r="W25" s="100">
        <v>11154.937938482812</v>
      </c>
      <c r="X25" s="100">
        <v>22.679093720150089</v>
      </c>
      <c r="Y25" s="100">
        <v>12028.991309167606</v>
      </c>
      <c r="Z25" s="100">
        <v>21.117765174611129</v>
      </c>
      <c r="AA25" s="100">
        <v>11200.862648613742</v>
      </c>
      <c r="AB25" s="100">
        <v>26.664281314245454</v>
      </c>
      <c r="AC25" s="100">
        <v>14142.734809075788</v>
      </c>
      <c r="AD25" s="100">
        <v>18</v>
      </c>
      <c r="AE25" s="100">
        <v>9547.1999999999989</v>
      </c>
      <c r="AF25" s="100">
        <v>30.865318497311609</v>
      </c>
      <c r="AG25" s="100">
        <v>16370.964930974076</v>
      </c>
      <c r="AH25" s="100">
        <v>24.889169337687484</v>
      </c>
      <c r="AI25" s="100">
        <v>13201.215416709441</v>
      </c>
      <c r="AJ25" s="100">
        <v>20.39149282733614</v>
      </c>
      <c r="AK25" s="100">
        <v>10815.647795619088</v>
      </c>
      <c r="AL25" s="100">
        <v>21.321860780936344</v>
      </c>
      <c r="AM25" s="100">
        <v>11309.114958208636</v>
      </c>
      <c r="AN25" s="100">
        <v>22.776401845446447</v>
      </c>
      <c r="AO25" s="100">
        <v>12080.603538824795</v>
      </c>
      <c r="AP25" s="100">
        <v>14.051988858895957</v>
      </c>
      <c r="AQ25" s="100">
        <v>7453.1748907584151</v>
      </c>
      <c r="AR25" s="100">
        <v>17</v>
      </c>
      <c r="AS25" s="100">
        <v>9016.7999999999993</v>
      </c>
      <c r="AT25" s="100">
        <v>22.32247005164627</v>
      </c>
      <c r="AU25" s="100">
        <v>11839.83811539318</v>
      </c>
      <c r="AV25" s="100">
        <v>22.886610241472802</v>
      </c>
      <c r="AW25" s="100">
        <v>12139.058072077174</v>
      </c>
      <c r="AX25" s="100">
        <v>15.776191619443415</v>
      </c>
      <c r="AY25" s="100">
        <v>8367.6920349527863</v>
      </c>
      <c r="AZ25" s="100">
        <v>27.510446058408945</v>
      </c>
      <c r="BA25" s="100">
        <v>14591.540589380103</v>
      </c>
      <c r="BB25" s="100">
        <v>21.565603597542019</v>
      </c>
      <c r="BC25" s="100">
        <v>11438.396148136286</v>
      </c>
      <c r="BD25" s="100">
        <v>18</v>
      </c>
      <c r="BE25" s="100">
        <v>9547.1999999999989</v>
      </c>
      <c r="BF25" s="100">
        <v>18.598376352780246</v>
      </c>
      <c r="BG25" s="100">
        <v>9864.5788175146427</v>
      </c>
      <c r="BH25" s="100">
        <v>23.908506065228536</v>
      </c>
      <c r="BI25" s="100">
        <v>12681.071616997215</v>
      </c>
      <c r="BJ25" s="100">
        <v>14</v>
      </c>
      <c r="BK25" s="100">
        <v>7425.5999999999995</v>
      </c>
      <c r="BL25" s="100">
        <v>24</v>
      </c>
      <c r="BM25" s="100">
        <v>12729.599999999999</v>
      </c>
      <c r="BN25" s="100">
        <v>17.448837531150424</v>
      </c>
      <c r="BO25" s="100">
        <v>9254.8634265221845</v>
      </c>
      <c r="BP25" s="100">
        <v>22.831373048613251</v>
      </c>
      <c r="BQ25" s="100">
        <v>12109.760264984468</v>
      </c>
      <c r="BR25" s="100">
        <v>27.806581128185648</v>
      </c>
      <c r="BS25" s="100">
        <v>14748.610630389667</v>
      </c>
      <c r="BT25" s="100">
        <v>18</v>
      </c>
      <c r="BU25" s="100">
        <v>9547.1999999999989</v>
      </c>
      <c r="BV25" s="100">
        <v>20.509884733455777</v>
      </c>
      <c r="BW25" s="100">
        <v>10878.442862624945</v>
      </c>
      <c r="BX25" s="100">
        <v>19</v>
      </c>
      <c r="BY25" s="100">
        <v>10077.6</v>
      </c>
      <c r="BZ25" s="100">
        <v>20.031137508878608</v>
      </c>
      <c r="CA25" s="100">
        <v>10624.515334709213</v>
      </c>
      <c r="CB25" s="100">
        <v>21.312398955022292</v>
      </c>
      <c r="CC25" s="100">
        <v>11304.096405743823</v>
      </c>
      <c r="CD25" s="100">
        <v>24.533071139790927</v>
      </c>
      <c r="CE25" s="100">
        <v>13012.340932545107</v>
      </c>
      <c r="CF25" s="100">
        <v>24</v>
      </c>
      <c r="CG25" s="100">
        <v>12729.599999999999</v>
      </c>
      <c r="CH25" s="100">
        <v>18</v>
      </c>
      <c r="CI25" s="100">
        <v>9547.1999999999989</v>
      </c>
      <c r="CJ25" s="100">
        <v>21.540890229690387</v>
      </c>
      <c r="CK25" s="100">
        <v>11425.288177827781</v>
      </c>
      <c r="CL25" s="100">
        <v>19.061195250046431</v>
      </c>
      <c r="CM25" s="100">
        <v>10110.057960624627</v>
      </c>
      <c r="CN25" s="100">
        <v>23.979211406359337</v>
      </c>
      <c r="CO25" s="100">
        <v>12718.573729932992</v>
      </c>
      <c r="CP25" s="100">
        <v>21.993138970784674</v>
      </c>
      <c r="CQ25" s="100">
        <v>11665.16091010419</v>
      </c>
      <c r="CR25" s="100">
        <v>18.674165904867827</v>
      </c>
      <c r="CS25" s="100">
        <v>9904.7775959418959</v>
      </c>
      <c r="CT25" s="100">
        <v>19.702560417966261</v>
      </c>
      <c r="CU25" s="100">
        <v>10450.238045689304</v>
      </c>
    </row>
    <row r="26" spans="2:99">
      <c r="C26" s="99" t="s">
        <v>192</v>
      </c>
      <c r="D26" s="100">
        <v>17</v>
      </c>
      <c r="E26" s="100">
        <v>8262</v>
      </c>
      <c r="F26" s="100">
        <v>25.314806067641388</v>
      </c>
      <c r="G26" s="100">
        <v>12302.995748873715</v>
      </c>
      <c r="H26" s="100">
        <v>23.993246648622346</v>
      </c>
      <c r="I26" s="100">
        <v>11660.717871230459</v>
      </c>
      <c r="J26" s="100">
        <v>17</v>
      </c>
      <c r="K26" s="100">
        <v>8262</v>
      </c>
      <c r="L26" s="100">
        <v>21</v>
      </c>
      <c r="M26" s="100">
        <v>10206</v>
      </c>
      <c r="N26" s="100">
        <v>27</v>
      </c>
      <c r="O26" s="100">
        <v>13122</v>
      </c>
      <c r="P26" s="100">
        <v>24</v>
      </c>
      <c r="Q26" s="100">
        <v>11664</v>
      </c>
      <c r="R26" s="100">
        <v>26</v>
      </c>
      <c r="S26" s="100">
        <v>12636</v>
      </c>
      <c r="T26" s="100">
        <v>23</v>
      </c>
      <c r="U26" s="100">
        <v>11178</v>
      </c>
      <c r="V26" s="100">
        <v>18.163291926434031</v>
      </c>
      <c r="W26" s="100">
        <v>8827.3598762469392</v>
      </c>
      <c r="X26" s="100">
        <v>22.679093720150089</v>
      </c>
      <c r="Y26" s="100">
        <v>11022.039547992943</v>
      </c>
      <c r="Z26" s="100">
        <v>23.037562008666686</v>
      </c>
      <c r="AA26" s="100">
        <v>11196.25513621201</v>
      </c>
      <c r="AB26" s="100">
        <v>26.664281314245454</v>
      </c>
      <c r="AC26" s="100">
        <v>12958.84071872329</v>
      </c>
      <c r="AD26" s="100">
        <v>19</v>
      </c>
      <c r="AE26" s="100">
        <v>9234</v>
      </c>
      <c r="AF26" s="100">
        <v>27.878352191120165</v>
      </c>
      <c r="AG26" s="100">
        <v>13548.8791648844</v>
      </c>
      <c r="AH26" s="100">
        <v>22.01734210641585</v>
      </c>
      <c r="AI26" s="100">
        <v>10700.428263718102</v>
      </c>
      <c r="AJ26" s="100">
        <v>21.318378864942328</v>
      </c>
      <c r="AK26" s="100">
        <v>10360.732128361971</v>
      </c>
      <c r="AL26" s="100">
        <v>22.11155932837843</v>
      </c>
      <c r="AM26" s="100">
        <v>10746.217833591916</v>
      </c>
      <c r="AN26" s="100">
        <v>19.402120090565493</v>
      </c>
      <c r="AO26" s="100">
        <v>9429.43036401483</v>
      </c>
      <c r="AP26" s="100">
        <v>14.988788116155686</v>
      </c>
      <c r="AQ26" s="100">
        <v>7284.5510244516636</v>
      </c>
      <c r="AR26" s="100">
        <v>17</v>
      </c>
      <c r="AS26" s="100">
        <v>8262</v>
      </c>
      <c r="AT26" s="100">
        <v>20.462264214009082</v>
      </c>
      <c r="AU26" s="100">
        <v>9944.6604080084144</v>
      </c>
      <c r="AV26" s="100">
        <v>22.038958010307145</v>
      </c>
      <c r="AW26" s="100">
        <v>10710.933593009273</v>
      </c>
      <c r="AX26" s="100">
        <v>16.762203595658626</v>
      </c>
      <c r="AY26" s="100">
        <v>8146.430947490092</v>
      </c>
      <c r="AZ26" s="100">
        <v>26.561809987429321</v>
      </c>
      <c r="BA26" s="100">
        <v>12909.03965389065</v>
      </c>
      <c r="BB26" s="100">
        <v>19.690333719494888</v>
      </c>
      <c r="BC26" s="100">
        <v>9569.5021876745159</v>
      </c>
      <c r="BD26" s="100">
        <v>17</v>
      </c>
      <c r="BE26" s="100">
        <v>8262</v>
      </c>
      <c r="BF26" s="100">
        <v>20.458213988058272</v>
      </c>
      <c r="BG26" s="100">
        <v>9942.6919981963201</v>
      </c>
      <c r="BH26" s="100">
        <v>22.13750561595235</v>
      </c>
      <c r="BI26" s="100">
        <v>10758.827729352843</v>
      </c>
      <c r="BJ26" s="100">
        <v>16</v>
      </c>
      <c r="BK26" s="100">
        <v>7776</v>
      </c>
      <c r="BL26" s="100">
        <v>29</v>
      </c>
      <c r="BM26" s="100">
        <v>14094</v>
      </c>
      <c r="BN26" s="100">
        <v>17.448837531150424</v>
      </c>
      <c r="BO26" s="100">
        <v>8480.1350401391064</v>
      </c>
      <c r="BP26" s="100">
        <v>22.831373048613251</v>
      </c>
      <c r="BQ26" s="100">
        <v>11096.04730162604</v>
      </c>
      <c r="BR26" s="100">
        <v>25.952809052973272</v>
      </c>
      <c r="BS26" s="100">
        <v>12613.06519974501</v>
      </c>
      <c r="BT26" s="100">
        <v>20</v>
      </c>
      <c r="BU26" s="100">
        <v>9720</v>
      </c>
      <c r="BV26" s="100">
        <v>24.076821208839391</v>
      </c>
      <c r="BW26" s="100">
        <v>11701.335107495945</v>
      </c>
      <c r="BX26" s="100">
        <v>22</v>
      </c>
      <c r="BY26" s="100">
        <v>10692</v>
      </c>
      <c r="BZ26" s="100">
        <v>19.196506779342002</v>
      </c>
      <c r="CA26" s="100">
        <v>9329.5022947602138</v>
      </c>
      <c r="CB26" s="100">
        <v>19.374908140929357</v>
      </c>
      <c r="CC26" s="100">
        <v>9416.2053564916678</v>
      </c>
      <c r="CD26" s="100">
        <v>23.766412666672462</v>
      </c>
      <c r="CE26" s="100">
        <v>11550.476556002817</v>
      </c>
      <c r="CF26" s="100">
        <v>26</v>
      </c>
      <c r="CG26" s="100">
        <v>12636</v>
      </c>
      <c r="CH26" s="100">
        <v>19</v>
      </c>
      <c r="CI26" s="100">
        <v>9234</v>
      </c>
      <c r="CJ26" s="100">
        <v>24.512047502751134</v>
      </c>
      <c r="CK26" s="100">
        <v>11912.855086337051</v>
      </c>
      <c r="CL26" s="100">
        <v>20.876547178622282</v>
      </c>
      <c r="CM26" s="100">
        <v>10146.001928810429</v>
      </c>
      <c r="CN26" s="100">
        <v>21.980943789162723</v>
      </c>
      <c r="CO26" s="100">
        <v>10682.738681533083</v>
      </c>
      <c r="CP26" s="100">
        <v>19.243996599436588</v>
      </c>
      <c r="CQ26" s="100">
        <v>9352.5823473261826</v>
      </c>
      <c r="CR26" s="100">
        <v>21.341903891277511</v>
      </c>
      <c r="CS26" s="100">
        <v>10372.165291160871</v>
      </c>
      <c r="CT26" s="100">
        <v>18.845927356315553</v>
      </c>
      <c r="CU26" s="100">
        <v>9159.1206951693584</v>
      </c>
    </row>
    <row r="27" spans="2:99">
      <c r="C27" s="99" t="s">
        <v>193</v>
      </c>
      <c r="D27" s="100">
        <v>16</v>
      </c>
      <c r="E27" s="100">
        <v>6835.2</v>
      </c>
      <c r="F27" s="100">
        <v>26.288452454858366</v>
      </c>
      <c r="G27" s="100">
        <v>11230.426888715494</v>
      </c>
      <c r="H27" s="100">
        <v>25.838881006208684</v>
      </c>
      <c r="I27" s="100">
        <v>11038.369965852349</v>
      </c>
      <c r="J27" s="100">
        <v>17</v>
      </c>
      <c r="K27" s="100">
        <v>7262.4</v>
      </c>
      <c r="L27" s="100">
        <v>20</v>
      </c>
      <c r="M27" s="100">
        <v>8544</v>
      </c>
      <c r="N27" s="100">
        <v>25</v>
      </c>
      <c r="O27" s="100">
        <v>10680</v>
      </c>
      <c r="P27" s="100">
        <v>24</v>
      </c>
      <c r="Q27" s="100">
        <v>10252.799999999999</v>
      </c>
      <c r="R27" s="100">
        <v>26</v>
      </c>
      <c r="S27" s="100">
        <v>11107.199999999999</v>
      </c>
      <c r="T27" s="100">
        <v>24</v>
      </c>
      <c r="U27" s="100">
        <v>10252.799999999999</v>
      </c>
      <c r="V27" s="100">
        <v>20.075217392374455</v>
      </c>
      <c r="W27" s="100">
        <v>8576.1328700223676</v>
      </c>
      <c r="X27" s="100">
        <v>22.679093720150089</v>
      </c>
      <c r="Y27" s="100">
        <v>9688.5088372481168</v>
      </c>
      <c r="Z27" s="100">
        <v>21.117765174611129</v>
      </c>
      <c r="AA27" s="100">
        <v>9021.5092825938736</v>
      </c>
      <c r="AB27" s="100">
        <v>22.363590779689734</v>
      </c>
      <c r="AC27" s="100">
        <v>9553.725981083453</v>
      </c>
      <c r="AD27" s="100">
        <v>20</v>
      </c>
      <c r="AE27" s="100">
        <v>8544</v>
      </c>
      <c r="AF27" s="100">
        <v>25.887041320325867</v>
      </c>
      <c r="AG27" s="100">
        <v>11058.944052043211</v>
      </c>
      <c r="AH27" s="100">
        <v>23.931893593930269</v>
      </c>
      <c r="AI27" s="100">
        <v>10223.704943327011</v>
      </c>
      <c r="AJ27" s="100">
        <v>19.464606789729952</v>
      </c>
      <c r="AK27" s="100">
        <v>8315.2800205726362</v>
      </c>
      <c r="AL27" s="100">
        <v>22.901257875820516</v>
      </c>
      <c r="AM27" s="100">
        <v>9783.4173645505234</v>
      </c>
      <c r="AN27" s="100">
        <v>20.245690529285731</v>
      </c>
      <c r="AO27" s="100">
        <v>8648.9589941108643</v>
      </c>
      <c r="AP27" s="100">
        <v>14.988788116155686</v>
      </c>
      <c r="AQ27" s="100">
        <v>6403.2102832217088</v>
      </c>
      <c r="AR27" s="100">
        <v>16</v>
      </c>
      <c r="AS27" s="100">
        <v>6835.2</v>
      </c>
      <c r="AT27" s="100">
        <v>22.32247005164627</v>
      </c>
      <c r="AU27" s="100">
        <v>9536.1592060632865</v>
      </c>
      <c r="AV27" s="100">
        <v>25.429566934969777</v>
      </c>
      <c r="AW27" s="100">
        <v>10863.510994619088</v>
      </c>
      <c r="AX27" s="100">
        <v>15.776191619443415</v>
      </c>
      <c r="AY27" s="100">
        <v>6739.5890598262267</v>
      </c>
      <c r="AZ27" s="100">
        <v>30.356354271347801</v>
      </c>
      <c r="BA27" s="100">
        <v>12968.23454471978</v>
      </c>
      <c r="BB27" s="100">
        <v>22.503238536565583</v>
      </c>
      <c r="BC27" s="100">
        <v>9613.3835028208159</v>
      </c>
      <c r="BD27" s="100">
        <v>19</v>
      </c>
      <c r="BE27" s="100">
        <v>8116.8</v>
      </c>
      <c r="BF27" s="100">
        <v>19.528295170419259</v>
      </c>
      <c r="BG27" s="100">
        <v>8342.4876968031076</v>
      </c>
      <c r="BH27" s="100">
        <v>23.908506065228536</v>
      </c>
      <c r="BI27" s="100">
        <v>10213.713791065631</v>
      </c>
      <c r="BJ27" s="100">
        <v>16</v>
      </c>
      <c r="BK27" s="100">
        <v>6835.2</v>
      </c>
      <c r="BL27" s="100">
        <v>29</v>
      </c>
      <c r="BM27" s="100">
        <v>12388.8</v>
      </c>
      <c r="BN27" s="100">
        <v>18.418217393992116</v>
      </c>
      <c r="BO27" s="100">
        <v>7868.2624707134319</v>
      </c>
      <c r="BP27" s="100">
        <v>20.294553820989556</v>
      </c>
      <c r="BQ27" s="100">
        <v>8669.8333923267382</v>
      </c>
      <c r="BR27" s="100">
        <v>28.733467165791836</v>
      </c>
      <c r="BS27" s="100">
        <v>12274.937173226272</v>
      </c>
      <c r="BT27" s="100">
        <v>21</v>
      </c>
      <c r="BU27" s="100">
        <v>8971.1999999999989</v>
      </c>
      <c r="BV27" s="100">
        <v>21.401618852301684</v>
      </c>
      <c r="BW27" s="100">
        <v>9142.7715737032795</v>
      </c>
      <c r="BX27" s="100">
        <v>19</v>
      </c>
      <c r="BY27" s="100">
        <v>8116.8</v>
      </c>
      <c r="BZ27" s="100">
        <v>22.535029697488433</v>
      </c>
      <c r="CA27" s="100">
        <v>9626.9646867670581</v>
      </c>
      <c r="CB27" s="100">
        <v>20.343653547975823</v>
      </c>
      <c r="CC27" s="100">
        <v>8690.8087956952713</v>
      </c>
      <c r="CD27" s="100">
        <v>25.299729612909395</v>
      </c>
      <c r="CE27" s="100">
        <v>10808.044490634893</v>
      </c>
      <c r="CF27" s="100">
        <v>25</v>
      </c>
      <c r="CG27" s="100">
        <v>10680</v>
      </c>
      <c r="CH27" s="100">
        <v>17</v>
      </c>
      <c r="CI27" s="100">
        <v>7262.4</v>
      </c>
      <c r="CJ27" s="100">
        <v>24.512047502751134</v>
      </c>
      <c r="CK27" s="100">
        <v>10471.546693175284</v>
      </c>
      <c r="CL27" s="100">
        <v>20.876547178622282</v>
      </c>
      <c r="CM27" s="100">
        <v>8918.4609547074378</v>
      </c>
      <c r="CN27" s="100">
        <v>20.981809980564421</v>
      </c>
      <c r="CO27" s="100">
        <v>8963.4292236971196</v>
      </c>
      <c r="CP27" s="100">
        <v>21.076758180335315</v>
      </c>
      <c r="CQ27" s="100">
        <v>9003.9910946392465</v>
      </c>
      <c r="CR27" s="100">
        <v>20.452657895807619</v>
      </c>
      <c r="CS27" s="100">
        <v>8737.3754530890146</v>
      </c>
      <c r="CT27" s="100">
        <v>18.845927356315553</v>
      </c>
      <c r="CU27" s="100">
        <v>8050.9801666180038</v>
      </c>
    </row>
    <row r="28" spans="2:99">
      <c r="C28" s="99" t="s">
        <v>194</v>
      </c>
      <c r="D28" s="100">
        <v>14</v>
      </c>
      <c r="E28" s="100">
        <v>10332</v>
      </c>
      <c r="F28" s="100">
        <v>24.341159680424411</v>
      </c>
      <c r="G28" s="100">
        <v>17963.775844153217</v>
      </c>
      <c r="H28" s="100">
        <v>24.916063827415517</v>
      </c>
      <c r="I28" s="100">
        <v>18388.055104632651</v>
      </c>
      <c r="J28" s="100">
        <v>15</v>
      </c>
      <c r="K28" s="100">
        <v>11070</v>
      </c>
      <c r="L28" s="100">
        <v>21</v>
      </c>
      <c r="M28" s="100">
        <v>15498</v>
      </c>
      <c r="N28" s="100">
        <v>25</v>
      </c>
      <c r="O28" s="100">
        <v>18450</v>
      </c>
      <c r="P28" s="100">
        <v>24</v>
      </c>
      <c r="Q28" s="100">
        <v>17712</v>
      </c>
      <c r="R28" s="100">
        <v>25</v>
      </c>
      <c r="S28" s="100">
        <v>18450</v>
      </c>
      <c r="T28" s="100">
        <v>21</v>
      </c>
      <c r="U28" s="100">
        <v>15498</v>
      </c>
      <c r="V28" s="100">
        <v>18.163291926434031</v>
      </c>
      <c r="W28" s="100">
        <v>13404.509441708315</v>
      </c>
      <c r="X28" s="100">
        <v>22.679093720150089</v>
      </c>
      <c r="Y28" s="100">
        <v>16737.171165470765</v>
      </c>
      <c r="Z28" s="100">
        <v>21.117765174611129</v>
      </c>
      <c r="AA28" s="100">
        <v>15584.910698863014</v>
      </c>
      <c r="AB28" s="100">
        <v>24.944005100423166</v>
      </c>
      <c r="AC28" s="100">
        <v>18408.675764112297</v>
      </c>
      <c r="AD28" s="100">
        <v>20</v>
      </c>
      <c r="AE28" s="100">
        <v>14760</v>
      </c>
      <c r="AF28" s="100">
        <v>29.869663061914462</v>
      </c>
      <c r="AG28" s="100">
        <v>22043.811339692875</v>
      </c>
      <c r="AH28" s="100">
        <v>22.01734210641585</v>
      </c>
      <c r="AI28" s="100">
        <v>16248.798474534897</v>
      </c>
      <c r="AJ28" s="100">
        <v>17.610834714517576</v>
      </c>
      <c r="AK28" s="100">
        <v>12996.796019313972</v>
      </c>
      <c r="AL28" s="100">
        <v>22.11155932837843</v>
      </c>
      <c r="AM28" s="100">
        <v>16318.330784343281</v>
      </c>
      <c r="AN28" s="100">
        <v>21.08926096800597</v>
      </c>
      <c r="AO28" s="100">
        <v>15563.874594388406</v>
      </c>
      <c r="AP28" s="100">
        <v>14.988788116155686</v>
      </c>
      <c r="AQ28" s="100">
        <v>11061.725629722896</v>
      </c>
      <c r="AR28" s="100">
        <v>16</v>
      </c>
      <c r="AS28" s="100">
        <v>11808</v>
      </c>
      <c r="AT28" s="100">
        <v>22.32247005164627</v>
      </c>
      <c r="AU28" s="100">
        <v>16473.982898114948</v>
      </c>
      <c r="AV28" s="100">
        <v>23.734262472638459</v>
      </c>
      <c r="AW28" s="100">
        <v>17515.885704807184</v>
      </c>
      <c r="AX28" s="100">
        <v>17.748215571873843</v>
      </c>
      <c r="AY28" s="100">
        <v>13098.183092042897</v>
      </c>
      <c r="AZ28" s="100">
        <v>25.613173916449703</v>
      </c>
      <c r="BA28" s="100">
        <v>18902.522350339881</v>
      </c>
      <c r="BB28" s="100">
        <v>19.690333719494888</v>
      </c>
      <c r="BC28" s="100">
        <v>14531.466284987227</v>
      </c>
      <c r="BD28" s="100">
        <v>17</v>
      </c>
      <c r="BE28" s="100">
        <v>12546</v>
      </c>
      <c r="BF28" s="100">
        <v>20.458213988058272</v>
      </c>
      <c r="BG28" s="100">
        <v>15098.161923187005</v>
      </c>
      <c r="BH28" s="100">
        <v>22.13750561595235</v>
      </c>
      <c r="BI28" s="100">
        <v>16337.479144572833</v>
      </c>
      <c r="BJ28" s="100">
        <v>15</v>
      </c>
      <c r="BK28" s="100">
        <v>11070</v>
      </c>
      <c r="BL28" s="100">
        <v>27</v>
      </c>
      <c r="BM28" s="100">
        <v>19926</v>
      </c>
      <c r="BN28" s="100">
        <v>18.418217393992116</v>
      </c>
      <c r="BO28" s="100">
        <v>13592.644436766181</v>
      </c>
      <c r="BP28" s="100">
        <v>23.676979457821151</v>
      </c>
      <c r="BQ28" s="100">
        <v>17473.61083987201</v>
      </c>
      <c r="BR28" s="100">
        <v>27.806581128185648</v>
      </c>
      <c r="BS28" s="100">
        <v>20521.256872601007</v>
      </c>
      <c r="BT28" s="100">
        <v>20</v>
      </c>
      <c r="BU28" s="100">
        <v>14760</v>
      </c>
      <c r="BV28" s="100">
        <v>19.618150614609874</v>
      </c>
      <c r="BW28" s="100">
        <v>14478.195153582086</v>
      </c>
      <c r="BX28" s="100">
        <v>17</v>
      </c>
      <c r="BY28" s="100">
        <v>12546</v>
      </c>
      <c r="BZ28" s="100">
        <v>21.700398967951827</v>
      </c>
      <c r="CA28" s="100">
        <v>16014.894438348449</v>
      </c>
      <c r="CB28" s="100">
        <v>18.406162733882887</v>
      </c>
      <c r="CC28" s="100">
        <v>13583.74809760557</v>
      </c>
      <c r="CD28" s="100">
        <v>21.466437247317064</v>
      </c>
      <c r="CE28" s="100">
        <v>15842.230688519992</v>
      </c>
      <c r="CF28" s="100">
        <v>26</v>
      </c>
      <c r="CG28" s="100">
        <v>19188</v>
      </c>
      <c r="CH28" s="100">
        <v>19</v>
      </c>
      <c r="CI28" s="100">
        <v>14022</v>
      </c>
      <c r="CJ28" s="100">
        <v>21.540890229690387</v>
      </c>
      <c r="CK28" s="100">
        <v>15897.176989511505</v>
      </c>
      <c r="CL28" s="100">
        <v>19.061195250046431</v>
      </c>
      <c r="CM28" s="100">
        <v>14067.162094534266</v>
      </c>
      <c r="CN28" s="100">
        <v>20.981809980564421</v>
      </c>
      <c r="CO28" s="100">
        <v>15484.575765656542</v>
      </c>
      <c r="CP28" s="100">
        <v>18.327615808987225</v>
      </c>
      <c r="CQ28" s="100">
        <v>13525.780467032573</v>
      </c>
      <c r="CR28" s="100">
        <v>18.674165904867827</v>
      </c>
      <c r="CS28" s="100">
        <v>13781.534437792456</v>
      </c>
      <c r="CT28" s="100">
        <v>17.989294294664848</v>
      </c>
      <c r="CU28" s="100">
        <v>13276.099189462659</v>
      </c>
    </row>
    <row r="29" spans="2:99">
      <c r="C29" s="99" t="s">
        <v>195</v>
      </c>
      <c r="D29" s="100">
        <v>16</v>
      </c>
      <c r="E29" s="100">
        <v>5414.4</v>
      </c>
      <c r="F29" s="100">
        <v>22.393866905990457</v>
      </c>
      <c r="G29" s="100">
        <v>7578.0845609871703</v>
      </c>
      <c r="H29" s="100">
        <v>25.838881006208684</v>
      </c>
      <c r="I29" s="100">
        <v>8743.8773325010188</v>
      </c>
      <c r="J29" s="100">
        <v>15</v>
      </c>
      <c r="K29" s="100">
        <v>5076</v>
      </c>
      <c r="L29" s="100">
        <v>21</v>
      </c>
      <c r="M29" s="100">
        <v>7106.4</v>
      </c>
      <c r="N29" s="100">
        <v>30</v>
      </c>
      <c r="O29" s="100">
        <v>10152</v>
      </c>
      <c r="P29" s="100">
        <v>24</v>
      </c>
      <c r="Q29" s="100">
        <v>8121.5999999999995</v>
      </c>
      <c r="R29" s="100">
        <v>27</v>
      </c>
      <c r="S29" s="100">
        <v>9136.7999999999993</v>
      </c>
      <c r="T29" s="100">
        <v>26</v>
      </c>
      <c r="U29" s="100">
        <v>8798.4</v>
      </c>
      <c r="V29" s="100">
        <v>18.163291926434031</v>
      </c>
      <c r="W29" s="100">
        <v>6146.4579879052753</v>
      </c>
      <c r="X29" s="100">
        <v>22.679093720150089</v>
      </c>
      <c r="Y29" s="100">
        <v>7674.6053148987894</v>
      </c>
      <c r="Z29" s="100">
        <v>23.997460425694463</v>
      </c>
      <c r="AA29" s="100">
        <v>8120.7406080550054</v>
      </c>
      <c r="AB29" s="100">
        <v>24.944005100423166</v>
      </c>
      <c r="AC29" s="100">
        <v>8441.0513259831987</v>
      </c>
      <c r="AD29" s="100">
        <v>19</v>
      </c>
      <c r="AE29" s="100">
        <v>6429.5999999999995</v>
      </c>
      <c r="AF29" s="100">
        <v>27.878352191120165</v>
      </c>
      <c r="AG29" s="100">
        <v>9434.0343814750631</v>
      </c>
      <c r="AH29" s="100">
        <v>24.889169337687484</v>
      </c>
      <c r="AI29" s="100">
        <v>8422.4949038734449</v>
      </c>
      <c r="AJ29" s="100">
        <v>20.39149282733614</v>
      </c>
      <c r="AK29" s="100">
        <v>6900.4811727705492</v>
      </c>
      <c r="AL29" s="100">
        <v>24.480654970704688</v>
      </c>
      <c r="AM29" s="100">
        <v>8284.2536420864653</v>
      </c>
      <c r="AN29" s="100">
        <v>21.932831406726208</v>
      </c>
      <c r="AO29" s="100">
        <v>7422.0701480361486</v>
      </c>
      <c r="AP29" s="100">
        <v>16.86238663067515</v>
      </c>
      <c r="AQ29" s="100">
        <v>5706.2316358204707</v>
      </c>
      <c r="AR29" s="100">
        <v>18</v>
      </c>
      <c r="AS29" s="100">
        <v>6091.2</v>
      </c>
      <c r="AT29" s="100">
        <v>23.252572970464865</v>
      </c>
      <c r="AU29" s="100">
        <v>7868.6706932053094</v>
      </c>
      <c r="AV29" s="100">
        <v>23.734262472638459</v>
      </c>
      <c r="AW29" s="100">
        <v>8031.6744207408537</v>
      </c>
      <c r="AX29" s="100">
        <v>18.734227548089056</v>
      </c>
      <c r="AY29" s="100">
        <v>6339.6626022733362</v>
      </c>
      <c r="AZ29" s="100">
        <v>28.459082129388563</v>
      </c>
      <c r="BA29" s="100">
        <v>9630.5533925850887</v>
      </c>
      <c r="BB29" s="100">
        <v>24.378508414612718</v>
      </c>
      <c r="BC29" s="100">
        <v>8249.6872475049422</v>
      </c>
      <c r="BD29" s="100">
        <v>19</v>
      </c>
      <c r="BE29" s="100">
        <v>6429.5999999999995</v>
      </c>
      <c r="BF29" s="100">
        <v>19.528295170419259</v>
      </c>
      <c r="BG29" s="100">
        <v>6608.3750856698771</v>
      </c>
      <c r="BH29" s="100">
        <v>25.679506514504727</v>
      </c>
      <c r="BI29" s="100">
        <v>8689.9450045083995</v>
      </c>
      <c r="BJ29" s="100">
        <v>15</v>
      </c>
      <c r="BK29" s="100">
        <v>5076</v>
      </c>
      <c r="BL29" s="100">
        <v>28</v>
      </c>
      <c r="BM29" s="100">
        <v>9475.1999999999989</v>
      </c>
      <c r="BN29" s="100">
        <v>18.418217393992116</v>
      </c>
      <c r="BO29" s="100">
        <v>6232.7247661269312</v>
      </c>
      <c r="BP29" s="100">
        <v>24.522585867029051</v>
      </c>
      <c r="BQ29" s="100">
        <v>8298.4430574026301</v>
      </c>
      <c r="BR29" s="100">
        <v>28.733467165791836</v>
      </c>
      <c r="BS29" s="100">
        <v>9723.4052889039576</v>
      </c>
      <c r="BT29" s="100">
        <v>20</v>
      </c>
      <c r="BU29" s="100">
        <v>6768</v>
      </c>
      <c r="BV29" s="100">
        <v>23.185087089993491</v>
      </c>
      <c r="BW29" s="100">
        <v>7845.8334712537971</v>
      </c>
      <c r="BX29" s="100">
        <v>19</v>
      </c>
      <c r="BY29" s="100">
        <v>6429.5999999999995</v>
      </c>
      <c r="BZ29" s="100">
        <v>22.535029697488433</v>
      </c>
      <c r="CA29" s="100">
        <v>7625.8540496300848</v>
      </c>
      <c r="CB29" s="100">
        <v>18.406162733882887</v>
      </c>
      <c r="CC29" s="100">
        <v>6228.6454691459685</v>
      </c>
      <c r="CD29" s="100">
        <v>22.233095720435525</v>
      </c>
      <c r="CE29" s="100">
        <v>7523.6795917953814</v>
      </c>
      <c r="CF29" s="100">
        <v>25</v>
      </c>
      <c r="CG29" s="100">
        <v>8460</v>
      </c>
      <c r="CH29" s="100">
        <v>19</v>
      </c>
      <c r="CI29" s="100">
        <v>6429.5999999999995</v>
      </c>
      <c r="CJ29" s="100">
        <v>23.769258184485949</v>
      </c>
      <c r="CK29" s="100">
        <v>8043.5169696300445</v>
      </c>
      <c r="CL29" s="100">
        <v>19.061195250046431</v>
      </c>
      <c r="CM29" s="100">
        <v>6450.3084726157122</v>
      </c>
      <c r="CN29" s="100">
        <v>22.980077597761028</v>
      </c>
      <c r="CO29" s="100">
        <v>7776.4582590823311</v>
      </c>
      <c r="CP29" s="100">
        <v>21.993138970784674</v>
      </c>
      <c r="CQ29" s="100">
        <v>7442.4782277135328</v>
      </c>
      <c r="CR29" s="100">
        <v>18.674165904867827</v>
      </c>
      <c r="CS29" s="100">
        <v>6319.3377422072726</v>
      </c>
      <c r="CT29" s="100">
        <v>20.559193479616969</v>
      </c>
      <c r="CU29" s="100">
        <v>6957.2310735023821</v>
      </c>
    </row>
    <row r="30" spans="2:99">
      <c r="C30" s="99" t="s">
        <v>196</v>
      </c>
      <c r="D30" s="100">
        <v>18</v>
      </c>
      <c r="E30" s="100">
        <v>2505.6</v>
      </c>
      <c r="F30" s="100">
        <v>25.314806067641388</v>
      </c>
      <c r="G30" s="100">
        <v>3523.821004615681</v>
      </c>
      <c r="H30" s="100">
        <v>25.838881006208684</v>
      </c>
      <c r="I30" s="100">
        <v>3596.7722360642483</v>
      </c>
      <c r="J30" s="100">
        <v>18</v>
      </c>
      <c r="K30" s="100">
        <v>2505.6</v>
      </c>
      <c r="L30" s="100">
        <v>21</v>
      </c>
      <c r="M30" s="100">
        <v>2923.2</v>
      </c>
      <c r="N30" s="100">
        <v>28</v>
      </c>
      <c r="O30" s="100">
        <v>3897.5999999999995</v>
      </c>
      <c r="P30" s="100">
        <v>25</v>
      </c>
      <c r="Q30" s="100">
        <v>3479.9999999999995</v>
      </c>
      <c r="R30" s="100">
        <v>26</v>
      </c>
      <c r="S30" s="100">
        <v>3619.2</v>
      </c>
      <c r="T30" s="100">
        <v>25</v>
      </c>
      <c r="U30" s="100">
        <v>3479.9999999999995</v>
      </c>
      <c r="V30" s="100">
        <v>18.163291926434031</v>
      </c>
      <c r="W30" s="100">
        <v>2528.330236159617</v>
      </c>
      <c r="X30" s="100">
        <v>27.040457897102026</v>
      </c>
      <c r="Y30" s="100">
        <v>3764.0317392766019</v>
      </c>
      <c r="Z30" s="100">
        <v>25.91725725975002</v>
      </c>
      <c r="AA30" s="100">
        <v>3607.6822105572023</v>
      </c>
      <c r="AB30" s="100">
        <v>27.524419421156598</v>
      </c>
      <c r="AC30" s="100">
        <v>3831.3991834249982</v>
      </c>
      <c r="AD30" s="100">
        <v>21</v>
      </c>
      <c r="AE30" s="100">
        <v>2923.2</v>
      </c>
      <c r="AF30" s="100">
        <v>27.878352191120165</v>
      </c>
      <c r="AG30" s="100">
        <v>3880.6666250039266</v>
      </c>
      <c r="AH30" s="100">
        <v>25.846445081444692</v>
      </c>
      <c r="AI30" s="100">
        <v>3597.825155337101</v>
      </c>
      <c r="AJ30" s="100">
        <v>19.464606789729952</v>
      </c>
      <c r="AK30" s="100">
        <v>2709.4732651304093</v>
      </c>
      <c r="AL30" s="100">
        <v>26.060052065588867</v>
      </c>
      <c r="AM30" s="100">
        <v>3627.55924752997</v>
      </c>
      <c r="AN30" s="100">
        <v>20.245690529285731</v>
      </c>
      <c r="AO30" s="100">
        <v>2818.2001216765734</v>
      </c>
      <c r="AP30" s="100">
        <v>16.86238663067515</v>
      </c>
      <c r="AQ30" s="100">
        <v>2347.2442189899807</v>
      </c>
      <c r="AR30" s="100">
        <v>18</v>
      </c>
      <c r="AS30" s="100">
        <v>2505.6</v>
      </c>
      <c r="AT30" s="100">
        <v>21.392367132827676</v>
      </c>
      <c r="AU30" s="100">
        <v>2977.8175048896123</v>
      </c>
      <c r="AV30" s="100">
        <v>24.58191470380412</v>
      </c>
      <c r="AW30" s="100">
        <v>3421.8025267695334</v>
      </c>
      <c r="AX30" s="100">
        <v>17.748215571873843</v>
      </c>
      <c r="AY30" s="100">
        <v>2470.5516076048389</v>
      </c>
      <c r="AZ30" s="100">
        <v>29.40771820036818</v>
      </c>
      <c r="BA30" s="100">
        <v>4093.5543734912503</v>
      </c>
      <c r="BB30" s="100">
        <v>21.565603597542019</v>
      </c>
      <c r="BC30" s="100">
        <v>3001.9320207778487</v>
      </c>
      <c r="BD30" s="100">
        <v>20</v>
      </c>
      <c r="BE30" s="100">
        <v>2784</v>
      </c>
      <c r="BF30" s="100">
        <v>22.318051623336295</v>
      </c>
      <c r="BG30" s="100">
        <v>3106.672785968412</v>
      </c>
      <c r="BH30" s="100">
        <v>24.794006289866633</v>
      </c>
      <c r="BI30" s="100">
        <v>3451.3256755494349</v>
      </c>
      <c r="BJ30" s="100">
        <v>17</v>
      </c>
      <c r="BK30" s="100">
        <v>2366.3999999999996</v>
      </c>
      <c r="BL30" s="100">
        <v>29</v>
      </c>
      <c r="BM30" s="100">
        <v>4036.7999999999997</v>
      </c>
      <c r="BN30" s="100">
        <v>19.387597256833807</v>
      </c>
      <c r="BO30" s="100">
        <v>2698.7535381512657</v>
      </c>
      <c r="BP30" s="100">
        <v>24.522585867029051</v>
      </c>
      <c r="BQ30" s="100">
        <v>3413.5439526904433</v>
      </c>
      <c r="BR30" s="100">
        <v>26.87969509057946</v>
      </c>
      <c r="BS30" s="100">
        <v>3741.6535566086604</v>
      </c>
      <c r="BT30" s="100">
        <v>19</v>
      </c>
      <c r="BU30" s="100">
        <v>2644.7999999999997</v>
      </c>
      <c r="BV30" s="100">
        <v>25.860289446531201</v>
      </c>
      <c r="BW30" s="100">
        <v>3599.752290957143</v>
      </c>
      <c r="BX30" s="100">
        <v>19</v>
      </c>
      <c r="BY30" s="100">
        <v>2644.7999999999997</v>
      </c>
      <c r="BZ30" s="100">
        <v>21.700398967951827</v>
      </c>
      <c r="CA30" s="100">
        <v>3020.6955363388943</v>
      </c>
      <c r="CB30" s="100">
        <v>22.281144362068758</v>
      </c>
      <c r="CC30" s="100">
        <v>3101.5352951999707</v>
      </c>
      <c r="CD30" s="100">
        <v>25.299729612909395</v>
      </c>
      <c r="CE30" s="100">
        <v>3521.7223621169874</v>
      </c>
      <c r="CF30" s="100">
        <v>26</v>
      </c>
      <c r="CG30" s="100">
        <v>3619.2</v>
      </c>
      <c r="CH30" s="100">
        <v>20</v>
      </c>
      <c r="CI30" s="100">
        <v>2784</v>
      </c>
      <c r="CJ30" s="100">
        <v>25.254836821016319</v>
      </c>
      <c r="CK30" s="100">
        <v>3515.4732854854715</v>
      </c>
      <c r="CL30" s="100">
        <v>21.784223142910207</v>
      </c>
      <c r="CM30" s="100">
        <v>3032.3638614931006</v>
      </c>
      <c r="CN30" s="100">
        <v>23.979211406359337</v>
      </c>
      <c r="CO30" s="100">
        <v>3337.9062277652192</v>
      </c>
      <c r="CP30" s="100">
        <v>20.160377389885952</v>
      </c>
      <c r="CQ30" s="100">
        <v>2806.3245326721244</v>
      </c>
      <c r="CR30" s="100">
        <v>20.452657895807619</v>
      </c>
      <c r="CS30" s="100">
        <v>2847.0099790964205</v>
      </c>
      <c r="CT30" s="100">
        <v>20.559193479616969</v>
      </c>
      <c r="CU30" s="100">
        <v>2861.8397323626818</v>
      </c>
    </row>
    <row r="31" spans="2:99">
      <c r="C31" s="99" t="s">
        <v>197</v>
      </c>
      <c r="D31" s="100">
        <v>15</v>
      </c>
      <c r="E31" s="100">
        <v>5112</v>
      </c>
      <c r="F31" s="100">
        <v>24.341159680424411</v>
      </c>
      <c r="G31" s="100">
        <v>8295.4672190886395</v>
      </c>
      <c r="H31" s="100">
        <v>27.684515363795018</v>
      </c>
      <c r="I31" s="100">
        <v>9434.8828359813433</v>
      </c>
      <c r="J31" s="100">
        <v>18</v>
      </c>
      <c r="K31" s="100">
        <v>6134.4000000000005</v>
      </c>
      <c r="L31" s="100">
        <v>21</v>
      </c>
      <c r="M31" s="100">
        <v>7156.8</v>
      </c>
      <c r="N31" s="100">
        <v>26</v>
      </c>
      <c r="O31" s="100">
        <v>8860.8000000000011</v>
      </c>
      <c r="P31" s="100">
        <v>24</v>
      </c>
      <c r="Q31" s="100">
        <v>8179.2000000000007</v>
      </c>
      <c r="R31" s="100">
        <v>27</v>
      </c>
      <c r="S31" s="100">
        <v>9201.6</v>
      </c>
      <c r="T31" s="100">
        <v>25</v>
      </c>
      <c r="U31" s="100">
        <v>8520</v>
      </c>
      <c r="V31" s="100">
        <v>19.119254659404245</v>
      </c>
      <c r="W31" s="100">
        <v>6515.8419879249668</v>
      </c>
      <c r="X31" s="100">
        <v>23.551366555540476</v>
      </c>
      <c r="Y31" s="100">
        <v>8026.3057221281942</v>
      </c>
      <c r="Z31" s="100">
        <v>22.07766359163891</v>
      </c>
      <c r="AA31" s="100">
        <v>7524.0677520305408</v>
      </c>
      <c r="AB31" s="100">
        <v>25.804143207334306</v>
      </c>
      <c r="AC31" s="100">
        <v>8794.0520050595314</v>
      </c>
      <c r="AD31" s="100">
        <v>20</v>
      </c>
      <c r="AE31" s="100">
        <v>6816</v>
      </c>
      <c r="AF31" s="100">
        <v>28.874007626517312</v>
      </c>
      <c r="AG31" s="100">
        <v>9840.261799117101</v>
      </c>
      <c r="AH31" s="100">
        <v>23.931893593930269</v>
      </c>
      <c r="AI31" s="100">
        <v>8155.9893368114363</v>
      </c>
      <c r="AJ31" s="100">
        <v>18.537720752123764</v>
      </c>
      <c r="AK31" s="100">
        <v>6317.6552323237793</v>
      </c>
      <c r="AL31" s="100">
        <v>24.480654970704688</v>
      </c>
      <c r="AM31" s="100">
        <v>8343.0072140161574</v>
      </c>
      <c r="AN31" s="100">
        <v>19.402120090565493</v>
      </c>
      <c r="AO31" s="100">
        <v>6612.2425268647203</v>
      </c>
      <c r="AP31" s="100">
        <v>14.988788116155686</v>
      </c>
      <c r="AQ31" s="100">
        <v>5108.1789899858577</v>
      </c>
      <c r="AR31" s="100">
        <v>18</v>
      </c>
      <c r="AS31" s="100">
        <v>6134.4000000000005</v>
      </c>
      <c r="AT31" s="100">
        <v>24.182675889283459</v>
      </c>
      <c r="AU31" s="100">
        <v>8241.4559430678037</v>
      </c>
      <c r="AV31" s="100">
        <v>26.277219166135438</v>
      </c>
      <c r="AW31" s="100">
        <v>8955.2762918189583</v>
      </c>
      <c r="AX31" s="100">
        <v>17.748215571873843</v>
      </c>
      <c r="AY31" s="100">
        <v>6048.591866894606</v>
      </c>
      <c r="AZ31" s="100">
        <v>25.613173916449703</v>
      </c>
      <c r="BA31" s="100">
        <v>8728.9696707260591</v>
      </c>
      <c r="BB31" s="100">
        <v>22.503238536565583</v>
      </c>
      <c r="BC31" s="100">
        <v>7669.1036932615507</v>
      </c>
      <c r="BD31" s="100">
        <v>18</v>
      </c>
      <c r="BE31" s="100">
        <v>6134.4000000000005</v>
      </c>
      <c r="BF31" s="100">
        <v>21.388132805697282</v>
      </c>
      <c r="BG31" s="100">
        <v>7289.0756601816338</v>
      </c>
      <c r="BH31" s="100">
        <v>24.794006289866633</v>
      </c>
      <c r="BI31" s="100">
        <v>8449.7973435865497</v>
      </c>
      <c r="BJ31" s="100">
        <v>16</v>
      </c>
      <c r="BK31" s="100">
        <v>5452.8</v>
      </c>
      <c r="BL31" s="100">
        <v>25</v>
      </c>
      <c r="BM31" s="100">
        <v>8520</v>
      </c>
      <c r="BN31" s="100">
        <v>17.448837531150424</v>
      </c>
      <c r="BO31" s="100">
        <v>5946.5638306160645</v>
      </c>
      <c r="BP31" s="100">
        <v>24.522585867029051</v>
      </c>
      <c r="BQ31" s="100">
        <v>8357.2972634835005</v>
      </c>
      <c r="BR31" s="100">
        <v>26.87969509057946</v>
      </c>
      <c r="BS31" s="100">
        <v>9160.6000868694809</v>
      </c>
      <c r="BT31" s="100">
        <v>21</v>
      </c>
      <c r="BU31" s="100">
        <v>7156.8</v>
      </c>
      <c r="BV31" s="100">
        <v>21.401618852301684</v>
      </c>
      <c r="BW31" s="100">
        <v>7293.6717048644141</v>
      </c>
      <c r="BX31" s="100">
        <v>21</v>
      </c>
      <c r="BY31" s="100">
        <v>7156.8</v>
      </c>
      <c r="BZ31" s="100">
        <v>23.369660427025046</v>
      </c>
      <c r="CA31" s="100">
        <v>7964.380273530136</v>
      </c>
      <c r="CB31" s="100">
        <v>22.281144362068758</v>
      </c>
      <c r="CC31" s="100">
        <v>7593.4139985930333</v>
      </c>
      <c r="CD31" s="100">
        <v>23.766412666672462</v>
      </c>
      <c r="CE31" s="100">
        <v>8099.5934368019753</v>
      </c>
      <c r="CF31" s="100">
        <v>27</v>
      </c>
      <c r="CG31" s="100">
        <v>9201.6</v>
      </c>
      <c r="CH31" s="100">
        <v>19</v>
      </c>
      <c r="CI31" s="100">
        <v>6475.2</v>
      </c>
      <c r="CJ31" s="100">
        <v>25.254836821016319</v>
      </c>
      <c r="CK31" s="100">
        <v>8606.8483886023623</v>
      </c>
      <c r="CL31" s="100">
        <v>19.968871214334357</v>
      </c>
      <c r="CM31" s="100">
        <v>6805.3913098451485</v>
      </c>
      <c r="CN31" s="100">
        <v>20.981809980564421</v>
      </c>
      <c r="CO31" s="100">
        <v>7150.6008413763548</v>
      </c>
      <c r="CP31" s="100">
        <v>21.993138970784674</v>
      </c>
      <c r="CQ31" s="100">
        <v>7495.2617612434169</v>
      </c>
      <c r="CR31" s="100">
        <v>19.563411900337719</v>
      </c>
      <c r="CS31" s="100">
        <v>6667.2107756350952</v>
      </c>
      <c r="CT31" s="100">
        <v>20.559193479616969</v>
      </c>
      <c r="CU31" s="100">
        <v>7006.5731378534629</v>
      </c>
    </row>
    <row r="32" spans="2:99">
      <c r="C32" s="99" t="s">
        <v>198</v>
      </c>
      <c r="D32" s="100">
        <v>15</v>
      </c>
      <c r="E32" s="100">
        <v>12600</v>
      </c>
      <c r="F32" s="100">
        <v>20.446574131556506</v>
      </c>
      <c r="G32" s="100">
        <v>17175.122270507465</v>
      </c>
      <c r="H32" s="100">
        <v>23.070429469829183</v>
      </c>
      <c r="I32" s="100">
        <v>19379.160754656514</v>
      </c>
      <c r="J32" s="100">
        <v>15</v>
      </c>
      <c r="K32" s="100">
        <v>12600</v>
      </c>
      <c r="L32" s="100">
        <v>20</v>
      </c>
      <c r="M32" s="100">
        <v>16800</v>
      </c>
      <c r="N32" s="100">
        <v>28</v>
      </c>
      <c r="O32" s="100">
        <v>23520</v>
      </c>
      <c r="P32" s="100">
        <v>26</v>
      </c>
      <c r="Q32" s="100">
        <v>21840</v>
      </c>
      <c r="R32" s="100">
        <v>23</v>
      </c>
      <c r="S32" s="100">
        <v>19320</v>
      </c>
      <c r="T32" s="100">
        <v>24</v>
      </c>
      <c r="U32" s="100">
        <v>20160</v>
      </c>
      <c r="V32" s="100">
        <v>16.251366460493607</v>
      </c>
      <c r="W32" s="100">
        <v>13651.147826814629</v>
      </c>
      <c r="X32" s="100">
        <v>25.295912226321253</v>
      </c>
      <c r="Y32" s="100">
        <v>21248.566270109852</v>
      </c>
      <c r="Z32" s="100">
        <v>23.997460425694463</v>
      </c>
      <c r="AA32" s="100">
        <v>20157.86675758335</v>
      </c>
      <c r="AB32" s="100">
        <v>24.944005100423166</v>
      </c>
      <c r="AC32" s="100">
        <v>20952.964284355457</v>
      </c>
      <c r="AD32" s="100">
        <v>19</v>
      </c>
      <c r="AE32" s="100">
        <v>15960</v>
      </c>
      <c r="AF32" s="100">
        <v>25.887041320325867</v>
      </c>
      <c r="AG32" s="100">
        <v>21745.114709073729</v>
      </c>
      <c r="AH32" s="100">
        <v>22.01734210641585</v>
      </c>
      <c r="AI32" s="100">
        <v>18494.567369389315</v>
      </c>
      <c r="AJ32" s="100">
        <v>16.683948676911388</v>
      </c>
      <c r="AK32" s="100">
        <v>14014.516888605565</v>
      </c>
      <c r="AL32" s="100">
        <v>19.742463686052169</v>
      </c>
      <c r="AM32" s="100">
        <v>16583.669496283823</v>
      </c>
      <c r="AN32" s="100">
        <v>19.402120090565493</v>
      </c>
      <c r="AO32" s="100">
        <v>16297.780876075014</v>
      </c>
      <c r="AP32" s="100">
        <v>14.051988858895957</v>
      </c>
      <c r="AQ32" s="100">
        <v>11803.670641472603</v>
      </c>
      <c r="AR32" s="100">
        <v>17</v>
      </c>
      <c r="AS32" s="100">
        <v>14280</v>
      </c>
      <c r="AT32" s="100">
        <v>19.532161295190487</v>
      </c>
      <c r="AU32" s="100">
        <v>16407.015487960009</v>
      </c>
      <c r="AV32" s="100">
        <v>22.886610241472802</v>
      </c>
      <c r="AW32" s="100">
        <v>19224.752602837154</v>
      </c>
      <c r="AX32" s="100">
        <v>16.762203595658626</v>
      </c>
      <c r="AY32" s="100">
        <v>14080.251020353246</v>
      </c>
      <c r="AZ32" s="100">
        <v>28.459082129388563</v>
      </c>
      <c r="BA32" s="100">
        <v>23905.628988686392</v>
      </c>
      <c r="BB32" s="100">
        <v>20.627968658518455</v>
      </c>
      <c r="BC32" s="100">
        <v>17327.493673155503</v>
      </c>
      <c r="BD32" s="100">
        <v>16</v>
      </c>
      <c r="BE32" s="100">
        <v>13440</v>
      </c>
      <c r="BF32" s="100">
        <v>19.528295170419259</v>
      </c>
      <c r="BG32" s="100">
        <v>16403.767943152179</v>
      </c>
      <c r="BH32" s="100">
        <v>21.252005391314256</v>
      </c>
      <c r="BI32" s="100">
        <v>17851.684528703976</v>
      </c>
      <c r="BJ32" s="100">
        <v>15</v>
      </c>
      <c r="BK32" s="100">
        <v>12600</v>
      </c>
      <c r="BL32" s="100">
        <v>28</v>
      </c>
      <c r="BM32" s="100">
        <v>23520</v>
      </c>
      <c r="BN32" s="100">
        <v>16.479457668308736</v>
      </c>
      <c r="BO32" s="100">
        <v>13842.744441379338</v>
      </c>
      <c r="BP32" s="100">
        <v>22.831373048613251</v>
      </c>
      <c r="BQ32" s="100">
        <v>19178.353360835132</v>
      </c>
      <c r="BR32" s="100">
        <v>28.733467165791836</v>
      </c>
      <c r="BS32" s="100">
        <v>24136.112419265144</v>
      </c>
      <c r="BT32" s="100">
        <v>20</v>
      </c>
      <c r="BU32" s="100">
        <v>16800</v>
      </c>
      <c r="BV32" s="100">
        <v>21.401618852301684</v>
      </c>
      <c r="BW32" s="100">
        <v>17977.359835933414</v>
      </c>
      <c r="BX32" s="100">
        <v>20</v>
      </c>
      <c r="BY32" s="100">
        <v>16800</v>
      </c>
      <c r="BZ32" s="100">
        <v>20.031137508878608</v>
      </c>
      <c r="CA32" s="100">
        <v>16826.155507458032</v>
      </c>
      <c r="CB32" s="100">
        <v>18.406162733882887</v>
      </c>
      <c r="CC32" s="100">
        <v>15461.176696461625</v>
      </c>
      <c r="CD32" s="100">
        <v>23.766412666672462</v>
      </c>
      <c r="CE32" s="100">
        <v>19963.78664000487</v>
      </c>
      <c r="CF32" s="100">
        <v>26</v>
      </c>
      <c r="CG32" s="100">
        <v>21840</v>
      </c>
      <c r="CH32" s="100">
        <v>17</v>
      </c>
      <c r="CI32" s="100">
        <v>14280</v>
      </c>
      <c r="CJ32" s="100">
        <v>21.540890229690387</v>
      </c>
      <c r="CK32" s="100">
        <v>18094.347792939923</v>
      </c>
      <c r="CL32" s="100">
        <v>18.153519285758506</v>
      </c>
      <c r="CM32" s="100">
        <v>15248.956200037144</v>
      </c>
      <c r="CN32" s="100">
        <v>21.980943789162723</v>
      </c>
      <c r="CO32" s="100">
        <v>18463.992782896687</v>
      </c>
      <c r="CP32" s="100">
        <v>18.327615808987225</v>
      </c>
      <c r="CQ32" s="100">
        <v>15395.197279549269</v>
      </c>
      <c r="CR32" s="100">
        <v>18.674165904867827</v>
      </c>
      <c r="CS32" s="100">
        <v>15686.299360088975</v>
      </c>
      <c r="CT32" s="100">
        <v>19.702560417966261</v>
      </c>
      <c r="CU32" s="100">
        <v>16550.15075109166</v>
      </c>
    </row>
    <row r="33" spans="2:99">
      <c r="C33" s="99" t="s">
        <v>199</v>
      </c>
      <c r="D33" s="100">
        <v>15</v>
      </c>
      <c r="E33" s="100">
        <v>7110</v>
      </c>
      <c r="F33" s="100">
        <v>25.314806067641388</v>
      </c>
      <c r="G33" s="100">
        <v>11999.218076062018</v>
      </c>
      <c r="H33" s="100">
        <v>24.916063827415517</v>
      </c>
      <c r="I33" s="100">
        <v>11810.214254194954</v>
      </c>
      <c r="J33" s="100">
        <v>17</v>
      </c>
      <c r="K33" s="100">
        <v>8058</v>
      </c>
      <c r="L33" s="100">
        <v>20</v>
      </c>
      <c r="M33" s="100">
        <v>9480</v>
      </c>
      <c r="N33" s="100">
        <v>27</v>
      </c>
      <c r="O33" s="100">
        <v>12798</v>
      </c>
      <c r="P33" s="100">
        <v>27</v>
      </c>
      <c r="Q33" s="100">
        <v>12798</v>
      </c>
      <c r="R33" s="100">
        <v>27</v>
      </c>
      <c r="S33" s="100">
        <v>12798</v>
      </c>
      <c r="T33" s="100">
        <v>21</v>
      </c>
      <c r="U33" s="100">
        <v>9954</v>
      </c>
      <c r="V33" s="100">
        <v>18.163291926434031</v>
      </c>
      <c r="W33" s="100">
        <v>8609.4003731297307</v>
      </c>
      <c r="X33" s="100">
        <v>25.295912226321253</v>
      </c>
      <c r="Y33" s="100">
        <v>11990.262395276273</v>
      </c>
      <c r="Z33" s="100">
        <v>24.957358842722243</v>
      </c>
      <c r="AA33" s="100">
        <v>11829.788091450344</v>
      </c>
      <c r="AB33" s="100">
        <v>25.804143207334306</v>
      </c>
      <c r="AC33" s="100">
        <v>12231.163880276461</v>
      </c>
      <c r="AD33" s="100">
        <v>22</v>
      </c>
      <c r="AE33" s="100">
        <v>10428</v>
      </c>
      <c r="AF33" s="100">
        <v>26.882696755723018</v>
      </c>
      <c r="AG33" s="100">
        <v>12742.39826221271</v>
      </c>
      <c r="AH33" s="100">
        <v>22.01734210641585</v>
      </c>
      <c r="AI33" s="100">
        <v>10436.220158441112</v>
      </c>
      <c r="AJ33" s="100">
        <v>18.537720752123764</v>
      </c>
      <c r="AK33" s="100">
        <v>8786.8796365066646</v>
      </c>
      <c r="AL33" s="100">
        <v>24.480654970704688</v>
      </c>
      <c r="AM33" s="100">
        <v>11603.830456114021</v>
      </c>
      <c r="AN33" s="100">
        <v>21.08926096800597</v>
      </c>
      <c r="AO33" s="100">
        <v>9996.3096988348298</v>
      </c>
      <c r="AP33" s="100">
        <v>16.86238663067515</v>
      </c>
      <c r="AQ33" s="100">
        <v>7992.7712629400212</v>
      </c>
      <c r="AR33" s="100">
        <v>17</v>
      </c>
      <c r="AS33" s="100">
        <v>8058</v>
      </c>
      <c r="AT33" s="100">
        <v>21.392367132827676</v>
      </c>
      <c r="AU33" s="100">
        <v>10139.982020960319</v>
      </c>
      <c r="AV33" s="100">
        <v>24.58191470380412</v>
      </c>
      <c r="AW33" s="100">
        <v>11651.827569603152</v>
      </c>
      <c r="AX33" s="100">
        <v>17.748215571873843</v>
      </c>
      <c r="AY33" s="100">
        <v>8412.6541810682011</v>
      </c>
      <c r="AZ33" s="100">
        <v>28.459082129388563</v>
      </c>
      <c r="BA33" s="100">
        <v>13489.604929330178</v>
      </c>
      <c r="BB33" s="100">
        <v>19.690333719494888</v>
      </c>
      <c r="BC33" s="100">
        <v>9333.2181830405771</v>
      </c>
      <c r="BD33" s="100">
        <v>20</v>
      </c>
      <c r="BE33" s="100">
        <v>9480</v>
      </c>
      <c r="BF33" s="100">
        <v>20.458213988058272</v>
      </c>
      <c r="BG33" s="100">
        <v>9697.193430339621</v>
      </c>
      <c r="BH33" s="100">
        <v>22.13750561595235</v>
      </c>
      <c r="BI33" s="100">
        <v>10493.177661961414</v>
      </c>
      <c r="BJ33" s="100">
        <v>17</v>
      </c>
      <c r="BK33" s="100">
        <v>8058</v>
      </c>
      <c r="BL33" s="100">
        <v>25</v>
      </c>
      <c r="BM33" s="100">
        <v>11850</v>
      </c>
      <c r="BN33" s="100">
        <v>17.448837531150424</v>
      </c>
      <c r="BO33" s="100">
        <v>8270.7489897653013</v>
      </c>
      <c r="BP33" s="100">
        <v>21.985766639405355</v>
      </c>
      <c r="BQ33" s="100">
        <v>10421.253387078139</v>
      </c>
      <c r="BR33" s="100">
        <v>28.733467165791836</v>
      </c>
      <c r="BS33" s="100">
        <v>13619.66343658533</v>
      </c>
      <c r="BT33" s="100">
        <v>17</v>
      </c>
      <c r="BU33" s="100">
        <v>8058</v>
      </c>
      <c r="BV33" s="100">
        <v>24.076821208839391</v>
      </c>
      <c r="BW33" s="100">
        <v>11412.413252989871</v>
      </c>
      <c r="BX33" s="100">
        <v>21</v>
      </c>
      <c r="BY33" s="100">
        <v>9954</v>
      </c>
      <c r="BZ33" s="100">
        <v>20.031137508878608</v>
      </c>
      <c r="CA33" s="100">
        <v>9494.7591792084604</v>
      </c>
      <c r="CB33" s="100">
        <v>19.374908140929357</v>
      </c>
      <c r="CC33" s="100">
        <v>9183.7064588005142</v>
      </c>
      <c r="CD33" s="100">
        <v>21.466437247317064</v>
      </c>
      <c r="CE33" s="100">
        <v>10175.091255228288</v>
      </c>
      <c r="CF33" s="100">
        <v>25</v>
      </c>
      <c r="CG33" s="100">
        <v>11850</v>
      </c>
      <c r="CH33" s="100">
        <v>16</v>
      </c>
      <c r="CI33" s="100">
        <v>7584</v>
      </c>
      <c r="CJ33" s="100">
        <v>24.512047502751134</v>
      </c>
      <c r="CK33" s="100">
        <v>11618.710516304038</v>
      </c>
      <c r="CL33" s="100">
        <v>20.876547178622282</v>
      </c>
      <c r="CM33" s="100">
        <v>9895.4833626669624</v>
      </c>
      <c r="CN33" s="100">
        <v>20.981809980564421</v>
      </c>
      <c r="CO33" s="100">
        <v>9945.3779307875357</v>
      </c>
      <c r="CP33" s="100">
        <v>21.993138970784674</v>
      </c>
      <c r="CQ33" s="100">
        <v>10424.747872151935</v>
      </c>
      <c r="CR33" s="100">
        <v>19.563411900337719</v>
      </c>
      <c r="CS33" s="100">
        <v>9273.0572407600794</v>
      </c>
      <c r="CT33" s="100">
        <v>19.702560417966261</v>
      </c>
      <c r="CU33" s="100">
        <v>9339.0136381160082</v>
      </c>
    </row>
    <row r="34" spans="2:99">
      <c r="C34" s="99" t="s">
        <v>200</v>
      </c>
      <c r="D34" s="100">
        <v>15</v>
      </c>
      <c r="E34" s="100">
        <v>8226</v>
      </c>
      <c r="F34" s="100">
        <v>23.367513293207434</v>
      </c>
      <c r="G34" s="100">
        <v>12814.744289994956</v>
      </c>
      <c r="H34" s="100">
        <v>22.147612291036015</v>
      </c>
      <c r="I34" s="100">
        <v>12145.75058040415</v>
      </c>
      <c r="J34" s="100">
        <v>16</v>
      </c>
      <c r="K34" s="100">
        <v>8774.4</v>
      </c>
      <c r="L34" s="100">
        <v>20</v>
      </c>
      <c r="M34" s="100">
        <v>10968</v>
      </c>
      <c r="N34" s="100">
        <v>28</v>
      </c>
      <c r="O34" s="100">
        <v>15355.199999999999</v>
      </c>
      <c r="P34" s="100">
        <v>28</v>
      </c>
      <c r="Q34" s="100">
        <v>15355.199999999999</v>
      </c>
      <c r="R34" s="100">
        <v>26</v>
      </c>
      <c r="S34" s="100">
        <v>14258.4</v>
      </c>
      <c r="T34" s="100">
        <v>23</v>
      </c>
      <c r="U34" s="100">
        <v>12613.199999999999</v>
      </c>
      <c r="V34" s="100">
        <v>20.075217392374455</v>
      </c>
      <c r="W34" s="100">
        <v>11009.249217978151</v>
      </c>
      <c r="X34" s="100">
        <v>23.551366555540476</v>
      </c>
      <c r="Y34" s="100">
        <v>12915.569419058396</v>
      </c>
      <c r="Z34" s="100">
        <v>21.117765174611129</v>
      </c>
      <c r="AA34" s="100">
        <v>11580.982421756742</v>
      </c>
      <c r="AB34" s="100">
        <v>22.363590779689734</v>
      </c>
      <c r="AC34" s="100">
        <v>12264.193183581849</v>
      </c>
      <c r="AD34" s="100">
        <v>20</v>
      </c>
      <c r="AE34" s="100">
        <v>10968</v>
      </c>
      <c r="AF34" s="100">
        <v>28.874007626517312</v>
      </c>
      <c r="AG34" s="100">
        <v>15834.505782382093</v>
      </c>
      <c r="AH34" s="100">
        <v>22.974617850173061</v>
      </c>
      <c r="AI34" s="100">
        <v>12599.280429034907</v>
      </c>
      <c r="AJ34" s="100">
        <v>20.39149282733614</v>
      </c>
      <c r="AK34" s="100">
        <v>11182.694666511139</v>
      </c>
      <c r="AL34" s="100">
        <v>20.532162233494258</v>
      </c>
      <c r="AM34" s="100">
        <v>11259.837768848251</v>
      </c>
      <c r="AN34" s="100">
        <v>20.245690529285731</v>
      </c>
      <c r="AO34" s="100">
        <v>11102.736686260294</v>
      </c>
      <c r="AP34" s="100">
        <v>16.86238663067515</v>
      </c>
      <c r="AQ34" s="100">
        <v>9247.3328282622515</v>
      </c>
      <c r="AR34" s="100">
        <v>16</v>
      </c>
      <c r="AS34" s="100">
        <v>8774.4</v>
      </c>
      <c r="AT34" s="100">
        <v>22.32247005164627</v>
      </c>
      <c r="AU34" s="100">
        <v>12241.642576322814</v>
      </c>
      <c r="AV34" s="100">
        <v>23.734262472638459</v>
      </c>
      <c r="AW34" s="100">
        <v>13015.86953999493</v>
      </c>
      <c r="AX34" s="100">
        <v>17.748215571873843</v>
      </c>
      <c r="AY34" s="100">
        <v>9733.1214196156143</v>
      </c>
      <c r="AZ34" s="100">
        <v>25.613173916449703</v>
      </c>
      <c r="BA34" s="100">
        <v>14046.264575781017</v>
      </c>
      <c r="BB34" s="100">
        <v>21.565603597542019</v>
      </c>
      <c r="BC34" s="100">
        <v>11826.577012892043</v>
      </c>
      <c r="BD34" s="100">
        <v>17</v>
      </c>
      <c r="BE34" s="100">
        <v>9322.7999999999993</v>
      </c>
      <c r="BF34" s="100">
        <v>18.598376352780246</v>
      </c>
      <c r="BG34" s="100">
        <v>10199.349591864686</v>
      </c>
      <c r="BH34" s="100">
        <v>23.023005840590443</v>
      </c>
      <c r="BI34" s="100">
        <v>12625.816402979799</v>
      </c>
      <c r="BJ34" s="100">
        <v>14</v>
      </c>
      <c r="BK34" s="100">
        <v>7677.5999999999995</v>
      </c>
      <c r="BL34" s="100">
        <v>27</v>
      </c>
      <c r="BM34" s="100">
        <v>14806.8</v>
      </c>
      <c r="BN34" s="100">
        <v>16.479457668308736</v>
      </c>
      <c r="BO34" s="100">
        <v>9037.3345853005103</v>
      </c>
      <c r="BP34" s="100">
        <v>21.985766639405355</v>
      </c>
      <c r="BQ34" s="100">
        <v>12056.994425049896</v>
      </c>
      <c r="BR34" s="100">
        <v>27.806581128185648</v>
      </c>
      <c r="BS34" s="100">
        <v>15249.129090697008</v>
      </c>
      <c r="BT34" s="100">
        <v>19</v>
      </c>
      <c r="BU34" s="100">
        <v>10419.6</v>
      </c>
      <c r="BV34" s="100">
        <v>24.076821208839391</v>
      </c>
      <c r="BW34" s="100">
        <v>13203.728750927521</v>
      </c>
      <c r="BX34" s="100">
        <v>21</v>
      </c>
      <c r="BY34" s="100">
        <v>11516.4</v>
      </c>
      <c r="BZ34" s="100">
        <v>20.865768238415217</v>
      </c>
      <c r="CA34" s="100">
        <v>11442.787301946904</v>
      </c>
      <c r="CB34" s="100">
        <v>19.374908140929357</v>
      </c>
      <c r="CC34" s="100">
        <v>10625.199624485658</v>
      </c>
      <c r="CD34" s="100">
        <v>21.466437247317064</v>
      </c>
      <c r="CE34" s="100">
        <v>11772.194186428676</v>
      </c>
      <c r="CF34" s="100">
        <v>27</v>
      </c>
      <c r="CG34" s="100">
        <v>14806.8</v>
      </c>
      <c r="CH34" s="100">
        <v>18</v>
      </c>
      <c r="CI34" s="100">
        <v>9871.1999999999989</v>
      </c>
      <c r="CJ34" s="100">
        <v>20.798100911425202</v>
      </c>
      <c r="CK34" s="100">
        <v>11405.67853982558</v>
      </c>
      <c r="CL34" s="100">
        <v>19.061195250046431</v>
      </c>
      <c r="CM34" s="100">
        <v>10453.159475125463</v>
      </c>
      <c r="CN34" s="100">
        <v>19.982676171966112</v>
      </c>
      <c r="CO34" s="100">
        <v>10958.499612706215</v>
      </c>
      <c r="CP34" s="100">
        <v>21.076758180335315</v>
      </c>
      <c r="CQ34" s="100">
        <v>11558.494186095886</v>
      </c>
      <c r="CR34" s="100">
        <v>20.452657895807619</v>
      </c>
      <c r="CS34" s="100">
        <v>11216.237590060897</v>
      </c>
      <c r="CT34" s="100">
        <v>20.559193479616969</v>
      </c>
      <c r="CU34" s="100">
        <v>11274.661704221946</v>
      </c>
    </row>
    <row r="35" spans="2:99">
      <c r="C35" s="99" t="s">
        <v>201</v>
      </c>
      <c r="D35" s="100">
        <v>17</v>
      </c>
      <c r="E35" s="100">
        <v>8547.5999999999985</v>
      </c>
      <c r="F35" s="100">
        <v>22.393866905990457</v>
      </c>
      <c r="G35" s="100">
        <v>11259.636280331999</v>
      </c>
      <c r="H35" s="100">
        <v>23.993246648622346</v>
      </c>
      <c r="I35" s="100">
        <v>12063.804414927314</v>
      </c>
      <c r="J35" s="100">
        <v>16</v>
      </c>
      <c r="K35" s="100">
        <v>8044.7999999999984</v>
      </c>
      <c r="L35" s="100">
        <v>19</v>
      </c>
      <c r="M35" s="100">
        <v>9553.1999999999989</v>
      </c>
      <c r="N35" s="100">
        <v>28</v>
      </c>
      <c r="O35" s="100">
        <v>14078.399999999998</v>
      </c>
      <c r="P35" s="100">
        <v>25</v>
      </c>
      <c r="Q35" s="100">
        <v>12569.999999999998</v>
      </c>
      <c r="R35" s="100">
        <v>25</v>
      </c>
      <c r="S35" s="100">
        <v>12569.999999999998</v>
      </c>
      <c r="T35" s="100">
        <v>22</v>
      </c>
      <c r="U35" s="100">
        <v>11061.599999999999</v>
      </c>
      <c r="V35" s="100">
        <v>19.119254659404245</v>
      </c>
      <c r="W35" s="100">
        <v>9613.1612427484524</v>
      </c>
      <c r="X35" s="100">
        <v>25.295912226321253</v>
      </c>
      <c r="Y35" s="100">
        <v>12718.784667394324</v>
      </c>
      <c r="Z35" s="100">
        <v>23.037562008666686</v>
      </c>
      <c r="AA35" s="100">
        <v>11583.286177957607</v>
      </c>
      <c r="AB35" s="100">
        <v>24.083866993512022</v>
      </c>
      <c r="AC35" s="100">
        <v>12109.368324337842</v>
      </c>
      <c r="AD35" s="100">
        <v>22</v>
      </c>
      <c r="AE35" s="100">
        <v>11061.599999999999</v>
      </c>
      <c r="AF35" s="100">
        <v>29.869663061914462</v>
      </c>
      <c r="AG35" s="100">
        <v>15018.466587530589</v>
      </c>
      <c r="AH35" s="100">
        <v>22.974617850173061</v>
      </c>
      <c r="AI35" s="100">
        <v>11551.637855067012</v>
      </c>
      <c r="AJ35" s="100">
        <v>18.537720752123764</v>
      </c>
      <c r="AK35" s="100">
        <v>9320.7659941678266</v>
      </c>
      <c r="AL35" s="100">
        <v>22.901257875820516</v>
      </c>
      <c r="AM35" s="100">
        <v>11514.752459962552</v>
      </c>
      <c r="AN35" s="100">
        <v>21.08926096800597</v>
      </c>
      <c r="AO35" s="100">
        <v>10603.680414713399</v>
      </c>
      <c r="AP35" s="100">
        <v>14.988788116155686</v>
      </c>
      <c r="AQ35" s="100">
        <v>7536.3626648030768</v>
      </c>
      <c r="AR35" s="100">
        <v>18</v>
      </c>
      <c r="AS35" s="100">
        <v>9050.3999999999978</v>
      </c>
      <c r="AT35" s="100">
        <v>21.392367132827676</v>
      </c>
      <c r="AU35" s="100">
        <v>10756.082194385754</v>
      </c>
      <c r="AV35" s="100">
        <v>22.038958010307145</v>
      </c>
      <c r="AW35" s="100">
        <v>11081.18808758243</v>
      </c>
      <c r="AX35" s="100">
        <v>15.776191619443415</v>
      </c>
      <c r="AY35" s="100">
        <v>7932.269146256147</v>
      </c>
      <c r="AZ35" s="100">
        <v>29.40771820036818</v>
      </c>
      <c r="BA35" s="100">
        <v>14786.200711145118</v>
      </c>
      <c r="BB35" s="100">
        <v>19.690333719494888</v>
      </c>
      <c r="BC35" s="100">
        <v>9900.299794162027</v>
      </c>
      <c r="BD35" s="100">
        <v>18</v>
      </c>
      <c r="BE35" s="100">
        <v>9050.3999999999978</v>
      </c>
      <c r="BF35" s="100">
        <v>18.598376352780246</v>
      </c>
      <c r="BG35" s="100">
        <v>9351.2636301779057</v>
      </c>
      <c r="BH35" s="100">
        <v>23.023005840590443</v>
      </c>
      <c r="BI35" s="100">
        <v>11575.967336648873</v>
      </c>
      <c r="BJ35" s="100">
        <v>17</v>
      </c>
      <c r="BK35" s="100">
        <v>8547.5999999999985</v>
      </c>
      <c r="BL35" s="100">
        <v>29</v>
      </c>
      <c r="BM35" s="100">
        <v>14581.199999999997</v>
      </c>
      <c r="BN35" s="100">
        <v>17.448837531150424</v>
      </c>
      <c r="BO35" s="100">
        <v>8773.2755106624318</v>
      </c>
      <c r="BP35" s="100">
        <v>21.985766639405355</v>
      </c>
      <c r="BQ35" s="100">
        <v>11054.443466293011</v>
      </c>
      <c r="BR35" s="100">
        <v>25.952809052973272</v>
      </c>
      <c r="BS35" s="100">
        <v>13049.072391834959</v>
      </c>
      <c r="BT35" s="100">
        <v>21</v>
      </c>
      <c r="BU35" s="100">
        <v>10558.799999999997</v>
      </c>
      <c r="BV35" s="100">
        <v>22.293352971147584</v>
      </c>
      <c r="BW35" s="100">
        <v>11209.097873893003</v>
      </c>
      <c r="BX35" s="100">
        <v>22</v>
      </c>
      <c r="BY35" s="100">
        <v>11061.599999999999</v>
      </c>
      <c r="BZ35" s="100">
        <v>21.700398967951827</v>
      </c>
      <c r="CA35" s="100">
        <v>10910.960601086177</v>
      </c>
      <c r="CB35" s="100">
        <v>17.437417326836421</v>
      </c>
      <c r="CC35" s="100">
        <v>8767.5334319333506</v>
      </c>
      <c r="CD35" s="100">
        <v>22.999754193553994</v>
      </c>
      <c r="CE35" s="100">
        <v>11564.276408518946</v>
      </c>
      <c r="CF35" s="100">
        <v>24</v>
      </c>
      <c r="CG35" s="100">
        <v>12067.199999999997</v>
      </c>
      <c r="CH35" s="100">
        <v>16</v>
      </c>
      <c r="CI35" s="100">
        <v>8044.7999999999984</v>
      </c>
      <c r="CJ35" s="100">
        <v>21.540890229690387</v>
      </c>
      <c r="CK35" s="100">
        <v>10830.759607488324</v>
      </c>
      <c r="CL35" s="100">
        <v>19.061195250046431</v>
      </c>
      <c r="CM35" s="100">
        <v>9583.9689717233432</v>
      </c>
      <c r="CN35" s="100">
        <v>22.980077597761028</v>
      </c>
      <c r="CO35" s="100">
        <v>11554.383016154243</v>
      </c>
      <c r="CP35" s="100">
        <v>21.993138970784674</v>
      </c>
      <c r="CQ35" s="100">
        <v>11058.150274510532</v>
      </c>
      <c r="CR35" s="100">
        <v>17.784919909397928</v>
      </c>
      <c r="CS35" s="100">
        <v>8942.257730445277</v>
      </c>
      <c r="CT35" s="100">
        <v>17.989294294664848</v>
      </c>
      <c r="CU35" s="100">
        <v>9045.0171713574837</v>
      </c>
    </row>
    <row r="36" spans="2:99">
      <c r="C36" s="99" t="s">
        <v>202</v>
      </c>
      <c r="D36" s="100">
        <v>17</v>
      </c>
      <c r="E36" s="100">
        <v>12933.599999999999</v>
      </c>
      <c r="F36" s="100">
        <v>23.367513293207434</v>
      </c>
      <c r="G36" s="100">
        <v>17778.004113472216</v>
      </c>
      <c r="H36" s="100">
        <v>22.147612291036015</v>
      </c>
      <c r="I36" s="100">
        <v>16849.903431020201</v>
      </c>
      <c r="J36" s="100">
        <v>15</v>
      </c>
      <c r="K36" s="100">
        <v>11412</v>
      </c>
      <c r="L36" s="100">
        <v>19</v>
      </c>
      <c r="M36" s="100">
        <v>14455.199999999999</v>
      </c>
      <c r="N36" s="100">
        <v>27</v>
      </c>
      <c r="O36" s="100">
        <v>20541.599999999999</v>
      </c>
      <c r="P36" s="100">
        <v>26</v>
      </c>
      <c r="Q36" s="100">
        <v>19780.8</v>
      </c>
      <c r="R36" s="100">
        <v>26</v>
      </c>
      <c r="S36" s="100">
        <v>19780.8</v>
      </c>
      <c r="T36" s="100">
        <v>22</v>
      </c>
      <c r="U36" s="100">
        <v>16737.599999999999</v>
      </c>
      <c r="V36" s="100">
        <v>17.207329193463821</v>
      </c>
      <c r="W36" s="100">
        <v>13091.336050387274</v>
      </c>
      <c r="X36" s="100">
        <v>23.551366555540476</v>
      </c>
      <c r="Y36" s="100">
        <v>17917.879675455191</v>
      </c>
      <c r="Z36" s="100">
        <v>23.997460425694463</v>
      </c>
      <c r="AA36" s="100">
        <v>18257.267891868345</v>
      </c>
      <c r="AB36" s="100">
        <v>23.223728886600881</v>
      </c>
      <c r="AC36" s="100">
        <v>17668.612936925951</v>
      </c>
      <c r="AD36" s="100">
        <v>19</v>
      </c>
      <c r="AE36" s="100">
        <v>14455.199999999999</v>
      </c>
      <c r="AF36" s="100">
        <v>25.887041320325867</v>
      </c>
      <c r="AG36" s="100">
        <v>19694.86103650392</v>
      </c>
      <c r="AH36" s="100">
        <v>21.060066362658638</v>
      </c>
      <c r="AI36" s="100">
        <v>16022.498488710691</v>
      </c>
      <c r="AJ36" s="100">
        <v>17.610834714517576</v>
      </c>
      <c r="AK36" s="100">
        <v>13398.323050804971</v>
      </c>
      <c r="AL36" s="100">
        <v>22.11155932837843</v>
      </c>
      <c r="AM36" s="100">
        <v>16822.474337030308</v>
      </c>
      <c r="AN36" s="100">
        <v>21.08926096800597</v>
      </c>
      <c r="AO36" s="100">
        <v>16044.709744458942</v>
      </c>
      <c r="AP36" s="100">
        <v>15.925587373415418</v>
      </c>
      <c r="AQ36" s="100">
        <v>12116.186873694449</v>
      </c>
      <c r="AR36" s="100">
        <v>17</v>
      </c>
      <c r="AS36" s="100">
        <v>12933.599999999999</v>
      </c>
      <c r="AT36" s="100">
        <v>23.252572970464865</v>
      </c>
      <c r="AU36" s="100">
        <v>17690.557515929668</v>
      </c>
      <c r="AV36" s="100">
        <v>22.038958010307145</v>
      </c>
      <c r="AW36" s="100">
        <v>16767.239254241675</v>
      </c>
      <c r="AX36" s="100">
        <v>16.762203595658626</v>
      </c>
      <c r="AY36" s="100">
        <v>12752.684495577081</v>
      </c>
      <c r="AZ36" s="100">
        <v>29.40771820036818</v>
      </c>
      <c r="BA36" s="100">
        <v>22373.392006840109</v>
      </c>
      <c r="BB36" s="100">
        <v>22.503238536565583</v>
      </c>
      <c r="BC36" s="100">
        <v>17120.463878619095</v>
      </c>
      <c r="BD36" s="100">
        <v>17</v>
      </c>
      <c r="BE36" s="100">
        <v>12933.599999999999</v>
      </c>
      <c r="BF36" s="100">
        <v>19.528295170419259</v>
      </c>
      <c r="BG36" s="100">
        <v>14857.126965654972</v>
      </c>
      <c r="BH36" s="100">
        <v>22.13750561595235</v>
      </c>
      <c r="BI36" s="100">
        <v>16842.214272616548</v>
      </c>
      <c r="BJ36" s="100">
        <v>16</v>
      </c>
      <c r="BK36" s="100">
        <v>12172.8</v>
      </c>
      <c r="BL36" s="100">
        <v>28</v>
      </c>
      <c r="BM36" s="100">
        <v>21302.399999999998</v>
      </c>
      <c r="BN36" s="100">
        <v>19.387597256833807</v>
      </c>
      <c r="BO36" s="100">
        <v>14750.08399299916</v>
      </c>
      <c r="BP36" s="100">
        <v>20.294553820989556</v>
      </c>
      <c r="BQ36" s="100">
        <v>15440.096547008854</v>
      </c>
      <c r="BR36" s="100">
        <v>27.806581128185648</v>
      </c>
      <c r="BS36" s="100">
        <v>21155.24692232364</v>
      </c>
      <c r="BT36" s="100">
        <v>19</v>
      </c>
      <c r="BU36" s="100">
        <v>14455.199999999999</v>
      </c>
      <c r="BV36" s="100">
        <v>24.076821208839391</v>
      </c>
      <c r="BW36" s="100">
        <v>18317.645575685008</v>
      </c>
      <c r="BX36" s="100">
        <v>17</v>
      </c>
      <c r="BY36" s="100">
        <v>12933.599999999999</v>
      </c>
      <c r="BZ36" s="100">
        <v>20.865768238415217</v>
      </c>
      <c r="CA36" s="100">
        <v>15874.676475786297</v>
      </c>
      <c r="CB36" s="100">
        <v>19.374908140929357</v>
      </c>
      <c r="CC36" s="100">
        <v>14740.430113619053</v>
      </c>
      <c r="CD36" s="100">
        <v>20.699778774198595</v>
      </c>
      <c r="CE36" s="100">
        <v>15748.39169141029</v>
      </c>
      <c r="CF36" s="100">
        <v>26</v>
      </c>
      <c r="CG36" s="100">
        <v>19780.8</v>
      </c>
      <c r="CH36" s="100">
        <v>18</v>
      </c>
      <c r="CI36" s="100">
        <v>13694.4</v>
      </c>
      <c r="CJ36" s="100">
        <v>23.769258184485949</v>
      </c>
      <c r="CK36" s="100">
        <v>18083.65162675691</v>
      </c>
      <c r="CL36" s="100">
        <v>18.153519285758506</v>
      </c>
      <c r="CM36" s="100">
        <v>13811.19747260507</v>
      </c>
      <c r="CN36" s="100">
        <v>19.982676171966112</v>
      </c>
      <c r="CO36" s="100">
        <v>15202.820031631818</v>
      </c>
      <c r="CP36" s="100">
        <v>20.160377389885952</v>
      </c>
      <c r="CQ36" s="100">
        <v>15338.01511822523</v>
      </c>
      <c r="CR36" s="100">
        <v>21.341903891277511</v>
      </c>
      <c r="CS36" s="100">
        <v>16236.92048048393</v>
      </c>
      <c r="CT36" s="100">
        <v>18.845927356315553</v>
      </c>
      <c r="CU36" s="100">
        <v>14337.981532684871</v>
      </c>
    </row>
    <row r="37" spans="2:99">
      <c r="B37" s="99" t="s">
        <v>128</v>
      </c>
      <c r="C37" s="99" t="s">
        <v>203</v>
      </c>
      <c r="D37" s="100">
        <v>10</v>
      </c>
      <c r="E37" s="100">
        <v>8604</v>
      </c>
      <c r="F37" s="100">
        <v>11.683756646603717</v>
      </c>
      <c r="G37" s="100">
        <v>10052.704218737837</v>
      </c>
      <c r="H37" s="100">
        <v>15.687892039483843</v>
      </c>
      <c r="I37" s="100">
        <v>13497.862310771898</v>
      </c>
      <c r="J37" s="100">
        <v>20</v>
      </c>
      <c r="K37" s="100">
        <v>17208</v>
      </c>
      <c r="L37" s="100">
        <v>14</v>
      </c>
      <c r="M37" s="100">
        <v>12045.6</v>
      </c>
      <c r="N37" s="100">
        <v>14</v>
      </c>
      <c r="O37" s="100">
        <v>12045.6</v>
      </c>
      <c r="P37" s="100">
        <v>14</v>
      </c>
      <c r="Q37" s="100">
        <v>12045.6</v>
      </c>
      <c r="R37" s="100">
        <v>11</v>
      </c>
      <c r="S37" s="100">
        <v>9464.4</v>
      </c>
      <c r="T37" s="100">
        <v>14</v>
      </c>
      <c r="U37" s="100">
        <v>12045.6</v>
      </c>
      <c r="V37" s="100">
        <v>17.207329193463821</v>
      </c>
      <c r="W37" s="100">
        <v>14805.18603805627</v>
      </c>
      <c r="X37" s="100">
        <v>15.700911037026986</v>
      </c>
      <c r="Y37" s="100">
        <v>13509.063856258019</v>
      </c>
      <c r="Z37" s="100">
        <v>10.558882587305565</v>
      </c>
      <c r="AA37" s="100">
        <v>9084.862578117707</v>
      </c>
      <c r="AB37" s="100">
        <v>9.4615191760225805</v>
      </c>
      <c r="AC37" s="100">
        <v>8140.6910990498282</v>
      </c>
      <c r="AD37" s="100">
        <v>19</v>
      </c>
      <c r="AE37" s="100">
        <v>16347.6</v>
      </c>
      <c r="AF37" s="100">
        <v>17.921797837148677</v>
      </c>
      <c r="AG37" s="100">
        <v>15419.914859082721</v>
      </c>
      <c r="AH37" s="100">
        <v>9.5727574375721094</v>
      </c>
      <c r="AI37" s="100">
        <v>8236.4004992870432</v>
      </c>
      <c r="AJ37" s="100">
        <v>15.7570626393052</v>
      </c>
      <c r="AK37" s="100">
        <v>13557.376694858194</v>
      </c>
      <c r="AL37" s="100">
        <v>11.055779664189215</v>
      </c>
      <c r="AM37" s="100">
        <v>9512.3928230683996</v>
      </c>
      <c r="AN37" s="100">
        <v>14.34069745824406</v>
      </c>
      <c r="AO37" s="100">
        <v>12338.736093073188</v>
      </c>
      <c r="AP37" s="100">
        <v>14.051988858895957</v>
      </c>
      <c r="AQ37" s="100">
        <v>12090.331214194081</v>
      </c>
      <c r="AR37" s="100">
        <v>17</v>
      </c>
      <c r="AS37" s="100">
        <v>14626.8</v>
      </c>
      <c r="AT37" s="100">
        <v>16.741852538734705</v>
      </c>
      <c r="AU37" s="100">
        <v>14404.68992432734</v>
      </c>
      <c r="AV37" s="100">
        <v>13.56243569865055</v>
      </c>
      <c r="AW37" s="100">
        <v>11669.119675118933</v>
      </c>
      <c r="AX37" s="100">
        <v>11.832143714582561</v>
      </c>
      <c r="AY37" s="100">
        <v>10180.376452026834</v>
      </c>
      <c r="AZ37" s="100">
        <v>11.383632851755424</v>
      </c>
      <c r="BA37" s="100">
        <v>9794.4777056503663</v>
      </c>
      <c r="BB37" s="100">
        <v>13.126889146329924</v>
      </c>
      <c r="BC37" s="100">
        <v>11294.375421502267</v>
      </c>
      <c r="BD37" s="100">
        <v>21</v>
      </c>
      <c r="BE37" s="100">
        <v>18068.399999999998</v>
      </c>
      <c r="BF37" s="100">
        <v>16.738538717502223</v>
      </c>
      <c r="BG37" s="100">
        <v>14401.838712538913</v>
      </c>
      <c r="BH37" s="100">
        <v>14.168003594209504</v>
      </c>
      <c r="BI37" s="100">
        <v>12190.150292457856</v>
      </c>
      <c r="BJ37" s="100">
        <v>10</v>
      </c>
      <c r="BK37" s="100">
        <v>8604</v>
      </c>
      <c r="BL37" s="100">
        <v>12</v>
      </c>
      <c r="BM37" s="100">
        <v>10324.799999999999</v>
      </c>
      <c r="BN37" s="100">
        <v>14.540697942625355</v>
      </c>
      <c r="BO37" s="100">
        <v>12510.816509834855</v>
      </c>
      <c r="BP37" s="100">
        <v>10.147276910494778</v>
      </c>
      <c r="BQ37" s="100">
        <v>8730.7170537897073</v>
      </c>
      <c r="BR37" s="100">
        <v>11.122632451274258</v>
      </c>
      <c r="BS37" s="100">
        <v>9569.9129610763721</v>
      </c>
      <c r="BT37" s="100">
        <v>12</v>
      </c>
      <c r="BU37" s="100">
        <v>10324.799999999999</v>
      </c>
      <c r="BV37" s="100">
        <v>18.726416495763974</v>
      </c>
      <c r="BW37" s="100">
        <v>16112.208752955323</v>
      </c>
      <c r="BX37" s="100">
        <v>18</v>
      </c>
      <c r="BY37" s="100">
        <v>15487.199999999999</v>
      </c>
      <c r="BZ37" s="100">
        <v>15.023353131658956</v>
      </c>
      <c r="CA37" s="100">
        <v>12926.093034479365</v>
      </c>
      <c r="CB37" s="100">
        <v>13.56243569865055</v>
      </c>
      <c r="CC37" s="100">
        <v>11669.119675118933</v>
      </c>
      <c r="CD37" s="100">
        <v>10.733218623658532</v>
      </c>
      <c r="CE37" s="100">
        <v>9234.8613037958003</v>
      </c>
      <c r="CF37" s="100">
        <v>12</v>
      </c>
      <c r="CG37" s="100">
        <v>10324.799999999999</v>
      </c>
      <c r="CH37" s="100">
        <v>17</v>
      </c>
      <c r="CI37" s="100">
        <v>14626.8</v>
      </c>
      <c r="CJ37" s="100">
        <v>9.6562611374474159</v>
      </c>
      <c r="CK37" s="100">
        <v>8308.2470826597564</v>
      </c>
      <c r="CL37" s="100">
        <v>10.892111571455104</v>
      </c>
      <c r="CM37" s="100">
        <v>9371.5727960799704</v>
      </c>
      <c r="CN37" s="100">
        <v>18.983542363367807</v>
      </c>
      <c r="CO37" s="100">
        <v>16333.43984944166</v>
      </c>
      <c r="CP37" s="100">
        <v>12.82933106629106</v>
      </c>
      <c r="CQ37" s="100">
        <v>11038.356449436827</v>
      </c>
      <c r="CR37" s="100">
        <v>12.44944393657855</v>
      </c>
      <c r="CS37" s="100">
        <v>10711.501563032185</v>
      </c>
      <c r="CT37" s="100">
        <v>17.13266123301414</v>
      </c>
      <c r="CU37" s="100">
        <v>14740.941724885366</v>
      </c>
    </row>
    <row r="38" spans="2:99">
      <c r="C38" s="99" t="s">
        <v>204</v>
      </c>
      <c r="D38" s="100">
        <v>10</v>
      </c>
      <c r="E38" s="100">
        <v>12420</v>
      </c>
      <c r="F38" s="100">
        <v>11.683756646603717</v>
      </c>
      <c r="G38" s="100">
        <v>14511.225755081816</v>
      </c>
      <c r="H38" s="100">
        <v>14.765074860690676</v>
      </c>
      <c r="I38" s="100">
        <v>18338.222976977821</v>
      </c>
      <c r="J38" s="100">
        <v>16</v>
      </c>
      <c r="K38" s="100">
        <v>19872</v>
      </c>
      <c r="L38" s="100">
        <v>13</v>
      </c>
      <c r="M38" s="100">
        <v>16146</v>
      </c>
      <c r="N38" s="100">
        <v>15</v>
      </c>
      <c r="O38" s="100">
        <v>18630</v>
      </c>
      <c r="P38" s="100">
        <v>12</v>
      </c>
      <c r="Q38" s="100">
        <v>14904</v>
      </c>
      <c r="R38" s="100">
        <v>11</v>
      </c>
      <c r="S38" s="100">
        <v>13662</v>
      </c>
      <c r="T38" s="100">
        <v>13</v>
      </c>
      <c r="U38" s="100">
        <v>16146</v>
      </c>
      <c r="V38" s="100">
        <v>16.251366460493607</v>
      </c>
      <c r="W38" s="100">
        <v>20184.197143933059</v>
      </c>
      <c r="X38" s="100">
        <v>15.700911037026986</v>
      </c>
      <c r="Y38" s="100">
        <v>19500.531507987514</v>
      </c>
      <c r="Z38" s="100">
        <v>9.5989841702777845</v>
      </c>
      <c r="AA38" s="100">
        <v>11921.938339485008</v>
      </c>
      <c r="AB38" s="100">
        <v>10.321657282933725</v>
      </c>
      <c r="AC38" s="100">
        <v>12819.498345403686</v>
      </c>
      <c r="AD38" s="100">
        <v>16</v>
      </c>
      <c r="AE38" s="100">
        <v>19872</v>
      </c>
      <c r="AF38" s="100">
        <v>14.934831530957231</v>
      </c>
      <c r="AG38" s="100">
        <v>18549.06076144888</v>
      </c>
      <c r="AH38" s="100">
        <v>9.5727574375721094</v>
      </c>
      <c r="AI38" s="100">
        <v>11889.364737464561</v>
      </c>
      <c r="AJ38" s="100">
        <v>17.610834714517576</v>
      </c>
      <c r="AK38" s="100">
        <v>21872.656715430829</v>
      </c>
      <c r="AL38" s="100">
        <v>12.63517675907339</v>
      </c>
      <c r="AM38" s="100">
        <v>15692.88953476915</v>
      </c>
      <c r="AN38" s="100">
        <v>14.34069745824406</v>
      </c>
      <c r="AO38" s="100">
        <v>17811.146243139123</v>
      </c>
      <c r="AP38" s="100">
        <v>15.925587373415418</v>
      </c>
      <c r="AQ38" s="100">
        <v>19779.579517781949</v>
      </c>
      <c r="AR38" s="100">
        <v>16</v>
      </c>
      <c r="AS38" s="100">
        <v>19872</v>
      </c>
      <c r="AT38" s="100">
        <v>13.95154378227892</v>
      </c>
      <c r="AU38" s="100">
        <v>17327.817377590418</v>
      </c>
      <c r="AV38" s="100">
        <v>14.410087929816209</v>
      </c>
      <c r="AW38" s="100">
        <v>17897.329208831732</v>
      </c>
      <c r="AX38" s="100">
        <v>11.832143714582561</v>
      </c>
      <c r="AY38" s="100">
        <v>14695.52249351154</v>
      </c>
      <c r="AZ38" s="100">
        <v>12.332268922735043</v>
      </c>
      <c r="BA38" s="100">
        <v>15316.678002036924</v>
      </c>
      <c r="BB38" s="100">
        <v>12.189254207306359</v>
      </c>
      <c r="BC38" s="100">
        <v>15139.053725474498</v>
      </c>
      <c r="BD38" s="100">
        <v>17</v>
      </c>
      <c r="BE38" s="100">
        <v>21114</v>
      </c>
      <c r="BF38" s="100">
        <v>14.878701082224199</v>
      </c>
      <c r="BG38" s="100">
        <v>18479.346744122453</v>
      </c>
      <c r="BH38" s="100">
        <v>15.93900404348569</v>
      </c>
      <c r="BI38" s="100">
        <v>19796.243022009228</v>
      </c>
      <c r="BJ38" s="100">
        <v>9</v>
      </c>
      <c r="BK38" s="100">
        <v>11178</v>
      </c>
      <c r="BL38" s="100">
        <v>12</v>
      </c>
      <c r="BM38" s="100">
        <v>14904</v>
      </c>
      <c r="BN38" s="100">
        <v>12.601938216941974</v>
      </c>
      <c r="BO38" s="100">
        <v>15651.607265441931</v>
      </c>
      <c r="BP38" s="100">
        <v>10.992883319702678</v>
      </c>
      <c r="BQ38" s="100">
        <v>13653.161083070725</v>
      </c>
      <c r="BR38" s="100">
        <v>11.122632451274258</v>
      </c>
      <c r="BS38" s="100">
        <v>13814.30950448263</v>
      </c>
      <c r="BT38" s="100">
        <v>10</v>
      </c>
      <c r="BU38" s="100">
        <v>12420</v>
      </c>
      <c r="BV38" s="100">
        <v>16.051214139226261</v>
      </c>
      <c r="BW38" s="100">
        <v>19935.607960919016</v>
      </c>
      <c r="BX38" s="100">
        <v>19</v>
      </c>
      <c r="BY38" s="100">
        <v>23598</v>
      </c>
      <c r="BZ38" s="100">
        <v>12.519460943049131</v>
      </c>
      <c r="CA38" s="100">
        <v>15549.170491267021</v>
      </c>
      <c r="CB38" s="100">
        <v>13.56243569865055</v>
      </c>
      <c r="CC38" s="100">
        <v>16844.545137723984</v>
      </c>
      <c r="CD38" s="100">
        <v>9.9665601505400652</v>
      </c>
      <c r="CE38" s="100">
        <v>12378.467706970761</v>
      </c>
      <c r="CF38" s="100">
        <v>12</v>
      </c>
      <c r="CG38" s="100">
        <v>14904</v>
      </c>
      <c r="CH38" s="100">
        <v>15</v>
      </c>
      <c r="CI38" s="100">
        <v>18630</v>
      </c>
      <c r="CJ38" s="100">
        <v>11.141839773977788</v>
      </c>
      <c r="CK38" s="100">
        <v>13838.164999280412</v>
      </c>
      <c r="CL38" s="100">
        <v>10.892111571455104</v>
      </c>
      <c r="CM38" s="100">
        <v>13528.002571747238</v>
      </c>
      <c r="CN38" s="100">
        <v>18.983542363367807</v>
      </c>
      <c r="CO38" s="100">
        <v>23577.559615302816</v>
      </c>
      <c r="CP38" s="100">
        <v>12.82933106629106</v>
      </c>
      <c r="CQ38" s="100">
        <v>15934.029184333496</v>
      </c>
      <c r="CR38" s="100">
        <v>11.560197941108653</v>
      </c>
      <c r="CS38" s="100">
        <v>14357.765842856947</v>
      </c>
      <c r="CT38" s="100">
        <v>14.562762048062019</v>
      </c>
      <c r="CU38" s="100">
        <v>18086.950463693029</v>
      </c>
    </row>
    <row r="39" spans="2:99">
      <c r="C39" s="99" t="s">
        <v>205</v>
      </c>
      <c r="D39" s="100">
        <v>11</v>
      </c>
      <c r="E39" s="100">
        <v>15655.2</v>
      </c>
      <c r="F39" s="100">
        <v>12.657403033820694</v>
      </c>
      <c r="G39" s="100">
        <v>18014.015997733612</v>
      </c>
      <c r="H39" s="100">
        <v>14.765074860690676</v>
      </c>
      <c r="I39" s="100">
        <v>21013.65454173497</v>
      </c>
      <c r="J39" s="100">
        <v>16</v>
      </c>
      <c r="K39" s="100">
        <v>22771.200000000001</v>
      </c>
      <c r="L39" s="100">
        <v>14</v>
      </c>
      <c r="M39" s="100">
        <v>19924.8</v>
      </c>
      <c r="N39" s="100">
        <v>15</v>
      </c>
      <c r="O39" s="100">
        <v>21348</v>
      </c>
      <c r="P39" s="100">
        <v>11</v>
      </c>
      <c r="Q39" s="100">
        <v>15655.2</v>
      </c>
      <c r="R39" s="100">
        <v>9</v>
      </c>
      <c r="S39" s="100">
        <v>12808.800000000001</v>
      </c>
      <c r="T39" s="100">
        <v>14</v>
      </c>
      <c r="U39" s="100">
        <v>19924.8</v>
      </c>
      <c r="V39" s="100">
        <v>17.207329193463821</v>
      </c>
      <c r="W39" s="100">
        <v>24489.470908137711</v>
      </c>
      <c r="X39" s="100">
        <v>15.700911037026986</v>
      </c>
      <c r="Y39" s="100">
        <v>22345.536587896808</v>
      </c>
      <c r="Z39" s="100">
        <v>9.5989841702777845</v>
      </c>
      <c r="AA39" s="100">
        <v>13661.274271139344</v>
      </c>
      <c r="AB39" s="100">
        <v>9.4615191760225805</v>
      </c>
      <c r="AC39" s="100">
        <v>13465.634091315336</v>
      </c>
      <c r="AD39" s="100">
        <v>18</v>
      </c>
      <c r="AE39" s="100">
        <v>25617.600000000002</v>
      </c>
      <c r="AF39" s="100">
        <v>16.926142401751527</v>
      </c>
      <c r="AG39" s="100">
        <v>24089.285866172773</v>
      </c>
      <c r="AH39" s="100">
        <v>9.5727574375721094</v>
      </c>
      <c r="AI39" s="100">
        <v>13623.948385152626</v>
      </c>
      <c r="AJ39" s="100">
        <v>16.683948676911388</v>
      </c>
      <c r="AK39" s="100">
        <v>23744.595756980289</v>
      </c>
      <c r="AL39" s="100">
        <v>12.63517675907339</v>
      </c>
      <c r="AM39" s="100">
        <v>17982.383563513249</v>
      </c>
      <c r="AN39" s="100">
        <v>14.34069745824406</v>
      </c>
      <c r="AO39" s="100">
        <v>20409.680622572945</v>
      </c>
      <c r="AP39" s="100">
        <v>14.988788116155686</v>
      </c>
      <c r="AQ39" s="100">
        <v>21332.043246912774</v>
      </c>
      <c r="AR39" s="100">
        <v>15</v>
      </c>
      <c r="AS39" s="100">
        <v>21348</v>
      </c>
      <c r="AT39" s="100">
        <v>15.811749619916109</v>
      </c>
      <c r="AU39" s="100">
        <v>22503.282059064608</v>
      </c>
      <c r="AV39" s="100">
        <v>13.56243569865055</v>
      </c>
      <c r="AW39" s="100">
        <v>19302.058486319464</v>
      </c>
      <c r="AX39" s="100">
        <v>10.846131738367347</v>
      </c>
      <c r="AY39" s="100">
        <v>15436.21469004441</v>
      </c>
      <c r="AZ39" s="100">
        <v>10.434996780775807</v>
      </c>
      <c r="BA39" s="100">
        <v>14851.087418400128</v>
      </c>
      <c r="BB39" s="100">
        <v>13.126889146329924</v>
      </c>
      <c r="BC39" s="100">
        <v>18682.18863305675</v>
      </c>
      <c r="BD39" s="100">
        <v>19</v>
      </c>
      <c r="BE39" s="100">
        <v>27040.799999999999</v>
      </c>
      <c r="BF39" s="100">
        <v>14.878701082224199</v>
      </c>
      <c r="BG39" s="100">
        <v>21175.36738022148</v>
      </c>
      <c r="BH39" s="100">
        <v>13.28250336957141</v>
      </c>
      <c r="BI39" s="100">
        <v>18903.658795574032</v>
      </c>
      <c r="BJ39" s="100">
        <v>10</v>
      </c>
      <c r="BK39" s="100">
        <v>14232</v>
      </c>
      <c r="BL39" s="100">
        <v>13</v>
      </c>
      <c r="BM39" s="100">
        <v>18501.600000000002</v>
      </c>
      <c r="BN39" s="100">
        <v>13.571318079783664</v>
      </c>
      <c r="BO39" s="100">
        <v>19314.69989114811</v>
      </c>
      <c r="BP39" s="100">
        <v>10.992883319702678</v>
      </c>
      <c r="BQ39" s="100">
        <v>15645.071540600851</v>
      </c>
      <c r="BR39" s="100">
        <v>12.049518488880448</v>
      </c>
      <c r="BS39" s="100">
        <v>17148.874713374655</v>
      </c>
      <c r="BT39" s="100">
        <v>10</v>
      </c>
      <c r="BU39" s="100">
        <v>14232</v>
      </c>
      <c r="BV39" s="100">
        <v>17.834682376918067</v>
      </c>
      <c r="BW39" s="100">
        <v>25382.319958829794</v>
      </c>
      <c r="BX39" s="100">
        <v>19</v>
      </c>
      <c r="BY39" s="100">
        <v>27040.799999999999</v>
      </c>
      <c r="BZ39" s="100">
        <v>14.188722402122348</v>
      </c>
      <c r="CA39" s="100">
        <v>20193.389722700525</v>
      </c>
      <c r="CB39" s="100">
        <v>12.593690291604082</v>
      </c>
      <c r="CC39" s="100">
        <v>17923.340023010929</v>
      </c>
      <c r="CD39" s="100">
        <v>11.499877096776997</v>
      </c>
      <c r="CE39" s="100">
        <v>16366.625084133022</v>
      </c>
      <c r="CF39" s="100">
        <v>11</v>
      </c>
      <c r="CG39" s="100">
        <v>15655.2</v>
      </c>
      <c r="CH39" s="100">
        <v>16</v>
      </c>
      <c r="CI39" s="100">
        <v>22771.200000000001</v>
      </c>
      <c r="CJ39" s="100">
        <v>10.399050455712601</v>
      </c>
      <c r="CK39" s="100">
        <v>14799.928608570173</v>
      </c>
      <c r="CL39" s="100">
        <v>10.892111571455104</v>
      </c>
      <c r="CM39" s="100">
        <v>15501.653188494904</v>
      </c>
      <c r="CN39" s="100">
        <v>16.985274746171196</v>
      </c>
      <c r="CO39" s="100">
        <v>24173.443018750848</v>
      </c>
      <c r="CP39" s="100">
        <v>12.82933106629106</v>
      </c>
      <c r="CQ39" s="100">
        <v>18258.703973545438</v>
      </c>
      <c r="CR39" s="100">
        <v>10.670951945638755</v>
      </c>
      <c r="CS39" s="100">
        <v>15186.898809033077</v>
      </c>
      <c r="CT39" s="100">
        <v>13.706128986411311</v>
      </c>
      <c r="CU39" s="100">
        <v>19506.562773460581</v>
      </c>
    </row>
    <row r="40" spans="2:99">
      <c r="C40" s="99" t="s">
        <v>206</v>
      </c>
      <c r="D40" s="100">
        <v>10</v>
      </c>
      <c r="E40" s="100">
        <v>7248</v>
      </c>
      <c r="F40" s="100">
        <v>11.683756646603717</v>
      </c>
      <c r="G40" s="100">
        <v>8468.3868174583731</v>
      </c>
      <c r="H40" s="100">
        <v>17.53352639707018</v>
      </c>
      <c r="I40" s="100">
        <v>12708.299932596465</v>
      </c>
      <c r="J40" s="100">
        <v>19</v>
      </c>
      <c r="K40" s="100">
        <v>13771.199999999999</v>
      </c>
      <c r="L40" s="100">
        <v>15</v>
      </c>
      <c r="M40" s="100">
        <v>10872</v>
      </c>
      <c r="N40" s="100">
        <v>17</v>
      </c>
      <c r="O40" s="100">
        <v>12321.599999999999</v>
      </c>
      <c r="P40" s="100">
        <v>12</v>
      </c>
      <c r="Q40" s="100">
        <v>8697.5999999999985</v>
      </c>
      <c r="R40" s="100">
        <v>9</v>
      </c>
      <c r="S40" s="100">
        <v>6523.2</v>
      </c>
      <c r="T40" s="100">
        <v>12</v>
      </c>
      <c r="U40" s="100">
        <v>8697.5999999999985</v>
      </c>
      <c r="V40" s="100">
        <v>16.251366460493607</v>
      </c>
      <c r="W40" s="100">
        <v>11778.990410565766</v>
      </c>
      <c r="X40" s="100">
        <v>14.828638201636597</v>
      </c>
      <c r="Y40" s="100">
        <v>10747.796968546205</v>
      </c>
      <c r="Z40" s="100">
        <v>9.5989841702777845</v>
      </c>
      <c r="AA40" s="100">
        <v>6957.3437266173378</v>
      </c>
      <c r="AB40" s="100">
        <v>9.4615191760225805</v>
      </c>
      <c r="AC40" s="100">
        <v>6857.7090987811662</v>
      </c>
      <c r="AD40" s="100">
        <v>18</v>
      </c>
      <c r="AE40" s="100">
        <v>13046.4</v>
      </c>
      <c r="AF40" s="100">
        <v>18.917453272545824</v>
      </c>
      <c r="AG40" s="100">
        <v>13711.370131941212</v>
      </c>
      <c r="AH40" s="100">
        <v>10.530033181329319</v>
      </c>
      <c r="AI40" s="100">
        <v>7632.16804982749</v>
      </c>
      <c r="AJ40" s="100">
        <v>16.683948676911388</v>
      </c>
      <c r="AK40" s="100">
        <v>12092.526001025373</v>
      </c>
      <c r="AL40" s="100">
        <v>12.63517675907339</v>
      </c>
      <c r="AM40" s="100">
        <v>9157.9761149763926</v>
      </c>
      <c r="AN40" s="100">
        <v>15.184267896964299</v>
      </c>
      <c r="AO40" s="100">
        <v>11005.557371719722</v>
      </c>
      <c r="AP40" s="100">
        <v>14.988788116155686</v>
      </c>
      <c r="AQ40" s="100">
        <v>10863.87362658964</v>
      </c>
      <c r="AR40" s="100">
        <v>18</v>
      </c>
      <c r="AS40" s="100">
        <v>13046.4</v>
      </c>
      <c r="AT40" s="100">
        <v>15.811749619916109</v>
      </c>
      <c r="AU40" s="100">
        <v>11460.356124515194</v>
      </c>
      <c r="AV40" s="100">
        <v>15.257740160981868</v>
      </c>
      <c r="AW40" s="100">
        <v>11058.810068679657</v>
      </c>
      <c r="AX40" s="100">
        <v>10.846131738367347</v>
      </c>
      <c r="AY40" s="100">
        <v>7861.2762839686529</v>
      </c>
      <c r="AZ40" s="100">
        <v>11.383632851755424</v>
      </c>
      <c r="BA40" s="100">
        <v>8250.8570909523314</v>
      </c>
      <c r="BB40" s="100">
        <v>14.06452408535349</v>
      </c>
      <c r="BC40" s="100">
        <v>10193.967057064208</v>
      </c>
      <c r="BD40" s="100">
        <v>21</v>
      </c>
      <c r="BE40" s="100">
        <v>15220.8</v>
      </c>
      <c r="BF40" s="100">
        <v>17.668457535141236</v>
      </c>
      <c r="BG40" s="100">
        <v>12806.098021470367</v>
      </c>
      <c r="BH40" s="100">
        <v>14.168003594209504</v>
      </c>
      <c r="BI40" s="100">
        <v>10268.969005083047</v>
      </c>
      <c r="BJ40" s="100">
        <v>10</v>
      </c>
      <c r="BK40" s="100">
        <v>7248</v>
      </c>
      <c r="BL40" s="100">
        <v>13</v>
      </c>
      <c r="BM40" s="100">
        <v>9422.4</v>
      </c>
      <c r="BN40" s="100">
        <v>13.571318079783664</v>
      </c>
      <c r="BO40" s="100">
        <v>9836.4913442271991</v>
      </c>
      <c r="BP40" s="100">
        <v>11.838489728910575</v>
      </c>
      <c r="BQ40" s="100">
        <v>8580.5373555143851</v>
      </c>
      <c r="BR40" s="100">
        <v>12.049518488880448</v>
      </c>
      <c r="BS40" s="100">
        <v>8733.4910007405488</v>
      </c>
      <c r="BT40" s="100">
        <v>11</v>
      </c>
      <c r="BU40" s="100">
        <v>7972.7999999999993</v>
      </c>
      <c r="BV40" s="100">
        <v>18.726416495763974</v>
      </c>
      <c r="BW40" s="100">
        <v>13572.906676129727</v>
      </c>
      <c r="BX40" s="100">
        <v>19</v>
      </c>
      <c r="BY40" s="100">
        <v>13771.199999999999</v>
      </c>
      <c r="BZ40" s="100">
        <v>15.857983861195565</v>
      </c>
      <c r="CA40" s="100">
        <v>11493.866702594545</v>
      </c>
      <c r="CB40" s="100">
        <v>14.531181105697017</v>
      </c>
      <c r="CC40" s="100">
        <v>10532.200065409197</v>
      </c>
      <c r="CD40" s="100">
        <v>12.266535569895463</v>
      </c>
      <c r="CE40" s="100">
        <v>8890.7849810602311</v>
      </c>
      <c r="CF40" s="100">
        <v>12</v>
      </c>
      <c r="CG40" s="100">
        <v>8697.5999999999985</v>
      </c>
      <c r="CH40" s="100">
        <v>17</v>
      </c>
      <c r="CI40" s="100">
        <v>12321.599999999999</v>
      </c>
      <c r="CJ40" s="100">
        <v>10.399050455712601</v>
      </c>
      <c r="CK40" s="100">
        <v>7537.2317703004928</v>
      </c>
      <c r="CL40" s="100">
        <v>10.892111571455104</v>
      </c>
      <c r="CM40" s="100">
        <v>7894.6024669906583</v>
      </c>
      <c r="CN40" s="100">
        <v>18.983542363367807</v>
      </c>
      <c r="CO40" s="100">
        <v>13759.271504968985</v>
      </c>
      <c r="CP40" s="100">
        <v>12.82933106629106</v>
      </c>
      <c r="CQ40" s="100">
        <v>9298.6991568477588</v>
      </c>
      <c r="CR40" s="100">
        <v>11.560197941108653</v>
      </c>
      <c r="CS40" s="100">
        <v>8378.8314677155504</v>
      </c>
      <c r="CT40" s="100">
        <v>17.989294294664848</v>
      </c>
      <c r="CU40" s="100">
        <v>13038.64050477308</v>
      </c>
    </row>
    <row r="41" spans="2:99">
      <c r="C41" s="99" t="s">
        <v>207</v>
      </c>
      <c r="D41" s="100">
        <v>11</v>
      </c>
      <c r="E41" s="100">
        <v>7260</v>
      </c>
      <c r="F41" s="100">
        <v>13.631049421037671</v>
      </c>
      <c r="G41" s="100">
        <v>8996.4926178848636</v>
      </c>
      <c r="H41" s="100">
        <v>16.610709218277012</v>
      </c>
      <c r="I41" s="100">
        <v>10963.068084062828</v>
      </c>
      <c r="J41" s="100">
        <v>20</v>
      </c>
      <c r="K41" s="100">
        <v>13200</v>
      </c>
      <c r="L41" s="100">
        <v>14</v>
      </c>
      <c r="M41" s="100">
        <v>9240</v>
      </c>
      <c r="N41" s="100">
        <v>17</v>
      </c>
      <c r="O41" s="100">
        <v>11220</v>
      </c>
      <c r="P41" s="100">
        <v>13</v>
      </c>
      <c r="Q41" s="100">
        <v>8580</v>
      </c>
      <c r="R41" s="100">
        <v>11</v>
      </c>
      <c r="S41" s="100">
        <v>7260</v>
      </c>
      <c r="T41" s="100">
        <v>12</v>
      </c>
      <c r="U41" s="100">
        <v>7920</v>
      </c>
      <c r="V41" s="100">
        <v>18.163291926434031</v>
      </c>
      <c r="W41" s="100">
        <v>11987.772671446461</v>
      </c>
      <c r="X41" s="100">
        <v>15.700911037026986</v>
      </c>
      <c r="Y41" s="100">
        <v>10362.601284437811</v>
      </c>
      <c r="Z41" s="100">
        <v>10.558882587305565</v>
      </c>
      <c r="AA41" s="100">
        <v>6968.8625076216731</v>
      </c>
      <c r="AB41" s="100">
        <v>10.321657282933725</v>
      </c>
      <c r="AC41" s="100">
        <v>6812.2938067362584</v>
      </c>
      <c r="AD41" s="100">
        <v>17</v>
      </c>
      <c r="AE41" s="100">
        <v>11220</v>
      </c>
      <c r="AF41" s="100">
        <v>16.926142401751527</v>
      </c>
      <c r="AG41" s="100">
        <v>11171.253985156007</v>
      </c>
      <c r="AH41" s="100">
        <v>10.530033181329319</v>
      </c>
      <c r="AI41" s="100">
        <v>6949.8218996773503</v>
      </c>
      <c r="AJ41" s="100">
        <v>17.610834714517576</v>
      </c>
      <c r="AK41" s="100">
        <v>11623.150911581601</v>
      </c>
      <c r="AL41" s="100">
        <v>14.214573853957562</v>
      </c>
      <c r="AM41" s="100">
        <v>9381.6187436119908</v>
      </c>
      <c r="AN41" s="100">
        <v>14.34069745824406</v>
      </c>
      <c r="AO41" s="100">
        <v>9464.8603224410799</v>
      </c>
      <c r="AP41" s="100">
        <v>16.86238663067515</v>
      </c>
      <c r="AQ41" s="100">
        <v>11129.175176245599</v>
      </c>
      <c r="AR41" s="100">
        <v>17</v>
      </c>
      <c r="AS41" s="100">
        <v>11220</v>
      </c>
      <c r="AT41" s="100">
        <v>17.671955457553299</v>
      </c>
      <c r="AU41" s="100">
        <v>11663.490601985177</v>
      </c>
      <c r="AV41" s="100">
        <v>14.410087929816209</v>
      </c>
      <c r="AW41" s="100">
        <v>9510.6580336786974</v>
      </c>
      <c r="AX41" s="100">
        <v>11.832143714582561</v>
      </c>
      <c r="AY41" s="100">
        <v>7809.2148516244897</v>
      </c>
      <c r="AZ41" s="100">
        <v>10.434996780775807</v>
      </c>
      <c r="BA41" s="100">
        <v>6887.0978753120326</v>
      </c>
      <c r="BB41" s="100">
        <v>14.06452408535349</v>
      </c>
      <c r="BC41" s="100">
        <v>9282.585896333303</v>
      </c>
      <c r="BD41" s="100">
        <v>22</v>
      </c>
      <c r="BE41" s="100">
        <v>14520</v>
      </c>
      <c r="BF41" s="100">
        <v>15.80861989986321</v>
      </c>
      <c r="BG41" s="100">
        <v>10433.689133909718</v>
      </c>
      <c r="BH41" s="100">
        <v>15.053503818847597</v>
      </c>
      <c r="BI41" s="100">
        <v>9935.3125204394146</v>
      </c>
      <c r="BJ41" s="100">
        <v>9</v>
      </c>
      <c r="BK41" s="100">
        <v>5940</v>
      </c>
      <c r="BL41" s="100">
        <v>13</v>
      </c>
      <c r="BM41" s="100">
        <v>8580</v>
      </c>
      <c r="BN41" s="100">
        <v>13.571318079783664</v>
      </c>
      <c r="BO41" s="100">
        <v>8957.0699326572176</v>
      </c>
      <c r="BP41" s="100">
        <v>10.147276910494778</v>
      </c>
      <c r="BQ41" s="100">
        <v>6697.2027609265533</v>
      </c>
      <c r="BR41" s="100">
        <v>11.122632451274258</v>
      </c>
      <c r="BS41" s="100">
        <v>7340.9374178410108</v>
      </c>
      <c r="BT41" s="100">
        <v>11</v>
      </c>
      <c r="BU41" s="100">
        <v>7260</v>
      </c>
      <c r="BV41" s="100">
        <v>16.051214139226261</v>
      </c>
      <c r="BW41" s="100">
        <v>10593.801331889332</v>
      </c>
      <c r="BX41" s="100">
        <v>20</v>
      </c>
      <c r="BY41" s="100">
        <v>13200</v>
      </c>
      <c r="BZ41" s="100">
        <v>13.35409167258574</v>
      </c>
      <c r="CA41" s="100">
        <v>8813.700503906588</v>
      </c>
      <c r="CB41" s="100">
        <v>12.593690291604082</v>
      </c>
      <c r="CC41" s="100">
        <v>8311.835592458694</v>
      </c>
      <c r="CD41" s="100">
        <v>12.266535569895463</v>
      </c>
      <c r="CE41" s="100">
        <v>8095.9134761310061</v>
      </c>
      <c r="CF41" s="100">
        <v>11</v>
      </c>
      <c r="CG41" s="100">
        <v>7260</v>
      </c>
      <c r="CH41" s="100">
        <v>17</v>
      </c>
      <c r="CI41" s="100">
        <v>11220</v>
      </c>
      <c r="CJ41" s="100">
        <v>11.884629092242974</v>
      </c>
      <c r="CK41" s="100">
        <v>7843.8552008803636</v>
      </c>
      <c r="CL41" s="100">
        <v>12.707463500030956</v>
      </c>
      <c r="CM41" s="100">
        <v>8386.9259100204308</v>
      </c>
      <c r="CN41" s="100">
        <v>18.983542363367807</v>
      </c>
      <c r="CO41" s="100">
        <v>12529.137959822752</v>
      </c>
      <c r="CP41" s="100">
        <v>13.745711856740421</v>
      </c>
      <c r="CQ41" s="100">
        <v>9072.1698254486782</v>
      </c>
      <c r="CR41" s="100">
        <v>11.560197941108653</v>
      </c>
      <c r="CS41" s="100">
        <v>7629.7306411317113</v>
      </c>
      <c r="CT41" s="100">
        <v>16.276028171363436</v>
      </c>
      <c r="CU41" s="100">
        <v>10742.178593099867</v>
      </c>
    </row>
    <row r="42" spans="2:99">
      <c r="C42" s="99" t="s">
        <v>208</v>
      </c>
      <c r="D42" s="100">
        <v>12</v>
      </c>
      <c r="E42" s="100">
        <v>10152</v>
      </c>
      <c r="F42" s="100">
        <v>12.657403033820694</v>
      </c>
      <c r="G42" s="100">
        <v>10708.162966612308</v>
      </c>
      <c r="H42" s="100">
        <v>14.765074860690676</v>
      </c>
      <c r="I42" s="100">
        <v>12491.253332144312</v>
      </c>
      <c r="J42" s="100">
        <v>19</v>
      </c>
      <c r="K42" s="100">
        <v>16074</v>
      </c>
      <c r="L42" s="100">
        <v>12</v>
      </c>
      <c r="M42" s="100">
        <v>10152</v>
      </c>
      <c r="N42" s="100">
        <v>17</v>
      </c>
      <c r="O42" s="100">
        <v>14382</v>
      </c>
      <c r="P42" s="100">
        <v>14</v>
      </c>
      <c r="Q42" s="100">
        <v>11844</v>
      </c>
      <c r="R42" s="100">
        <v>10</v>
      </c>
      <c r="S42" s="100">
        <v>8460</v>
      </c>
      <c r="T42" s="100">
        <v>13</v>
      </c>
      <c r="U42" s="100">
        <v>10998</v>
      </c>
      <c r="V42" s="100">
        <v>16.251366460493607</v>
      </c>
      <c r="W42" s="100">
        <v>13748.656025577591</v>
      </c>
      <c r="X42" s="100">
        <v>15.700911037026986</v>
      </c>
      <c r="Y42" s="100">
        <v>13282.970737324829</v>
      </c>
      <c r="Z42" s="100">
        <v>10.558882587305565</v>
      </c>
      <c r="AA42" s="100">
        <v>8932.8146688605084</v>
      </c>
      <c r="AB42" s="100">
        <v>9.4615191760225805</v>
      </c>
      <c r="AC42" s="100">
        <v>8004.4452229151029</v>
      </c>
      <c r="AD42" s="100">
        <v>17</v>
      </c>
      <c r="AE42" s="100">
        <v>14382</v>
      </c>
      <c r="AF42" s="100">
        <v>16.926142401751527</v>
      </c>
      <c r="AG42" s="100">
        <v>14319.516471881792</v>
      </c>
      <c r="AH42" s="100">
        <v>9.5727574375721094</v>
      </c>
      <c r="AI42" s="100">
        <v>8098.5527921860048</v>
      </c>
      <c r="AJ42" s="100">
        <v>17.610834714517576</v>
      </c>
      <c r="AK42" s="100">
        <v>14898.76616848187</v>
      </c>
      <c r="AL42" s="100">
        <v>11.845478211631301</v>
      </c>
      <c r="AM42" s="100">
        <v>10021.27456704008</v>
      </c>
      <c r="AN42" s="100">
        <v>15.184267896964299</v>
      </c>
      <c r="AO42" s="100">
        <v>12845.890640831796</v>
      </c>
      <c r="AP42" s="100">
        <v>14.988788116155686</v>
      </c>
      <c r="AQ42" s="100">
        <v>12680.514746267711</v>
      </c>
      <c r="AR42" s="100">
        <v>18</v>
      </c>
      <c r="AS42" s="100">
        <v>15228</v>
      </c>
      <c r="AT42" s="100">
        <v>15.811749619916109</v>
      </c>
      <c r="AU42" s="100">
        <v>13376.740178449028</v>
      </c>
      <c r="AV42" s="100">
        <v>12.714783467484889</v>
      </c>
      <c r="AW42" s="100">
        <v>10756.706813492216</v>
      </c>
      <c r="AX42" s="100">
        <v>10.846131738367347</v>
      </c>
      <c r="AY42" s="100">
        <v>9175.8274506587768</v>
      </c>
      <c r="AZ42" s="100">
        <v>12.332268922735043</v>
      </c>
      <c r="BA42" s="100">
        <v>10433.099508633846</v>
      </c>
      <c r="BB42" s="100">
        <v>14.06452408535349</v>
      </c>
      <c r="BC42" s="100">
        <v>11898.587376209052</v>
      </c>
      <c r="BD42" s="100">
        <v>21</v>
      </c>
      <c r="BE42" s="100">
        <v>17766</v>
      </c>
      <c r="BF42" s="100">
        <v>17.668457535141236</v>
      </c>
      <c r="BG42" s="100">
        <v>14947.515074729487</v>
      </c>
      <c r="BH42" s="100">
        <v>15.053503818847597</v>
      </c>
      <c r="BI42" s="100">
        <v>12735.264230745068</v>
      </c>
      <c r="BJ42" s="100">
        <v>10</v>
      </c>
      <c r="BK42" s="100">
        <v>8460</v>
      </c>
      <c r="BL42" s="100">
        <v>13</v>
      </c>
      <c r="BM42" s="100">
        <v>10998</v>
      </c>
      <c r="BN42" s="100">
        <v>13.571318079783664</v>
      </c>
      <c r="BO42" s="100">
        <v>11481.335095496979</v>
      </c>
      <c r="BP42" s="100">
        <v>10.992883319702678</v>
      </c>
      <c r="BQ42" s="100">
        <v>9299.9792884684648</v>
      </c>
      <c r="BR42" s="100">
        <v>12.049518488880448</v>
      </c>
      <c r="BS42" s="100">
        <v>10193.89264159286</v>
      </c>
      <c r="BT42" s="100">
        <v>12</v>
      </c>
      <c r="BU42" s="100">
        <v>10152</v>
      </c>
      <c r="BV42" s="100">
        <v>16.051214139226261</v>
      </c>
      <c r="BW42" s="100">
        <v>13579.327161785417</v>
      </c>
      <c r="BX42" s="100">
        <v>19</v>
      </c>
      <c r="BY42" s="100">
        <v>16074</v>
      </c>
      <c r="BZ42" s="100">
        <v>13.35409167258574</v>
      </c>
      <c r="CA42" s="100">
        <v>11297.561555007536</v>
      </c>
      <c r="CB42" s="100">
        <v>12.593690291604082</v>
      </c>
      <c r="CC42" s="100">
        <v>10654.261986697053</v>
      </c>
      <c r="CD42" s="100">
        <v>12.266535569895463</v>
      </c>
      <c r="CE42" s="100">
        <v>10377.489092131562</v>
      </c>
      <c r="CF42" s="100">
        <v>13</v>
      </c>
      <c r="CG42" s="100">
        <v>10998</v>
      </c>
      <c r="CH42" s="100">
        <v>18</v>
      </c>
      <c r="CI42" s="100">
        <v>15228</v>
      </c>
      <c r="CJ42" s="100">
        <v>10.399050455712601</v>
      </c>
      <c r="CK42" s="100">
        <v>8797.5966855328606</v>
      </c>
      <c r="CL42" s="100">
        <v>9.9844356071671783</v>
      </c>
      <c r="CM42" s="100">
        <v>8446.8325236634337</v>
      </c>
      <c r="CN42" s="100">
        <v>19.982676171966112</v>
      </c>
      <c r="CO42" s="100">
        <v>16905.344041483331</v>
      </c>
      <c r="CP42" s="100">
        <v>13.745711856740421</v>
      </c>
      <c r="CQ42" s="100">
        <v>11628.872230802395</v>
      </c>
      <c r="CR42" s="100">
        <v>12.44944393657855</v>
      </c>
      <c r="CS42" s="100">
        <v>10532.229570345453</v>
      </c>
      <c r="CT42" s="100">
        <v>15.419395109712726</v>
      </c>
      <c r="CU42" s="100">
        <v>13044.808262816967</v>
      </c>
    </row>
    <row r="43" spans="2:99">
      <c r="C43" s="99" t="s">
        <v>209</v>
      </c>
      <c r="D43" s="100">
        <v>10</v>
      </c>
      <c r="E43" s="100">
        <v>10224</v>
      </c>
      <c r="F43" s="100">
        <v>11.683756646603717</v>
      </c>
      <c r="G43" s="100">
        <v>11945.47279548764</v>
      </c>
      <c r="H43" s="100">
        <v>15.687892039483843</v>
      </c>
      <c r="I43" s="100">
        <v>16039.300821168281</v>
      </c>
      <c r="J43" s="100">
        <v>20</v>
      </c>
      <c r="K43" s="100">
        <v>20448</v>
      </c>
      <c r="L43" s="100">
        <v>14</v>
      </c>
      <c r="M43" s="100">
        <v>14313.6</v>
      </c>
      <c r="N43" s="100">
        <v>14</v>
      </c>
      <c r="O43" s="100">
        <v>14313.6</v>
      </c>
      <c r="P43" s="100">
        <v>14</v>
      </c>
      <c r="Q43" s="100">
        <v>14313.6</v>
      </c>
      <c r="R43" s="100">
        <v>10</v>
      </c>
      <c r="S43" s="100">
        <v>10224</v>
      </c>
      <c r="T43" s="100">
        <v>13</v>
      </c>
      <c r="U43" s="100">
        <v>13291.199999999999</v>
      </c>
      <c r="V43" s="100">
        <v>18.163291926434031</v>
      </c>
      <c r="W43" s="100">
        <v>18570.149665586152</v>
      </c>
      <c r="X43" s="100">
        <v>14.828638201636597</v>
      </c>
      <c r="Y43" s="100">
        <v>15160.799697353257</v>
      </c>
      <c r="Z43" s="100">
        <v>9.5989841702777845</v>
      </c>
      <c r="AA43" s="100">
        <v>9814.001415692006</v>
      </c>
      <c r="AB43" s="100">
        <v>10.321657282933725</v>
      </c>
      <c r="AC43" s="100">
        <v>10552.862406071439</v>
      </c>
      <c r="AD43" s="100">
        <v>19</v>
      </c>
      <c r="AE43" s="100">
        <v>19425.599999999999</v>
      </c>
      <c r="AF43" s="100">
        <v>16.926142401751527</v>
      </c>
      <c r="AG43" s="100">
        <v>17305.287991550762</v>
      </c>
      <c r="AH43" s="100">
        <v>8.6154816938148979</v>
      </c>
      <c r="AI43" s="100">
        <v>8808.4684837563509</v>
      </c>
      <c r="AJ43" s="100">
        <v>18.537720752123764</v>
      </c>
      <c r="AK43" s="100">
        <v>18952.965696971336</v>
      </c>
      <c r="AL43" s="100">
        <v>12.63517675907339</v>
      </c>
      <c r="AM43" s="100">
        <v>12918.204718476634</v>
      </c>
      <c r="AN43" s="100">
        <v>13.49712701952382</v>
      </c>
      <c r="AO43" s="100">
        <v>13799.462664761153</v>
      </c>
      <c r="AP43" s="100">
        <v>14.051988858895957</v>
      </c>
      <c r="AQ43" s="100">
        <v>14366.753409335226</v>
      </c>
      <c r="AR43" s="100">
        <v>16</v>
      </c>
      <c r="AS43" s="100">
        <v>16358.4</v>
      </c>
      <c r="AT43" s="100">
        <v>16.741852538734705</v>
      </c>
      <c r="AU43" s="100">
        <v>17116.870035602362</v>
      </c>
      <c r="AV43" s="100">
        <v>14.410087929816209</v>
      </c>
      <c r="AW43" s="100">
        <v>14732.873899444092</v>
      </c>
      <c r="AX43" s="100">
        <v>11.832143714582561</v>
      </c>
      <c r="AY43" s="100">
        <v>12097.18373378921</v>
      </c>
      <c r="AZ43" s="100">
        <v>10.434996780775807</v>
      </c>
      <c r="BA43" s="100">
        <v>10668.740708665184</v>
      </c>
      <c r="BB43" s="100">
        <v>13.126889146329924</v>
      </c>
      <c r="BC43" s="100">
        <v>13420.931463207715</v>
      </c>
      <c r="BD43" s="100">
        <v>18</v>
      </c>
      <c r="BE43" s="100">
        <v>18403.2</v>
      </c>
      <c r="BF43" s="100">
        <v>17.668457535141236</v>
      </c>
      <c r="BG43" s="100">
        <v>18064.230983928399</v>
      </c>
      <c r="BH43" s="100">
        <v>15.93900404348569</v>
      </c>
      <c r="BI43" s="100">
        <v>16296.03773405977</v>
      </c>
      <c r="BJ43" s="100">
        <v>9</v>
      </c>
      <c r="BK43" s="100">
        <v>9201.6</v>
      </c>
      <c r="BL43" s="100">
        <v>12</v>
      </c>
      <c r="BM43" s="100">
        <v>12268.8</v>
      </c>
      <c r="BN43" s="100">
        <v>12.601938216941974</v>
      </c>
      <c r="BO43" s="100">
        <v>12884.221633001474</v>
      </c>
      <c r="BP43" s="100">
        <v>10.992883319702678</v>
      </c>
      <c r="BQ43" s="100">
        <v>11239.123906064018</v>
      </c>
      <c r="BR43" s="100">
        <v>11.122632451274258</v>
      </c>
      <c r="BS43" s="100">
        <v>11371.779418182801</v>
      </c>
      <c r="BT43" s="100">
        <v>11</v>
      </c>
      <c r="BU43" s="100">
        <v>11246.4</v>
      </c>
      <c r="BV43" s="100">
        <v>16.051214139226261</v>
      </c>
      <c r="BW43" s="100">
        <v>16410.761335944928</v>
      </c>
      <c r="BX43" s="100">
        <v>17</v>
      </c>
      <c r="BY43" s="100">
        <v>17380.8</v>
      </c>
      <c r="BZ43" s="100">
        <v>13.35409167258574</v>
      </c>
      <c r="CA43" s="100">
        <v>13653.22332605166</v>
      </c>
      <c r="CB43" s="100">
        <v>11.624944884557614</v>
      </c>
      <c r="CC43" s="100">
        <v>11885.343649971705</v>
      </c>
      <c r="CD43" s="100">
        <v>11.499877096776997</v>
      </c>
      <c r="CE43" s="100">
        <v>11757.474343744801</v>
      </c>
      <c r="CF43" s="100">
        <v>12</v>
      </c>
      <c r="CG43" s="100">
        <v>12268.8</v>
      </c>
      <c r="CH43" s="100">
        <v>18</v>
      </c>
      <c r="CI43" s="100">
        <v>18403.2</v>
      </c>
      <c r="CJ43" s="100">
        <v>11.141839773977788</v>
      </c>
      <c r="CK43" s="100">
        <v>11391.416984914889</v>
      </c>
      <c r="CL43" s="100">
        <v>11.799787535743031</v>
      </c>
      <c r="CM43" s="100">
        <v>12064.102776543674</v>
      </c>
      <c r="CN43" s="100">
        <v>19.982676171966112</v>
      </c>
      <c r="CO43" s="100">
        <v>20430.288118218152</v>
      </c>
      <c r="CP43" s="100">
        <v>13.745711856740421</v>
      </c>
      <c r="CQ43" s="100">
        <v>14053.615802331406</v>
      </c>
      <c r="CR43" s="100">
        <v>11.560197941108653</v>
      </c>
      <c r="CS43" s="100">
        <v>11819.146374989487</v>
      </c>
      <c r="CT43" s="100">
        <v>17.13266123301414</v>
      </c>
      <c r="CU43" s="100">
        <v>17516.432844633655</v>
      </c>
    </row>
    <row r="44" spans="2:99">
      <c r="C44" s="99" t="s">
        <v>210</v>
      </c>
      <c r="D44" s="100">
        <v>11</v>
      </c>
      <c r="E44" s="100">
        <v>11246.4</v>
      </c>
      <c r="F44" s="100">
        <v>11.683756646603717</v>
      </c>
      <c r="G44" s="100">
        <v>11945.47279548764</v>
      </c>
      <c r="H44" s="100">
        <v>14.765074860690676</v>
      </c>
      <c r="I44" s="100">
        <v>15095.812537570147</v>
      </c>
      <c r="J44" s="100">
        <v>20</v>
      </c>
      <c r="K44" s="100">
        <v>20448</v>
      </c>
      <c r="L44" s="100">
        <v>13</v>
      </c>
      <c r="M44" s="100">
        <v>13291.199999999999</v>
      </c>
      <c r="N44" s="100">
        <v>16</v>
      </c>
      <c r="O44" s="100">
        <v>16358.4</v>
      </c>
      <c r="P44" s="100">
        <v>13</v>
      </c>
      <c r="Q44" s="100">
        <v>13291.199999999999</v>
      </c>
      <c r="R44" s="100">
        <v>9</v>
      </c>
      <c r="S44" s="100">
        <v>9201.6</v>
      </c>
      <c r="T44" s="100">
        <v>13</v>
      </c>
      <c r="U44" s="100">
        <v>13291.199999999999</v>
      </c>
      <c r="V44" s="100">
        <v>17.207329193463821</v>
      </c>
      <c r="W44" s="100">
        <v>17592.773367397411</v>
      </c>
      <c r="X44" s="100">
        <v>15.700911037026986</v>
      </c>
      <c r="Y44" s="100">
        <v>16052.61144425639</v>
      </c>
      <c r="Z44" s="100">
        <v>10.558882587305565</v>
      </c>
      <c r="AA44" s="100">
        <v>10795.40155726121</v>
      </c>
      <c r="AB44" s="100">
        <v>9.4615191760225805</v>
      </c>
      <c r="AC44" s="100">
        <v>9673.4572055654862</v>
      </c>
      <c r="AD44" s="100">
        <v>19</v>
      </c>
      <c r="AE44" s="100">
        <v>19425.599999999999</v>
      </c>
      <c r="AF44" s="100">
        <v>18.917453272545824</v>
      </c>
      <c r="AG44" s="100">
        <v>19341.204225850852</v>
      </c>
      <c r="AH44" s="100">
        <v>9.5727574375721094</v>
      </c>
      <c r="AI44" s="100">
        <v>9787.1872041737242</v>
      </c>
      <c r="AJ44" s="100">
        <v>17.610834714517576</v>
      </c>
      <c r="AK44" s="100">
        <v>18005.317412122771</v>
      </c>
      <c r="AL44" s="100">
        <v>12.63517675907339</v>
      </c>
      <c r="AM44" s="100">
        <v>12918.204718476634</v>
      </c>
      <c r="AN44" s="100">
        <v>13.49712701952382</v>
      </c>
      <c r="AO44" s="100">
        <v>13799.462664761153</v>
      </c>
      <c r="AP44" s="100">
        <v>15.925587373415418</v>
      </c>
      <c r="AQ44" s="100">
        <v>16282.320530579922</v>
      </c>
      <c r="AR44" s="100">
        <v>16</v>
      </c>
      <c r="AS44" s="100">
        <v>16358.4</v>
      </c>
      <c r="AT44" s="100">
        <v>14.881646701097514</v>
      </c>
      <c r="AU44" s="100">
        <v>15214.995587202098</v>
      </c>
      <c r="AV44" s="100">
        <v>12.714783467484889</v>
      </c>
      <c r="AW44" s="100">
        <v>12999.59461715655</v>
      </c>
      <c r="AX44" s="100">
        <v>10.846131738367347</v>
      </c>
      <c r="AY44" s="100">
        <v>11089.085089306776</v>
      </c>
      <c r="AZ44" s="100">
        <v>11.383632851755424</v>
      </c>
      <c r="BA44" s="100">
        <v>11638.626227634744</v>
      </c>
      <c r="BB44" s="100">
        <v>12.189254207306359</v>
      </c>
      <c r="BC44" s="100">
        <v>12462.293501550021</v>
      </c>
      <c r="BD44" s="100">
        <v>20</v>
      </c>
      <c r="BE44" s="100">
        <v>20448</v>
      </c>
      <c r="BF44" s="100">
        <v>15.80861989986321</v>
      </c>
      <c r="BG44" s="100">
        <v>16162.732985620145</v>
      </c>
      <c r="BH44" s="100">
        <v>15.053503818847597</v>
      </c>
      <c r="BI44" s="100">
        <v>15390.702304389783</v>
      </c>
      <c r="BJ44" s="100">
        <v>10</v>
      </c>
      <c r="BK44" s="100">
        <v>10224</v>
      </c>
      <c r="BL44" s="100">
        <v>13</v>
      </c>
      <c r="BM44" s="100">
        <v>13291.199999999999</v>
      </c>
      <c r="BN44" s="100">
        <v>13.571318079783664</v>
      </c>
      <c r="BO44" s="100">
        <v>13875.315604770818</v>
      </c>
      <c r="BP44" s="100">
        <v>9.3016705012868801</v>
      </c>
      <c r="BQ44" s="100">
        <v>9510.0279205157058</v>
      </c>
      <c r="BR44" s="100">
        <v>11.122632451274258</v>
      </c>
      <c r="BS44" s="100">
        <v>11371.779418182801</v>
      </c>
      <c r="BT44" s="100">
        <v>11</v>
      </c>
      <c r="BU44" s="100">
        <v>11246.4</v>
      </c>
      <c r="BV44" s="100">
        <v>16.942948258072164</v>
      </c>
      <c r="BW44" s="100">
        <v>17322.47029905298</v>
      </c>
      <c r="BX44" s="100">
        <v>17</v>
      </c>
      <c r="BY44" s="100">
        <v>17380.8</v>
      </c>
      <c r="BZ44" s="100">
        <v>14.188722402122348</v>
      </c>
      <c r="CA44" s="100">
        <v>14506.549783929888</v>
      </c>
      <c r="CB44" s="100">
        <v>14.531181105697017</v>
      </c>
      <c r="CC44" s="100">
        <v>14856.679562464631</v>
      </c>
      <c r="CD44" s="100">
        <v>12.266535569895463</v>
      </c>
      <c r="CE44" s="100">
        <v>12541.305966661121</v>
      </c>
      <c r="CF44" s="100">
        <v>11</v>
      </c>
      <c r="CG44" s="100">
        <v>11246.4</v>
      </c>
      <c r="CH44" s="100">
        <v>16</v>
      </c>
      <c r="CI44" s="100">
        <v>16358.4</v>
      </c>
      <c r="CJ44" s="100">
        <v>11.141839773977788</v>
      </c>
      <c r="CK44" s="100">
        <v>11391.416984914889</v>
      </c>
      <c r="CL44" s="100">
        <v>11.799787535743031</v>
      </c>
      <c r="CM44" s="100">
        <v>12064.102776543674</v>
      </c>
      <c r="CN44" s="100">
        <v>18.983542363367807</v>
      </c>
      <c r="CO44" s="100">
        <v>19408.773712307244</v>
      </c>
      <c r="CP44" s="100">
        <v>13.745711856740421</v>
      </c>
      <c r="CQ44" s="100">
        <v>14053.615802331406</v>
      </c>
      <c r="CR44" s="100">
        <v>11.560197941108653</v>
      </c>
      <c r="CS44" s="100">
        <v>11819.146374989487</v>
      </c>
      <c r="CT44" s="100">
        <v>14.562762048062019</v>
      </c>
      <c r="CU44" s="100">
        <v>14888.967917938608</v>
      </c>
    </row>
    <row r="45" spans="2:99">
      <c r="C45" s="99" t="s">
        <v>211</v>
      </c>
      <c r="D45" s="100">
        <v>11</v>
      </c>
      <c r="E45" s="100">
        <v>13741.2</v>
      </c>
      <c r="F45" s="100">
        <v>12.657403033820694</v>
      </c>
      <c r="G45" s="100">
        <v>15811.627869848811</v>
      </c>
      <c r="H45" s="100">
        <v>13.842257681897509</v>
      </c>
      <c r="I45" s="100">
        <v>17291.748296226368</v>
      </c>
      <c r="J45" s="100">
        <v>18</v>
      </c>
      <c r="K45" s="100">
        <v>22485.600000000002</v>
      </c>
      <c r="L45" s="100">
        <v>14</v>
      </c>
      <c r="M45" s="100">
        <v>17488.8</v>
      </c>
      <c r="N45" s="100">
        <v>14</v>
      </c>
      <c r="O45" s="100">
        <v>17488.8</v>
      </c>
      <c r="P45" s="100">
        <v>12</v>
      </c>
      <c r="Q45" s="100">
        <v>14990.400000000001</v>
      </c>
      <c r="R45" s="100">
        <v>11</v>
      </c>
      <c r="S45" s="100">
        <v>13741.2</v>
      </c>
      <c r="T45" s="100">
        <v>11</v>
      </c>
      <c r="U45" s="100">
        <v>13741.2</v>
      </c>
      <c r="V45" s="100">
        <v>16.251366460493607</v>
      </c>
      <c r="W45" s="100">
        <v>20301.206982448613</v>
      </c>
      <c r="X45" s="100">
        <v>14.828638201636597</v>
      </c>
      <c r="Y45" s="100">
        <v>18523.934841484439</v>
      </c>
      <c r="Z45" s="100">
        <v>10.558882587305565</v>
      </c>
      <c r="AA45" s="100">
        <v>13190.156128062112</v>
      </c>
      <c r="AB45" s="100">
        <v>9.4615191760225805</v>
      </c>
      <c r="AC45" s="100">
        <v>11819.329754687407</v>
      </c>
      <c r="AD45" s="100">
        <v>19</v>
      </c>
      <c r="AE45" s="100">
        <v>23734.799999999999</v>
      </c>
      <c r="AF45" s="100">
        <v>15.93048696635438</v>
      </c>
      <c r="AG45" s="100">
        <v>19900.364318369891</v>
      </c>
      <c r="AH45" s="100">
        <v>9.5727574375721094</v>
      </c>
      <c r="AI45" s="100">
        <v>11958.28859101508</v>
      </c>
      <c r="AJ45" s="100">
        <v>16.683948676911388</v>
      </c>
      <c r="AK45" s="100">
        <v>20841.588687197705</v>
      </c>
      <c r="AL45" s="100">
        <v>11.055779664189215</v>
      </c>
      <c r="AM45" s="100">
        <v>13810.879956505169</v>
      </c>
      <c r="AN45" s="100">
        <v>13.49712701952382</v>
      </c>
      <c r="AO45" s="100">
        <v>16860.611072789157</v>
      </c>
      <c r="AP45" s="100">
        <v>14.051988858895957</v>
      </c>
      <c r="AQ45" s="100">
        <v>17553.744482532831</v>
      </c>
      <c r="AR45" s="100">
        <v>17</v>
      </c>
      <c r="AS45" s="100">
        <v>21236.400000000001</v>
      </c>
      <c r="AT45" s="100">
        <v>13.95154378227892</v>
      </c>
      <c r="AU45" s="100">
        <v>17428.268492822826</v>
      </c>
      <c r="AV45" s="100">
        <v>11.86713123631923</v>
      </c>
      <c r="AW45" s="100">
        <v>14824.420340409983</v>
      </c>
      <c r="AX45" s="100">
        <v>10.846131738367347</v>
      </c>
      <c r="AY45" s="100">
        <v>13548.987767568491</v>
      </c>
      <c r="AZ45" s="100">
        <v>12.332268922735043</v>
      </c>
      <c r="BA45" s="100">
        <v>15405.470338280616</v>
      </c>
      <c r="BB45" s="100">
        <v>13.126889146329924</v>
      </c>
      <c r="BC45" s="100">
        <v>16398.109921595344</v>
      </c>
      <c r="BD45" s="100">
        <v>19</v>
      </c>
      <c r="BE45" s="100">
        <v>23734.799999999999</v>
      </c>
      <c r="BF45" s="100">
        <v>14.878701082224199</v>
      </c>
      <c r="BG45" s="100">
        <v>18586.473391914471</v>
      </c>
      <c r="BH45" s="100">
        <v>15.053503818847597</v>
      </c>
      <c r="BI45" s="100">
        <v>18804.836970504417</v>
      </c>
      <c r="BJ45" s="100">
        <v>10</v>
      </c>
      <c r="BK45" s="100">
        <v>12492</v>
      </c>
      <c r="BL45" s="100">
        <v>12</v>
      </c>
      <c r="BM45" s="100">
        <v>14990.400000000001</v>
      </c>
      <c r="BN45" s="100">
        <v>13.571318079783664</v>
      </c>
      <c r="BO45" s="100">
        <v>16953.290545265754</v>
      </c>
      <c r="BP45" s="100">
        <v>10.992883319702678</v>
      </c>
      <c r="BQ45" s="100">
        <v>13732.309842972585</v>
      </c>
      <c r="BR45" s="100">
        <v>11.122632451274258</v>
      </c>
      <c r="BS45" s="100">
        <v>13894.392458131804</v>
      </c>
      <c r="BT45" s="100">
        <v>11</v>
      </c>
      <c r="BU45" s="100">
        <v>13741.2</v>
      </c>
      <c r="BV45" s="100">
        <v>15.159480020380359</v>
      </c>
      <c r="BW45" s="100">
        <v>18937.222441459144</v>
      </c>
      <c r="BX45" s="100">
        <v>18</v>
      </c>
      <c r="BY45" s="100">
        <v>22485.600000000002</v>
      </c>
      <c r="BZ45" s="100">
        <v>13.35409167258574</v>
      </c>
      <c r="CA45" s="100">
        <v>16681.931317394108</v>
      </c>
      <c r="CB45" s="100">
        <v>13.56243569865055</v>
      </c>
      <c r="CC45" s="100">
        <v>16942.194674754268</v>
      </c>
      <c r="CD45" s="100">
        <v>10.733218623658532</v>
      </c>
      <c r="CE45" s="100">
        <v>13407.936704674239</v>
      </c>
      <c r="CF45" s="100">
        <v>11</v>
      </c>
      <c r="CG45" s="100">
        <v>13741.2</v>
      </c>
      <c r="CH45" s="100">
        <v>18</v>
      </c>
      <c r="CI45" s="100">
        <v>22485.600000000002</v>
      </c>
      <c r="CJ45" s="100">
        <v>9.6562611374474159</v>
      </c>
      <c r="CK45" s="100">
        <v>12062.601412899312</v>
      </c>
      <c r="CL45" s="100">
        <v>10.892111571455104</v>
      </c>
      <c r="CM45" s="100">
        <v>13606.425775061716</v>
      </c>
      <c r="CN45" s="100">
        <v>18.983542363367807</v>
      </c>
      <c r="CO45" s="100">
        <v>23714.241120319064</v>
      </c>
      <c r="CP45" s="100">
        <v>12.82933106629106</v>
      </c>
      <c r="CQ45" s="100">
        <v>16026.400368010793</v>
      </c>
      <c r="CR45" s="100">
        <v>11.560197941108653</v>
      </c>
      <c r="CS45" s="100">
        <v>14440.999268032931</v>
      </c>
      <c r="CT45" s="100">
        <v>16.276028171363436</v>
      </c>
      <c r="CU45" s="100">
        <v>20332.014391667206</v>
      </c>
    </row>
    <row r="46" spans="2:99">
      <c r="C46" s="99" t="s">
        <v>212</v>
      </c>
      <c r="D46" s="100">
        <v>11</v>
      </c>
      <c r="E46" s="100">
        <v>13332</v>
      </c>
      <c r="F46" s="100">
        <v>12.657403033820694</v>
      </c>
      <c r="G46" s="100">
        <v>15340.772476990682</v>
      </c>
      <c r="H46" s="100">
        <v>15.687892039483843</v>
      </c>
      <c r="I46" s="100">
        <v>19013.725151854418</v>
      </c>
      <c r="J46" s="100">
        <v>19</v>
      </c>
      <c r="K46" s="100">
        <v>23028</v>
      </c>
      <c r="L46" s="100">
        <v>12</v>
      </c>
      <c r="M46" s="100">
        <v>14544</v>
      </c>
      <c r="N46" s="100">
        <v>16</v>
      </c>
      <c r="O46" s="100">
        <v>19392</v>
      </c>
      <c r="P46" s="100">
        <v>12</v>
      </c>
      <c r="Q46" s="100">
        <v>14544</v>
      </c>
      <c r="R46" s="100">
        <v>10</v>
      </c>
      <c r="S46" s="100">
        <v>12120</v>
      </c>
      <c r="T46" s="100">
        <v>11</v>
      </c>
      <c r="U46" s="100">
        <v>13332</v>
      </c>
      <c r="V46" s="100">
        <v>19.119254659404245</v>
      </c>
      <c r="W46" s="100">
        <v>23172.536647197943</v>
      </c>
      <c r="X46" s="100">
        <v>15.700911037026986</v>
      </c>
      <c r="Y46" s="100">
        <v>19029.504176876708</v>
      </c>
      <c r="Z46" s="100">
        <v>8.6390857532500061</v>
      </c>
      <c r="AA46" s="100">
        <v>10470.571932939007</v>
      </c>
      <c r="AB46" s="100">
        <v>9.4615191760225805</v>
      </c>
      <c r="AC46" s="100">
        <v>11467.361241339368</v>
      </c>
      <c r="AD46" s="100">
        <v>19</v>
      </c>
      <c r="AE46" s="100">
        <v>23028</v>
      </c>
      <c r="AF46" s="100">
        <v>15.93048696635438</v>
      </c>
      <c r="AG46" s="100">
        <v>19307.750203221509</v>
      </c>
      <c r="AH46" s="100">
        <v>9.5727574375721094</v>
      </c>
      <c r="AI46" s="100">
        <v>11602.182014337397</v>
      </c>
      <c r="AJ46" s="100">
        <v>17.610834714517576</v>
      </c>
      <c r="AK46" s="100">
        <v>21344.331673995304</v>
      </c>
      <c r="AL46" s="100">
        <v>11.055779664189215</v>
      </c>
      <c r="AM46" s="100">
        <v>13399.604952997328</v>
      </c>
      <c r="AN46" s="100">
        <v>12.653556580803583</v>
      </c>
      <c r="AO46" s="100">
        <v>15336.110575933943</v>
      </c>
      <c r="AP46" s="100">
        <v>14.988788116155686</v>
      </c>
      <c r="AQ46" s="100">
        <v>18166.411196780689</v>
      </c>
      <c r="AR46" s="100">
        <v>18</v>
      </c>
      <c r="AS46" s="100">
        <v>21816</v>
      </c>
      <c r="AT46" s="100">
        <v>14.881646701097514</v>
      </c>
      <c r="AU46" s="100">
        <v>18036.555801730188</v>
      </c>
      <c r="AV46" s="100">
        <v>13.56243569865055</v>
      </c>
      <c r="AW46" s="100">
        <v>16437.672066764466</v>
      </c>
      <c r="AX46" s="100">
        <v>10.846131738367347</v>
      </c>
      <c r="AY46" s="100">
        <v>13145.511666901226</v>
      </c>
      <c r="AZ46" s="100">
        <v>10.434996780775807</v>
      </c>
      <c r="BA46" s="100">
        <v>12647.216098300278</v>
      </c>
      <c r="BB46" s="100">
        <v>12.189254207306359</v>
      </c>
      <c r="BC46" s="100">
        <v>14773.376099255307</v>
      </c>
      <c r="BD46" s="100">
        <v>19</v>
      </c>
      <c r="BE46" s="100">
        <v>23028</v>
      </c>
      <c r="BF46" s="100">
        <v>16.738538717502223</v>
      </c>
      <c r="BG46" s="100">
        <v>20287.108925612694</v>
      </c>
      <c r="BH46" s="100">
        <v>14.168003594209504</v>
      </c>
      <c r="BI46" s="100">
        <v>17171.620356181917</v>
      </c>
      <c r="BJ46" s="100">
        <v>9</v>
      </c>
      <c r="BK46" s="100">
        <v>10908</v>
      </c>
      <c r="BL46" s="100">
        <v>12</v>
      </c>
      <c r="BM46" s="100">
        <v>14544</v>
      </c>
      <c r="BN46" s="100">
        <v>14.540697942625355</v>
      </c>
      <c r="BO46" s="100">
        <v>17623.325906461931</v>
      </c>
      <c r="BP46" s="100">
        <v>10.992883319702678</v>
      </c>
      <c r="BQ46" s="100">
        <v>13323.374583479645</v>
      </c>
      <c r="BR46" s="100">
        <v>12.049518488880448</v>
      </c>
      <c r="BS46" s="100">
        <v>14604.016408523103</v>
      </c>
      <c r="BT46" s="100">
        <v>11</v>
      </c>
      <c r="BU46" s="100">
        <v>13332</v>
      </c>
      <c r="BV46" s="100">
        <v>16.942948258072164</v>
      </c>
      <c r="BW46" s="100">
        <v>20534.853288783463</v>
      </c>
      <c r="BX46" s="100">
        <v>19</v>
      </c>
      <c r="BY46" s="100">
        <v>23028</v>
      </c>
      <c r="BZ46" s="100">
        <v>15.023353131658956</v>
      </c>
      <c r="CA46" s="100">
        <v>18208.303995570655</v>
      </c>
      <c r="CB46" s="100">
        <v>13.56243569865055</v>
      </c>
      <c r="CC46" s="100">
        <v>16437.672066764466</v>
      </c>
      <c r="CD46" s="100">
        <v>9.9665601505400652</v>
      </c>
      <c r="CE46" s="100">
        <v>12079.470902454559</v>
      </c>
      <c r="CF46" s="100">
        <v>11</v>
      </c>
      <c r="CG46" s="100">
        <v>13332</v>
      </c>
      <c r="CH46" s="100">
        <v>16</v>
      </c>
      <c r="CI46" s="100">
        <v>19392</v>
      </c>
      <c r="CJ46" s="100">
        <v>10.399050455712601</v>
      </c>
      <c r="CK46" s="100">
        <v>12603.649152323673</v>
      </c>
      <c r="CL46" s="100">
        <v>10.892111571455104</v>
      </c>
      <c r="CM46" s="100">
        <v>13201.239224603585</v>
      </c>
      <c r="CN46" s="100">
        <v>17.984408554769502</v>
      </c>
      <c r="CO46" s="100">
        <v>21797.103168380636</v>
      </c>
      <c r="CP46" s="100">
        <v>12.82933106629106</v>
      </c>
      <c r="CQ46" s="100">
        <v>15549.149252344765</v>
      </c>
      <c r="CR46" s="100">
        <v>10.670951945638755</v>
      </c>
      <c r="CS46" s="100">
        <v>12933.193758114172</v>
      </c>
      <c r="CT46" s="100">
        <v>16.276028171363436</v>
      </c>
      <c r="CU46" s="100">
        <v>19726.546143692485</v>
      </c>
    </row>
    <row r="47" spans="2:99">
      <c r="C47" s="99" t="s">
        <v>213</v>
      </c>
      <c r="D47" s="100">
        <v>11</v>
      </c>
      <c r="E47" s="100">
        <v>16803.599999999999</v>
      </c>
      <c r="F47" s="100">
        <v>9.7364638721697645</v>
      </c>
      <c r="G47" s="100">
        <v>14873.422211126532</v>
      </c>
      <c r="H47" s="100">
        <v>13.842257681897509</v>
      </c>
      <c r="I47" s="100">
        <v>21145.432834866635</v>
      </c>
      <c r="J47" s="100">
        <v>19</v>
      </c>
      <c r="K47" s="100">
        <v>29024.399999999998</v>
      </c>
      <c r="L47" s="100">
        <v>13</v>
      </c>
      <c r="M47" s="100">
        <v>19858.8</v>
      </c>
      <c r="N47" s="100">
        <v>15</v>
      </c>
      <c r="O47" s="100">
        <v>22914</v>
      </c>
      <c r="P47" s="100">
        <v>11</v>
      </c>
      <c r="Q47" s="100">
        <v>16803.599999999999</v>
      </c>
      <c r="R47" s="100">
        <v>10</v>
      </c>
      <c r="S47" s="100">
        <v>15276</v>
      </c>
      <c r="T47" s="100">
        <v>12</v>
      </c>
      <c r="U47" s="100">
        <v>18331.199999999997</v>
      </c>
      <c r="V47" s="100">
        <v>18.163291926434031</v>
      </c>
      <c r="W47" s="100">
        <v>27746.244746820623</v>
      </c>
      <c r="X47" s="100">
        <v>15.700911037026986</v>
      </c>
      <c r="Y47" s="100">
        <v>23984.711700162421</v>
      </c>
      <c r="Z47" s="100">
        <v>9.5989841702777845</v>
      </c>
      <c r="AA47" s="100">
        <v>14663.408218516342</v>
      </c>
      <c r="AB47" s="100">
        <v>8.6013810691114365</v>
      </c>
      <c r="AC47" s="100">
        <v>13139.46972117463</v>
      </c>
      <c r="AD47" s="100">
        <v>18</v>
      </c>
      <c r="AE47" s="100">
        <v>27496.799999999999</v>
      </c>
      <c r="AF47" s="100">
        <v>15.93048696635438</v>
      </c>
      <c r="AG47" s="100">
        <v>24335.411889802948</v>
      </c>
      <c r="AH47" s="100">
        <v>8.6154816938148979</v>
      </c>
      <c r="AI47" s="100">
        <v>13161.009835471637</v>
      </c>
      <c r="AJ47" s="100">
        <v>14.830176601699012</v>
      </c>
      <c r="AK47" s="100">
        <v>22654.57777675541</v>
      </c>
      <c r="AL47" s="100">
        <v>11.055779664189215</v>
      </c>
      <c r="AM47" s="100">
        <v>16888.809015015442</v>
      </c>
      <c r="AN47" s="100">
        <v>14.34069745824406</v>
      </c>
      <c r="AO47" s="100">
        <v>21906.849437213627</v>
      </c>
      <c r="AP47" s="100">
        <v>13.115189601636226</v>
      </c>
      <c r="AQ47" s="100">
        <v>20034.763635459498</v>
      </c>
      <c r="AR47" s="100">
        <v>17</v>
      </c>
      <c r="AS47" s="100">
        <v>25969.199999999997</v>
      </c>
      <c r="AT47" s="100">
        <v>14.881646701097514</v>
      </c>
      <c r="AU47" s="100">
        <v>22733.203500596563</v>
      </c>
      <c r="AV47" s="100">
        <v>11.86713123631923</v>
      </c>
      <c r="AW47" s="100">
        <v>18128.229676601255</v>
      </c>
      <c r="AX47" s="100">
        <v>9.8601197621521361</v>
      </c>
      <c r="AY47" s="100">
        <v>15062.318948663602</v>
      </c>
      <c r="AZ47" s="100">
        <v>10.434996780775807</v>
      </c>
      <c r="BA47" s="100">
        <v>15940.501082313122</v>
      </c>
      <c r="BB47" s="100">
        <v>11.251619268282791</v>
      </c>
      <c r="BC47" s="100">
        <v>17187.973594228792</v>
      </c>
      <c r="BD47" s="100">
        <v>18</v>
      </c>
      <c r="BE47" s="100">
        <v>27496.799999999999</v>
      </c>
      <c r="BF47" s="100">
        <v>16.738538717502223</v>
      </c>
      <c r="BG47" s="100">
        <v>25569.791744856393</v>
      </c>
      <c r="BH47" s="100">
        <v>15.053503818847597</v>
      </c>
      <c r="BI47" s="100">
        <v>22995.732433671586</v>
      </c>
      <c r="BJ47" s="100">
        <v>9</v>
      </c>
      <c r="BK47" s="100">
        <v>13748.4</v>
      </c>
      <c r="BL47" s="100">
        <v>11</v>
      </c>
      <c r="BM47" s="100">
        <v>16803.599999999999</v>
      </c>
      <c r="BN47" s="100">
        <v>13.571318079783664</v>
      </c>
      <c r="BO47" s="100">
        <v>20731.545498677522</v>
      </c>
      <c r="BP47" s="100">
        <v>10.147276910494778</v>
      </c>
      <c r="BQ47" s="100">
        <v>15500.980208471821</v>
      </c>
      <c r="BR47" s="100">
        <v>10.19574641366807</v>
      </c>
      <c r="BS47" s="100">
        <v>15575.022221519343</v>
      </c>
      <c r="BT47" s="100">
        <v>11</v>
      </c>
      <c r="BU47" s="100">
        <v>16803.599999999999</v>
      </c>
      <c r="BV47" s="100">
        <v>15.159480020380359</v>
      </c>
      <c r="BW47" s="100">
        <v>23157.621679133033</v>
      </c>
      <c r="BX47" s="100">
        <v>18</v>
      </c>
      <c r="BY47" s="100">
        <v>27496.799999999999</v>
      </c>
      <c r="BZ47" s="100">
        <v>13.35409167258574</v>
      </c>
      <c r="CA47" s="100">
        <v>20399.710439041977</v>
      </c>
      <c r="CB47" s="100">
        <v>12.593690291604082</v>
      </c>
      <c r="CC47" s="100">
        <v>19238.121289454393</v>
      </c>
      <c r="CD47" s="100">
        <v>9.9665601505400652</v>
      </c>
      <c r="CE47" s="100">
        <v>15224.917285965003</v>
      </c>
      <c r="CF47" s="100">
        <v>12</v>
      </c>
      <c r="CG47" s="100">
        <v>18331.199999999997</v>
      </c>
      <c r="CH47" s="100">
        <v>15</v>
      </c>
      <c r="CI47" s="100">
        <v>22914</v>
      </c>
      <c r="CJ47" s="100">
        <v>9.6562611374474159</v>
      </c>
      <c r="CK47" s="100">
        <v>14750.904513564672</v>
      </c>
      <c r="CL47" s="100">
        <v>10.892111571455104</v>
      </c>
      <c r="CM47" s="100">
        <v>16638.789636554815</v>
      </c>
      <c r="CN47" s="100">
        <v>18.983542363367807</v>
      </c>
      <c r="CO47" s="100">
        <v>28999.259314280662</v>
      </c>
      <c r="CP47" s="100">
        <v>12.82933106629106</v>
      </c>
      <c r="CQ47" s="100">
        <v>19598.086136866223</v>
      </c>
      <c r="CR47" s="100">
        <v>10.670951945638755</v>
      </c>
      <c r="CS47" s="100">
        <v>16300.946192157762</v>
      </c>
      <c r="CT47" s="100">
        <v>15.419395109712726</v>
      </c>
      <c r="CU47" s="100">
        <v>23554.667969597158</v>
      </c>
    </row>
    <row r="48" spans="2:99">
      <c r="C48" s="99" t="s">
        <v>214</v>
      </c>
      <c r="D48" s="100">
        <v>11</v>
      </c>
      <c r="E48" s="100">
        <v>9543.6</v>
      </c>
      <c r="F48" s="100">
        <v>11.683756646603717</v>
      </c>
      <c r="G48" s="100">
        <v>10136.827266593386</v>
      </c>
      <c r="H48" s="100">
        <v>16.610709218277012</v>
      </c>
      <c r="I48" s="100">
        <v>14411.451317777137</v>
      </c>
      <c r="J48" s="100">
        <v>17</v>
      </c>
      <c r="K48" s="100">
        <v>14749.2</v>
      </c>
      <c r="L48" s="100">
        <v>15</v>
      </c>
      <c r="M48" s="100">
        <v>13014</v>
      </c>
      <c r="N48" s="100">
        <v>15</v>
      </c>
      <c r="O48" s="100">
        <v>13014</v>
      </c>
      <c r="P48" s="100">
        <v>13</v>
      </c>
      <c r="Q48" s="100">
        <v>11278.800000000001</v>
      </c>
      <c r="R48" s="100">
        <v>10</v>
      </c>
      <c r="S48" s="100">
        <v>8676</v>
      </c>
      <c r="T48" s="100">
        <v>13</v>
      </c>
      <c r="U48" s="100">
        <v>11278.800000000001</v>
      </c>
      <c r="V48" s="100">
        <v>18.163291926434031</v>
      </c>
      <c r="W48" s="100">
        <v>15758.472075374166</v>
      </c>
      <c r="X48" s="100">
        <v>17.445456707807761</v>
      </c>
      <c r="Y48" s="100">
        <v>15135.678239694014</v>
      </c>
      <c r="Z48" s="100">
        <v>9.5989841702777845</v>
      </c>
      <c r="AA48" s="100">
        <v>8328.0786661330058</v>
      </c>
      <c r="AB48" s="100">
        <v>10.321657282933725</v>
      </c>
      <c r="AC48" s="100">
        <v>8955.0698586732997</v>
      </c>
      <c r="AD48" s="100">
        <v>17</v>
      </c>
      <c r="AE48" s="100">
        <v>14749.2</v>
      </c>
      <c r="AF48" s="100">
        <v>17.921797837148677</v>
      </c>
      <c r="AG48" s="100">
        <v>15548.951803510192</v>
      </c>
      <c r="AH48" s="100">
        <v>9.5727574375721094</v>
      </c>
      <c r="AI48" s="100">
        <v>8305.3243528375624</v>
      </c>
      <c r="AJ48" s="100">
        <v>15.7570626393052</v>
      </c>
      <c r="AK48" s="100">
        <v>13670.827545861192</v>
      </c>
      <c r="AL48" s="100">
        <v>11.845478211631301</v>
      </c>
      <c r="AM48" s="100">
        <v>10277.136896411317</v>
      </c>
      <c r="AN48" s="100">
        <v>15.184267896964299</v>
      </c>
      <c r="AO48" s="100">
        <v>13173.870827406226</v>
      </c>
      <c r="AP48" s="100">
        <v>14.051988858895957</v>
      </c>
      <c r="AQ48" s="100">
        <v>12191.505533978132</v>
      </c>
      <c r="AR48" s="100">
        <v>19</v>
      </c>
      <c r="AS48" s="100">
        <v>16484.400000000001</v>
      </c>
      <c r="AT48" s="100">
        <v>16.741852538734705</v>
      </c>
      <c r="AU48" s="100">
        <v>14525.23126260623</v>
      </c>
      <c r="AV48" s="100">
        <v>12.714783467484889</v>
      </c>
      <c r="AW48" s="100">
        <v>11031.34613638989</v>
      </c>
      <c r="AX48" s="100">
        <v>11.832143714582561</v>
      </c>
      <c r="AY48" s="100">
        <v>10265.567886771831</v>
      </c>
      <c r="AZ48" s="100">
        <v>12.332268922735043</v>
      </c>
      <c r="BA48" s="100">
        <v>10699.476517364923</v>
      </c>
      <c r="BB48" s="100">
        <v>14.06452408535349</v>
      </c>
      <c r="BC48" s="100">
        <v>12202.381096452687</v>
      </c>
      <c r="BD48" s="100">
        <v>20</v>
      </c>
      <c r="BE48" s="100">
        <v>17352</v>
      </c>
      <c r="BF48" s="100">
        <v>15.80861989986321</v>
      </c>
      <c r="BG48" s="100">
        <v>13715.558625121321</v>
      </c>
      <c r="BH48" s="100">
        <v>16.824504268123782</v>
      </c>
      <c r="BI48" s="100">
        <v>14596.939903024193</v>
      </c>
      <c r="BJ48" s="100">
        <v>10</v>
      </c>
      <c r="BK48" s="100">
        <v>8676</v>
      </c>
      <c r="BL48" s="100">
        <v>12</v>
      </c>
      <c r="BM48" s="100">
        <v>10411.200000000001</v>
      </c>
      <c r="BN48" s="100">
        <v>14.540697942625355</v>
      </c>
      <c r="BO48" s="100">
        <v>12615.509535021758</v>
      </c>
      <c r="BP48" s="100">
        <v>11.838489728910575</v>
      </c>
      <c r="BQ48" s="100">
        <v>10271.073688802815</v>
      </c>
      <c r="BR48" s="100">
        <v>12.976404526486636</v>
      </c>
      <c r="BS48" s="100">
        <v>11258.328567179806</v>
      </c>
      <c r="BT48" s="100">
        <v>10</v>
      </c>
      <c r="BU48" s="100">
        <v>8676</v>
      </c>
      <c r="BV48" s="100">
        <v>16.051214139226261</v>
      </c>
      <c r="BW48" s="100">
        <v>13926.033387192703</v>
      </c>
      <c r="BX48" s="100">
        <v>20</v>
      </c>
      <c r="BY48" s="100">
        <v>17352</v>
      </c>
      <c r="BZ48" s="100">
        <v>15.023353131658956</v>
      </c>
      <c r="CA48" s="100">
        <v>13034.261177027311</v>
      </c>
      <c r="CB48" s="100">
        <v>14.531181105697017</v>
      </c>
      <c r="CC48" s="100">
        <v>12607.252727302734</v>
      </c>
      <c r="CD48" s="100">
        <v>12.266535569895463</v>
      </c>
      <c r="CE48" s="100">
        <v>10642.446260441304</v>
      </c>
      <c r="CF48" s="100">
        <v>11</v>
      </c>
      <c r="CG48" s="100">
        <v>9543.6</v>
      </c>
      <c r="CH48" s="100">
        <v>18</v>
      </c>
      <c r="CI48" s="100">
        <v>15616.800000000001</v>
      </c>
      <c r="CJ48" s="100">
        <v>9.6562611374474159</v>
      </c>
      <c r="CK48" s="100">
        <v>8377.7721628493782</v>
      </c>
      <c r="CL48" s="100">
        <v>10.892111571455104</v>
      </c>
      <c r="CM48" s="100">
        <v>9449.9959993944485</v>
      </c>
      <c r="CN48" s="100">
        <v>16.985274746171196</v>
      </c>
      <c r="CO48" s="100">
        <v>14736.424369778131</v>
      </c>
      <c r="CP48" s="100">
        <v>12.82933106629106</v>
      </c>
      <c r="CQ48" s="100">
        <v>11130.727633114124</v>
      </c>
      <c r="CR48" s="100">
        <v>12.44944393657855</v>
      </c>
      <c r="CS48" s="100">
        <v>10801.137559375551</v>
      </c>
      <c r="CT48" s="100">
        <v>14.562762048062019</v>
      </c>
      <c r="CU48" s="100">
        <v>12634.652352898609</v>
      </c>
    </row>
    <row r="49" spans="2:99">
      <c r="B49" s="99" t="s">
        <v>129</v>
      </c>
      <c r="C49" s="99" t="s">
        <v>215</v>
      </c>
      <c r="D49" s="100">
        <v>8</v>
      </c>
      <c r="E49" s="100">
        <v>7881.5999999999995</v>
      </c>
      <c r="F49" s="100">
        <v>12</v>
      </c>
      <c r="G49" s="100">
        <v>11822.4</v>
      </c>
      <c r="H49" s="100">
        <v>13</v>
      </c>
      <c r="I49" s="100">
        <v>12807.599999999999</v>
      </c>
      <c r="J49" s="100">
        <v>13</v>
      </c>
      <c r="K49" s="100">
        <v>12807.599999999999</v>
      </c>
      <c r="L49" s="100">
        <v>9</v>
      </c>
      <c r="M49" s="100">
        <v>8866.7999999999993</v>
      </c>
      <c r="N49" s="100">
        <v>11</v>
      </c>
      <c r="O49" s="100">
        <v>10837.199999999999</v>
      </c>
      <c r="P49" s="100">
        <v>12</v>
      </c>
      <c r="Q49" s="100">
        <v>11822.4</v>
      </c>
      <c r="R49" s="100">
        <v>14</v>
      </c>
      <c r="S49" s="100">
        <v>13792.8</v>
      </c>
      <c r="T49" s="100">
        <v>14</v>
      </c>
      <c r="U49" s="100">
        <v>13792.8</v>
      </c>
      <c r="V49" s="100">
        <v>18</v>
      </c>
      <c r="W49" s="100">
        <v>17733.599999999999</v>
      </c>
      <c r="X49" s="100">
        <v>10</v>
      </c>
      <c r="Y49" s="100">
        <v>9852</v>
      </c>
      <c r="Z49" s="100">
        <v>12</v>
      </c>
      <c r="AA49" s="100">
        <v>11822.4</v>
      </c>
      <c r="AB49" s="100">
        <v>18</v>
      </c>
      <c r="AC49" s="100">
        <v>17733.599999999999</v>
      </c>
      <c r="AD49" s="100">
        <v>12</v>
      </c>
      <c r="AE49" s="100">
        <v>11822.4</v>
      </c>
      <c r="AF49" s="100">
        <v>12</v>
      </c>
      <c r="AG49" s="100">
        <v>11822.4</v>
      </c>
      <c r="AH49" s="100">
        <v>9</v>
      </c>
      <c r="AI49" s="100">
        <v>8866.7999999999993</v>
      </c>
      <c r="AJ49" s="100">
        <v>9</v>
      </c>
      <c r="AK49" s="100">
        <v>8866.7999999999993</v>
      </c>
      <c r="AL49" s="100">
        <v>15</v>
      </c>
      <c r="AM49" s="100">
        <v>14777.999999999998</v>
      </c>
      <c r="AN49" s="100">
        <v>15</v>
      </c>
      <c r="AO49" s="100">
        <v>14777.999999999998</v>
      </c>
      <c r="AP49" s="100">
        <v>15</v>
      </c>
      <c r="AQ49" s="100">
        <v>14777.999999999998</v>
      </c>
      <c r="AR49" s="100">
        <v>8</v>
      </c>
      <c r="AS49" s="100">
        <v>7881.5999999999995</v>
      </c>
      <c r="AT49" s="100">
        <v>10</v>
      </c>
      <c r="AU49" s="100">
        <v>9852</v>
      </c>
      <c r="AV49" s="100">
        <v>14</v>
      </c>
      <c r="AW49" s="100">
        <v>13792.8</v>
      </c>
      <c r="AX49" s="100">
        <v>16</v>
      </c>
      <c r="AY49" s="100">
        <v>15763.199999999999</v>
      </c>
      <c r="AZ49" s="100">
        <v>8</v>
      </c>
      <c r="BA49" s="100">
        <v>7881.5999999999995</v>
      </c>
      <c r="BB49" s="100">
        <v>13</v>
      </c>
      <c r="BC49" s="100">
        <v>12807.599999999999</v>
      </c>
      <c r="BD49" s="100">
        <v>11</v>
      </c>
      <c r="BE49" s="100">
        <v>10837.199999999999</v>
      </c>
      <c r="BF49" s="100">
        <v>13</v>
      </c>
      <c r="BG49" s="100">
        <v>12807.599999999999</v>
      </c>
      <c r="BH49" s="100">
        <v>12</v>
      </c>
      <c r="BI49" s="100">
        <v>11822.4</v>
      </c>
      <c r="BJ49" s="100">
        <v>12</v>
      </c>
      <c r="BK49" s="100">
        <v>11822.4</v>
      </c>
      <c r="BL49" s="100">
        <v>9</v>
      </c>
      <c r="BM49" s="100">
        <v>8866.7999999999993</v>
      </c>
      <c r="BN49" s="100">
        <v>14</v>
      </c>
      <c r="BO49" s="100">
        <v>13792.8</v>
      </c>
      <c r="BP49" s="100">
        <v>14</v>
      </c>
      <c r="BQ49" s="100">
        <v>13792.8</v>
      </c>
      <c r="BR49" s="100">
        <v>13</v>
      </c>
      <c r="BS49" s="100">
        <v>12807.599999999999</v>
      </c>
      <c r="BT49" s="100">
        <v>16</v>
      </c>
      <c r="BU49" s="100">
        <v>15763.199999999999</v>
      </c>
      <c r="BV49" s="100">
        <v>11</v>
      </c>
      <c r="BW49" s="100">
        <v>10837.199999999999</v>
      </c>
      <c r="BX49" s="100">
        <v>9</v>
      </c>
      <c r="BY49" s="100">
        <v>8866.7999999999993</v>
      </c>
      <c r="BZ49" s="100">
        <v>14</v>
      </c>
      <c r="CA49" s="100">
        <v>13792.8</v>
      </c>
      <c r="CB49" s="100">
        <v>15</v>
      </c>
      <c r="CC49" s="100">
        <v>14777.999999999998</v>
      </c>
      <c r="CD49" s="100">
        <v>14</v>
      </c>
      <c r="CE49" s="100">
        <v>13792.8</v>
      </c>
      <c r="CF49" s="100">
        <v>10</v>
      </c>
      <c r="CG49" s="100">
        <v>9852</v>
      </c>
      <c r="CH49" s="100">
        <v>15</v>
      </c>
      <c r="CI49" s="100">
        <v>14777.999999999998</v>
      </c>
      <c r="CJ49" s="100">
        <v>11</v>
      </c>
      <c r="CK49" s="100">
        <v>10837.199999999999</v>
      </c>
      <c r="CL49" s="100">
        <v>14</v>
      </c>
      <c r="CM49" s="100">
        <v>13792.8</v>
      </c>
      <c r="CN49" s="100">
        <v>9</v>
      </c>
      <c r="CO49" s="100">
        <v>8866.7999999999993</v>
      </c>
      <c r="CP49" s="100">
        <v>10</v>
      </c>
      <c r="CQ49" s="100">
        <v>9852</v>
      </c>
      <c r="CR49" s="100">
        <v>12</v>
      </c>
      <c r="CS49" s="100">
        <v>11822.4</v>
      </c>
      <c r="CT49" s="100">
        <v>11</v>
      </c>
      <c r="CU49" s="100">
        <v>10837.199999999999</v>
      </c>
    </row>
    <row r="50" spans="2:99">
      <c r="C50" s="99" t="s">
        <v>216</v>
      </c>
      <c r="D50" s="100">
        <v>9</v>
      </c>
      <c r="E50" s="100">
        <v>2538</v>
      </c>
      <c r="F50" s="100">
        <v>12.657403033820694</v>
      </c>
      <c r="G50" s="100">
        <v>3569.3876555374359</v>
      </c>
      <c r="H50" s="100">
        <v>11.996623324311173</v>
      </c>
      <c r="I50" s="100">
        <v>3383.0477774557507</v>
      </c>
      <c r="J50" s="100">
        <v>15</v>
      </c>
      <c r="K50" s="100">
        <v>4230</v>
      </c>
      <c r="L50" s="100">
        <v>9</v>
      </c>
      <c r="M50" s="100">
        <v>2538</v>
      </c>
      <c r="N50" s="100">
        <v>12</v>
      </c>
      <c r="O50" s="100">
        <v>3384</v>
      </c>
      <c r="P50" s="100">
        <v>11</v>
      </c>
      <c r="Q50" s="100">
        <v>3102</v>
      </c>
      <c r="R50" s="100">
        <v>13</v>
      </c>
      <c r="S50" s="100">
        <v>3666</v>
      </c>
      <c r="T50" s="100">
        <v>17</v>
      </c>
      <c r="U50" s="100">
        <v>4794</v>
      </c>
      <c r="V50" s="100">
        <v>16.251366460493607</v>
      </c>
      <c r="W50" s="100">
        <v>4582.8853418591971</v>
      </c>
      <c r="X50" s="100">
        <v>8.7227283539038805</v>
      </c>
      <c r="Y50" s="100">
        <v>2459.8093958008944</v>
      </c>
      <c r="Z50" s="100">
        <v>12.478679421361122</v>
      </c>
      <c r="AA50" s="100">
        <v>3518.9875968238362</v>
      </c>
      <c r="AB50" s="100">
        <v>13.762209710578299</v>
      </c>
      <c r="AC50" s="100">
        <v>3880.9431383830802</v>
      </c>
      <c r="AD50" s="100">
        <v>14</v>
      </c>
      <c r="AE50" s="100">
        <v>3948</v>
      </c>
      <c r="AF50" s="100">
        <v>12.943520660162934</v>
      </c>
      <c r="AG50" s="100">
        <v>3650.0728261659474</v>
      </c>
      <c r="AH50" s="100">
        <v>9.5727574375721094</v>
      </c>
      <c r="AI50" s="100">
        <v>2699.5175973953346</v>
      </c>
      <c r="AJ50" s="100">
        <v>10.19574641366807</v>
      </c>
      <c r="AK50" s="100">
        <v>2875.2004886543959</v>
      </c>
      <c r="AL50" s="100">
        <v>13.424875306515476</v>
      </c>
      <c r="AM50" s="100">
        <v>3785.8148364373642</v>
      </c>
      <c r="AN50" s="100">
        <v>13.49712701952382</v>
      </c>
      <c r="AO50" s="100">
        <v>3806.189819505717</v>
      </c>
      <c r="AP50" s="100">
        <v>14.051988858895957</v>
      </c>
      <c r="AQ50" s="100">
        <v>3962.6608582086596</v>
      </c>
      <c r="AR50" s="100">
        <v>9</v>
      </c>
      <c r="AS50" s="100">
        <v>2538</v>
      </c>
      <c r="AT50" s="100">
        <v>10.231132107004541</v>
      </c>
      <c r="AU50" s="100">
        <v>2885.1792541752807</v>
      </c>
      <c r="AV50" s="100">
        <v>12.714783467484889</v>
      </c>
      <c r="AW50" s="100">
        <v>3585.5689378307388</v>
      </c>
      <c r="AX50" s="100">
        <v>16.762203595658626</v>
      </c>
      <c r="AY50" s="100">
        <v>4726.9414139757328</v>
      </c>
      <c r="AZ50" s="100">
        <v>9.4863607097961875</v>
      </c>
      <c r="BA50" s="100">
        <v>2675.1537201625247</v>
      </c>
      <c r="BB50" s="100">
        <v>11.251619268282791</v>
      </c>
      <c r="BC50" s="100">
        <v>3172.9566336557473</v>
      </c>
      <c r="BD50" s="100">
        <v>12</v>
      </c>
      <c r="BE50" s="100">
        <v>3384</v>
      </c>
      <c r="BF50" s="100">
        <v>13.018863446946174</v>
      </c>
      <c r="BG50" s="100">
        <v>3671.319492038821</v>
      </c>
      <c r="BH50" s="100">
        <v>13.28250336957141</v>
      </c>
      <c r="BI50" s="100">
        <v>3745.6659502191378</v>
      </c>
      <c r="BJ50" s="100">
        <v>14</v>
      </c>
      <c r="BK50" s="100">
        <v>3948</v>
      </c>
      <c r="BL50" s="100">
        <v>11</v>
      </c>
      <c r="BM50" s="100">
        <v>3102</v>
      </c>
      <c r="BN50" s="100">
        <v>14.540697942625355</v>
      </c>
      <c r="BO50" s="100">
        <v>4100.4768198203501</v>
      </c>
      <c r="BP50" s="100">
        <v>11.838489728910575</v>
      </c>
      <c r="BQ50" s="100">
        <v>3338.4541035527823</v>
      </c>
      <c r="BR50" s="100">
        <v>12.049518488880448</v>
      </c>
      <c r="BS50" s="100">
        <v>3397.9642138642862</v>
      </c>
      <c r="BT50" s="100">
        <v>15</v>
      </c>
      <c r="BU50" s="100">
        <v>4230</v>
      </c>
      <c r="BV50" s="100">
        <v>10.700809426150842</v>
      </c>
      <c r="BW50" s="100">
        <v>3017.6282581745377</v>
      </c>
      <c r="BX50" s="100">
        <v>10</v>
      </c>
      <c r="BY50" s="100">
        <v>2820</v>
      </c>
      <c r="BZ50" s="100">
        <v>15.023353131658956</v>
      </c>
      <c r="CA50" s="100">
        <v>4236.5855831278259</v>
      </c>
      <c r="CB50" s="100">
        <v>18.406162733882887</v>
      </c>
      <c r="CC50" s="100">
        <v>5190.5378909549745</v>
      </c>
      <c r="CD50" s="100">
        <v>11.499877096776997</v>
      </c>
      <c r="CE50" s="100">
        <v>3242.965341291113</v>
      </c>
      <c r="CF50" s="100">
        <v>11</v>
      </c>
      <c r="CG50" s="100">
        <v>3102</v>
      </c>
      <c r="CH50" s="100">
        <v>14</v>
      </c>
      <c r="CI50" s="100">
        <v>3948</v>
      </c>
      <c r="CJ50" s="100">
        <v>7.4278931826518582</v>
      </c>
      <c r="CK50" s="100">
        <v>2094.665877507824</v>
      </c>
      <c r="CL50" s="100">
        <v>14.522815428606805</v>
      </c>
      <c r="CM50" s="100">
        <v>4095.4339508671192</v>
      </c>
      <c r="CN50" s="100">
        <v>9.9913380859830561</v>
      </c>
      <c r="CO50" s="100">
        <v>2817.5573402472219</v>
      </c>
      <c r="CP50" s="100">
        <v>9.1638079044936127</v>
      </c>
      <c r="CQ50" s="100">
        <v>2584.1938290671987</v>
      </c>
      <c r="CR50" s="100">
        <v>10.670951945638755</v>
      </c>
      <c r="CS50" s="100">
        <v>3009.2084486701292</v>
      </c>
      <c r="CT50" s="100">
        <v>10.279596739808484</v>
      </c>
      <c r="CU50" s="100">
        <v>2898.8462806259927</v>
      </c>
    </row>
    <row r="51" spans="2:99">
      <c r="C51" s="99" t="s">
        <v>217</v>
      </c>
      <c r="D51" s="100">
        <v>8</v>
      </c>
      <c r="E51" s="100">
        <v>6835.2</v>
      </c>
      <c r="F51" s="100">
        <v>12.657403033820694</v>
      </c>
      <c r="G51" s="100">
        <v>10814.4851520964</v>
      </c>
      <c r="H51" s="100">
        <v>12.919440503104342</v>
      </c>
      <c r="I51" s="100">
        <v>11038.369965852349</v>
      </c>
      <c r="J51" s="100">
        <v>13</v>
      </c>
      <c r="K51" s="100">
        <v>11107.199999999999</v>
      </c>
      <c r="L51" s="100">
        <v>9</v>
      </c>
      <c r="M51" s="100">
        <v>7689.5999999999995</v>
      </c>
      <c r="N51" s="100">
        <v>11</v>
      </c>
      <c r="O51" s="100">
        <v>9398.4</v>
      </c>
      <c r="P51" s="100">
        <v>12</v>
      </c>
      <c r="Q51" s="100">
        <v>10252.799999999999</v>
      </c>
      <c r="R51" s="100">
        <v>12</v>
      </c>
      <c r="S51" s="100">
        <v>10252.799999999999</v>
      </c>
      <c r="T51" s="100">
        <v>14</v>
      </c>
      <c r="U51" s="100">
        <v>11961.6</v>
      </c>
      <c r="V51" s="100">
        <v>17.207329193463821</v>
      </c>
      <c r="W51" s="100">
        <v>14701.942062895489</v>
      </c>
      <c r="X51" s="100">
        <v>8.7227283539038805</v>
      </c>
      <c r="Y51" s="100">
        <v>7452.6991055754752</v>
      </c>
      <c r="Z51" s="100">
        <v>12.478679421361122</v>
      </c>
      <c r="AA51" s="100">
        <v>10661.783697610943</v>
      </c>
      <c r="AB51" s="100">
        <v>14.622347817489443</v>
      </c>
      <c r="AC51" s="100">
        <v>12493.33397526298</v>
      </c>
      <c r="AD51" s="100">
        <v>13</v>
      </c>
      <c r="AE51" s="100">
        <v>11107.199999999999</v>
      </c>
      <c r="AF51" s="100">
        <v>10.952209789368634</v>
      </c>
      <c r="AG51" s="100">
        <v>9357.5680440365613</v>
      </c>
      <c r="AH51" s="100">
        <v>8.6154816938148979</v>
      </c>
      <c r="AI51" s="100">
        <v>7361.0675591954487</v>
      </c>
      <c r="AJ51" s="100">
        <v>10.19574641366807</v>
      </c>
      <c r="AK51" s="100">
        <v>8711.2457358379997</v>
      </c>
      <c r="AL51" s="100">
        <v>12.63517675907339</v>
      </c>
      <c r="AM51" s="100">
        <v>10795.495022952304</v>
      </c>
      <c r="AN51" s="100">
        <v>13.49712701952382</v>
      </c>
      <c r="AO51" s="100">
        <v>11531.945325481151</v>
      </c>
      <c r="AP51" s="100">
        <v>14.051988858895957</v>
      </c>
      <c r="AQ51" s="100">
        <v>12006.019281040704</v>
      </c>
      <c r="AR51" s="100">
        <v>9</v>
      </c>
      <c r="AS51" s="100">
        <v>7689.5999999999995</v>
      </c>
      <c r="AT51" s="100">
        <v>9.3010291881859466</v>
      </c>
      <c r="AU51" s="100">
        <v>7946.7993383860721</v>
      </c>
      <c r="AV51" s="100">
        <v>12.714783467484889</v>
      </c>
      <c r="AW51" s="100">
        <v>10863.510994619088</v>
      </c>
      <c r="AX51" s="100">
        <v>15.776191619443415</v>
      </c>
      <c r="AY51" s="100">
        <v>13479.178119652453</v>
      </c>
      <c r="AZ51" s="100">
        <v>8.5377246388165684</v>
      </c>
      <c r="BA51" s="100">
        <v>7294.631931404876</v>
      </c>
      <c r="BB51" s="100">
        <v>12.189254207306359</v>
      </c>
      <c r="BC51" s="100">
        <v>10414.498794722553</v>
      </c>
      <c r="BD51" s="100">
        <v>12</v>
      </c>
      <c r="BE51" s="100">
        <v>10252.799999999999</v>
      </c>
      <c r="BF51" s="100">
        <v>13.948782264585185</v>
      </c>
      <c r="BG51" s="100">
        <v>11917.839566861581</v>
      </c>
      <c r="BH51" s="100">
        <v>9.7405024710190329</v>
      </c>
      <c r="BI51" s="100">
        <v>8322.285311238662</v>
      </c>
      <c r="BJ51" s="100">
        <v>15</v>
      </c>
      <c r="BK51" s="100">
        <v>12816</v>
      </c>
      <c r="BL51" s="100">
        <v>10</v>
      </c>
      <c r="BM51" s="100">
        <v>8544</v>
      </c>
      <c r="BN51" s="100">
        <v>15.510077805467047</v>
      </c>
      <c r="BO51" s="100">
        <v>13251.810476991044</v>
      </c>
      <c r="BP51" s="100">
        <v>10.992883319702678</v>
      </c>
      <c r="BQ51" s="100">
        <v>9392.3195083539667</v>
      </c>
      <c r="BR51" s="100">
        <v>11.122632451274258</v>
      </c>
      <c r="BS51" s="100">
        <v>9503.1771663687268</v>
      </c>
      <c r="BT51" s="100">
        <v>16</v>
      </c>
      <c r="BU51" s="100">
        <v>13670.4</v>
      </c>
      <c r="BV51" s="100">
        <v>9.809075307304937</v>
      </c>
      <c r="BW51" s="100">
        <v>8380.8739425613385</v>
      </c>
      <c r="BX51" s="100">
        <v>9</v>
      </c>
      <c r="BY51" s="100">
        <v>7689.5999999999995</v>
      </c>
      <c r="BZ51" s="100">
        <v>14.188722402122348</v>
      </c>
      <c r="CA51" s="100">
        <v>12122.844420373334</v>
      </c>
      <c r="CB51" s="100">
        <v>14.531181105697017</v>
      </c>
      <c r="CC51" s="100">
        <v>12415.441136707532</v>
      </c>
      <c r="CD51" s="100">
        <v>11.499877096776997</v>
      </c>
      <c r="CE51" s="100">
        <v>9825.4949914862664</v>
      </c>
      <c r="CF51" s="100">
        <v>9</v>
      </c>
      <c r="CG51" s="100">
        <v>7689.5999999999995</v>
      </c>
      <c r="CH51" s="100">
        <v>15</v>
      </c>
      <c r="CI51" s="100">
        <v>12816</v>
      </c>
      <c r="CJ51" s="100">
        <v>8.9134718191822291</v>
      </c>
      <c r="CK51" s="100">
        <v>7615.6703223092964</v>
      </c>
      <c r="CL51" s="100">
        <v>13.615139464318879</v>
      </c>
      <c r="CM51" s="100">
        <v>11632.775158314051</v>
      </c>
      <c r="CN51" s="100">
        <v>8.9922042773847508</v>
      </c>
      <c r="CO51" s="100">
        <v>7682.9393345975313</v>
      </c>
      <c r="CP51" s="100">
        <v>10.080188694942976</v>
      </c>
      <c r="CQ51" s="100">
        <v>8612.5132209592775</v>
      </c>
      <c r="CR51" s="100">
        <v>10.670951945638755</v>
      </c>
      <c r="CS51" s="100">
        <v>9117.2613423537532</v>
      </c>
      <c r="CT51" s="100">
        <v>10.279596739808484</v>
      </c>
      <c r="CU51" s="100">
        <v>8782.8874544923692</v>
      </c>
    </row>
    <row r="52" spans="2:99">
      <c r="C52" s="99" t="s">
        <v>218</v>
      </c>
      <c r="D52" s="100">
        <v>9</v>
      </c>
      <c r="E52" s="100">
        <v>4860</v>
      </c>
      <c r="F52" s="100">
        <v>13.631049421037671</v>
      </c>
      <c r="G52" s="100">
        <v>7360.766687360343</v>
      </c>
      <c r="H52" s="100">
        <v>12.919440503104342</v>
      </c>
      <c r="I52" s="100">
        <v>6976.4978716763444</v>
      </c>
      <c r="J52" s="100">
        <v>15</v>
      </c>
      <c r="K52" s="100">
        <v>8100</v>
      </c>
      <c r="L52" s="100">
        <v>9</v>
      </c>
      <c r="M52" s="100">
        <v>4860</v>
      </c>
      <c r="N52" s="100">
        <v>11</v>
      </c>
      <c r="O52" s="100">
        <v>5940</v>
      </c>
      <c r="P52" s="100">
        <v>11</v>
      </c>
      <c r="Q52" s="100">
        <v>5940</v>
      </c>
      <c r="R52" s="100">
        <v>13</v>
      </c>
      <c r="S52" s="100">
        <v>7020</v>
      </c>
      <c r="T52" s="100">
        <v>16</v>
      </c>
      <c r="U52" s="100">
        <v>8640</v>
      </c>
      <c r="V52" s="100">
        <v>16.251366460493607</v>
      </c>
      <c r="W52" s="100">
        <v>8775.7378886665483</v>
      </c>
      <c r="X52" s="100">
        <v>10.467274024684656</v>
      </c>
      <c r="Y52" s="100">
        <v>5652.327973329714</v>
      </c>
      <c r="Z52" s="100">
        <v>11.518781004333343</v>
      </c>
      <c r="AA52" s="100">
        <v>6220.1417423400053</v>
      </c>
      <c r="AB52" s="100">
        <v>13.762209710578299</v>
      </c>
      <c r="AC52" s="100">
        <v>7431.593243712281</v>
      </c>
      <c r="AD52" s="100">
        <v>14</v>
      </c>
      <c r="AE52" s="100">
        <v>7560</v>
      </c>
      <c r="AF52" s="100">
        <v>11.947865224765785</v>
      </c>
      <c r="AG52" s="100">
        <v>6451.847221373524</v>
      </c>
      <c r="AH52" s="100">
        <v>8.6154816938148979</v>
      </c>
      <c r="AI52" s="100">
        <v>4652.3601146600449</v>
      </c>
      <c r="AJ52" s="100">
        <v>10.19574641366807</v>
      </c>
      <c r="AK52" s="100">
        <v>5505.7030633807581</v>
      </c>
      <c r="AL52" s="100">
        <v>11.845478211631301</v>
      </c>
      <c r="AM52" s="100">
        <v>6396.5582342809021</v>
      </c>
      <c r="AN52" s="100">
        <v>12.653556580803583</v>
      </c>
      <c r="AO52" s="100">
        <v>6832.920553633935</v>
      </c>
      <c r="AP52" s="100">
        <v>14.988788116155686</v>
      </c>
      <c r="AQ52" s="100">
        <v>8093.9455827240699</v>
      </c>
      <c r="AR52" s="100">
        <v>10</v>
      </c>
      <c r="AS52" s="100">
        <v>5400</v>
      </c>
      <c r="AT52" s="100">
        <v>9.3010291881859466</v>
      </c>
      <c r="AU52" s="100">
        <v>5022.5557616204114</v>
      </c>
      <c r="AV52" s="100">
        <v>13.56243569865055</v>
      </c>
      <c r="AW52" s="100">
        <v>7323.7152772712971</v>
      </c>
      <c r="AX52" s="100">
        <v>16.762203595658626</v>
      </c>
      <c r="AY52" s="100">
        <v>9051.5899416556585</v>
      </c>
      <c r="AZ52" s="100">
        <v>8.5377246388165684</v>
      </c>
      <c r="BA52" s="100">
        <v>4610.3713049609469</v>
      </c>
      <c r="BB52" s="100">
        <v>12.189254207306359</v>
      </c>
      <c r="BC52" s="100">
        <v>6582.1972719454334</v>
      </c>
      <c r="BD52" s="100">
        <v>11</v>
      </c>
      <c r="BE52" s="100">
        <v>5940</v>
      </c>
      <c r="BF52" s="100">
        <v>13.948782264585185</v>
      </c>
      <c r="BG52" s="100">
        <v>7532.3424228760005</v>
      </c>
      <c r="BH52" s="100">
        <v>11.511502920295221</v>
      </c>
      <c r="BI52" s="100">
        <v>6216.2115769594193</v>
      </c>
      <c r="BJ52" s="100">
        <v>13</v>
      </c>
      <c r="BK52" s="100">
        <v>7020</v>
      </c>
      <c r="BL52" s="100">
        <v>9</v>
      </c>
      <c r="BM52" s="100">
        <v>4860</v>
      </c>
      <c r="BN52" s="100">
        <v>14.540697942625355</v>
      </c>
      <c r="BO52" s="100">
        <v>7851.976889017692</v>
      </c>
      <c r="BP52" s="100">
        <v>11.838489728910575</v>
      </c>
      <c r="BQ52" s="100">
        <v>6392.7844536117109</v>
      </c>
      <c r="BR52" s="100">
        <v>12.049518488880448</v>
      </c>
      <c r="BS52" s="100">
        <v>6506.7399839954423</v>
      </c>
      <c r="BT52" s="100">
        <v>15</v>
      </c>
      <c r="BU52" s="100">
        <v>8100</v>
      </c>
      <c r="BV52" s="100">
        <v>10.700809426150842</v>
      </c>
      <c r="BW52" s="100">
        <v>5778.4370901214552</v>
      </c>
      <c r="BX52" s="100">
        <v>10</v>
      </c>
      <c r="BY52" s="100">
        <v>5400</v>
      </c>
      <c r="BZ52" s="100">
        <v>12.519460943049131</v>
      </c>
      <c r="CA52" s="100">
        <v>6760.5089092465305</v>
      </c>
      <c r="CB52" s="100">
        <v>17.437417326836421</v>
      </c>
      <c r="CC52" s="100">
        <v>9416.2053564916678</v>
      </c>
      <c r="CD52" s="100">
        <v>11.499877096776997</v>
      </c>
      <c r="CE52" s="100">
        <v>6209.9336322595782</v>
      </c>
      <c r="CF52" s="100">
        <v>9</v>
      </c>
      <c r="CG52" s="100">
        <v>4860</v>
      </c>
      <c r="CH52" s="100">
        <v>14</v>
      </c>
      <c r="CI52" s="100">
        <v>7560</v>
      </c>
      <c r="CJ52" s="100">
        <v>8.9134718191822291</v>
      </c>
      <c r="CK52" s="100">
        <v>4813.2747823584041</v>
      </c>
      <c r="CL52" s="100">
        <v>13.615139464318879</v>
      </c>
      <c r="CM52" s="100">
        <v>7352.1753107321947</v>
      </c>
      <c r="CN52" s="100">
        <v>9.9913380859830561</v>
      </c>
      <c r="CO52" s="100">
        <v>5395.3225664308502</v>
      </c>
      <c r="CP52" s="100">
        <v>10.080188694942976</v>
      </c>
      <c r="CQ52" s="100">
        <v>5443.3018952692073</v>
      </c>
      <c r="CR52" s="100">
        <v>10.670951945638755</v>
      </c>
      <c r="CS52" s="100">
        <v>5762.3140506449281</v>
      </c>
      <c r="CT52" s="100">
        <v>9.4229636781577764</v>
      </c>
      <c r="CU52" s="100">
        <v>5088.4003862051995</v>
      </c>
    </row>
    <row r="53" spans="2:99">
      <c r="C53" s="99" t="s">
        <v>219</v>
      </c>
      <c r="D53" s="100">
        <v>9</v>
      </c>
      <c r="E53" s="100">
        <v>3661.2000000000003</v>
      </c>
      <c r="F53" s="100">
        <v>13.631049421037671</v>
      </c>
      <c r="G53" s="100">
        <v>5545.1109044781251</v>
      </c>
      <c r="H53" s="100">
        <v>12.919440503104342</v>
      </c>
      <c r="I53" s="100">
        <v>5255.6283966628462</v>
      </c>
      <c r="J53" s="100">
        <v>15</v>
      </c>
      <c r="K53" s="100">
        <v>6102</v>
      </c>
      <c r="L53" s="100">
        <v>9</v>
      </c>
      <c r="M53" s="100">
        <v>3661.2000000000003</v>
      </c>
      <c r="N53" s="100">
        <v>11</v>
      </c>
      <c r="O53" s="100">
        <v>4474.8</v>
      </c>
      <c r="P53" s="100">
        <v>11</v>
      </c>
      <c r="Q53" s="100">
        <v>4474.8</v>
      </c>
      <c r="R53" s="100">
        <v>13</v>
      </c>
      <c r="S53" s="100">
        <v>5288.4000000000005</v>
      </c>
      <c r="T53" s="100">
        <v>15</v>
      </c>
      <c r="U53" s="100">
        <v>6102</v>
      </c>
      <c r="V53" s="100">
        <v>17.207329193463821</v>
      </c>
      <c r="W53" s="100">
        <v>6999.9415159010823</v>
      </c>
      <c r="X53" s="100">
        <v>8.7227283539038805</v>
      </c>
      <c r="Y53" s="100">
        <v>3548.4058943680989</v>
      </c>
      <c r="Z53" s="100">
        <v>12.478679421361122</v>
      </c>
      <c r="AA53" s="100">
        <v>5076.3267886097046</v>
      </c>
      <c r="AB53" s="100">
        <v>14.622347817489443</v>
      </c>
      <c r="AC53" s="100">
        <v>5948.3710921547054</v>
      </c>
      <c r="AD53" s="100">
        <v>13</v>
      </c>
      <c r="AE53" s="100">
        <v>5288.4000000000005</v>
      </c>
      <c r="AF53" s="100">
        <v>11.947865224765785</v>
      </c>
      <c r="AG53" s="100">
        <v>4860.3915734347211</v>
      </c>
      <c r="AH53" s="100">
        <v>9.5727574375721094</v>
      </c>
      <c r="AI53" s="100">
        <v>3894.1977256043342</v>
      </c>
      <c r="AJ53" s="100">
        <v>11.122632451274258</v>
      </c>
      <c r="AK53" s="100">
        <v>4524.6868811783688</v>
      </c>
      <c r="AL53" s="100">
        <v>11.845478211631301</v>
      </c>
      <c r="AM53" s="100">
        <v>4818.7405364916131</v>
      </c>
      <c r="AN53" s="100">
        <v>12.653556580803583</v>
      </c>
      <c r="AO53" s="100">
        <v>5147.4668170708974</v>
      </c>
      <c r="AP53" s="100">
        <v>14.988788116155686</v>
      </c>
      <c r="AQ53" s="100">
        <v>6097.4390056521333</v>
      </c>
      <c r="AR53" s="100">
        <v>8</v>
      </c>
      <c r="AS53" s="100">
        <v>3254.4</v>
      </c>
      <c r="AT53" s="100">
        <v>10.231132107004541</v>
      </c>
      <c r="AU53" s="100">
        <v>4162.0245411294472</v>
      </c>
      <c r="AV53" s="100">
        <v>13.56243569865055</v>
      </c>
      <c r="AW53" s="100">
        <v>5517.1988422110435</v>
      </c>
      <c r="AX53" s="100">
        <v>15.776191619443415</v>
      </c>
      <c r="AY53" s="100">
        <v>6417.7547507895815</v>
      </c>
      <c r="AZ53" s="100">
        <v>7.5890885678369502</v>
      </c>
      <c r="BA53" s="100">
        <v>3087.2412293960715</v>
      </c>
      <c r="BB53" s="100">
        <v>11.251619268282791</v>
      </c>
      <c r="BC53" s="100">
        <v>4577.1587183374395</v>
      </c>
      <c r="BD53" s="100">
        <v>14</v>
      </c>
      <c r="BE53" s="100">
        <v>5695.2</v>
      </c>
      <c r="BF53" s="100">
        <v>13.018863446946174</v>
      </c>
      <c r="BG53" s="100">
        <v>5296.0736502177033</v>
      </c>
      <c r="BH53" s="100">
        <v>11.511502920295221</v>
      </c>
      <c r="BI53" s="100">
        <v>4682.879387976096</v>
      </c>
      <c r="BJ53" s="100">
        <v>16</v>
      </c>
      <c r="BK53" s="100">
        <v>6508.8</v>
      </c>
      <c r="BL53" s="100">
        <v>10</v>
      </c>
      <c r="BM53" s="100">
        <v>4068</v>
      </c>
      <c r="BN53" s="100">
        <v>14.540697942625355</v>
      </c>
      <c r="BO53" s="100">
        <v>5915.1559230599951</v>
      </c>
      <c r="BP53" s="100">
        <v>10.992883319702678</v>
      </c>
      <c r="BQ53" s="100">
        <v>4471.9049344550494</v>
      </c>
      <c r="BR53" s="100">
        <v>11.122632451274258</v>
      </c>
      <c r="BS53" s="100">
        <v>4524.6868811783688</v>
      </c>
      <c r="BT53" s="100">
        <v>15</v>
      </c>
      <c r="BU53" s="100">
        <v>6102</v>
      </c>
      <c r="BV53" s="100">
        <v>10.700809426150842</v>
      </c>
      <c r="BW53" s="100">
        <v>4353.0892745581623</v>
      </c>
      <c r="BX53" s="100">
        <v>10</v>
      </c>
      <c r="BY53" s="100">
        <v>4068</v>
      </c>
      <c r="BZ53" s="100">
        <v>13.35409167258574</v>
      </c>
      <c r="CA53" s="100">
        <v>5432.4444924078789</v>
      </c>
      <c r="CB53" s="100">
        <v>15.499926512743484</v>
      </c>
      <c r="CC53" s="100">
        <v>6305.3701053840496</v>
      </c>
      <c r="CD53" s="100">
        <v>10.733218623658532</v>
      </c>
      <c r="CE53" s="100">
        <v>4366.273336104291</v>
      </c>
      <c r="CF53" s="100">
        <v>11</v>
      </c>
      <c r="CG53" s="100">
        <v>4474.8</v>
      </c>
      <c r="CH53" s="100">
        <v>16</v>
      </c>
      <c r="CI53" s="100">
        <v>6508.8</v>
      </c>
      <c r="CJ53" s="100">
        <v>8.9134718191822291</v>
      </c>
      <c r="CK53" s="100">
        <v>3626.0003360433311</v>
      </c>
      <c r="CL53" s="100">
        <v>12.707463500030956</v>
      </c>
      <c r="CM53" s="100">
        <v>5169.3961518125934</v>
      </c>
      <c r="CN53" s="100">
        <v>9.9913380859830561</v>
      </c>
      <c r="CO53" s="100">
        <v>4064.4763333779074</v>
      </c>
      <c r="CP53" s="100">
        <v>10.080188694942976</v>
      </c>
      <c r="CQ53" s="100">
        <v>4100.620761102803</v>
      </c>
      <c r="CR53" s="100">
        <v>11.560197941108653</v>
      </c>
      <c r="CS53" s="100">
        <v>4702.6885224429998</v>
      </c>
      <c r="CT53" s="100">
        <v>9.4229636781577764</v>
      </c>
      <c r="CU53" s="100">
        <v>3833.2616242745835</v>
      </c>
    </row>
    <row r="54" spans="2:99">
      <c r="C54" s="99" t="s">
        <v>220</v>
      </c>
      <c r="D54" s="100">
        <v>10</v>
      </c>
      <c r="E54" s="100">
        <v>3348</v>
      </c>
      <c r="F54" s="100">
        <v>12.657403033820694</v>
      </c>
      <c r="G54" s="100">
        <v>4237.6985357231688</v>
      </c>
      <c r="H54" s="100">
        <v>13.842257681897509</v>
      </c>
      <c r="I54" s="100">
        <v>4634.3878718992864</v>
      </c>
      <c r="J54" s="100">
        <v>14</v>
      </c>
      <c r="K54" s="100">
        <v>4687.2</v>
      </c>
      <c r="L54" s="100">
        <v>10</v>
      </c>
      <c r="M54" s="100">
        <v>3348</v>
      </c>
      <c r="N54" s="100">
        <v>11</v>
      </c>
      <c r="O54" s="100">
        <v>3682.8</v>
      </c>
      <c r="P54" s="100">
        <v>13</v>
      </c>
      <c r="Q54" s="100">
        <v>4352.4000000000005</v>
      </c>
      <c r="R54" s="100">
        <v>13</v>
      </c>
      <c r="S54" s="100">
        <v>4352.4000000000005</v>
      </c>
      <c r="T54" s="100">
        <v>15</v>
      </c>
      <c r="U54" s="100">
        <v>5022</v>
      </c>
      <c r="V54" s="100">
        <v>15.295403727523395</v>
      </c>
      <c r="W54" s="100">
        <v>5120.9011679748328</v>
      </c>
      <c r="X54" s="100">
        <v>10.467274024684656</v>
      </c>
      <c r="Y54" s="100">
        <v>3504.4433434644229</v>
      </c>
      <c r="Z54" s="100">
        <v>12.478679421361122</v>
      </c>
      <c r="AA54" s="100">
        <v>4177.861870271704</v>
      </c>
      <c r="AB54" s="100">
        <v>13.762209710578299</v>
      </c>
      <c r="AC54" s="100">
        <v>4607.5878111016145</v>
      </c>
      <c r="AD54" s="100">
        <v>13</v>
      </c>
      <c r="AE54" s="100">
        <v>4352.4000000000005</v>
      </c>
      <c r="AF54" s="100">
        <v>12.943520660162934</v>
      </c>
      <c r="AG54" s="100">
        <v>4333.4907170225506</v>
      </c>
      <c r="AH54" s="100">
        <v>9.5727574375721094</v>
      </c>
      <c r="AI54" s="100">
        <v>3204.9591900991422</v>
      </c>
      <c r="AJ54" s="100">
        <v>11.122632451274258</v>
      </c>
      <c r="AK54" s="100">
        <v>3723.8573446866217</v>
      </c>
      <c r="AL54" s="100">
        <v>12.63517675907339</v>
      </c>
      <c r="AM54" s="100">
        <v>4230.2571789377716</v>
      </c>
      <c r="AN54" s="100">
        <v>11.809986142083343</v>
      </c>
      <c r="AO54" s="100">
        <v>3953.9833603695033</v>
      </c>
      <c r="AP54" s="100">
        <v>14.051988858895957</v>
      </c>
      <c r="AQ54" s="100">
        <v>4704.6058699583664</v>
      </c>
      <c r="AR54" s="100">
        <v>9</v>
      </c>
      <c r="AS54" s="100">
        <v>3013.2000000000003</v>
      </c>
      <c r="AT54" s="100">
        <v>10.231132107004541</v>
      </c>
      <c r="AU54" s="100">
        <v>3425.3830294251202</v>
      </c>
      <c r="AV54" s="100">
        <v>14.410087929816209</v>
      </c>
      <c r="AW54" s="100">
        <v>4824.4974389024665</v>
      </c>
      <c r="AX54" s="100">
        <v>16.762203595658626</v>
      </c>
      <c r="AY54" s="100">
        <v>5611.9857638265084</v>
      </c>
      <c r="AZ54" s="100">
        <v>9.4863607097961875</v>
      </c>
      <c r="BA54" s="100">
        <v>3176.0335656397638</v>
      </c>
      <c r="BB54" s="100">
        <v>12.189254207306359</v>
      </c>
      <c r="BC54" s="100">
        <v>4080.9623086061692</v>
      </c>
      <c r="BD54" s="100">
        <v>13</v>
      </c>
      <c r="BE54" s="100">
        <v>4352.4000000000005</v>
      </c>
      <c r="BF54" s="100">
        <v>13.948782264585185</v>
      </c>
      <c r="BG54" s="100">
        <v>4670.0523021831204</v>
      </c>
      <c r="BH54" s="100">
        <v>11.511502920295221</v>
      </c>
      <c r="BI54" s="100">
        <v>3854.0511777148404</v>
      </c>
      <c r="BJ54" s="100">
        <v>14</v>
      </c>
      <c r="BK54" s="100">
        <v>4687.2</v>
      </c>
      <c r="BL54" s="100">
        <v>10</v>
      </c>
      <c r="BM54" s="100">
        <v>3348</v>
      </c>
      <c r="BN54" s="100">
        <v>15.510077805467047</v>
      </c>
      <c r="BO54" s="100">
        <v>5192.7740492703679</v>
      </c>
      <c r="BP54" s="100">
        <v>11.838489728910575</v>
      </c>
      <c r="BQ54" s="100">
        <v>3963.526361239261</v>
      </c>
      <c r="BR54" s="100">
        <v>12.976404526486636</v>
      </c>
      <c r="BS54" s="100">
        <v>4344.5002354677263</v>
      </c>
      <c r="BT54" s="100">
        <v>15</v>
      </c>
      <c r="BU54" s="100">
        <v>5022</v>
      </c>
      <c r="BV54" s="100">
        <v>10.700809426150842</v>
      </c>
      <c r="BW54" s="100">
        <v>3582.6309958753022</v>
      </c>
      <c r="BX54" s="100">
        <v>10</v>
      </c>
      <c r="BY54" s="100">
        <v>3348</v>
      </c>
      <c r="BZ54" s="100">
        <v>12.519460943049131</v>
      </c>
      <c r="CA54" s="100">
        <v>4191.515523732849</v>
      </c>
      <c r="CB54" s="100">
        <v>17.437417326836421</v>
      </c>
      <c r="CC54" s="100">
        <v>5838.0473210248338</v>
      </c>
      <c r="CD54" s="100">
        <v>9.9665601505400652</v>
      </c>
      <c r="CE54" s="100">
        <v>3336.8043384008138</v>
      </c>
      <c r="CF54" s="100">
        <v>11</v>
      </c>
      <c r="CG54" s="100">
        <v>3682.8</v>
      </c>
      <c r="CH54" s="100">
        <v>17</v>
      </c>
      <c r="CI54" s="100">
        <v>5691.6</v>
      </c>
      <c r="CJ54" s="100">
        <v>8.1706825009170441</v>
      </c>
      <c r="CK54" s="100">
        <v>2735.5445013070266</v>
      </c>
      <c r="CL54" s="100">
        <v>14.522815428606805</v>
      </c>
      <c r="CM54" s="100">
        <v>4862.2386054975586</v>
      </c>
      <c r="CN54" s="100">
        <v>8.9922042773847508</v>
      </c>
      <c r="CO54" s="100">
        <v>3010.5899920684146</v>
      </c>
      <c r="CP54" s="100">
        <v>9.1638079044936127</v>
      </c>
      <c r="CQ54" s="100">
        <v>3068.0428864244618</v>
      </c>
      <c r="CR54" s="100">
        <v>10.670951945638755</v>
      </c>
      <c r="CS54" s="100">
        <v>3572.6347113998554</v>
      </c>
      <c r="CT54" s="100">
        <v>8.5663306165070701</v>
      </c>
      <c r="CU54" s="100">
        <v>2868.0074904065673</v>
      </c>
    </row>
    <row r="55" spans="2:99">
      <c r="C55" s="99" t="s">
        <v>221</v>
      </c>
      <c r="D55" s="100">
        <v>8</v>
      </c>
      <c r="E55" s="100">
        <v>5308.8</v>
      </c>
      <c r="F55" s="100">
        <v>11.683756646603717</v>
      </c>
      <c r="G55" s="100">
        <v>7753.3409106862273</v>
      </c>
      <c r="H55" s="100">
        <v>12.919440503104342</v>
      </c>
      <c r="I55" s="100">
        <v>8573.340717860041</v>
      </c>
      <c r="J55" s="100">
        <v>15</v>
      </c>
      <c r="K55" s="100">
        <v>9954</v>
      </c>
      <c r="L55" s="100">
        <v>9</v>
      </c>
      <c r="M55" s="100">
        <v>5972.4000000000005</v>
      </c>
      <c r="N55" s="100">
        <v>11</v>
      </c>
      <c r="O55" s="100">
        <v>7299.6</v>
      </c>
      <c r="P55" s="100">
        <v>11</v>
      </c>
      <c r="Q55" s="100">
        <v>7299.6</v>
      </c>
      <c r="R55" s="100">
        <v>14</v>
      </c>
      <c r="S55" s="100">
        <v>9290.4</v>
      </c>
      <c r="T55" s="100">
        <v>15</v>
      </c>
      <c r="U55" s="100">
        <v>9954</v>
      </c>
      <c r="V55" s="100">
        <v>16.251366460493607</v>
      </c>
      <c r="W55" s="100">
        <v>10784.406783183558</v>
      </c>
      <c r="X55" s="100">
        <v>8.7227283539038805</v>
      </c>
      <c r="Y55" s="100">
        <v>5788.4025356506154</v>
      </c>
      <c r="Z55" s="100">
        <v>12.478679421361122</v>
      </c>
      <c r="AA55" s="100">
        <v>8280.8516640152411</v>
      </c>
      <c r="AB55" s="100">
        <v>12.902071603667153</v>
      </c>
      <c r="AC55" s="100">
        <v>8561.8147161935231</v>
      </c>
      <c r="AD55" s="100">
        <v>14</v>
      </c>
      <c r="AE55" s="100">
        <v>9290.4</v>
      </c>
      <c r="AF55" s="100">
        <v>11.947865224765785</v>
      </c>
      <c r="AG55" s="100">
        <v>7928.6033631545752</v>
      </c>
      <c r="AH55" s="100">
        <v>8.6154816938148979</v>
      </c>
      <c r="AI55" s="100">
        <v>5717.2336520155668</v>
      </c>
      <c r="AJ55" s="100">
        <v>11.122632451274258</v>
      </c>
      <c r="AK55" s="100">
        <v>7380.9788946655981</v>
      </c>
      <c r="AL55" s="100">
        <v>13.424875306515476</v>
      </c>
      <c r="AM55" s="100">
        <v>8908.7472534036697</v>
      </c>
      <c r="AN55" s="100">
        <v>14.34069745824406</v>
      </c>
      <c r="AO55" s="100">
        <v>9516.486833290759</v>
      </c>
      <c r="AP55" s="100">
        <v>14.988788116155686</v>
      </c>
      <c r="AQ55" s="100">
        <v>9946.5597938809133</v>
      </c>
      <c r="AR55" s="100">
        <v>9</v>
      </c>
      <c r="AS55" s="100">
        <v>5972.4000000000005</v>
      </c>
      <c r="AT55" s="100">
        <v>10.231132107004541</v>
      </c>
      <c r="AU55" s="100">
        <v>6789.3792662082133</v>
      </c>
      <c r="AV55" s="100">
        <v>11.86713123631923</v>
      </c>
      <c r="AW55" s="100">
        <v>7875.0282884214412</v>
      </c>
      <c r="AX55" s="100">
        <v>15.776191619443415</v>
      </c>
      <c r="AY55" s="100">
        <v>10469.080758662651</v>
      </c>
      <c r="AZ55" s="100">
        <v>8.5377246388165684</v>
      </c>
      <c r="BA55" s="100">
        <v>5665.6340703186752</v>
      </c>
      <c r="BB55" s="100">
        <v>11.251619268282791</v>
      </c>
      <c r="BC55" s="100">
        <v>7466.5745464324609</v>
      </c>
      <c r="BD55" s="100">
        <v>13</v>
      </c>
      <c r="BE55" s="100">
        <v>8626.8000000000011</v>
      </c>
      <c r="BF55" s="100">
        <v>13.948782264585185</v>
      </c>
      <c r="BG55" s="100">
        <v>9256.4119107787301</v>
      </c>
      <c r="BH55" s="100">
        <v>12.397003144933317</v>
      </c>
      <c r="BI55" s="100">
        <v>8226.6512869777489</v>
      </c>
      <c r="BJ55" s="100">
        <v>14</v>
      </c>
      <c r="BK55" s="100">
        <v>9290.4</v>
      </c>
      <c r="BL55" s="100">
        <v>10</v>
      </c>
      <c r="BM55" s="100">
        <v>6636</v>
      </c>
      <c r="BN55" s="100">
        <v>13.571318079783664</v>
      </c>
      <c r="BO55" s="100">
        <v>9005.9266777444391</v>
      </c>
      <c r="BP55" s="100">
        <v>11.838489728910575</v>
      </c>
      <c r="BQ55" s="100">
        <v>7856.021784105058</v>
      </c>
      <c r="BR55" s="100">
        <v>11.122632451274258</v>
      </c>
      <c r="BS55" s="100">
        <v>7380.9788946655981</v>
      </c>
      <c r="BT55" s="100">
        <v>16</v>
      </c>
      <c r="BU55" s="100">
        <v>10617.6</v>
      </c>
      <c r="BV55" s="100">
        <v>10.700809426150842</v>
      </c>
      <c r="BW55" s="100">
        <v>7101.0571351936987</v>
      </c>
      <c r="BX55" s="100">
        <v>10</v>
      </c>
      <c r="BY55" s="100">
        <v>6636</v>
      </c>
      <c r="BZ55" s="100">
        <v>12.519460943049131</v>
      </c>
      <c r="CA55" s="100">
        <v>8307.9142818074033</v>
      </c>
      <c r="CB55" s="100">
        <v>14.531181105697017</v>
      </c>
      <c r="CC55" s="100">
        <v>9642.8917817405418</v>
      </c>
      <c r="CD55" s="100">
        <v>11.499877096776997</v>
      </c>
      <c r="CE55" s="100">
        <v>7631.3184414212155</v>
      </c>
      <c r="CF55" s="100">
        <v>9</v>
      </c>
      <c r="CG55" s="100">
        <v>5972.4000000000005</v>
      </c>
      <c r="CH55" s="100">
        <v>15</v>
      </c>
      <c r="CI55" s="100">
        <v>9954</v>
      </c>
      <c r="CJ55" s="100">
        <v>8.1706825009170441</v>
      </c>
      <c r="CK55" s="100">
        <v>5422.064907608551</v>
      </c>
      <c r="CL55" s="100">
        <v>11.799787535743031</v>
      </c>
      <c r="CM55" s="100">
        <v>7830.3390087190755</v>
      </c>
      <c r="CN55" s="100">
        <v>9.9913380859830561</v>
      </c>
      <c r="CO55" s="100">
        <v>6630.2519538583565</v>
      </c>
      <c r="CP55" s="100">
        <v>9.1638079044936127</v>
      </c>
      <c r="CQ55" s="100">
        <v>6081.102925421962</v>
      </c>
      <c r="CR55" s="100">
        <v>11.560197941108653</v>
      </c>
      <c r="CS55" s="100">
        <v>7671.3473537197024</v>
      </c>
      <c r="CT55" s="100">
        <v>10.279596739808484</v>
      </c>
      <c r="CU55" s="100">
        <v>6821.5403965369105</v>
      </c>
    </row>
    <row r="56" spans="2:99">
      <c r="C56" s="99" t="s">
        <v>222</v>
      </c>
      <c r="D56" s="100">
        <v>9</v>
      </c>
      <c r="E56" s="100">
        <v>8834.4</v>
      </c>
      <c r="F56" s="100">
        <v>12</v>
      </c>
      <c r="G56" s="100">
        <v>11779.199999999999</v>
      </c>
      <c r="H56" s="100">
        <v>14</v>
      </c>
      <c r="I56" s="100">
        <v>13742.399999999998</v>
      </c>
      <c r="J56" s="100">
        <v>13</v>
      </c>
      <c r="K56" s="100">
        <v>12760.8</v>
      </c>
      <c r="L56" s="100">
        <v>8</v>
      </c>
      <c r="M56" s="100">
        <v>7852.7999999999993</v>
      </c>
      <c r="N56" s="100">
        <v>10</v>
      </c>
      <c r="O56" s="100">
        <v>9816</v>
      </c>
      <c r="P56" s="100">
        <v>12</v>
      </c>
      <c r="Q56" s="100">
        <v>11779.199999999999</v>
      </c>
      <c r="R56" s="100">
        <v>12</v>
      </c>
      <c r="S56" s="100">
        <v>11779.199999999999</v>
      </c>
      <c r="T56" s="100">
        <v>15</v>
      </c>
      <c r="U56" s="100">
        <v>14723.999999999998</v>
      </c>
      <c r="V56" s="100">
        <v>17</v>
      </c>
      <c r="W56" s="100">
        <v>16687.199999999997</v>
      </c>
      <c r="X56" s="100">
        <v>10</v>
      </c>
      <c r="Y56" s="100">
        <v>9816</v>
      </c>
      <c r="Z56" s="100">
        <v>14</v>
      </c>
      <c r="AA56" s="100">
        <v>13742.399999999998</v>
      </c>
      <c r="AB56" s="100">
        <v>15</v>
      </c>
      <c r="AC56" s="100">
        <v>14723.999999999998</v>
      </c>
      <c r="AD56" s="100">
        <v>13</v>
      </c>
      <c r="AE56" s="100">
        <v>12760.8</v>
      </c>
      <c r="AF56" s="100">
        <v>12</v>
      </c>
      <c r="AG56" s="100">
        <v>11779.199999999999</v>
      </c>
      <c r="AH56" s="100">
        <v>9</v>
      </c>
      <c r="AI56" s="100">
        <v>8834.4</v>
      </c>
      <c r="AJ56" s="100">
        <v>11</v>
      </c>
      <c r="AK56" s="100">
        <v>10797.599999999999</v>
      </c>
      <c r="AL56" s="100">
        <v>15</v>
      </c>
      <c r="AM56" s="100">
        <v>14723.999999999998</v>
      </c>
      <c r="AN56" s="100">
        <v>14</v>
      </c>
      <c r="AO56" s="100">
        <v>13742.399999999998</v>
      </c>
      <c r="AP56" s="100">
        <v>15</v>
      </c>
      <c r="AQ56" s="100">
        <v>14723.999999999998</v>
      </c>
      <c r="AR56" s="100">
        <v>9</v>
      </c>
      <c r="AS56" s="100">
        <v>8834.4</v>
      </c>
      <c r="AT56" s="100">
        <v>11</v>
      </c>
      <c r="AU56" s="100">
        <v>10797.599999999999</v>
      </c>
      <c r="AV56" s="100">
        <v>16</v>
      </c>
      <c r="AW56" s="100">
        <v>15705.599999999999</v>
      </c>
      <c r="AX56" s="100">
        <v>17</v>
      </c>
      <c r="AY56" s="100">
        <v>16687.199999999997</v>
      </c>
      <c r="AZ56" s="100">
        <v>4.5283018867924874</v>
      </c>
      <c r="BA56" s="100">
        <v>4444.9811320755052</v>
      </c>
      <c r="BB56" s="100">
        <v>1.1186225920127503E-21</v>
      </c>
      <c r="BC56" s="100">
        <v>1.0980399363197157E-18</v>
      </c>
      <c r="BD56" s="100">
        <v>4.8543999276025024E-22</v>
      </c>
      <c r="BE56" s="100">
        <v>4.7650789689346156E-19</v>
      </c>
      <c r="BF56" s="100">
        <v>6.8792298439286789E-22</v>
      </c>
      <c r="BG56" s="100">
        <v>6.7526520148003901E-19</v>
      </c>
      <c r="BH56" s="100">
        <v>13</v>
      </c>
      <c r="BI56" s="100">
        <v>12760.8</v>
      </c>
      <c r="BJ56" s="100">
        <v>12.66666666666667</v>
      </c>
      <c r="BK56" s="100">
        <v>12433.600000000002</v>
      </c>
      <c r="BL56" s="100">
        <v>10</v>
      </c>
      <c r="BM56" s="100">
        <v>9816</v>
      </c>
      <c r="BN56" s="100">
        <v>14.540816326530617</v>
      </c>
      <c r="BO56" s="100">
        <v>14273.265306122452</v>
      </c>
      <c r="BP56" s="100">
        <v>14</v>
      </c>
      <c r="BQ56" s="100">
        <v>13742.399999999998</v>
      </c>
      <c r="BR56" s="100">
        <v>12.434782608695656</v>
      </c>
      <c r="BS56" s="100">
        <v>12205.982608695655</v>
      </c>
      <c r="BT56" s="100">
        <v>12.07627118644068</v>
      </c>
      <c r="BU56" s="100">
        <v>11854.06779661017</v>
      </c>
      <c r="BV56" s="100">
        <v>11</v>
      </c>
      <c r="BW56" s="100">
        <v>10797.599999999999</v>
      </c>
      <c r="BX56" s="100">
        <v>10</v>
      </c>
      <c r="BY56" s="100">
        <v>9816</v>
      </c>
      <c r="BZ56" s="100">
        <v>13.851674641148332</v>
      </c>
      <c r="CA56" s="100">
        <v>13596.803827751201</v>
      </c>
      <c r="CB56" s="100">
        <v>13.755656108597288</v>
      </c>
      <c r="CC56" s="100">
        <v>13502.552036199097</v>
      </c>
      <c r="CD56" s="100">
        <v>11.81818181818182</v>
      </c>
      <c r="CE56" s="100">
        <v>11600.727272727274</v>
      </c>
      <c r="CF56" s="100">
        <v>8.0508474576271194</v>
      </c>
      <c r="CG56" s="100">
        <v>7902.7118644067796</v>
      </c>
      <c r="CH56" s="100">
        <v>15.833333333333336</v>
      </c>
      <c r="CI56" s="100">
        <v>15542</v>
      </c>
      <c r="CJ56" s="100">
        <v>10.346534653465348</v>
      </c>
      <c r="CK56" s="100">
        <v>10156.158415841584</v>
      </c>
      <c r="CL56" s="100">
        <v>13.434343434343436</v>
      </c>
      <c r="CM56" s="100">
        <v>13187.151515151516</v>
      </c>
      <c r="CN56" s="100">
        <v>9</v>
      </c>
      <c r="CO56" s="100">
        <v>8834.4</v>
      </c>
      <c r="CP56" s="100">
        <v>10</v>
      </c>
      <c r="CQ56" s="100">
        <v>9816</v>
      </c>
      <c r="CR56" s="100">
        <v>10.513944223107575</v>
      </c>
      <c r="CS56" s="100">
        <v>10320.487649402396</v>
      </c>
      <c r="CT56" s="100">
        <v>9.0047393364928912</v>
      </c>
      <c r="CU56" s="100">
        <v>8839.0521327014212</v>
      </c>
    </row>
    <row r="57" spans="2:99">
      <c r="C57" s="99" t="s">
        <v>223</v>
      </c>
      <c r="D57" s="100">
        <v>9</v>
      </c>
      <c r="E57" s="100">
        <v>12700.800000000001</v>
      </c>
      <c r="F57" s="100">
        <v>11.683756646603717</v>
      </c>
      <c r="G57" s="100">
        <v>16488.117379687166</v>
      </c>
      <c r="H57" s="100">
        <v>11.996623324311173</v>
      </c>
      <c r="I57" s="100">
        <v>16929.634835267927</v>
      </c>
      <c r="J57" s="100">
        <v>14</v>
      </c>
      <c r="K57" s="100">
        <v>19756.8</v>
      </c>
      <c r="L57" s="100">
        <v>8</v>
      </c>
      <c r="M57" s="100">
        <v>11289.6</v>
      </c>
      <c r="N57" s="100">
        <v>10</v>
      </c>
      <c r="O57" s="100">
        <v>14112</v>
      </c>
      <c r="P57" s="100">
        <v>11</v>
      </c>
      <c r="Q57" s="100">
        <v>15523.2</v>
      </c>
      <c r="R57" s="100">
        <v>11</v>
      </c>
      <c r="S57" s="100">
        <v>15523.2</v>
      </c>
      <c r="T57" s="100">
        <v>15</v>
      </c>
      <c r="U57" s="100">
        <v>21168</v>
      </c>
      <c r="V57" s="100">
        <v>16.251366460493607</v>
      </c>
      <c r="W57" s="100">
        <v>22933.92834904858</v>
      </c>
      <c r="X57" s="100">
        <v>9.595001189294269</v>
      </c>
      <c r="Y57" s="100">
        <v>13540.465678332073</v>
      </c>
      <c r="Z57" s="100">
        <v>12.478679421361122</v>
      </c>
      <c r="AA57" s="100">
        <v>17609.912399424815</v>
      </c>
      <c r="AB57" s="100">
        <v>12.902071603667153</v>
      </c>
      <c r="AC57" s="100">
        <v>18207.403447095086</v>
      </c>
      <c r="AD57" s="100">
        <v>11</v>
      </c>
      <c r="AE57" s="100">
        <v>15523.2</v>
      </c>
      <c r="AF57" s="100">
        <v>10.952209789368634</v>
      </c>
      <c r="AG57" s="100">
        <v>15455.758454757017</v>
      </c>
      <c r="AH57" s="100">
        <v>7.6582059500576873</v>
      </c>
      <c r="AI57" s="100">
        <v>10807.260236721409</v>
      </c>
      <c r="AJ57" s="100">
        <v>8.3419743384556941</v>
      </c>
      <c r="AK57" s="100">
        <v>11772.194186428676</v>
      </c>
      <c r="AL57" s="100">
        <v>11.055779664189215</v>
      </c>
      <c r="AM57" s="100">
        <v>15601.916262103821</v>
      </c>
      <c r="AN57" s="100">
        <v>10.966415703363104</v>
      </c>
      <c r="AO57" s="100">
        <v>15475.805840586014</v>
      </c>
      <c r="AP57" s="100">
        <v>13.115189601636226</v>
      </c>
      <c r="AQ57" s="100">
        <v>18508.155565829042</v>
      </c>
      <c r="AR57" s="100">
        <v>8</v>
      </c>
      <c r="AS57" s="100">
        <v>11289.6</v>
      </c>
      <c r="AT57" s="100">
        <v>9.3010291881859466</v>
      </c>
      <c r="AU57" s="100">
        <v>13125.612390368009</v>
      </c>
      <c r="AV57" s="100">
        <v>11.86713123631923</v>
      </c>
      <c r="AW57" s="100">
        <v>16746.895600693697</v>
      </c>
      <c r="AX57" s="100">
        <v>13.804167667012988</v>
      </c>
      <c r="AY57" s="100">
        <v>19480.441411688731</v>
      </c>
      <c r="AZ57" s="100">
        <v>8.5377246388165684</v>
      </c>
      <c r="BA57" s="100">
        <v>12048.437010297941</v>
      </c>
      <c r="BB57" s="100">
        <v>12.189254207306359</v>
      </c>
      <c r="BC57" s="100">
        <v>17201.475537350732</v>
      </c>
      <c r="BD57" s="100">
        <v>11</v>
      </c>
      <c r="BE57" s="100">
        <v>15523.2</v>
      </c>
      <c r="BF57" s="100">
        <v>12.088944629307159</v>
      </c>
      <c r="BG57" s="100">
        <v>17059.918660878262</v>
      </c>
      <c r="BH57" s="100">
        <v>11.511502920295221</v>
      </c>
      <c r="BI57" s="100">
        <v>16245.032921120617</v>
      </c>
      <c r="BJ57" s="100">
        <v>13</v>
      </c>
      <c r="BK57" s="100">
        <v>18345.600000000002</v>
      </c>
      <c r="BL57" s="100">
        <v>9</v>
      </c>
      <c r="BM57" s="100">
        <v>12700.800000000001</v>
      </c>
      <c r="BN57" s="100">
        <v>12.601938216941974</v>
      </c>
      <c r="BO57" s="100">
        <v>17783.855211748516</v>
      </c>
      <c r="BP57" s="100">
        <v>10.992883319702678</v>
      </c>
      <c r="BQ57" s="100">
        <v>15513.156940764418</v>
      </c>
      <c r="BR57" s="100">
        <v>12.049518488880448</v>
      </c>
      <c r="BS57" s="100">
        <v>17004.280491508089</v>
      </c>
      <c r="BT57" s="100">
        <v>14</v>
      </c>
      <c r="BU57" s="100">
        <v>19756.8</v>
      </c>
      <c r="BV57" s="100">
        <v>9.809075307304937</v>
      </c>
      <c r="BW57" s="100">
        <v>13842.567073668728</v>
      </c>
      <c r="BX57" s="100">
        <v>9</v>
      </c>
      <c r="BY57" s="100">
        <v>12700.800000000001</v>
      </c>
      <c r="BZ57" s="100">
        <v>11.684830213512523</v>
      </c>
      <c r="CA57" s="100">
        <v>16489.632397308873</v>
      </c>
      <c r="CB57" s="100">
        <v>15.499926512743484</v>
      </c>
      <c r="CC57" s="100">
        <v>21873.496294783603</v>
      </c>
      <c r="CD57" s="100">
        <v>9.9665601505400652</v>
      </c>
      <c r="CE57" s="100">
        <v>14064.80968444214</v>
      </c>
      <c r="CF57" s="100">
        <v>9</v>
      </c>
      <c r="CG57" s="100">
        <v>12700.800000000001</v>
      </c>
      <c r="CH57" s="100">
        <v>14</v>
      </c>
      <c r="CI57" s="100">
        <v>19756.8</v>
      </c>
      <c r="CJ57" s="100">
        <v>7.4278931826518582</v>
      </c>
      <c r="CK57" s="100">
        <v>10482.242859358303</v>
      </c>
      <c r="CL57" s="100">
        <v>11.799787535743031</v>
      </c>
      <c r="CM57" s="100">
        <v>16651.860170440566</v>
      </c>
      <c r="CN57" s="100">
        <v>7.9930704687864447</v>
      </c>
      <c r="CO57" s="100">
        <v>11279.821045551431</v>
      </c>
      <c r="CP57" s="100">
        <v>8.2474271140442532</v>
      </c>
      <c r="CQ57" s="100">
        <v>11638.76914333925</v>
      </c>
      <c r="CR57" s="100">
        <v>9.7817059501688597</v>
      </c>
      <c r="CS57" s="100">
        <v>13803.943436878295</v>
      </c>
      <c r="CT57" s="100">
        <v>8.5663306165070701</v>
      </c>
      <c r="CU57" s="100">
        <v>12088.805766014777</v>
      </c>
    </row>
    <row r="58" spans="2:99">
      <c r="C58" s="99" t="s">
        <v>224</v>
      </c>
      <c r="D58" s="100">
        <v>9</v>
      </c>
      <c r="E58" s="100">
        <v>10594.800000000001</v>
      </c>
      <c r="F58" s="100">
        <v>12</v>
      </c>
      <c r="G58" s="100">
        <v>14126.400000000001</v>
      </c>
      <c r="H58" s="100">
        <v>13</v>
      </c>
      <c r="I58" s="100">
        <v>15303.6</v>
      </c>
      <c r="J58" s="100">
        <v>13</v>
      </c>
      <c r="K58" s="100">
        <v>15303.6</v>
      </c>
      <c r="L58" s="100">
        <v>9</v>
      </c>
      <c r="M58" s="100">
        <v>10594.800000000001</v>
      </c>
      <c r="N58" s="100">
        <v>10</v>
      </c>
      <c r="O58" s="100">
        <v>11772</v>
      </c>
      <c r="P58" s="100">
        <v>11</v>
      </c>
      <c r="Q58" s="100">
        <v>12949.2</v>
      </c>
      <c r="R58" s="100">
        <v>12</v>
      </c>
      <c r="S58" s="100">
        <v>14126.400000000001</v>
      </c>
      <c r="T58" s="100">
        <v>15</v>
      </c>
      <c r="U58" s="100">
        <v>17658</v>
      </c>
      <c r="V58" s="100">
        <v>16</v>
      </c>
      <c r="W58" s="100">
        <v>18835.2</v>
      </c>
      <c r="X58" s="100">
        <v>11</v>
      </c>
      <c r="Y58" s="100">
        <v>12949.2</v>
      </c>
      <c r="Z58" s="100">
        <v>12</v>
      </c>
      <c r="AA58" s="100">
        <v>14126.400000000001</v>
      </c>
      <c r="AB58" s="100">
        <v>17</v>
      </c>
      <c r="AC58" s="100">
        <v>20012.400000000001</v>
      </c>
      <c r="AD58" s="100">
        <v>13</v>
      </c>
      <c r="AE58" s="100">
        <v>15303.6</v>
      </c>
      <c r="AF58" s="100">
        <v>10</v>
      </c>
      <c r="AG58" s="100">
        <v>11772</v>
      </c>
      <c r="AH58" s="100">
        <v>9</v>
      </c>
      <c r="AI58" s="100">
        <v>10594.800000000001</v>
      </c>
      <c r="AJ58" s="100">
        <v>10</v>
      </c>
      <c r="AK58" s="100">
        <v>11772</v>
      </c>
      <c r="AL58" s="100">
        <v>14</v>
      </c>
      <c r="AM58" s="100">
        <v>16480.8</v>
      </c>
      <c r="AN58" s="100">
        <v>14</v>
      </c>
      <c r="AO58" s="100">
        <v>16480.8</v>
      </c>
      <c r="AP58" s="100">
        <v>14</v>
      </c>
      <c r="AQ58" s="100">
        <v>16480.8</v>
      </c>
      <c r="AR58" s="100">
        <v>9</v>
      </c>
      <c r="AS58" s="100">
        <v>10594.800000000001</v>
      </c>
      <c r="AT58" s="100">
        <v>10</v>
      </c>
      <c r="AU58" s="100">
        <v>11772</v>
      </c>
      <c r="AV58" s="100">
        <v>16</v>
      </c>
      <c r="AW58" s="100">
        <v>18835.2</v>
      </c>
      <c r="AX58" s="100">
        <v>15</v>
      </c>
      <c r="AY58" s="100">
        <v>17658</v>
      </c>
      <c r="AZ58" s="100">
        <v>9</v>
      </c>
      <c r="BA58" s="100">
        <v>10594.800000000001</v>
      </c>
      <c r="BB58" s="100">
        <v>13</v>
      </c>
      <c r="BC58" s="100">
        <v>15303.6</v>
      </c>
      <c r="BD58" s="100">
        <v>12</v>
      </c>
      <c r="BE58" s="100">
        <v>14126.400000000001</v>
      </c>
      <c r="BF58" s="100">
        <v>13</v>
      </c>
      <c r="BG58" s="100">
        <v>15303.6</v>
      </c>
      <c r="BH58" s="100">
        <v>12</v>
      </c>
      <c r="BI58" s="100">
        <v>14126.400000000001</v>
      </c>
      <c r="BJ58" s="100">
        <v>13</v>
      </c>
      <c r="BK58" s="100">
        <v>15303.6</v>
      </c>
      <c r="BL58" s="100">
        <v>9</v>
      </c>
      <c r="BM58" s="100">
        <v>10594.800000000001</v>
      </c>
      <c r="BN58" s="100">
        <v>15</v>
      </c>
      <c r="BO58" s="100">
        <v>17658</v>
      </c>
      <c r="BP58" s="100">
        <v>14</v>
      </c>
      <c r="BQ58" s="100">
        <v>16480.8</v>
      </c>
      <c r="BR58" s="100">
        <v>11</v>
      </c>
      <c r="BS58" s="100">
        <v>12949.2</v>
      </c>
      <c r="BT58" s="100">
        <v>14</v>
      </c>
      <c r="BU58" s="100">
        <v>16480.8</v>
      </c>
      <c r="BV58" s="100">
        <v>11</v>
      </c>
      <c r="BW58" s="100">
        <v>12949.2</v>
      </c>
      <c r="BX58" s="100">
        <v>9</v>
      </c>
      <c r="BY58" s="100">
        <v>10594.800000000001</v>
      </c>
      <c r="BZ58" s="100">
        <v>15</v>
      </c>
      <c r="CA58" s="100">
        <v>17658</v>
      </c>
      <c r="CB58" s="100">
        <v>16</v>
      </c>
      <c r="CC58" s="100">
        <v>18835.2</v>
      </c>
      <c r="CD58" s="100">
        <v>13</v>
      </c>
      <c r="CE58" s="100">
        <v>15303.6</v>
      </c>
      <c r="CF58" s="100">
        <v>9</v>
      </c>
      <c r="CG58" s="100">
        <v>10594.800000000001</v>
      </c>
      <c r="CH58" s="100">
        <v>14</v>
      </c>
      <c r="CI58" s="100">
        <v>16480.8</v>
      </c>
      <c r="CJ58" s="100">
        <v>10</v>
      </c>
      <c r="CK58" s="100">
        <v>11772</v>
      </c>
      <c r="CL58" s="100">
        <v>14</v>
      </c>
      <c r="CM58" s="100">
        <v>16480.8</v>
      </c>
      <c r="CN58" s="100">
        <v>9</v>
      </c>
      <c r="CO58" s="100">
        <v>10594.800000000001</v>
      </c>
      <c r="CP58" s="100">
        <v>9</v>
      </c>
      <c r="CQ58" s="100">
        <v>10594.800000000001</v>
      </c>
      <c r="CR58" s="100">
        <v>11</v>
      </c>
      <c r="CS58" s="100">
        <v>12949.2</v>
      </c>
      <c r="CT58" s="100">
        <v>11</v>
      </c>
      <c r="CU58" s="100">
        <v>12949.2</v>
      </c>
    </row>
    <row r="59" spans="2:99">
      <c r="C59" s="99" t="s">
        <v>225</v>
      </c>
      <c r="D59" s="100">
        <v>8</v>
      </c>
      <c r="E59" s="100">
        <v>2428.7999999999997</v>
      </c>
      <c r="F59" s="100">
        <v>12.657403033820694</v>
      </c>
      <c r="G59" s="100">
        <v>3842.7875610679625</v>
      </c>
      <c r="H59" s="100">
        <v>11.996623324311173</v>
      </c>
      <c r="I59" s="100">
        <v>3642.1748412608717</v>
      </c>
      <c r="J59" s="100">
        <v>15</v>
      </c>
      <c r="K59" s="100">
        <v>4553.9999999999991</v>
      </c>
      <c r="L59" s="100">
        <v>9</v>
      </c>
      <c r="M59" s="100">
        <v>2732.3999999999996</v>
      </c>
      <c r="N59" s="100">
        <v>11</v>
      </c>
      <c r="O59" s="100">
        <v>3339.5999999999995</v>
      </c>
      <c r="P59" s="100">
        <v>11</v>
      </c>
      <c r="Q59" s="100">
        <v>3339.5999999999995</v>
      </c>
      <c r="R59" s="100">
        <v>12</v>
      </c>
      <c r="S59" s="100">
        <v>3643.2</v>
      </c>
      <c r="T59" s="100">
        <v>16</v>
      </c>
      <c r="U59" s="100">
        <v>4857.5999999999995</v>
      </c>
      <c r="V59" s="100">
        <v>16.251366460493607</v>
      </c>
      <c r="W59" s="100">
        <v>4933.9148574058581</v>
      </c>
      <c r="X59" s="100">
        <v>8.7227283539038805</v>
      </c>
      <c r="Y59" s="100">
        <v>2648.2203282452178</v>
      </c>
      <c r="Z59" s="100">
        <v>14.398476255416679</v>
      </c>
      <c r="AA59" s="100">
        <v>4371.3773911445032</v>
      </c>
      <c r="AB59" s="100">
        <v>14.622347817489443</v>
      </c>
      <c r="AC59" s="100">
        <v>4439.3447973897946</v>
      </c>
      <c r="AD59" s="100">
        <v>15</v>
      </c>
      <c r="AE59" s="100">
        <v>4553.9999999999991</v>
      </c>
      <c r="AF59" s="100">
        <v>10.952209789368634</v>
      </c>
      <c r="AG59" s="100">
        <v>3325.090892052317</v>
      </c>
      <c r="AH59" s="100">
        <v>8.6154816938148979</v>
      </c>
      <c r="AI59" s="100">
        <v>2615.6602422422029</v>
      </c>
      <c r="AJ59" s="100">
        <v>11.122632451274258</v>
      </c>
      <c r="AK59" s="100">
        <v>3376.8312122068646</v>
      </c>
      <c r="AL59" s="100">
        <v>13.424875306515476</v>
      </c>
      <c r="AM59" s="100">
        <v>4075.7921430580982</v>
      </c>
      <c r="AN59" s="100">
        <v>12.653556580803583</v>
      </c>
      <c r="AO59" s="100">
        <v>3841.6197779319673</v>
      </c>
      <c r="AP59" s="100">
        <v>16.86238663067515</v>
      </c>
      <c r="AQ59" s="100">
        <v>5119.4205810729754</v>
      </c>
      <c r="AR59" s="100">
        <v>9</v>
      </c>
      <c r="AS59" s="100">
        <v>2732.3999999999996</v>
      </c>
      <c r="AT59" s="100">
        <v>10.231132107004541</v>
      </c>
      <c r="AU59" s="100">
        <v>3106.1717076865784</v>
      </c>
      <c r="AV59" s="100">
        <v>12.714783467484889</v>
      </c>
      <c r="AW59" s="100">
        <v>3860.2082607284119</v>
      </c>
      <c r="AX59" s="100">
        <v>15.776191619443415</v>
      </c>
      <c r="AY59" s="100">
        <v>4789.6517756630201</v>
      </c>
      <c r="AZ59" s="100">
        <v>8.5377246388165684</v>
      </c>
      <c r="BA59" s="100">
        <v>2592.0532003447097</v>
      </c>
      <c r="BB59" s="100">
        <v>12.189254207306359</v>
      </c>
      <c r="BC59" s="100">
        <v>3700.6575773382101</v>
      </c>
      <c r="BD59" s="100">
        <v>12</v>
      </c>
      <c r="BE59" s="100">
        <v>3643.2</v>
      </c>
      <c r="BF59" s="100">
        <v>14.878701082224199</v>
      </c>
      <c r="BG59" s="100">
        <v>4517.1736485632664</v>
      </c>
      <c r="BH59" s="100">
        <v>11.511502920295221</v>
      </c>
      <c r="BI59" s="100">
        <v>3494.8922866016287</v>
      </c>
      <c r="BJ59" s="100">
        <v>15</v>
      </c>
      <c r="BK59" s="100">
        <v>4553.9999999999991</v>
      </c>
      <c r="BL59" s="100">
        <v>10</v>
      </c>
      <c r="BM59" s="100">
        <v>3035.9999999999995</v>
      </c>
      <c r="BN59" s="100">
        <v>15.510077805467047</v>
      </c>
      <c r="BO59" s="100">
        <v>4708.8596217397944</v>
      </c>
      <c r="BP59" s="100">
        <v>12.684096138118473</v>
      </c>
      <c r="BQ59" s="100">
        <v>3850.891587532768</v>
      </c>
      <c r="BR59" s="100">
        <v>11.122632451274258</v>
      </c>
      <c r="BS59" s="100">
        <v>3376.8312122068646</v>
      </c>
      <c r="BT59" s="100">
        <v>17</v>
      </c>
      <c r="BU59" s="100">
        <v>5161.2</v>
      </c>
      <c r="BV59" s="100">
        <v>10.700809426150842</v>
      </c>
      <c r="BW59" s="100">
        <v>3248.7657417793953</v>
      </c>
      <c r="BX59" s="100">
        <v>11</v>
      </c>
      <c r="BY59" s="100">
        <v>3339.5999999999995</v>
      </c>
      <c r="BZ59" s="100">
        <v>13.35409167258574</v>
      </c>
      <c r="CA59" s="100">
        <v>4054.3022317970303</v>
      </c>
      <c r="CB59" s="100">
        <v>15.499926512743484</v>
      </c>
      <c r="CC59" s="100">
        <v>4705.7776892689208</v>
      </c>
      <c r="CD59" s="100">
        <v>10.733218623658532</v>
      </c>
      <c r="CE59" s="100">
        <v>3258.60517414273</v>
      </c>
      <c r="CF59" s="100">
        <v>9</v>
      </c>
      <c r="CG59" s="100">
        <v>2732.3999999999996</v>
      </c>
      <c r="CH59" s="100">
        <v>15</v>
      </c>
      <c r="CI59" s="100">
        <v>4553.9999999999991</v>
      </c>
      <c r="CJ59" s="100">
        <v>9.6562611374474159</v>
      </c>
      <c r="CK59" s="100">
        <v>2931.640881329035</v>
      </c>
      <c r="CL59" s="100">
        <v>14.522815428606805</v>
      </c>
      <c r="CM59" s="100">
        <v>4409.1267641250251</v>
      </c>
      <c r="CN59" s="100">
        <v>9.9913380859830561</v>
      </c>
      <c r="CO59" s="100">
        <v>3033.3702429044556</v>
      </c>
      <c r="CP59" s="100">
        <v>10.080188694942976</v>
      </c>
      <c r="CQ59" s="100">
        <v>3060.3452877846871</v>
      </c>
      <c r="CR59" s="100">
        <v>11.560197941108653</v>
      </c>
      <c r="CS59" s="100">
        <v>3509.6760949205868</v>
      </c>
      <c r="CT59" s="100">
        <v>10.279596739808484</v>
      </c>
      <c r="CU59" s="100">
        <v>3120.8855702058554</v>
      </c>
    </row>
    <row r="60" spans="2:99">
      <c r="C60" s="99" t="s">
        <v>226</v>
      </c>
      <c r="D60" s="100">
        <v>8</v>
      </c>
      <c r="E60" s="100">
        <v>5212.8</v>
      </c>
      <c r="F60" s="100">
        <v>13.631049421037671</v>
      </c>
      <c r="G60" s="100">
        <v>8881.9918027481472</v>
      </c>
      <c r="H60" s="100">
        <v>11.996623324311173</v>
      </c>
      <c r="I60" s="100">
        <v>7816.999758121161</v>
      </c>
      <c r="J60" s="100">
        <v>15</v>
      </c>
      <c r="K60" s="100">
        <v>9774</v>
      </c>
      <c r="L60" s="100">
        <v>10</v>
      </c>
      <c r="M60" s="100">
        <v>6516</v>
      </c>
      <c r="N60" s="100">
        <v>12</v>
      </c>
      <c r="O60" s="100">
        <v>7819.2000000000007</v>
      </c>
      <c r="P60" s="100">
        <v>13</v>
      </c>
      <c r="Q60" s="100">
        <v>8470.8000000000011</v>
      </c>
      <c r="R60" s="100">
        <v>12</v>
      </c>
      <c r="S60" s="100">
        <v>7819.2000000000007</v>
      </c>
      <c r="T60" s="100">
        <v>15</v>
      </c>
      <c r="U60" s="100">
        <v>9774</v>
      </c>
      <c r="V60" s="100">
        <v>17.207329193463821</v>
      </c>
      <c r="W60" s="100">
        <v>11212.295702461026</v>
      </c>
      <c r="X60" s="100">
        <v>8.7227283539038805</v>
      </c>
      <c r="Y60" s="100">
        <v>5683.7297954037685</v>
      </c>
      <c r="Z60" s="100">
        <v>12.478679421361122</v>
      </c>
      <c r="AA60" s="100">
        <v>8131.1075109589074</v>
      </c>
      <c r="AB60" s="100">
        <v>13.762209710578299</v>
      </c>
      <c r="AC60" s="100">
        <v>8967.4558474128189</v>
      </c>
      <c r="AD60" s="100">
        <v>12</v>
      </c>
      <c r="AE60" s="100">
        <v>7819.2000000000007</v>
      </c>
      <c r="AF60" s="100">
        <v>11.947865224765785</v>
      </c>
      <c r="AG60" s="100">
        <v>7785.2289804573857</v>
      </c>
      <c r="AH60" s="100">
        <v>8.6154816938148979</v>
      </c>
      <c r="AI60" s="100">
        <v>5613.847871689788</v>
      </c>
      <c r="AJ60" s="100">
        <v>10.19574641366807</v>
      </c>
      <c r="AK60" s="100">
        <v>6643.5483631461148</v>
      </c>
      <c r="AL60" s="100">
        <v>13.424875306515476</v>
      </c>
      <c r="AM60" s="100">
        <v>8747.6487497254839</v>
      </c>
      <c r="AN60" s="100">
        <v>13.49712701952382</v>
      </c>
      <c r="AO60" s="100">
        <v>8794.727965921722</v>
      </c>
      <c r="AP60" s="100">
        <v>13.115189601636226</v>
      </c>
      <c r="AQ60" s="100">
        <v>8545.857544426166</v>
      </c>
      <c r="AR60" s="100">
        <v>10</v>
      </c>
      <c r="AS60" s="100">
        <v>6516</v>
      </c>
      <c r="AT60" s="100">
        <v>11.161235025823135</v>
      </c>
      <c r="AU60" s="100">
        <v>7272.6607428263551</v>
      </c>
      <c r="AV60" s="100">
        <v>13.56243569865055</v>
      </c>
      <c r="AW60" s="100">
        <v>8837.2831012406987</v>
      </c>
      <c r="AX60" s="100">
        <v>16.762203595658626</v>
      </c>
      <c r="AY60" s="100">
        <v>10922.251862931162</v>
      </c>
      <c r="AZ60" s="100">
        <v>8.5377246388165684</v>
      </c>
      <c r="BA60" s="100">
        <v>5563.181374652876</v>
      </c>
      <c r="BB60" s="100">
        <v>11.251619268282791</v>
      </c>
      <c r="BC60" s="100">
        <v>7331.5551152130674</v>
      </c>
      <c r="BD60" s="100">
        <v>11</v>
      </c>
      <c r="BE60" s="100">
        <v>7167.6</v>
      </c>
      <c r="BF60" s="100">
        <v>13.948782264585185</v>
      </c>
      <c r="BG60" s="100">
        <v>9089.0265236037067</v>
      </c>
      <c r="BH60" s="100">
        <v>12.397003144933317</v>
      </c>
      <c r="BI60" s="100">
        <v>8077.887249238549</v>
      </c>
      <c r="BJ60" s="100">
        <v>13</v>
      </c>
      <c r="BK60" s="100">
        <v>8470.8000000000011</v>
      </c>
      <c r="BL60" s="100">
        <v>10</v>
      </c>
      <c r="BM60" s="100">
        <v>6516</v>
      </c>
      <c r="BN60" s="100">
        <v>14.540697942625355</v>
      </c>
      <c r="BO60" s="100">
        <v>9474.7187794146812</v>
      </c>
      <c r="BP60" s="100">
        <v>12.684096138118473</v>
      </c>
      <c r="BQ60" s="100">
        <v>8264.9570435979967</v>
      </c>
      <c r="BR60" s="100">
        <v>12.049518488880448</v>
      </c>
      <c r="BS60" s="100">
        <v>7851.4662473545004</v>
      </c>
      <c r="BT60" s="100">
        <v>15</v>
      </c>
      <c r="BU60" s="100">
        <v>9774</v>
      </c>
      <c r="BV60" s="100">
        <v>10.700809426150842</v>
      </c>
      <c r="BW60" s="100">
        <v>6972.6474220798891</v>
      </c>
      <c r="BX60" s="100">
        <v>10</v>
      </c>
      <c r="BY60" s="100">
        <v>6516</v>
      </c>
      <c r="BZ60" s="100">
        <v>11.684830213512523</v>
      </c>
      <c r="CA60" s="100">
        <v>7613.8353671247605</v>
      </c>
      <c r="CB60" s="100">
        <v>15.499926512743484</v>
      </c>
      <c r="CC60" s="100">
        <v>10099.752115703654</v>
      </c>
      <c r="CD60" s="100">
        <v>11.499877096776997</v>
      </c>
      <c r="CE60" s="100">
        <v>7493.3199162598912</v>
      </c>
      <c r="CF60" s="100">
        <v>9</v>
      </c>
      <c r="CG60" s="100">
        <v>5864.4000000000005</v>
      </c>
      <c r="CH60" s="100">
        <v>16</v>
      </c>
      <c r="CI60" s="100">
        <v>10425.6</v>
      </c>
      <c r="CJ60" s="100">
        <v>8.1706825009170441</v>
      </c>
      <c r="CK60" s="100">
        <v>5324.0167175975457</v>
      </c>
      <c r="CL60" s="100">
        <v>11.799787535743031</v>
      </c>
      <c r="CM60" s="100">
        <v>7688.7415582901594</v>
      </c>
      <c r="CN60" s="100">
        <v>8.9922042773847508</v>
      </c>
      <c r="CO60" s="100">
        <v>5859.3203071439038</v>
      </c>
      <c r="CP60" s="100">
        <v>9.1638079044936127</v>
      </c>
      <c r="CQ60" s="100">
        <v>5971.1372305680379</v>
      </c>
      <c r="CR60" s="100">
        <v>11.560197941108653</v>
      </c>
      <c r="CS60" s="100">
        <v>7532.6249784263982</v>
      </c>
      <c r="CT60" s="100">
        <v>9.4229636781577764</v>
      </c>
      <c r="CU60" s="100">
        <v>6140.0031326876069</v>
      </c>
    </row>
    <row r="61" spans="2:99">
      <c r="C61" s="99" t="s">
        <v>227</v>
      </c>
      <c r="D61" s="100">
        <v>9</v>
      </c>
      <c r="E61" s="100">
        <v>8564.4</v>
      </c>
      <c r="F61" s="100">
        <v>11.683756646603717</v>
      </c>
      <c r="G61" s="100">
        <v>11118.262824908095</v>
      </c>
      <c r="H61" s="100">
        <v>11.996623324311173</v>
      </c>
      <c r="I61" s="100">
        <v>11415.986755414511</v>
      </c>
      <c r="J61" s="100">
        <v>14</v>
      </c>
      <c r="K61" s="100">
        <v>13322.399999999998</v>
      </c>
      <c r="L61" s="100">
        <v>9</v>
      </c>
      <c r="M61" s="100">
        <v>8564.4</v>
      </c>
      <c r="N61" s="100">
        <v>10</v>
      </c>
      <c r="O61" s="100">
        <v>9516</v>
      </c>
      <c r="P61" s="100">
        <v>12</v>
      </c>
      <c r="Q61" s="100">
        <v>11419.199999999999</v>
      </c>
      <c r="R61" s="100">
        <v>13</v>
      </c>
      <c r="S61" s="100">
        <v>12370.8</v>
      </c>
      <c r="T61" s="100">
        <v>15</v>
      </c>
      <c r="U61" s="100">
        <v>14273.999999999998</v>
      </c>
      <c r="V61" s="100">
        <v>15.295403727523395</v>
      </c>
      <c r="W61" s="100">
        <v>14555.106187111262</v>
      </c>
      <c r="X61" s="100">
        <v>9.595001189294269</v>
      </c>
      <c r="Y61" s="100">
        <v>9130.603131732425</v>
      </c>
      <c r="Z61" s="100">
        <v>12.478679421361122</v>
      </c>
      <c r="AA61" s="100">
        <v>11874.711337367242</v>
      </c>
      <c r="AB61" s="100">
        <v>12.902071603667153</v>
      </c>
      <c r="AC61" s="100">
        <v>12277.611338049661</v>
      </c>
      <c r="AD61" s="100">
        <v>13</v>
      </c>
      <c r="AE61" s="100">
        <v>12370.8</v>
      </c>
      <c r="AF61" s="100">
        <v>10.952209789368634</v>
      </c>
      <c r="AG61" s="100">
        <v>10422.122835563192</v>
      </c>
      <c r="AH61" s="100">
        <v>9.5727574375721094</v>
      </c>
      <c r="AI61" s="100">
        <v>9109.4359775936191</v>
      </c>
      <c r="AJ61" s="100">
        <v>10.19574641366807</v>
      </c>
      <c r="AK61" s="100">
        <v>9702.2722872465347</v>
      </c>
      <c r="AL61" s="100">
        <v>13.424875306515476</v>
      </c>
      <c r="AM61" s="100">
        <v>12775.111341680125</v>
      </c>
      <c r="AN61" s="100">
        <v>13.49712701952382</v>
      </c>
      <c r="AO61" s="100">
        <v>12843.866071778866</v>
      </c>
      <c r="AP61" s="100">
        <v>14.988788116155686</v>
      </c>
      <c r="AQ61" s="100">
        <v>14263.330771333749</v>
      </c>
      <c r="AR61" s="100">
        <v>9</v>
      </c>
      <c r="AS61" s="100">
        <v>8564.4</v>
      </c>
      <c r="AT61" s="100">
        <v>10.231132107004541</v>
      </c>
      <c r="AU61" s="100">
        <v>9735.9453130255206</v>
      </c>
      <c r="AV61" s="100">
        <v>13.56243569865055</v>
      </c>
      <c r="AW61" s="100">
        <v>12906.013810835862</v>
      </c>
      <c r="AX61" s="100">
        <v>16.762203595658626</v>
      </c>
      <c r="AY61" s="100">
        <v>15950.912941628747</v>
      </c>
      <c r="AZ61" s="100">
        <v>8.5377246388165684</v>
      </c>
      <c r="BA61" s="100">
        <v>8124.4987662978456</v>
      </c>
      <c r="BB61" s="100">
        <v>12.189254207306359</v>
      </c>
      <c r="BC61" s="100">
        <v>11599.29430367273</v>
      </c>
      <c r="BD61" s="100">
        <v>12</v>
      </c>
      <c r="BE61" s="100">
        <v>11419.199999999999</v>
      </c>
      <c r="BF61" s="100">
        <v>13.948782264585185</v>
      </c>
      <c r="BG61" s="100">
        <v>13273.661202979261</v>
      </c>
      <c r="BH61" s="100">
        <v>11.511502920295221</v>
      </c>
      <c r="BI61" s="100">
        <v>10954.346178952932</v>
      </c>
      <c r="BJ61" s="100">
        <v>14</v>
      </c>
      <c r="BK61" s="100">
        <v>13322.399999999998</v>
      </c>
      <c r="BL61" s="100">
        <v>9</v>
      </c>
      <c r="BM61" s="100">
        <v>8564.4</v>
      </c>
      <c r="BN61" s="100">
        <v>14.540697942625355</v>
      </c>
      <c r="BO61" s="100">
        <v>13836.928162202286</v>
      </c>
      <c r="BP61" s="100">
        <v>10.992883319702678</v>
      </c>
      <c r="BQ61" s="100">
        <v>10460.827767029066</v>
      </c>
      <c r="BR61" s="100">
        <v>11.122632451274258</v>
      </c>
      <c r="BS61" s="100">
        <v>10584.297040632584</v>
      </c>
      <c r="BT61" s="100">
        <v>14</v>
      </c>
      <c r="BU61" s="100">
        <v>13322.399999999998</v>
      </c>
      <c r="BV61" s="100">
        <v>8.9173411884590337</v>
      </c>
      <c r="BW61" s="100">
        <v>8485.7418749376156</v>
      </c>
      <c r="BX61" s="100">
        <v>9</v>
      </c>
      <c r="BY61" s="100">
        <v>8564.4</v>
      </c>
      <c r="BZ61" s="100">
        <v>13.35409167258574</v>
      </c>
      <c r="CA61" s="100">
        <v>12707.753635632589</v>
      </c>
      <c r="CB61" s="100">
        <v>16.468671919789951</v>
      </c>
      <c r="CC61" s="100">
        <v>15671.588198872116</v>
      </c>
      <c r="CD61" s="100">
        <v>9.9665601505400652</v>
      </c>
      <c r="CE61" s="100">
        <v>9484.1786392539252</v>
      </c>
      <c r="CF61" s="100">
        <v>9</v>
      </c>
      <c r="CG61" s="100">
        <v>8564.4</v>
      </c>
      <c r="CH61" s="100">
        <v>15</v>
      </c>
      <c r="CI61" s="100">
        <v>14273.999999999998</v>
      </c>
      <c r="CJ61" s="100">
        <v>8.1706825009170441</v>
      </c>
      <c r="CK61" s="100">
        <v>7775.2214678726586</v>
      </c>
      <c r="CL61" s="100">
        <v>13.615139464318879</v>
      </c>
      <c r="CM61" s="100">
        <v>12956.166714245845</v>
      </c>
      <c r="CN61" s="100">
        <v>8.9922042773847508</v>
      </c>
      <c r="CO61" s="100">
        <v>8556.981590359328</v>
      </c>
      <c r="CP61" s="100">
        <v>10.080188694942976</v>
      </c>
      <c r="CQ61" s="100">
        <v>9592.3075621077351</v>
      </c>
      <c r="CR61" s="100">
        <v>11.560197941108653</v>
      </c>
      <c r="CS61" s="100">
        <v>11000.684360758993</v>
      </c>
      <c r="CT61" s="100">
        <v>8.5663306165070701</v>
      </c>
      <c r="CU61" s="100">
        <v>8151.7202146681275</v>
      </c>
    </row>
    <row r="62" spans="2:99">
      <c r="C62" s="99" t="s">
        <v>228</v>
      </c>
      <c r="D62" s="100">
        <v>7</v>
      </c>
      <c r="E62" s="100">
        <v>11684.4</v>
      </c>
      <c r="F62" s="100">
        <v>13</v>
      </c>
      <c r="G62" s="100">
        <v>21699.600000000002</v>
      </c>
      <c r="H62" s="100">
        <v>12</v>
      </c>
      <c r="I62" s="100">
        <v>20030.400000000001</v>
      </c>
      <c r="J62" s="100">
        <v>12</v>
      </c>
      <c r="K62" s="100">
        <v>20030.400000000001</v>
      </c>
      <c r="L62" s="100">
        <v>8</v>
      </c>
      <c r="M62" s="100">
        <v>13353.6</v>
      </c>
      <c r="N62" s="100">
        <v>10</v>
      </c>
      <c r="O62" s="100">
        <v>16692</v>
      </c>
      <c r="P62" s="100">
        <v>11</v>
      </c>
      <c r="Q62" s="100">
        <v>18361.2</v>
      </c>
      <c r="R62" s="100">
        <v>11</v>
      </c>
      <c r="S62" s="100">
        <v>18361.2</v>
      </c>
      <c r="T62" s="100">
        <v>14</v>
      </c>
      <c r="U62" s="100">
        <v>23368.799999999999</v>
      </c>
      <c r="V62" s="100">
        <v>17</v>
      </c>
      <c r="W62" s="100">
        <v>28376.400000000001</v>
      </c>
      <c r="X62" s="100">
        <v>10</v>
      </c>
      <c r="Y62" s="100">
        <v>16692</v>
      </c>
      <c r="Z62" s="100">
        <v>12</v>
      </c>
      <c r="AA62" s="100">
        <v>20030.400000000001</v>
      </c>
      <c r="AB62" s="100">
        <v>14</v>
      </c>
      <c r="AC62" s="100">
        <v>23368.799999999999</v>
      </c>
      <c r="AD62" s="100">
        <v>12</v>
      </c>
      <c r="AE62" s="100">
        <v>20030.400000000001</v>
      </c>
      <c r="AF62" s="100">
        <v>10</v>
      </c>
      <c r="AG62" s="100">
        <v>16692</v>
      </c>
      <c r="AH62" s="100">
        <v>8</v>
      </c>
      <c r="AI62" s="100">
        <v>13353.6</v>
      </c>
      <c r="AJ62" s="100">
        <v>10</v>
      </c>
      <c r="AK62" s="100">
        <v>16692</v>
      </c>
      <c r="AL62" s="100">
        <v>15</v>
      </c>
      <c r="AM62" s="100">
        <v>25038</v>
      </c>
      <c r="AN62" s="100">
        <v>14</v>
      </c>
      <c r="AO62" s="100">
        <v>23368.799999999999</v>
      </c>
      <c r="AP62" s="100">
        <v>15</v>
      </c>
      <c r="AQ62" s="100">
        <v>25038</v>
      </c>
      <c r="AR62" s="100">
        <v>8</v>
      </c>
      <c r="AS62" s="100">
        <v>13353.6</v>
      </c>
      <c r="AT62" s="100">
        <v>10</v>
      </c>
      <c r="AU62" s="100">
        <v>16692</v>
      </c>
      <c r="AV62" s="100">
        <v>13</v>
      </c>
      <c r="AW62" s="100">
        <v>21699.600000000002</v>
      </c>
      <c r="AX62" s="100">
        <v>15</v>
      </c>
      <c r="AY62" s="100">
        <v>25038</v>
      </c>
      <c r="AZ62" s="100">
        <v>4.5283018867924874</v>
      </c>
      <c r="BA62" s="100">
        <v>7558.64150943402</v>
      </c>
      <c r="BB62" s="100">
        <v>1.1186225920127503E-21</v>
      </c>
      <c r="BC62" s="100">
        <v>1.8672048305876827E-18</v>
      </c>
      <c r="BD62" s="100">
        <v>4.4498666003022936E-22</v>
      </c>
      <c r="BE62" s="100">
        <v>7.4277173292245883E-19</v>
      </c>
      <c r="BF62" s="100">
        <v>6.4206145210001005E-22</v>
      </c>
      <c r="BG62" s="100">
        <v>1.0717289758453367E-18</v>
      </c>
      <c r="BH62" s="100">
        <v>11</v>
      </c>
      <c r="BI62" s="100">
        <v>18361.2</v>
      </c>
      <c r="BJ62" s="100">
        <v>13.641025641025644</v>
      </c>
      <c r="BK62" s="100">
        <v>22769.600000000006</v>
      </c>
      <c r="BL62" s="100">
        <v>9</v>
      </c>
      <c r="BM62" s="100">
        <v>15022.800000000001</v>
      </c>
      <c r="BN62" s="100">
        <v>13.571428571428575</v>
      </c>
      <c r="BO62" s="100">
        <v>22653.428571428576</v>
      </c>
      <c r="BP62" s="100">
        <v>14</v>
      </c>
      <c r="BQ62" s="100">
        <v>23368.799999999999</v>
      </c>
      <c r="BR62" s="100">
        <v>11.47826086956522</v>
      </c>
      <c r="BS62" s="100">
        <v>19159.513043478266</v>
      </c>
      <c r="BT62" s="100">
        <v>11.271186440677969</v>
      </c>
      <c r="BU62" s="100">
        <v>18813.864406779667</v>
      </c>
      <c r="BV62" s="100">
        <v>10</v>
      </c>
      <c r="BW62" s="100">
        <v>16692</v>
      </c>
      <c r="BX62" s="100">
        <v>8</v>
      </c>
      <c r="BY62" s="100">
        <v>13353.6</v>
      </c>
      <c r="BZ62" s="100">
        <v>12.928229665071777</v>
      </c>
      <c r="CA62" s="100">
        <v>21579.800956937812</v>
      </c>
      <c r="CB62" s="100">
        <v>12.036199095022626</v>
      </c>
      <c r="CC62" s="100">
        <v>20090.823529411769</v>
      </c>
      <c r="CD62" s="100">
        <v>10.909090909090912</v>
      </c>
      <c r="CE62" s="100">
        <v>18209.454545454551</v>
      </c>
      <c r="CF62" s="100">
        <v>6.4406779661016955</v>
      </c>
      <c r="CG62" s="100">
        <v>10750.77966101695</v>
      </c>
      <c r="CH62" s="100">
        <v>14.843750000000002</v>
      </c>
      <c r="CI62" s="100">
        <v>24777.187500000004</v>
      </c>
      <c r="CJ62" s="100">
        <v>10.346534653465348</v>
      </c>
      <c r="CK62" s="100">
        <v>17270.43564356436</v>
      </c>
      <c r="CL62" s="100">
        <v>11.515151515151517</v>
      </c>
      <c r="CM62" s="100">
        <v>19221.090909090912</v>
      </c>
      <c r="CN62" s="100">
        <v>9</v>
      </c>
      <c r="CO62" s="100">
        <v>15022.800000000001</v>
      </c>
      <c r="CP62" s="100">
        <v>10</v>
      </c>
      <c r="CQ62" s="100">
        <v>16692</v>
      </c>
      <c r="CR62" s="100">
        <v>8.0876494023904417</v>
      </c>
      <c r="CS62" s="100">
        <v>13499.904382470126</v>
      </c>
      <c r="CT62" s="100">
        <v>8.1042654028436036</v>
      </c>
      <c r="CU62" s="100">
        <v>13527.639810426543</v>
      </c>
    </row>
    <row r="63" spans="2:99">
      <c r="C63" s="99" t="s">
        <v>229</v>
      </c>
      <c r="D63" s="100">
        <v>9</v>
      </c>
      <c r="E63" s="100">
        <v>7160.4000000000005</v>
      </c>
      <c r="F63" s="100">
        <v>12.657403033820694</v>
      </c>
      <c r="G63" s="100">
        <v>10070.229853707744</v>
      </c>
      <c r="H63" s="100">
        <v>11.996623324311173</v>
      </c>
      <c r="I63" s="100">
        <v>9544.5135168219695</v>
      </c>
      <c r="J63" s="100">
        <v>13</v>
      </c>
      <c r="K63" s="100">
        <v>10342.800000000001</v>
      </c>
      <c r="L63" s="100">
        <v>9</v>
      </c>
      <c r="M63" s="100">
        <v>7160.4000000000005</v>
      </c>
      <c r="N63" s="100">
        <v>11</v>
      </c>
      <c r="O63" s="100">
        <v>8751.6</v>
      </c>
      <c r="P63" s="100">
        <v>11</v>
      </c>
      <c r="Q63" s="100">
        <v>8751.6</v>
      </c>
      <c r="R63" s="100">
        <v>14</v>
      </c>
      <c r="S63" s="100">
        <v>11138.4</v>
      </c>
      <c r="T63" s="100">
        <v>14</v>
      </c>
      <c r="U63" s="100">
        <v>11138.4</v>
      </c>
      <c r="V63" s="100">
        <v>15.295403727523395</v>
      </c>
      <c r="W63" s="100">
        <v>12169.023205617614</v>
      </c>
      <c r="X63" s="100">
        <v>10.467274024684656</v>
      </c>
      <c r="Y63" s="100">
        <v>8327.7632140391124</v>
      </c>
      <c r="Z63" s="100">
        <v>13.4385778383889</v>
      </c>
      <c r="AA63" s="100">
        <v>10691.73252822221</v>
      </c>
      <c r="AB63" s="100">
        <v>14.622347817489443</v>
      </c>
      <c r="AC63" s="100">
        <v>11633.539923594601</v>
      </c>
      <c r="AD63" s="100">
        <v>12</v>
      </c>
      <c r="AE63" s="100">
        <v>9547.2000000000007</v>
      </c>
      <c r="AF63" s="100">
        <v>10.952209789368634</v>
      </c>
      <c r="AG63" s="100">
        <v>8713.5781084216851</v>
      </c>
      <c r="AH63" s="100">
        <v>8.6154816938148979</v>
      </c>
      <c r="AI63" s="100">
        <v>6854.4772355991327</v>
      </c>
      <c r="AJ63" s="100">
        <v>9.2688603760618822</v>
      </c>
      <c r="AK63" s="100">
        <v>7374.3053151948334</v>
      </c>
      <c r="AL63" s="100">
        <v>12.63517675907339</v>
      </c>
      <c r="AM63" s="100">
        <v>10052.546629518789</v>
      </c>
      <c r="AN63" s="100">
        <v>12.653556580803583</v>
      </c>
      <c r="AO63" s="100">
        <v>10067.169615687331</v>
      </c>
      <c r="AP63" s="100">
        <v>14.988788116155686</v>
      </c>
      <c r="AQ63" s="100">
        <v>11925.079825213465</v>
      </c>
      <c r="AR63" s="100">
        <v>8</v>
      </c>
      <c r="AS63" s="100">
        <v>6364.8</v>
      </c>
      <c r="AT63" s="100">
        <v>10.231132107004541</v>
      </c>
      <c r="AU63" s="100">
        <v>8139.8887043328132</v>
      </c>
      <c r="AV63" s="100">
        <v>13.56243569865055</v>
      </c>
      <c r="AW63" s="100">
        <v>10790.273841846378</v>
      </c>
      <c r="AX63" s="100">
        <v>15.776191619443415</v>
      </c>
      <c r="AY63" s="100">
        <v>12551.538052429181</v>
      </c>
      <c r="AZ63" s="100">
        <v>9.4863607097961875</v>
      </c>
      <c r="BA63" s="100">
        <v>7547.3485807138468</v>
      </c>
      <c r="BB63" s="100">
        <v>12.189254207306359</v>
      </c>
      <c r="BC63" s="100">
        <v>9697.7706473329399</v>
      </c>
      <c r="BD63" s="100">
        <v>12</v>
      </c>
      <c r="BE63" s="100">
        <v>9547.2000000000007</v>
      </c>
      <c r="BF63" s="100">
        <v>12.088944629307159</v>
      </c>
      <c r="BG63" s="100">
        <v>9617.9643470767751</v>
      </c>
      <c r="BH63" s="100">
        <v>12.397003144933317</v>
      </c>
      <c r="BI63" s="100">
        <v>9863.0557021089462</v>
      </c>
      <c r="BJ63" s="100">
        <v>15</v>
      </c>
      <c r="BK63" s="100">
        <v>11934</v>
      </c>
      <c r="BL63" s="100">
        <v>8</v>
      </c>
      <c r="BM63" s="100">
        <v>6364.8</v>
      </c>
      <c r="BN63" s="100">
        <v>12.601938216941974</v>
      </c>
      <c r="BO63" s="100">
        <v>10026.102045399035</v>
      </c>
      <c r="BP63" s="100">
        <v>10.992883319702678</v>
      </c>
      <c r="BQ63" s="100">
        <v>8745.9379691554514</v>
      </c>
      <c r="BR63" s="100">
        <v>12.049518488880448</v>
      </c>
      <c r="BS63" s="100">
        <v>9586.5969097532852</v>
      </c>
      <c r="BT63" s="100">
        <v>15</v>
      </c>
      <c r="BU63" s="100">
        <v>11934</v>
      </c>
      <c r="BV63" s="100">
        <v>10.700809426150842</v>
      </c>
      <c r="BW63" s="100">
        <v>8513.563979445611</v>
      </c>
      <c r="BX63" s="100">
        <v>9</v>
      </c>
      <c r="BY63" s="100">
        <v>7160.4000000000005</v>
      </c>
      <c r="BZ63" s="100">
        <v>12.519460943049131</v>
      </c>
      <c r="CA63" s="100">
        <v>9960.4831262898879</v>
      </c>
      <c r="CB63" s="100">
        <v>16.468671919789951</v>
      </c>
      <c r="CC63" s="100">
        <v>13102.475379384885</v>
      </c>
      <c r="CD63" s="100">
        <v>11.499877096776997</v>
      </c>
      <c r="CE63" s="100">
        <v>9149.3022181957786</v>
      </c>
      <c r="CF63" s="100">
        <v>10</v>
      </c>
      <c r="CG63" s="100">
        <v>7956</v>
      </c>
      <c r="CH63" s="100">
        <v>17</v>
      </c>
      <c r="CI63" s="100">
        <v>13525.2</v>
      </c>
      <c r="CJ63" s="100">
        <v>8.1706825009170441</v>
      </c>
      <c r="CK63" s="100">
        <v>6500.5949977296004</v>
      </c>
      <c r="CL63" s="100">
        <v>12.707463500030956</v>
      </c>
      <c r="CM63" s="100">
        <v>10110.057960624628</v>
      </c>
      <c r="CN63" s="100">
        <v>8.9922042773847508</v>
      </c>
      <c r="CO63" s="100">
        <v>7154.1977230873081</v>
      </c>
      <c r="CP63" s="100">
        <v>10.080188694942976</v>
      </c>
      <c r="CQ63" s="100">
        <v>8019.7981256966314</v>
      </c>
      <c r="CR63" s="100">
        <v>9.7817059501688597</v>
      </c>
      <c r="CS63" s="100">
        <v>7782.3252539543446</v>
      </c>
      <c r="CT63" s="100">
        <v>9.4229636781577764</v>
      </c>
      <c r="CU63" s="100">
        <v>7496.9099023423269</v>
      </c>
    </row>
    <row r="64" spans="2:99">
      <c r="C64" s="99" t="s">
        <v>230</v>
      </c>
      <c r="D64" s="100">
        <v>9</v>
      </c>
      <c r="E64" s="100">
        <v>9082.7999999999993</v>
      </c>
      <c r="F64" s="100">
        <v>11.683756646603717</v>
      </c>
      <c r="G64" s="100">
        <v>11791.247207752469</v>
      </c>
      <c r="H64" s="100">
        <v>11.996623324311173</v>
      </c>
      <c r="I64" s="100">
        <v>12106.992258894834</v>
      </c>
      <c r="J64" s="100">
        <v>12</v>
      </c>
      <c r="K64" s="100">
        <v>12110.399999999998</v>
      </c>
      <c r="L64" s="100">
        <v>9</v>
      </c>
      <c r="M64" s="100">
        <v>9082.7999999999993</v>
      </c>
      <c r="N64" s="100">
        <v>10</v>
      </c>
      <c r="O64" s="100">
        <v>10091.999999999998</v>
      </c>
      <c r="P64" s="100">
        <v>11</v>
      </c>
      <c r="Q64" s="100">
        <v>11101.199999999997</v>
      </c>
      <c r="R64" s="100">
        <v>13</v>
      </c>
      <c r="S64" s="100">
        <v>13119.599999999999</v>
      </c>
      <c r="T64" s="100">
        <v>14</v>
      </c>
      <c r="U64" s="100">
        <v>14128.799999999997</v>
      </c>
      <c r="V64" s="100">
        <v>15.295403727523395</v>
      </c>
      <c r="W64" s="100">
        <v>15436.121441816607</v>
      </c>
      <c r="X64" s="100">
        <v>9.595001189294269</v>
      </c>
      <c r="Y64" s="100">
        <v>9683.2752002357738</v>
      </c>
      <c r="Z64" s="100">
        <v>11.518781004333343</v>
      </c>
      <c r="AA64" s="100">
        <v>11624.753789573208</v>
      </c>
      <c r="AB64" s="100">
        <v>13.762209710578299</v>
      </c>
      <c r="AC64" s="100">
        <v>13888.822039915616</v>
      </c>
      <c r="AD64" s="100">
        <v>12</v>
      </c>
      <c r="AE64" s="100">
        <v>12110.399999999998</v>
      </c>
      <c r="AF64" s="100">
        <v>11.947865224765785</v>
      </c>
      <c r="AG64" s="100">
        <v>12057.785584833628</v>
      </c>
      <c r="AH64" s="100">
        <v>8.6154816938148979</v>
      </c>
      <c r="AI64" s="100">
        <v>8694.7441253979941</v>
      </c>
      <c r="AJ64" s="100">
        <v>9.2688603760618822</v>
      </c>
      <c r="AK64" s="100">
        <v>9354.1338915216493</v>
      </c>
      <c r="AL64" s="100">
        <v>13.424875306515476</v>
      </c>
      <c r="AM64" s="100">
        <v>13548.384159335415</v>
      </c>
      <c r="AN64" s="100">
        <v>13.49712701952382</v>
      </c>
      <c r="AO64" s="100">
        <v>13621.300588103437</v>
      </c>
      <c r="AP64" s="100">
        <v>14.051988858895957</v>
      </c>
      <c r="AQ64" s="100">
        <v>14181.267156397796</v>
      </c>
      <c r="AR64" s="100">
        <v>9</v>
      </c>
      <c r="AS64" s="100">
        <v>9082.7999999999993</v>
      </c>
      <c r="AT64" s="100">
        <v>9.3010291881859466</v>
      </c>
      <c r="AU64" s="100">
        <v>9386.5986567172549</v>
      </c>
      <c r="AV64" s="100">
        <v>11.86713123631923</v>
      </c>
      <c r="AW64" s="100">
        <v>11976.308843693365</v>
      </c>
      <c r="AX64" s="100">
        <v>15.776191619443415</v>
      </c>
      <c r="AY64" s="100">
        <v>15921.332582342291</v>
      </c>
      <c r="AZ64" s="100">
        <v>8.5377246388165684</v>
      </c>
      <c r="BA64" s="100">
        <v>8616.2717054936784</v>
      </c>
      <c r="BB64" s="100">
        <v>12.189254207306359</v>
      </c>
      <c r="BC64" s="100">
        <v>12301.395346013574</v>
      </c>
      <c r="BD64" s="100">
        <v>11</v>
      </c>
      <c r="BE64" s="100">
        <v>11101.199999999997</v>
      </c>
      <c r="BF64" s="100">
        <v>13.948782264585185</v>
      </c>
      <c r="BG64" s="100">
        <v>14077.111061419366</v>
      </c>
      <c r="BH64" s="100">
        <v>10.626002695657128</v>
      </c>
      <c r="BI64" s="100">
        <v>10723.761920457171</v>
      </c>
      <c r="BJ64" s="100">
        <v>13</v>
      </c>
      <c r="BK64" s="100">
        <v>13119.599999999999</v>
      </c>
      <c r="BL64" s="100">
        <v>10</v>
      </c>
      <c r="BM64" s="100">
        <v>10091.999999999998</v>
      </c>
      <c r="BN64" s="100">
        <v>15.510077805467047</v>
      </c>
      <c r="BO64" s="100">
        <v>15652.77052127734</v>
      </c>
      <c r="BP64" s="100">
        <v>10.992883319702678</v>
      </c>
      <c r="BQ64" s="100">
        <v>11094.01784624394</v>
      </c>
      <c r="BR64" s="100">
        <v>10.19574641366807</v>
      </c>
      <c r="BS64" s="100">
        <v>10289.547280673814</v>
      </c>
      <c r="BT64" s="100">
        <v>15</v>
      </c>
      <c r="BU64" s="100">
        <v>15137.999999999996</v>
      </c>
      <c r="BV64" s="100">
        <v>9.809075307304937</v>
      </c>
      <c r="BW64" s="100">
        <v>9899.3188001321414</v>
      </c>
      <c r="BX64" s="100">
        <v>9</v>
      </c>
      <c r="BY64" s="100">
        <v>9082.7999999999993</v>
      </c>
      <c r="BZ64" s="100">
        <v>13.35409167258574</v>
      </c>
      <c r="CA64" s="100">
        <v>13476.949315973527</v>
      </c>
      <c r="CB64" s="100">
        <v>16.468671919789951</v>
      </c>
      <c r="CC64" s="100">
        <v>16620.183701452017</v>
      </c>
      <c r="CD64" s="100">
        <v>10.733218623658532</v>
      </c>
      <c r="CE64" s="100">
        <v>10831.964234996189</v>
      </c>
      <c r="CF64" s="100">
        <v>8</v>
      </c>
      <c r="CG64" s="100">
        <v>8073.5999999999985</v>
      </c>
      <c r="CH64" s="100">
        <v>14</v>
      </c>
      <c r="CI64" s="100">
        <v>14128.799999999997</v>
      </c>
      <c r="CJ64" s="100">
        <v>7.4278931826518582</v>
      </c>
      <c r="CK64" s="100">
        <v>7496.2297999322536</v>
      </c>
      <c r="CL64" s="100">
        <v>13.615139464318879</v>
      </c>
      <c r="CM64" s="100">
        <v>13740.398747390611</v>
      </c>
      <c r="CN64" s="100">
        <v>8.9922042773847508</v>
      </c>
      <c r="CO64" s="100">
        <v>9074.9325567366886</v>
      </c>
      <c r="CP64" s="100">
        <v>9.1638079044936127</v>
      </c>
      <c r="CQ64" s="100">
        <v>9248.1149372149521</v>
      </c>
      <c r="CR64" s="100">
        <v>9.7817059501688597</v>
      </c>
      <c r="CS64" s="100">
        <v>9871.6976449104113</v>
      </c>
      <c r="CT64" s="100">
        <v>8.5663306165070701</v>
      </c>
      <c r="CU64" s="100">
        <v>8645.1408581789328</v>
      </c>
    </row>
    <row r="65" spans="2:99">
      <c r="C65" s="99" t="s">
        <v>231</v>
      </c>
      <c r="D65" s="100">
        <v>8</v>
      </c>
      <c r="E65" s="100">
        <v>8208</v>
      </c>
      <c r="F65" s="100">
        <v>12.657403033820694</v>
      </c>
      <c r="G65" s="100">
        <v>12986.495512700032</v>
      </c>
      <c r="H65" s="100">
        <v>11.996623324311173</v>
      </c>
      <c r="I65" s="100">
        <v>12308.535530743264</v>
      </c>
      <c r="J65" s="100">
        <v>12</v>
      </c>
      <c r="K65" s="100">
        <v>12312</v>
      </c>
      <c r="L65" s="100">
        <v>8</v>
      </c>
      <c r="M65" s="100">
        <v>8208</v>
      </c>
      <c r="N65" s="100">
        <v>11</v>
      </c>
      <c r="O65" s="100">
        <v>11286</v>
      </c>
      <c r="P65" s="100">
        <v>11</v>
      </c>
      <c r="Q65" s="100">
        <v>11286</v>
      </c>
      <c r="R65" s="100">
        <v>12</v>
      </c>
      <c r="S65" s="100">
        <v>12312</v>
      </c>
      <c r="T65" s="100">
        <v>15</v>
      </c>
      <c r="U65" s="100">
        <v>15390</v>
      </c>
      <c r="V65" s="100">
        <v>16.251366460493607</v>
      </c>
      <c r="W65" s="100">
        <v>16673.901988466441</v>
      </c>
      <c r="X65" s="100">
        <v>8.7227283539038805</v>
      </c>
      <c r="Y65" s="100">
        <v>8949.5192911053819</v>
      </c>
      <c r="Z65" s="100">
        <v>13.4385778383889</v>
      </c>
      <c r="AA65" s="100">
        <v>13787.980862187011</v>
      </c>
      <c r="AB65" s="100">
        <v>15.482485924400585</v>
      </c>
      <c r="AC65" s="100">
        <v>15885.030558435001</v>
      </c>
      <c r="AD65" s="100">
        <v>13</v>
      </c>
      <c r="AE65" s="100">
        <v>13338</v>
      </c>
      <c r="AF65" s="100">
        <v>11.947865224765785</v>
      </c>
      <c r="AG65" s="100">
        <v>12258.509720609694</v>
      </c>
      <c r="AH65" s="100">
        <v>8.6154816938148979</v>
      </c>
      <c r="AI65" s="100">
        <v>8839.4842178540857</v>
      </c>
      <c r="AJ65" s="100">
        <v>9.2688603760618822</v>
      </c>
      <c r="AK65" s="100">
        <v>9509.8507458394906</v>
      </c>
      <c r="AL65" s="100">
        <v>11.845478211631301</v>
      </c>
      <c r="AM65" s="100">
        <v>12153.460645133715</v>
      </c>
      <c r="AN65" s="100">
        <v>12.653556580803583</v>
      </c>
      <c r="AO65" s="100">
        <v>12982.549051904476</v>
      </c>
      <c r="AP65" s="100">
        <v>14.051988858895957</v>
      </c>
      <c r="AQ65" s="100">
        <v>14417.340569227252</v>
      </c>
      <c r="AR65" s="100">
        <v>9</v>
      </c>
      <c r="AS65" s="100">
        <v>9234</v>
      </c>
      <c r="AT65" s="100">
        <v>9.3010291881859466</v>
      </c>
      <c r="AU65" s="100">
        <v>9542.8559470787804</v>
      </c>
      <c r="AV65" s="100">
        <v>13.56243569865055</v>
      </c>
      <c r="AW65" s="100">
        <v>13915.059026815465</v>
      </c>
      <c r="AX65" s="100">
        <v>15.776191619443415</v>
      </c>
      <c r="AY65" s="100">
        <v>16186.372601548943</v>
      </c>
      <c r="AZ65" s="100">
        <v>8.5377246388165684</v>
      </c>
      <c r="BA65" s="100">
        <v>8759.7054794257983</v>
      </c>
      <c r="BB65" s="100">
        <v>12.189254207306359</v>
      </c>
      <c r="BC65" s="100">
        <v>12506.174816696324</v>
      </c>
      <c r="BD65" s="100">
        <v>11</v>
      </c>
      <c r="BE65" s="100">
        <v>11286</v>
      </c>
      <c r="BF65" s="100">
        <v>11.159025811668148</v>
      </c>
      <c r="BG65" s="100">
        <v>11449.16048277152</v>
      </c>
      <c r="BH65" s="100">
        <v>12.397003144933317</v>
      </c>
      <c r="BI65" s="100">
        <v>12719.325226701583</v>
      </c>
      <c r="BJ65" s="100">
        <v>14</v>
      </c>
      <c r="BK65" s="100">
        <v>14364</v>
      </c>
      <c r="BL65" s="100">
        <v>10</v>
      </c>
      <c r="BM65" s="100">
        <v>10260</v>
      </c>
      <c r="BN65" s="100">
        <v>13.571318079783664</v>
      </c>
      <c r="BO65" s="100">
        <v>13924.17234985804</v>
      </c>
      <c r="BP65" s="100">
        <v>12.684096138118473</v>
      </c>
      <c r="BQ65" s="100">
        <v>13013.882637709554</v>
      </c>
      <c r="BR65" s="100">
        <v>12.049518488880448</v>
      </c>
      <c r="BS65" s="100">
        <v>12362.80596959134</v>
      </c>
      <c r="BT65" s="100">
        <v>14</v>
      </c>
      <c r="BU65" s="100">
        <v>14364</v>
      </c>
      <c r="BV65" s="100">
        <v>9.809075307304937</v>
      </c>
      <c r="BW65" s="100">
        <v>10064.111265294865</v>
      </c>
      <c r="BX65" s="100">
        <v>10</v>
      </c>
      <c r="BY65" s="100">
        <v>10260</v>
      </c>
      <c r="BZ65" s="100">
        <v>14.188722402122348</v>
      </c>
      <c r="CA65" s="100">
        <v>14557.629184577529</v>
      </c>
      <c r="CB65" s="100">
        <v>14.531181105697017</v>
      </c>
      <c r="CC65" s="100">
        <v>14908.99181444514</v>
      </c>
      <c r="CD65" s="100">
        <v>11.499877096776997</v>
      </c>
      <c r="CE65" s="100">
        <v>11798.873901293198</v>
      </c>
      <c r="CF65" s="100">
        <v>9</v>
      </c>
      <c r="CG65" s="100">
        <v>9234</v>
      </c>
      <c r="CH65" s="100">
        <v>14</v>
      </c>
      <c r="CI65" s="100">
        <v>14364</v>
      </c>
      <c r="CJ65" s="100">
        <v>7.4278931826518582</v>
      </c>
      <c r="CK65" s="100">
        <v>7621.0184054008068</v>
      </c>
      <c r="CL65" s="100">
        <v>11.799787535743031</v>
      </c>
      <c r="CM65" s="100">
        <v>12106.58201167235</v>
      </c>
      <c r="CN65" s="100">
        <v>9.9913380859830561</v>
      </c>
      <c r="CO65" s="100">
        <v>10251.112876218616</v>
      </c>
      <c r="CP65" s="100">
        <v>8.2474271140442532</v>
      </c>
      <c r="CQ65" s="100">
        <v>8461.8602190094043</v>
      </c>
      <c r="CR65" s="100">
        <v>11.560197941108653</v>
      </c>
      <c r="CS65" s="100">
        <v>11860.763087577478</v>
      </c>
      <c r="CT65" s="100">
        <v>10.279596739808484</v>
      </c>
      <c r="CU65" s="100">
        <v>10546.866255043506</v>
      </c>
    </row>
    <row r="66" spans="2:99">
      <c r="C66" s="99" t="s">
        <v>232</v>
      </c>
      <c r="D66" s="100">
        <v>9</v>
      </c>
      <c r="E66" s="100">
        <v>10713.599999999999</v>
      </c>
      <c r="F66" s="100">
        <v>12.657403033820694</v>
      </c>
      <c r="G66" s="100">
        <v>15067.372571460153</v>
      </c>
      <c r="H66" s="100">
        <v>11.996623324311173</v>
      </c>
      <c r="I66" s="100">
        <v>14280.780405260019</v>
      </c>
      <c r="J66" s="100">
        <v>13</v>
      </c>
      <c r="K66" s="100">
        <v>15475.199999999999</v>
      </c>
      <c r="L66" s="100">
        <v>8</v>
      </c>
      <c r="M66" s="100">
        <v>9523.1999999999989</v>
      </c>
      <c r="N66" s="100">
        <v>10</v>
      </c>
      <c r="O66" s="100">
        <v>11903.999999999998</v>
      </c>
      <c r="P66" s="100">
        <v>10</v>
      </c>
      <c r="Q66" s="100">
        <v>11903.999999999998</v>
      </c>
      <c r="R66" s="100">
        <v>12</v>
      </c>
      <c r="S66" s="100">
        <v>14284.8</v>
      </c>
      <c r="T66" s="100">
        <v>14</v>
      </c>
      <c r="U66" s="100">
        <v>16665.599999999999</v>
      </c>
      <c r="V66" s="100">
        <v>14.339440994553183</v>
      </c>
      <c r="W66" s="100">
        <v>17069.670559916107</v>
      </c>
      <c r="X66" s="100">
        <v>8.7227283539038805</v>
      </c>
      <c r="Y66" s="100">
        <v>10383.535832487178</v>
      </c>
      <c r="Z66" s="100">
        <v>11.518781004333343</v>
      </c>
      <c r="AA66" s="100">
        <v>13711.95690755841</v>
      </c>
      <c r="AB66" s="100">
        <v>14.622347817489443</v>
      </c>
      <c r="AC66" s="100">
        <v>17406.442841939432</v>
      </c>
      <c r="AD66" s="100">
        <v>13</v>
      </c>
      <c r="AE66" s="100">
        <v>15475.199999999999</v>
      </c>
      <c r="AF66" s="100">
        <v>11.947865224765785</v>
      </c>
      <c r="AG66" s="100">
        <v>14222.738763561189</v>
      </c>
      <c r="AH66" s="100">
        <v>8.6154816938148979</v>
      </c>
      <c r="AI66" s="100">
        <v>10255.869408317254</v>
      </c>
      <c r="AJ66" s="100">
        <v>10.19574641366807</v>
      </c>
      <c r="AK66" s="100">
        <v>12137.016530830469</v>
      </c>
      <c r="AL66" s="100">
        <v>12.63517675907339</v>
      </c>
      <c r="AM66" s="100">
        <v>15040.914414000963</v>
      </c>
      <c r="AN66" s="100">
        <v>11.809986142083343</v>
      </c>
      <c r="AO66" s="100">
        <v>14058.60750353601</v>
      </c>
      <c r="AP66" s="100">
        <v>14.988788116155686</v>
      </c>
      <c r="AQ66" s="100">
        <v>17842.653373471727</v>
      </c>
      <c r="AR66" s="100">
        <v>9</v>
      </c>
      <c r="AS66" s="100">
        <v>10713.599999999999</v>
      </c>
      <c r="AT66" s="100">
        <v>10.231132107004541</v>
      </c>
      <c r="AU66" s="100">
        <v>12179.139660178203</v>
      </c>
      <c r="AV66" s="100">
        <v>13.56243569865055</v>
      </c>
      <c r="AW66" s="100">
        <v>16144.723455673613</v>
      </c>
      <c r="AX66" s="100">
        <v>15.776191619443415</v>
      </c>
      <c r="AY66" s="100">
        <v>18779.978503785438</v>
      </c>
      <c r="AZ66" s="100">
        <v>7.5890885678369502</v>
      </c>
      <c r="BA66" s="100">
        <v>9034.0510311531052</v>
      </c>
      <c r="BB66" s="100">
        <v>10.313984329259227</v>
      </c>
      <c r="BC66" s="100">
        <v>12277.766945550184</v>
      </c>
      <c r="BD66" s="100">
        <v>12</v>
      </c>
      <c r="BE66" s="100">
        <v>14284.8</v>
      </c>
      <c r="BF66" s="100">
        <v>13.018863446946174</v>
      </c>
      <c r="BG66" s="100">
        <v>15497.655047244723</v>
      </c>
      <c r="BH66" s="100">
        <v>11.511502920295221</v>
      </c>
      <c r="BI66" s="100">
        <v>13703.293076319431</v>
      </c>
      <c r="BJ66" s="100">
        <v>14</v>
      </c>
      <c r="BK66" s="100">
        <v>16665.599999999999</v>
      </c>
      <c r="BL66" s="100">
        <v>9</v>
      </c>
      <c r="BM66" s="100">
        <v>10713.599999999999</v>
      </c>
      <c r="BN66" s="100">
        <v>12.601938216941974</v>
      </c>
      <c r="BO66" s="100">
        <v>15001.347253447724</v>
      </c>
      <c r="BP66" s="100">
        <v>11.838489728910575</v>
      </c>
      <c r="BQ66" s="100">
        <v>14092.538173295148</v>
      </c>
      <c r="BR66" s="100">
        <v>10.19574641366807</v>
      </c>
      <c r="BS66" s="100">
        <v>12137.016530830469</v>
      </c>
      <c r="BT66" s="100">
        <v>15</v>
      </c>
      <c r="BU66" s="100">
        <v>17855.999999999996</v>
      </c>
      <c r="BV66" s="100">
        <v>10.700809426150842</v>
      </c>
      <c r="BW66" s="100">
        <v>12738.243540889962</v>
      </c>
      <c r="BX66" s="100">
        <v>9</v>
      </c>
      <c r="BY66" s="100">
        <v>10713.599999999999</v>
      </c>
      <c r="BZ66" s="100">
        <v>13.35409167258574</v>
      </c>
      <c r="CA66" s="100">
        <v>15896.710727046064</v>
      </c>
      <c r="CB66" s="100">
        <v>15.499926512743484</v>
      </c>
      <c r="CC66" s="100">
        <v>18451.112520769842</v>
      </c>
      <c r="CD66" s="100">
        <v>9.1999016774215967</v>
      </c>
      <c r="CE66" s="100">
        <v>10951.562956802667</v>
      </c>
      <c r="CF66" s="100">
        <v>9</v>
      </c>
      <c r="CG66" s="100">
        <v>10713.599999999999</v>
      </c>
      <c r="CH66" s="100">
        <v>16</v>
      </c>
      <c r="CI66" s="100">
        <v>19046.399999999998</v>
      </c>
      <c r="CJ66" s="100">
        <v>8.1706825009170441</v>
      </c>
      <c r="CK66" s="100">
        <v>9726.3804490916482</v>
      </c>
      <c r="CL66" s="100">
        <v>11.799787535743031</v>
      </c>
      <c r="CM66" s="100">
        <v>14046.467082548503</v>
      </c>
      <c r="CN66" s="100">
        <v>8.9922042773847508</v>
      </c>
      <c r="CO66" s="100">
        <v>10704.319971798806</v>
      </c>
      <c r="CP66" s="100">
        <v>8.2474271140442532</v>
      </c>
      <c r="CQ66" s="100">
        <v>9817.7372365582778</v>
      </c>
      <c r="CR66" s="100">
        <v>11.560197941108653</v>
      </c>
      <c r="CS66" s="100">
        <v>13761.259629095739</v>
      </c>
      <c r="CT66" s="100">
        <v>9.4229636781577764</v>
      </c>
      <c r="CU66" s="100">
        <v>11217.095962479016</v>
      </c>
    </row>
    <row r="67" spans="2:99">
      <c r="C67" s="99" t="s">
        <v>233</v>
      </c>
      <c r="D67" s="100">
        <v>8</v>
      </c>
      <c r="E67" s="100">
        <v>8985.6</v>
      </c>
      <c r="F67" s="100">
        <v>10.71011025938674</v>
      </c>
      <c r="G67" s="100">
        <v>12029.595843343186</v>
      </c>
      <c r="H67" s="100">
        <v>13.842257681897509</v>
      </c>
      <c r="I67" s="100">
        <v>15547.623828307283</v>
      </c>
      <c r="J67" s="100">
        <v>12</v>
      </c>
      <c r="K67" s="100">
        <v>13478.400000000001</v>
      </c>
      <c r="L67" s="100">
        <v>8</v>
      </c>
      <c r="M67" s="100">
        <v>8985.6</v>
      </c>
      <c r="N67" s="100">
        <v>9</v>
      </c>
      <c r="O67" s="100">
        <v>10108.800000000001</v>
      </c>
      <c r="P67" s="100">
        <v>10</v>
      </c>
      <c r="Q67" s="100">
        <v>11232</v>
      </c>
      <c r="R67" s="100">
        <v>12</v>
      </c>
      <c r="S67" s="100">
        <v>13478.400000000001</v>
      </c>
      <c r="T67" s="100">
        <v>13</v>
      </c>
      <c r="U67" s="100">
        <v>14601.6</v>
      </c>
      <c r="V67" s="100">
        <v>15.295403727523395</v>
      </c>
      <c r="W67" s="100">
        <v>17179.797466754277</v>
      </c>
      <c r="X67" s="100">
        <v>7.8504555185134928</v>
      </c>
      <c r="Y67" s="100">
        <v>8817.6316383943558</v>
      </c>
      <c r="Z67" s="100">
        <v>12.478679421361122</v>
      </c>
      <c r="AA67" s="100">
        <v>14016.052726072812</v>
      </c>
      <c r="AB67" s="100">
        <v>12.902071603667153</v>
      </c>
      <c r="AC67" s="100">
        <v>14491.606825238947</v>
      </c>
      <c r="AD67" s="100">
        <v>12</v>
      </c>
      <c r="AE67" s="100">
        <v>13478.400000000001</v>
      </c>
      <c r="AF67" s="100">
        <v>11.947865224765785</v>
      </c>
      <c r="AG67" s="100">
        <v>13419.842220456931</v>
      </c>
      <c r="AH67" s="100">
        <v>8.6154816938148979</v>
      </c>
      <c r="AI67" s="100">
        <v>9676.9090384928932</v>
      </c>
      <c r="AJ67" s="100">
        <v>10.19574641366807</v>
      </c>
      <c r="AK67" s="100">
        <v>11451.862371831978</v>
      </c>
      <c r="AL67" s="100">
        <v>12.63517675907339</v>
      </c>
      <c r="AM67" s="100">
        <v>14191.830535791232</v>
      </c>
      <c r="AN67" s="100">
        <v>10.966415703363104</v>
      </c>
      <c r="AO67" s="100">
        <v>12317.47811801744</v>
      </c>
      <c r="AP67" s="100">
        <v>13.115189601636226</v>
      </c>
      <c r="AQ67" s="100">
        <v>14730.98096055781</v>
      </c>
      <c r="AR67" s="100">
        <v>9</v>
      </c>
      <c r="AS67" s="100">
        <v>10108.800000000001</v>
      </c>
      <c r="AT67" s="100">
        <v>8.3709262693673523</v>
      </c>
      <c r="AU67" s="100">
        <v>9402.2243857534104</v>
      </c>
      <c r="AV67" s="100">
        <v>13.56243569865055</v>
      </c>
      <c r="AW67" s="100">
        <v>15233.327776724298</v>
      </c>
      <c r="AX67" s="100">
        <v>15.776191619443415</v>
      </c>
      <c r="AY67" s="100">
        <v>17719.818426958846</v>
      </c>
      <c r="AZ67" s="100">
        <v>8.5377246388165684</v>
      </c>
      <c r="BA67" s="100">
        <v>9589.5723143187697</v>
      </c>
      <c r="BB67" s="100">
        <v>13.126889146329924</v>
      </c>
      <c r="BC67" s="100">
        <v>14744.121889157772</v>
      </c>
      <c r="BD67" s="100">
        <v>11</v>
      </c>
      <c r="BE67" s="100">
        <v>12355.2</v>
      </c>
      <c r="BF67" s="100">
        <v>13.018863446946174</v>
      </c>
      <c r="BG67" s="100">
        <v>14622.787423609943</v>
      </c>
      <c r="BH67" s="100">
        <v>9.7405024710190329</v>
      </c>
      <c r="BI67" s="100">
        <v>10940.532375448578</v>
      </c>
      <c r="BJ67" s="100">
        <v>13</v>
      </c>
      <c r="BK67" s="100">
        <v>14601.6</v>
      </c>
      <c r="BL67" s="100">
        <v>9</v>
      </c>
      <c r="BM67" s="100">
        <v>10108.800000000001</v>
      </c>
      <c r="BN67" s="100">
        <v>12.601938216941974</v>
      </c>
      <c r="BO67" s="100">
        <v>14154.497005269226</v>
      </c>
      <c r="BP67" s="100">
        <v>11.838489728910575</v>
      </c>
      <c r="BQ67" s="100">
        <v>13296.991663512359</v>
      </c>
      <c r="BR67" s="100">
        <v>12.049518488880448</v>
      </c>
      <c r="BS67" s="100">
        <v>13534.019166710519</v>
      </c>
      <c r="BT67" s="100">
        <v>14</v>
      </c>
      <c r="BU67" s="100">
        <v>15724.800000000001</v>
      </c>
      <c r="BV67" s="100">
        <v>10.700809426150842</v>
      </c>
      <c r="BW67" s="100">
        <v>12019.149147452626</v>
      </c>
      <c r="BX67" s="100">
        <v>10</v>
      </c>
      <c r="BY67" s="100">
        <v>11232</v>
      </c>
      <c r="BZ67" s="100">
        <v>12.519460943049131</v>
      </c>
      <c r="CA67" s="100">
        <v>14061.858531232785</v>
      </c>
      <c r="CB67" s="100">
        <v>16.468671919789951</v>
      </c>
      <c r="CC67" s="100">
        <v>18497.612300308076</v>
      </c>
      <c r="CD67" s="100">
        <v>11.499877096776997</v>
      </c>
      <c r="CE67" s="100">
        <v>12916.661955099924</v>
      </c>
      <c r="CF67" s="100">
        <v>10</v>
      </c>
      <c r="CG67" s="100">
        <v>11232</v>
      </c>
      <c r="CH67" s="100">
        <v>14</v>
      </c>
      <c r="CI67" s="100">
        <v>15724.800000000001</v>
      </c>
      <c r="CJ67" s="100">
        <v>7.4278931826518582</v>
      </c>
      <c r="CK67" s="100">
        <v>8343.0096227545673</v>
      </c>
      <c r="CL67" s="100">
        <v>12.707463500030956</v>
      </c>
      <c r="CM67" s="100">
        <v>14273.02300323477</v>
      </c>
      <c r="CN67" s="100">
        <v>8.9922042773847508</v>
      </c>
      <c r="CO67" s="100">
        <v>10100.043844358552</v>
      </c>
      <c r="CP67" s="100">
        <v>8.2474271140442532</v>
      </c>
      <c r="CQ67" s="100">
        <v>9263.5101344945051</v>
      </c>
      <c r="CR67" s="100">
        <v>10.670951945638755</v>
      </c>
      <c r="CS67" s="100">
        <v>11985.613225341451</v>
      </c>
      <c r="CT67" s="100">
        <v>9.4229636781577764</v>
      </c>
      <c r="CU67" s="100">
        <v>10583.872803306815</v>
      </c>
    </row>
    <row r="68" spans="2:99">
      <c r="C68" s="99" t="s">
        <v>234</v>
      </c>
      <c r="D68" s="100">
        <v>8</v>
      </c>
      <c r="E68" s="100">
        <v>8265.6</v>
      </c>
      <c r="F68" s="100">
        <v>11.683756646603717</v>
      </c>
      <c r="G68" s="100">
        <v>12071.65736727096</v>
      </c>
      <c r="H68" s="100">
        <v>12.919440503104342</v>
      </c>
      <c r="I68" s="100">
        <v>13348.365927807406</v>
      </c>
      <c r="J68" s="100">
        <v>13</v>
      </c>
      <c r="K68" s="100">
        <v>13431.6</v>
      </c>
      <c r="L68" s="100">
        <v>8</v>
      </c>
      <c r="M68" s="100">
        <v>8265.6</v>
      </c>
      <c r="N68" s="100">
        <v>10</v>
      </c>
      <c r="O68" s="100">
        <v>10332</v>
      </c>
      <c r="P68" s="100">
        <v>12</v>
      </c>
      <c r="Q68" s="100">
        <v>12398.400000000001</v>
      </c>
      <c r="R68" s="100">
        <v>13</v>
      </c>
      <c r="S68" s="100">
        <v>13431.6</v>
      </c>
      <c r="T68" s="100">
        <v>15</v>
      </c>
      <c r="U68" s="100">
        <v>15498</v>
      </c>
      <c r="V68" s="100">
        <v>15.295403727523395</v>
      </c>
      <c r="W68" s="100">
        <v>15803.211131277172</v>
      </c>
      <c r="X68" s="100">
        <v>8.7227283539038805</v>
      </c>
      <c r="Y68" s="100">
        <v>9012.322935253489</v>
      </c>
      <c r="Z68" s="100">
        <v>11.518781004333343</v>
      </c>
      <c r="AA68" s="100">
        <v>11901.20453367721</v>
      </c>
      <c r="AB68" s="100">
        <v>14.622347817489443</v>
      </c>
      <c r="AC68" s="100">
        <v>15107.809765030093</v>
      </c>
      <c r="AD68" s="100">
        <v>12</v>
      </c>
      <c r="AE68" s="100">
        <v>12398.400000000001</v>
      </c>
      <c r="AF68" s="100">
        <v>11.947865224765785</v>
      </c>
      <c r="AG68" s="100">
        <v>12344.53435022801</v>
      </c>
      <c r="AH68" s="100">
        <v>7.6582059500576873</v>
      </c>
      <c r="AI68" s="100">
        <v>7912.4583875996032</v>
      </c>
      <c r="AJ68" s="100">
        <v>10.19574641366807</v>
      </c>
      <c r="AK68" s="100">
        <v>10534.24519460185</v>
      </c>
      <c r="AL68" s="100">
        <v>11.845478211631301</v>
      </c>
      <c r="AM68" s="100">
        <v>12238.74808825746</v>
      </c>
      <c r="AN68" s="100">
        <v>11.809986142083343</v>
      </c>
      <c r="AO68" s="100">
        <v>12202.07768200051</v>
      </c>
      <c r="AP68" s="100">
        <v>14.051988858895957</v>
      </c>
      <c r="AQ68" s="100">
        <v>14518.514889011303</v>
      </c>
      <c r="AR68" s="100">
        <v>8</v>
      </c>
      <c r="AS68" s="100">
        <v>8265.6</v>
      </c>
      <c r="AT68" s="100">
        <v>10.231132107004541</v>
      </c>
      <c r="AU68" s="100">
        <v>10570.805692957092</v>
      </c>
      <c r="AV68" s="100">
        <v>12.714783467484889</v>
      </c>
      <c r="AW68" s="100">
        <v>13136.914278605387</v>
      </c>
      <c r="AX68" s="100">
        <v>14.790179643228202</v>
      </c>
      <c r="AY68" s="100">
        <v>15281.213607383379</v>
      </c>
      <c r="AZ68" s="100">
        <v>8.5377246388165684</v>
      </c>
      <c r="BA68" s="100">
        <v>8821.1770968252786</v>
      </c>
      <c r="BB68" s="100">
        <v>11.251619268282791</v>
      </c>
      <c r="BC68" s="100">
        <v>11625.17302798978</v>
      </c>
      <c r="BD68" s="100">
        <v>12</v>
      </c>
      <c r="BE68" s="100">
        <v>12398.400000000001</v>
      </c>
      <c r="BF68" s="100">
        <v>13.948782264585185</v>
      </c>
      <c r="BG68" s="100">
        <v>14411.881835769414</v>
      </c>
      <c r="BH68" s="100">
        <v>11.511502920295221</v>
      </c>
      <c r="BI68" s="100">
        <v>11893.684817249023</v>
      </c>
      <c r="BJ68" s="100">
        <v>12</v>
      </c>
      <c r="BK68" s="100">
        <v>12398.400000000001</v>
      </c>
      <c r="BL68" s="100">
        <v>10</v>
      </c>
      <c r="BM68" s="100">
        <v>10332</v>
      </c>
      <c r="BN68" s="100">
        <v>12.601938216941974</v>
      </c>
      <c r="BO68" s="100">
        <v>13020.322565744449</v>
      </c>
      <c r="BP68" s="100">
        <v>10.992883319702678</v>
      </c>
      <c r="BQ68" s="100">
        <v>11357.847045916807</v>
      </c>
      <c r="BR68" s="100">
        <v>12.049518488880448</v>
      </c>
      <c r="BS68" s="100">
        <v>12449.56250271128</v>
      </c>
      <c r="BT68" s="100">
        <v>16</v>
      </c>
      <c r="BU68" s="100">
        <v>16531.2</v>
      </c>
      <c r="BV68" s="100">
        <v>10.700809426150842</v>
      </c>
      <c r="BW68" s="100">
        <v>11056.076299099052</v>
      </c>
      <c r="BX68" s="100">
        <v>10</v>
      </c>
      <c r="BY68" s="100">
        <v>10332</v>
      </c>
      <c r="BZ68" s="100">
        <v>13.35409167258574</v>
      </c>
      <c r="CA68" s="100">
        <v>13797.447516115588</v>
      </c>
      <c r="CB68" s="100">
        <v>13.56243569865055</v>
      </c>
      <c r="CC68" s="100">
        <v>14012.708563845748</v>
      </c>
      <c r="CD68" s="100">
        <v>9.9665601505400652</v>
      </c>
      <c r="CE68" s="100">
        <v>10297.449947537996</v>
      </c>
      <c r="CF68" s="100">
        <v>10</v>
      </c>
      <c r="CG68" s="100">
        <v>10332</v>
      </c>
      <c r="CH68" s="100">
        <v>14</v>
      </c>
      <c r="CI68" s="100">
        <v>14464.800000000001</v>
      </c>
      <c r="CJ68" s="100">
        <v>8.1706825009170441</v>
      </c>
      <c r="CK68" s="100">
        <v>8441.9491599474895</v>
      </c>
      <c r="CL68" s="100">
        <v>12.707463500030956</v>
      </c>
      <c r="CM68" s="100">
        <v>13129.351288231985</v>
      </c>
      <c r="CN68" s="100">
        <v>9.9913380859830561</v>
      </c>
      <c r="CO68" s="100">
        <v>10323.050510437693</v>
      </c>
      <c r="CP68" s="100">
        <v>9.1638079044936127</v>
      </c>
      <c r="CQ68" s="100">
        <v>9468.0463269228003</v>
      </c>
      <c r="CR68" s="100">
        <v>11.560197941108653</v>
      </c>
      <c r="CS68" s="100">
        <v>11943.996512753462</v>
      </c>
      <c r="CT68" s="100">
        <v>8.5663306165070701</v>
      </c>
      <c r="CU68" s="100">
        <v>8850.7327929751045</v>
      </c>
    </row>
    <row r="69" spans="2:99">
      <c r="C69" s="99" t="s">
        <v>235</v>
      </c>
      <c r="D69" s="100">
        <v>9</v>
      </c>
      <c r="E69" s="100">
        <v>6825.5999999999995</v>
      </c>
      <c r="F69" s="100">
        <v>13.631049421037671</v>
      </c>
      <c r="G69" s="100">
        <v>10337.78788091497</v>
      </c>
      <c r="H69" s="100">
        <v>12.919440503104342</v>
      </c>
      <c r="I69" s="100">
        <v>9798.1036775543325</v>
      </c>
      <c r="J69" s="100">
        <v>12</v>
      </c>
      <c r="K69" s="100">
        <v>9100.7999999999993</v>
      </c>
      <c r="L69" s="100">
        <v>8</v>
      </c>
      <c r="M69" s="100">
        <v>6067.2</v>
      </c>
      <c r="N69" s="100">
        <v>10</v>
      </c>
      <c r="O69" s="100">
        <v>7584</v>
      </c>
      <c r="P69" s="100">
        <v>11</v>
      </c>
      <c r="Q69" s="100">
        <v>8342.4</v>
      </c>
      <c r="R69" s="100">
        <v>12</v>
      </c>
      <c r="S69" s="100">
        <v>9100.7999999999993</v>
      </c>
      <c r="T69" s="100">
        <v>13</v>
      </c>
      <c r="U69" s="100">
        <v>9859.1999999999989</v>
      </c>
      <c r="V69" s="100">
        <v>17.207329193463821</v>
      </c>
      <c r="W69" s="100">
        <v>13050.038460322961</v>
      </c>
      <c r="X69" s="100">
        <v>8.7227283539038805</v>
      </c>
      <c r="Y69" s="100">
        <v>6615.3171836007032</v>
      </c>
      <c r="Z69" s="100">
        <v>13.4385778383889</v>
      </c>
      <c r="AA69" s="100">
        <v>10191.817432634141</v>
      </c>
      <c r="AB69" s="100">
        <v>12.902071603667153</v>
      </c>
      <c r="AC69" s="100">
        <v>9784.9311042211684</v>
      </c>
      <c r="AD69" s="100">
        <v>12</v>
      </c>
      <c r="AE69" s="100">
        <v>9100.7999999999993</v>
      </c>
      <c r="AF69" s="100">
        <v>10.952209789368634</v>
      </c>
      <c r="AG69" s="100">
        <v>8306.1559042571716</v>
      </c>
      <c r="AH69" s="100">
        <v>9.5727574375721094</v>
      </c>
      <c r="AI69" s="100">
        <v>7259.9792406546876</v>
      </c>
      <c r="AJ69" s="100">
        <v>10.19574641366807</v>
      </c>
      <c r="AK69" s="100">
        <v>7732.4540801258645</v>
      </c>
      <c r="AL69" s="100">
        <v>12.63517675907339</v>
      </c>
      <c r="AM69" s="100">
        <v>9582.5180540812598</v>
      </c>
      <c r="AN69" s="100">
        <v>12.653556580803583</v>
      </c>
      <c r="AO69" s="100">
        <v>9596.4573108814366</v>
      </c>
      <c r="AP69" s="100">
        <v>14.051988858895957</v>
      </c>
      <c r="AQ69" s="100">
        <v>10657.028350586694</v>
      </c>
      <c r="AR69" s="100">
        <v>9</v>
      </c>
      <c r="AS69" s="100">
        <v>6825.5999999999995</v>
      </c>
      <c r="AT69" s="100">
        <v>10.231132107004541</v>
      </c>
      <c r="AU69" s="100">
        <v>7759.2905899522439</v>
      </c>
      <c r="AV69" s="100">
        <v>14.410087929816209</v>
      </c>
      <c r="AW69" s="100">
        <v>10928.610685972613</v>
      </c>
      <c r="AX69" s="100">
        <v>14.790179643228202</v>
      </c>
      <c r="AY69" s="100">
        <v>11216.872241424267</v>
      </c>
      <c r="AZ69" s="100">
        <v>7.5890885678369502</v>
      </c>
      <c r="BA69" s="100">
        <v>5755.5647698475432</v>
      </c>
      <c r="BB69" s="100">
        <v>12.189254207306359</v>
      </c>
      <c r="BC69" s="100">
        <v>9244.3303908211419</v>
      </c>
      <c r="BD69" s="100">
        <v>12</v>
      </c>
      <c r="BE69" s="100">
        <v>9100.7999999999993</v>
      </c>
      <c r="BF69" s="100">
        <v>13.018863446946174</v>
      </c>
      <c r="BG69" s="100">
        <v>9873.5060381639778</v>
      </c>
      <c r="BH69" s="100">
        <v>11.511502920295221</v>
      </c>
      <c r="BI69" s="100">
        <v>8730.323814751895</v>
      </c>
      <c r="BJ69" s="100">
        <v>14</v>
      </c>
      <c r="BK69" s="100">
        <v>10617.6</v>
      </c>
      <c r="BL69" s="100">
        <v>10</v>
      </c>
      <c r="BM69" s="100">
        <v>7584</v>
      </c>
      <c r="BN69" s="100">
        <v>15.510077805467047</v>
      </c>
      <c r="BO69" s="100">
        <v>11762.843007666208</v>
      </c>
      <c r="BP69" s="100">
        <v>10.992883319702678</v>
      </c>
      <c r="BQ69" s="100">
        <v>8337.0027096625108</v>
      </c>
      <c r="BR69" s="100">
        <v>11.122632451274258</v>
      </c>
      <c r="BS69" s="100">
        <v>8435.4044510463973</v>
      </c>
      <c r="BT69" s="100">
        <v>14</v>
      </c>
      <c r="BU69" s="100">
        <v>10617.6</v>
      </c>
      <c r="BV69" s="100">
        <v>9.809075307304937</v>
      </c>
      <c r="BW69" s="100">
        <v>7439.2027130600636</v>
      </c>
      <c r="BX69" s="100">
        <v>10</v>
      </c>
      <c r="BY69" s="100">
        <v>7584</v>
      </c>
      <c r="BZ69" s="100">
        <v>12.519460943049131</v>
      </c>
      <c r="CA69" s="100">
        <v>9494.7591792084604</v>
      </c>
      <c r="CB69" s="100">
        <v>15.499926512743484</v>
      </c>
      <c r="CC69" s="100">
        <v>11755.144267264657</v>
      </c>
      <c r="CD69" s="100">
        <v>11.499877096776997</v>
      </c>
      <c r="CE69" s="100">
        <v>8721.5067901956736</v>
      </c>
      <c r="CF69" s="100">
        <v>10</v>
      </c>
      <c r="CG69" s="100">
        <v>7584</v>
      </c>
      <c r="CH69" s="100">
        <v>15</v>
      </c>
      <c r="CI69" s="100">
        <v>11376</v>
      </c>
      <c r="CJ69" s="100">
        <v>8.9134718191822291</v>
      </c>
      <c r="CK69" s="100">
        <v>6759.9770276678028</v>
      </c>
      <c r="CL69" s="100">
        <v>11.799787535743031</v>
      </c>
      <c r="CM69" s="100">
        <v>8948.9588671075144</v>
      </c>
      <c r="CN69" s="100">
        <v>8.9922042773847508</v>
      </c>
      <c r="CO69" s="100">
        <v>6819.6877239685946</v>
      </c>
      <c r="CP69" s="100">
        <v>9.1638079044936127</v>
      </c>
      <c r="CQ69" s="100">
        <v>6949.8319147679558</v>
      </c>
      <c r="CR69" s="100">
        <v>9.7817059501688597</v>
      </c>
      <c r="CS69" s="100">
        <v>7418.4457926080631</v>
      </c>
      <c r="CT69" s="100">
        <v>10.279596739808484</v>
      </c>
      <c r="CU69" s="100">
        <v>7796.046167470754</v>
      </c>
    </row>
    <row r="70" spans="2:99">
      <c r="C70" s="99" t="s">
        <v>236</v>
      </c>
      <c r="D70" s="100">
        <v>9</v>
      </c>
      <c r="E70" s="100">
        <v>4816.7999999999993</v>
      </c>
      <c r="F70" s="100">
        <v>13.631049421037671</v>
      </c>
      <c r="G70" s="100">
        <v>7295.3376501393604</v>
      </c>
      <c r="H70" s="100">
        <v>12.919440503104342</v>
      </c>
      <c r="I70" s="100">
        <v>6914.4845572614431</v>
      </c>
      <c r="J70" s="100">
        <v>15</v>
      </c>
      <c r="K70" s="100">
        <v>8027.9999999999991</v>
      </c>
      <c r="L70" s="100">
        <v>9</v>
      </c>
      <c r="M70" s="100">
        <v>4816.7999999999993</v>
      </c>
      <c r="N70" s="100">
        <v>11</v>
      </c>
      <c r="O70" s="100">
        <v>5887.1999999999989</v>
      </c>
      <c r="P70" s="100">
        <v>13</v>
      </c>
      <c r="Q70" s="100">
        <v>6957.5999999999995</v>
      </c>
      <c r="R70" s="100">
        <v>12</v>
      </c>
      <c r="S70" s="100">
        <v>6422.4</v>
      </c>
      <c r="T70" s="100">
        <v>15</v>
      </c>
      <c r="U70" s="100">
        <v>8027.9999999999991</v>
      </c>
      <c r="V70" s="100">
        <v>16.251366460493607</v>
      </c>
      <c r="W70" s="100">
        <v>8697.731329656177</v>
      </c>
      <c r="X70" s="100">
        <v>8.7227283539038805</v>
      </c>
      <c r="Y70" s="100">
        <v>4668.4042150093564</v>
      </c>
      <c r="Z70" s="100">
        <v>13.4385778383889</v>
      </c>
      <c r="AA70" s="100">
        <v>7192.3268591057385</v>
      </c>
      <c r="AB70" s="100">
        <v>13.762209710578299</v>
      </c>
      <c r="AC70" s="100">
        <v>7365.5346371015048</v>
      </c>
      <c r="AD70" s="100">
        <v>13</v>
      </c>
      <c r="AE70" s="100">
        <v>6957.5999999999995</v>
      </c>
      <c r="AF70" s="100">
        <v>11.947865224765785</v>
      </c>
      <c r="AG70" s="100">
        <v>6394.4974682946477</v>
      </c>
      <c r="AH70" s="100">
        <v>8.6154816938148979</v>
      </c>
      <c r="AI70" s="100">
        <v>4611.005802529733</v>
      </c>
      <c r="AJ70" s="100">
        <v>9.2688603760618822</v>
      </c>
      <c r="AK70" s="100">
        <v>4960.6940732683188</v>
      </c>
      <c r="AL70" s="100">
        <v>14.214573853957562</v>
      </c>
      <c r="AM70" s="100">
        <v>7607.6399266380859</v>
      </c>
      <c r="AN70" s="100">
        <v>11.809986142083343</v>
      </c>
      <c r="AO70" s="100">
        <v>6320.704583243004</v>
      </c>
      <c r="AP70" s="100">
        <v>14.051988858895957</v>
      </c>
      <c r="AQ70" s="100">
        <v>7520.6244372811152</v>
      </c>
      <c r="AR70" s="100">
        <v>10</v>
      </c>
      <c r="AS70" s="100">
        <v>5351.9999999999991</v>
      </c>
      <c r="AT70" s="100">
        <v>9.3010291881859466</v>
      </c>
      <c r="AU70" s="100">
        <v>4977.9108215171182</v>
      </c>
      <c r="AV70" s="100">
        <v>13.56243569865055</v>
      </c>
      <c r="AW70" s="100">
        <v>7258.6155859177734</v>
      </c>
      <c r="AX70" s="100">
        <v>16.762203595658626</v>
      </c>
      <c r="AY70" s="100">
        <v>8971.131364396495</v>
      </c>
      <c r="AZ70" s="100">
        <v>8.5377246388165684</v>
      </c>
      <c r="BA70" s="100">
        <v>4569.390226694627</v>
      </c>
      <c r="BB70" s="100">
        <v>13.126889146329924</v>
      </c>
      <c r="BC70" s="100">
        <v>7025.5110711157749</v>
      </c>
      <c r="BD70" s="100">
        <v>12</v>
      </c>
      <c r="BE70" s="100">
        <v>6422.4</v>
      </c>
      <c r="BF70" s="100">
        <v>13.948782264585185</v>
      </c>
      <c r="BG70" s="100">
        <v>7465.3882680059905</v>
      </c>
      <c r="BH70" s="100">
        <v>11.511502920295221</v>
      </c>
      <c r="BI70" s="100">
        <v>6160.9563629420018</v>
      </c>
      <c r="BJ70" s="100">
        <v>15</v>
      </c>
      <c r="BK70" s="100">
        <v>8027.9999999999991</v>
      </c>
      <c r="BL70" s="100">
        <v>9</v>
      </c>
      <c r="BM70" s="100">
        <v>4816.7999999999993</v>
      </c>
      <c r="BN70" s="100">
        <v>15.510077805467047</v>
      </c>
      <c r="BO70" s="100">
        <v>8300.9936414859621</v>
      </c>
      <c r="BP70" s="100">
        <v>12.684096138118473</v>
      </c>
      <c r="BQ70" s="100">
        <v>6788.5282531210059</v>
      </c>
      <c r="BR70" s="100">
        <v>11.122632451274258</v>
      </c>
      <c r="BS70" s="100">
        <v>5952.8328879219825</v>
      </c>
      <c r="BT70" s="100">
        <v>16</v>
      </c>
      <c r="BU70" s="100">
        <v>8563.1999999999989</v>
      </c>
      <c r="BV70" s="100">
        <v>10.700809426150842</v>
      </c>
      <c r="BW70" s="100">
        <v>5727.0732048759301</v>
      </c>
      <c r="BX70" s="100">
        <v>11</v>
      </c>
      <c r="BY70" s="100">
        <v>5887.1999999999989</v>
      </c>
      <c r="BZ70" s="100">
        <v>14.188722402122348</v>
      </c>
      <c r="CA70" s="100">
        <v>7593.8042296158801</v>
      </c>
      <c r="CB70" s="100">
        <v>16.468671919789951</v>
      </c>
      <c r="CC70" s="100">
        <v>8814.0332114715802</v>
      </c>
      <c r="CD70" s="100">
        <v>11.499877096776997</v>
      </c>
      <c r="CE70" s="100">
        <v>6154.7342221950476</v>
      </c>
      <c r="CF70" s="100">
        <v>10</v>
      </c>
      <c r="CG70" s="100">
        <v>5351.9999999999991</v>
      </c>
      <c r="CH70" s="100">
        <v>15</v>
      </c>
      <c r="CI70" s="100">
        <v>8027.9999999999991</v>
      </c>
      <c r="CJ70" s="100">
        <v>8.9134718191822291</v>
      </c>
      <c r="CK70" s="100">
        <v>4770.4901176263284</v>
      </c>
      <c r="CL70" s="100">
        <v>13.615139464318879</v>
      </c>
      <c r="CM70" s="100">
        <v>7286.8226413034636</v>
      </c>
      <c r="CN70" s="100">
        <v>8.9922042773847508</v>
      </c>
      <c r="CO70" s="100">
        <v>4812.6277292563182</v>
      </c>
      <c r="CP70" s="100">
        <v>10.080188694942976</v>
      </c>
      <c r="CQ70" s="100">
        <v>5394.9169895334799</v>
      </c>
      <c r="CR70" s="100">
        <v>11.560197941108653</v>
      </c>
      <c r="CS70" s="100">
        <v>6187.0179380813506</v>
      </c>
      <c r="CT70" s="100">
        <v>9.4229636781577764</v>
      </c>
      <c r="CU70" s="100">
        <v>5043.1701605500411</v>
      </c>
    </row>
    <row r="71" spans="2:99">
      <c r="B71" s="99" t="s">
        <v>130</v>
      </c>
      <c r="C71" s="99" t="s">
        <v>237</v>
      </c>
      <c r="D71" s="100">
        <v>6</v>
      </c>
      <c r="E71" s="100">
        <v>3384</v>
      </c>
      <c r="F71" s="100">
        <v>8</v>
      </c>
      <c r="G71" s="100">
        <v>4512</v>
      </c>
      <c r="H71" s="100">
        <v>6</v>
      </c>
      <c r="I71" s="100">
        <v>3384</v>
      </c>
      <c r="J71" s="100">
        <v>8</v>
      </c>
      <c r="K71" s="100">
        <v>4512</v>
      </c>
      <c r="L71" s="100">
        <v>9</v>
      </c>
      <c r="M71" s="100">
        <v>5076</v>
      </c>
      <c r="N71" s="100">
        <v>5</v>
      </c>
      <c r="O71" s="100">
        <v>2820</v>
      </c>
      <c r="P71" s="100">
        <v>9</v>
      </c>
      <c r="Q71" s="100">
        <v>5076</v>
      </c>
      <c r="R71" s="100">
        <v>5</v>
      </c>
      <c r="S71" s="100">
        <v>2820</v>
      </c>
      <c r="T71" s="100">
        <v>8</v>
      </c>
      <c r="U71" s="100">
        <v>4512</v>
      </c>
      <c r="V71" s="100">
        <v>8</v>
      </c>
      <c r="W71" s="100">
        <v>4512</v>
      </c>
      <c r="X71" s="100">
        <v>6</v>
      </c>
      <c r="Y71" s="100">
        <v>3384</v>
      </c>
      <c r="Z71" s="100">
        <v>8</v>
      </c>
      <c r="AA71" s="100">
        <v>4512</v>
      </c>
      <c r="AB71" s="100">
        <v>9</v>
      </c>
      <c r="AC71" s="100">
        <v>5076</v>
      </c>
      <c r="AD71" s="100">
        <v>9</v>
      </c>
      <c r="AE71" s="100">
        <v>5076</v>
      </c>
      <c r="AF71" s="100">
        <v>6</v>
      </c>
      <c r="AG71" s="100">
        <v>3384</v>
      </c>
      <c r="AH71" s="100">
        <v>5</v>
      </c>
      <c r="AI71" s="100">
        <v>2820</v>
      </c>
      <c r="AJ71" s="100">
        <v>8</v>
      </c>
      <c r="AK71" s="100">
        <v>4512</v>
      </c>
      <c r="AL71" s="100">
        <v>8</v>
      </c>
      <c r="AM71" s="100">
        <v>4512</v>
      </c>
      <c r="AN71" s="100">
        <v>9</v>
      </c>
      <c r="AO71" s="100">
        <v>5076</v>
      </c>
      <c r="AP71" s="100">
        <v>9</v>
      </c>
      <c r="AQ71" s="100">
        <v>5076</v>
      </c>
      <c r="AR71" s="100">
        <v>5</v>
      </c>
      <c r="AS71" s="100">
        <v>2820</v>
      </c>
      <c r="AT71" s="100">
        <v>8</v>
      </c>
      <c r="AU71" s="100">
        <v>4512</v>
      </c>
      <c r="AV71" s="100">
        <v>8</v>
      </c>
      <c r="AW71" s="100">
        <v>4512</v>
      </c>
      <c r="AX71" s="100">
        <v>11</v>
      </c>
      <c r="AY71" s="100">
        <v>6204</v>
      </c>
      <c r="AZ71" s="100">
        <v>6</v>
      </c>
      <c r="BA71" s="100">
        <v>3384</v>
      </c>
      <c r="BB71" s="100">
        <v>6</v>
      </c>
      <c r="BC71" s="100">
        <v>3384</v>
      </c>
      <c r="BD71" s="100">
        <v>7</v>
      </c>
      <c r="BE71" s="100">
        <v>3948</v>
      </c>
      <c r="BF71" s="100">
        <v>6</v>
      </c>
      <c r="BG71" s="100">
        <v>3384</v>
      </c>
      <c r="BH71" s="100">
        <v>5</v>
      </c>
      <c r="BI71" s="100">
        <v>2820</v>
      </c>
      <c r="BJ71" s="100">
        <v>8</v>
      </c>
      <c r="BK71" s="100">
        <v>4512</v>
      </c>
      <c r="BL71" s="100">
        <v>9</v>
      </c>
      <c r="BM71" s="100">
        <v>5076</v>
      </c>
      <c r="BN71" s="100">
        <v>9</v>
      </c>
      <c r="BO71" s="100">
        <v>5076</v>
      </c>
      <c r="BP71" s="100">
        <v>8</v>
      </c>
      <c r="BQ71" s="100">
        <v>4512</v>
      </c>
      <c r="BR71" s="100">
        <v>7</v>
      </c>
      <c r="BS71" s="100">
        <v>3948</v>
      </c>
      <c r="BT71" s="100">
        <v>7</v>
      </c>
      <c r="BU71" s="100">
        <v>3948</v>
      </c>
      <c r="BV71" s="100">
        <v>7</v>
      </c>
      <c r="BW71" s="100">
        <v>3948</v>
      </c>
      <c r="BX71" s="100">
        <v>9</v>
      </c>
      <c r="BY71" s="100">
        <v>5076</v>
      </c>
      <c r="BZ71" s="100">
        <v>7</v>
      </c>
      <c r="CA71" s="100">
        <v>3948</v>
      </c>
      <c r="CB71" s="100">
        <v>11</v>
      </c>
      <c r="CC71" s="100">
        <v>6204</v>
      </c>
      <c r="CD71" s="100">
        <v>7</v>
      </c>
      <c r="CE71" s="100">
        <v>3948</v>
      </c>
      <c r="CF71" s="100">
        <v>6</v>
      </c>
      <c r="CG71" s="100">
        <v>3384</v>
      </c>
      <c r="CH71" s="100">
        <v>10</v>
      </c>
      <c r="CI71" s="100">
        <v>5640</v>
      </c>
      <c r="CJ71" s="100">
        <v>7</v>
      </c>
      <c r="CK71" s="100">
        <v>3948</v>
      </c>
      <c r="CL71" s="100">
        <v>8</v>
      </c>
      <c r="CM71" s="100">
        <v>4512</v>
      </c>
      <c r="CN71" s="100">
        <v>10</v>
      </c>
      <c r="CO71" s="100">
        <v>5640</v>
      </c>
      <c r="CP71" s="100">
        <v>6</v>
      </c>
      <c r="CQ71" s="100">
        <v>3384</v>
      </c>
      <c r="CR71" s="100">
        <v>7</v>
      </c>
      <c r="CS71" s="100">
        <v>3948</v>
      </c>
      <c r="CT71" s="100">
        <v>8</v>
      </c>
      <c r="CU71" s="100">
        <v>4512</v>
      </c>
    </row>
    <row r="72" spans="2:99">
      <c r="C72" s="99" t="s">
        <v>238</v>
      </c>
      <c r="D72" s="100">
        <v>6</v>
      </c>
      <c r="E72" s="100">
        <v>446.4</v>
      </c>
      <c r="F72" s="100">
        <v>8</v>
      </c>
      <c r="G72" s="100">
        <v>595.19999999999993</v>
      </c>
      <c r="H72" s="100">
        <v>6</v>
      </c>
      <c r="I72" s="100">
        <v>446.4</v>
      </c>
      <c r="J72" s="100">
        <v>9</v>
      </c>
      <c r="K72" s="100">
        <v>669.59999999999991</v>
      </c>
      <c r="L72" s="100">
        <v>9</v>
      </c>
      <c r="M72" s="100">
        <v>669.59999999999991</v>
      </c>
      <c r="N72" s="100">
        <v>5</v>
      </c>
      <c r="O72" s="100">
        <v>371.99999999999994</v>
      </c>
      <c r="P72" s="100">
        <v>11</v>
      </c>
      <c r="Q72" s="100">
        <v>818.39999999999986</v>
      </c>
      <c r="R72" s="100">
        <v>5</v>
      </c>
      <c r="S72" s="100">
        <v>371.99999999999994</v>
      </c>
      <c r="T72" s="100">
        <v>9</v>
      </c>
      <c r="U72" s="100">
        <v>669.59999999999991</v>
      </c>
      <c r="V72" s="100">
        <v>7</v>
      </c>
      <c r="W72" s="100">
        <v>520.79999999999995</v>
      </c>
      <c r="X72" s="100">
        <v>6</v>
      </c>
      <c r="Y72" s="100">
        <v>446.4</v>
      </c>
      <c r="Z72" s="100">
        <v>8</v>
      </c>
      <c r="AA72" s="100">
        <v>595.19999999999993</v>
      </c>
      <c r="AB72" s="100">
        <v>8</v>
      </c>
      <c r="AC72" s="100">
        <v>595.19999999999993</v>
      </c>
      <c r="AD72" s="100">
        <v>8</v>
      </c>
      <c r="AE72" s="100">
        <v>595.19999999999993</v>
      </c>
      <c r="AF72" s="100">
        <v>6</v>
      </c>
      <c r="AG72" s="100">
        <v>446.4</v>
      </c>
      <c r="AH72" s="100">
        <v>5</v>
      </c>
      <c r="AI72" s="100">
        <v>371.99999999999994</v>
      </c>
      <c r="AJ72" s="100">
        <v>9</v>
      </c>
      <c r="AK72" s="100">
        <v>669.59999999999991</v>
      </c>
      <c r="AL72" s="100">
        <v>7</v>
      </c>
      <c r="AM72" s="100">
        <v>520.79999999999995</v>
      </c>
      <c r="AN72" s="100">
        <v>10</v>
      </c>
      <c r="AO72" s="100">
        <v>743.99999999999989</v>
      </c>
      <c r="AP72" s="100">
        <v>10</v>
      </c>
      <c r="AQ72" s="100">
        <v>743.99999999999989</v>
      </c>
      <c r="AR72" s="100">
        <v>6</v>
      </c>
      <c r="AS72" s="100">
        <v>446.4</v>
      </c>
      <c r="AT72" s="100">
        <v>8</v>
      </c>
      <c r="AU72" s="100">
        <v>595.19999999999993</v>
      </c>
      <c r="AV72" s="100">
        <v>8</v>
      </c>
      <c r="AW72" s="100">
        <v>595.19999999999993</v>
      </c>
      <c r="AX72" s="100">
        <v>10</v>
      </c>
      <c r="AY72" s="100">
        <v>743.99999999999989</v>
      </c>
      <c r="AZ72" s="100">
        <v>6</v>
      </c>
      <c r="BA72" s="100">
        <v>446.4</v>
      </c>
      <c r="BB72" s="100">
        <v>6</v>
      </c>
      <c r="BC72" s="100">
        <v>446.4</v>
      </c>
      <c r="BD72" s="100">
        <v>7</v>
      </c>
      <c r="BE72" s="100">
        <v>520.79999999999995</v>
      </c>
      <c r="BF72" s="100">
        <v>6</v>
      </c>
      <c r="BG72" s="100">
        <v>446.4</v>
      </c>
      <c r="BH72" s="100">
        <v>6</v>
      </c>
      <c r="BI72" s="100">
        <v>446.4</v>
      </c>
      <c r="BJ72" s="100">
        <v>9</v>
      </c>
      <c r="BK72" s="100">
        <v>669.59999999999991</v>
      </c>
      <c r="BL72" s="100">
        <v>9</v>
      </c>
      <c r="BM72" s="100">
        <v>669.59999999999991</v>
      </c>
      <c r="BN72" s="100">
        <v>9</v>
      </c>
      <c r="BO72" s="100">
        <v>669.59999999999991</v>
      </c>
      <c r="BP72" s="100">
        <v>9</v>
      </c>
      <c r="BQ72" s="100">
        <v>669.59999999999991</v>
      </c>
      <c r="BR72" s="100">
        <v>6</v>
      </c>
      <c r="BS72" s="100">
        <v>446.4</v>
      </c>
      <c r="BT72" s="100">
        <v>7</v>
      </c>
      <c r="BU72" s="100">
        <v>520.79999999999995</v>
      </c>
      <c r="BV72" s="100">
        <v>8</v>
      </c>
      <c r="BW72" s="100">
        <v>595.19999999999993</v>
      </c>
      <c r="BX72" s="100">
        <v>10</v>
      </c>
      <c r="BY72" s="100">
        <v>743.99999999999989</v>
      </c>
      <c r="BZ72" s="100">
        <v>7</v>
      </c>
      <c r="CA72" s="100">
        <v>520.79999999999995</v>
      </c>
      <c r="CB72" s="100">
        <v>11</v>
      </c>
      <c r="CC72" s="100">
        <v>818.39999999999986</v>
      </c>
      <c r="CD72" s="100">
        <v>7</v>
      </c>
      <c r="CE72" s="100">
        <v>520.79999999999995</v>
      </c>
      <c r="CF72" s="100">
        <v>6</v>
      </c>
      <c r="CG72" s="100">
        <v>446.4</v>
      </c>
      <c r="CH72" s="100">
        <v>11</v>
      </c>
      <c r="CI72" s="100">
        <v>818.39999999999986</v>
      </c>
      <c r="CJ72" s="100">
        <v>7</v>
      </c>
      <c r="CK72" s="100">
        <v>520.79999999999995</v>
      </c>
      <c r="CL72" s="100">
        <v>9</v>
      </c>
      <c r="CM72" s="100">
        <v>669.59999999999991</v>
      </c>
      <c r="CN72" s="100">
        <v>10</v>
      </c>
      <c r="CO72" s="100">
        <v>743.99999999999989</v>
      </c>
      <c r="CP72" s="100">
        <v>6</v>
      </c>
      <c r="CQ72" s="100">
        <v>446.4</v>
      </c>
      <c r="CR72" s="100">
        <v>7</v>
      </c>
      <c r="CS72" s="100">
        <v>520.79999999999995</v>
      </c>
      <c r="CT72" s="100">
        <v>10</v>
      </c>
      <c r="CU72" s="100">
        <v>743.99999999999989</v>
      </c>
    </row>
    <row r="73" spans="2:99">
      <c r="C73" s="99" t="s">
        <v>239</v>
      </c>
      <c r="D73" s="100">
        <v>5</v>
      </c>
      <c r="E73" s="100">
        <v>2795.9999999999995</v>
      </c>
      <c r="F73" s="100">
        <v>8</v>
      </c>
      <c r="G73" s="100">
        <v>4473.5999999999995</v>
      </c>
      <c r="H73" s="100">
        <v>6</v>
      </c>
      <c r="I73" s="100">
        <v>3355.2</v>
      </c>
      <c r="J73" s="100">
        <v>9</v>
      </c>
      <c r="K73" s="100">
        <v>5032.7999999999993</v>
      </c>
      <c r="L73" s="100">
        <v>9</v>
      </c>
      <c r="M73" s="100">
        <v>5032.7999999999993</v>
      </c>
      <c r="N73" s="100">
        <v>5</v>
      </c>
      <c r="O73" s="100">
        <v>2795.9999999999995</v>
      </c>
      <c r="P73" s="100">
        <v>9</v>
      </c>
      <c r="Q73" s="100">
        <v>5032.7999999999993</v>
      </c>
      <c r="R73" s="100">
        <v>5</v>
      </c>
      <c r="S73" s="100">
        <v>2795.9999999999995</v>
      </c>
      <c r="T73" s="100">
        <v>8</v>
      </c>
      <c r="U73" s="100">
        <v>4473.5999999999995</v>
      </c>
      <c r="V73" s="100">
        <v>7</v>
      </c>
      <c r="W73" s="100">
        <v>3914.3999999999996</v>
      </c>
      <c r="X73" s="100">
        <v>6</v>
      </c>
      <c r="Y73" s="100">
        <v>3355.2</v>
      </c>
      <c r="Z73" s="100">
        <v>7</v>
      </c>
      <c r="AA73" s="100">
        <v>3914.3999999999996</v>
      </c>
      <c r="AB73" s="100">
        <v>9</v>
      </c>
      <c r="AC73" s="100">
        <v>5032.7999999999993</v>
      </c>
      <c r="AD73" s="100">
        <v>7</v>
      </c>
      <c r="AE73" s="100">
        <v>3914.3999999999996</v>
      </c>
      <c r="AF73" s="100">
        <v>6</v>
      </c>
      <c r="AG73" s="100">
        <v>3355.2</v>
      </c>
      <c r="AH73" s="100">
        <v>6</v>
      </c>
      <c r="AI73" s="100">
        <v>3355.2</v>
      </c>
      <c r="AJ73" s="100">
        <v>8</v>
      </c>
      <c r="AK73" s="100">
        <v>4473.5999999999995</v>
      </c>
      <c r="AL73" s="100">
        <v>7</v>
      </c>
      <c r="AM73" s="100">
        <v>3914.3999999999996</v>
      </c>
      <c r="AN73" s="100">
        <v>10</v>
      </c>
      <c r="AO73" s="100">
        <v>5591.9999999999991</v>
      </c>
      <c r="AP73" s="100">
        <v>10</v>
      </c>
      <c r="AQ73" s="100">
        <v>5591.9999999999991</v>
      </c>
      <c r="AR73" s="100">
        <v>6</v>
      </c>
      <c r="AS73" s="100">
        <v>3355.2</v>
      </c>
      <c r="AT73" s="100">
        <v>8</v>
      </c>
      <c r="AU73" s="100">
        <v>4473.5999999999995</v>
      </c>
      <c r="AV73" s="100">
        <v>8</v>
      </c>
      <c r="AW73" s="100">
        <v>4473.5999999999995</v>
      </c>
      <c r="AX73" s="100">
        <v>10</v>
      </c>
      <c r="AY73" s="100">
        <v>5591.9999999999991</v>
      </c>
      <c r="AZ73" s="100">
        <v>6</v>
      </c>
      <c r="BA73" s="100">
        <v>3355.2</v>
      </c>
      <c r="BB73" s="100">
        <v>5</v>
      </c>
      <c r="BC73" s="100">
        <v>2795.9999999999995</v>
      </c>
      <c r="BD73" s="100">
        <v>7</v>
      </c>
      <c r="BE73" s="100">
        <v>3914.3999999999996</v>
      </c>
      <c r="BF73" s="100">
        <v>6</v>
      </c>
      <c r="BG73" s="100">
        <v>3355.2</v>
      </c>
      <c r="BH73" s="100">
        <v>6</v>
      </c>
      <c r="BI73" s="100">
        <v>3355.2</v>
      </c>
      <c r="BJ73" s="100">
        <v>8</v>
      </c>
      <c r="BK73" s="100">
        <v>4473.5999999999995</v>
      </c>
      <c r="BL73" s="100">
        <v>9</v>
      </c>
      <c r="BM73" s="100">
        <v>5032.7999999999993</v>
      </c>
      <c r="BN73" s="100">
        <v>8</v>
      </c>
      <c r="BO73" s="100">
        <v>4473.5999999999995</v>
      </c>
      <c r="BP73" s="100">
        <v>9</v>
      </c>
      <c r="BQ73" s="100">
        <v>5032.7999999999993</v>
      </c>
      <c r="BR73" s="100">
        <v>7</v>
      </c>
      <c r="BS73" s="100">
        <v>3914.3999999999996</v>
      </c>
      <c r="BT73" s="100">
        <v>7</v>
      </c>
      <c r="BU73" s="100">
        <v>3914.3999999999996</v>
      </c>
      <c r="BV73" s="100">
        <v>6</v>
      </c>
      <c r="BW73" s="100">
        <v>3355.2</v>
      </c>
      <c r="BX73" s="100">
        <v>10</v>
      </c>
      <c r="BY73" s="100">
        <v>5591.9999999999991</v>
      </c>
      <c r="BZ73" s="100">
        <v>6</v>
      </c>
      <c r="CA73" s="100">
        <v>3355.2</v>
      </c>
      <c r="CB73" s="100">
        <v>9</v>
      </c>
      <c r="CC73" s="100">
        <v>5032.7999999999993</v>
      </c>
      <c r="CD73" s="100">
        <v>7</v>
      </c>
      <c r="CE73" s="100">
        <v>3914.3999999999996</v>
      </c>
      <c r="CF73" s="100">
        <v>6</v>
      </c>
      <c r="CG73" s="100">
        <v>3355.2</v>
      </c>
      <c r="CH73" s="100">
        <v>8</v>
      </c>
      <c r="CI73" s="100">
        <v>4473.5999999999995</v>
      </c>
      <c r="CJ73" s="100">
        <v>7</v>
      </c>
      <c r="CK73" s="100">
        <v>3914.3999999999996</v>
      </c>
      <c r="CL73" s="100">
        <v>7</v>
      </c>
      <c r="CM73" s="100">
        <v>3914.3999999999996</v>
      </c>
      <c r="CN73" s="100">
        <v>9</v>
      </c>
      <c r="CO73" s="100">
        <v>5032.7999999999993</v>
      </c>
      <c r="CP73" s="100">
        <v>6</v>
      </c>
      <c r="CQ73" s="100">
        <v>3355.2</v>
      </c>
      <c r="CR73" s="100">
        <v>7</v>
      </c>
      <c r="CS73" s="100">
        <v>3914.3999999999996</v>
      </c>
      <c r="CT73" s="100">
        <v>9</v>
      </c>
      <c r="CU73" s="100">
        <v>5032.7999999999993</v>
      </c>
    </row>
    <row r="74" spans="2:99">
      <c r="C74" s="99" t="s">
        <v>240</v>
      </c>
      <c r="D74" s="100">
        <v>5</v>
      </c>
      <c r="E74" s="100">
        <v>2016</v>
      </c>
      <c r="F74" s="100">
        <v>8</v>
      </c>
      <c r="G74" s="100">
        <v>3225.6</v>
      </c>
      <c r="H74" s="100">
        <v>6</v>
      </c>
      <c r="I74" s="100">
        <v>2419.1999999999998</v>
      </c>
      <c r="J74" s="100">
        <v>8</v>
      </c>
      <c r="K74" s="100">
        <v>3225.6</v>
      </c>
      <c r="L74" s="100">
        <v>9</v>
      </c>
      <c r="M74" s="100">
        <v>3628.7999999999997</v>
      </c>
      <c r="N74" s="100">
        <v>5</v>
      </c>
      <c r="O74" s="100">
        <v>2016</v>
      </c>
      <c r="P74" s="100">
        <v>9</v>
      </c>
      <c r="Q74" s="100">
        <v>3628.7999999999997</v>
      </c>
      <c r="R74" s="100">
        <v>5</v>
      </c>
      <c r="S74" s="100">
        <v>2016</v>
      </c>
      <c r="T74" s="100">
        <v>8</v>
      </c>
      <c r="U74" s="100">
        <v>3225.6</v>
      </c>
      <c r="V74" s="100">
        <v>7</v>
      </c>
      <c r="W74" s="100">
        <v>2822.4</v>
      </c>
      <c r="X74" s="100">
        <v>7</v>
      </c>
      <c r="Y74" s="100">
        <v>2822.4</v>
      </c>
      <c r="Z74" s="100">
        <v>8</v>
      </c>
      <c r="AA74" s="100">
        <v>3225.6</v>
      </c>
      <c r="AB74" s="100">
        <v>9</v>
      </c>
      <c r="AC74" s="100">
        <v>3628.7999999999997</v>
      </c>
      <c r="AD74" s="100">
        <v>7</v>
      </c>
      <c r="AE74" s="100">
        <v>2822.4</v>
      </c>
      <c r="AF74" s="100">
        <v>6</v>
      </c>
      <c r="AG74" s="100">
        <v>2419.1999999999998</v>
      </c>
      <c r="AH74" s="100">
        <v>5</v>
      </c>
      <c r="AI74" s="100">
        <v>2016</v>
      </c>
      <c r="AJ74" s="100">
        <v>9</v>
      </c>
      <c r="AK74" s="100">
        <v>3628.7999999999997</v>
      </c>
      <c r="AL74" s="100">
        <v>7</v>
      </c>
      <c r="AM74" s="100">
        <v>2822.4</v>
      </c>
      <c r="AN74" s="100">
        <v>9</v>
      </c>
      <c r="AO74" s="100">
        <v>3628.7999999999997</v>
      </c>
      <c r="AP74" s="100">
        <v>10</v>
      </c>
      <c r="AQ74" s="100">
        <v>4032</v>
      </c>
      <c r="AR74" s="100">
        <v>6</v>
      </c>
      <c r="AS74" s="100">
        <v>2419.1999999999998</v>
      </c>
      <c r="AT74" s="100">
        <v>9</v>
      </c>
      <c r="AU74" s="100">
        <v>3628.7999999999997</v>
      </c>
      <c r="AV74" s="100">
        <v>8</v>
      </c>
      <c r="AW74" s="100">
        <v>3225.6</v>
      </c>
      <c r="AX74" s="100">
        <v>11</v>
      </c>
      <c r="AY74" s="100">
        <v>4435.2</v>
      </c>
      <c r="AZ74" s="100">
        <v>6</v>
      </c>
      <c r="BA74" s="100">
        <v>2419.1999999999998</v>
      </c>
      <c r="BB74" s="100">
        <v>5</v>
      </c>
      <c r="BC74" s="100">
        <v>2016</v>
      </c>
      <c r="BD74" s="100">
        <v>8</v>
      </c>
      <c r="BE74" s="100">
        <v>3225.6</v>
      </c>
      <c r="BF74" s="100">
        <v>6</v>
      </c>
      <c r="BG74" s="100">
        <v>2419.1999999999998</v>
      </c>
      <c r="BH74" s="100">
        <v>6</v>
      </c>
      <c r="BI74" s="100">
        <v>2419.1999999999998</v>
      </c>
      <c r="BJ74" s="100">
        <v>8</v>
      </c>
      <c r="BK74" s="100">
        <v>3225.6</v>
      </c>
      <c r="BL74" s="100">
        <v>10</v>
      </c>
      <c r="BM74" s="100">
        <v>4032</v>
      </c>
      <c r="BN74" s="100">
        <v>8</v>
      </c>
      <c r="BO74" s="100">
        <v>3225.6</v>
      </c>
      <c r="BP74" s="100">
        <v>8</v>
      </c>
      <c r="BQ74" s="100">
        <v>3225.6</v>
      </c>
      <c r="BR74" s="100">
        <v>6</v>
      </c>
      <c r="BS74" s="100">
        <v>2419.1999999999998</v>
      </c>
      <c r="BT74" s="100">
        <v>8</v>
      </c>
      <c r="BU74" s="100">
        <v>3225.6</v>
      </c>
      <c r="BV74" s="100">
        <v>7</v>
      </c>
      <c r="BW74" s="100">
        <v>2822.4</v>
      </c>
      <c r="BX74" s="100">
        <v>10</v>
      </c>
      <c r="BY74" s="100">
        <v>4032</v>
      </c>
      <c r="BZ74" s="100">
        <v>6</v>
      </c>
      <c r="CA74" s="100">
        <v>2419.1999999999998</v>
      </c>
      <c r="CB74" s="100">
        <v>11</v>
      </c>
      <c r="CC74" s="100">
        <v>4435.2</v>
      </c>
      <c r="CD74" s="100">
        <v>7</v>
      </c>
      <c r="CE74" s="100">
        <v>2822.4</v>
      </c>
      <c r="CF74" s="100">
        <v>6</v>
      </c>
      <c r="CG74" s="100">
        <v>2419.1999999999998</v>
      </c>
      <c r="CH74" s="100">
        <v>9</v>
      </c>
      <c r="CI74" s="100">
        <v>3628.7999999999997</v>
      </c>
      <c r="CJ74" s="100">
        <v>8</v>
      </c>
      <c r="CK74" s="100">
        <v>3225.6</v>
      </c>
      <c r="CL74" s="100">
        <v>8</v>
      </c>
      <c r="CM74" s="100">
        <v>3225.6</v>
      </c>
      <c r="CN74" s="100">
        <v>10</v>
      </c>
      <c r="CO74" s="100">
        <v>4032</v>
      </c>
      <c r="CP74" s="100">
        <v>6</v>
      </c>
      <c r="CQ74" s="100">
        <v>2419.1999999999998</v>
      </c>
      <c r="CR74" s="100">
        <v>6</v>
      </c>
      <c r="CS74" s="100">
        <v>2419.1999999999998</v>
      </c>
      <c r="CT74" s="100">
        <v>10</v>
      </c>
      <c r="CU74" s="100">
        <v>4032</v>
      </c>
    </row>
    <row r="75" spans="2:99">
      <c r="C75" s="99" t="s">
        <v>241</v>
      </c>
      <c r="D75" s="100">
        <v>5</v>
      </c>
      <c r="E75" s="100">
        <v>3215.9999999999995</v>
      </c>
      <c r="F75" s="100">
        <v>8</v>
      </c>
      <c r="G75" s="100">
        <v>5145.5999999999995</v>
      </c>
      <c r="H75" s="100">
        <v>6</v>
      </c>
      <c r="I75" s="100">
        <v>3859.2</v>
      </c>
      <c r="J75" s="100">
        <v>8</v>
      </c>
      <c r="K75" s="100">
        <v>5145.5999999999995</v>
      </c>
      <c r="L75" s="100">
        <v>9</v>
      </c>
      <c r="M75" s="100">
        <v>5788.7999999999993</v>
      </c>
      <c r="N75" s="100">
        <v>5</v>
      </c>
      <c r="O75" s="100">
        <v>3215.9999999999995</v>
      </c>
      <c r="P75" s="100">
        <v>10</v>
      </c>
      <c r="Q75" s="100">
        <v>6431.9999999999991</v>
      </c>
      <c r="R75" s="100">
        <v>5</v>
      </c>
      <c r="S75" s="100">
        <v>3215.9999999999995</v>
      </c>
      <c r="T75" s="100">
        <v>8</v>
      </c>
      <c r="U75" s="100">
        <v>5145.5999999999995</v>
      </c>
      <c r="V75" s="100">
        <v>7</v>
      </c>
      <c r="W75" s="100">
        <v>4502.3999999999996</v>
      </c>
      <c r="X75" s="100">
        <v>6</v>
      </c>
      <c r="Y75" s="100">
        <v>3859.2</v>
      </c>
      <c r="Z75" s="100">
        <v>8</v>
      </c>
      <c r="AA75" s="100">
        <v>5145.5999999999995</v>
      </c>
      <c r="AB75" s="100">
        <v>9</v>
      </c>
      <c r="AC75" s="100">
        <v>5788.7999999999993</v>
      </c>
      <c r="AD75" s="100">
        <v>8</v>
      </c>
      <c r="AE75" s="100">
        <v>5145.5999999999995</v>
      </c>
      <c r="AF75" s="100">
        <v>5</v>
      </c>
      <c r="AG75" s="100">
        <v>3215.9999999999995</v>
      </c>
      <c r="AH75" s="100">
        <v>5</v>
      </c>
      <c r="AI75" s="100">
        <v>3215.9999999999995</v>
      </c>
      <c r="AJ75" s="100">
        <v>8</v>
      </c>
      <c r="AK75" s="100">
        <v>5145.5999999999995</v>
      </c>
      <c r="AL75" s="100">
        <v>7</v>
      </c>
      <c r="AM75" s="100">
        <v>4502.3999999999996</v>
      </c>
      <c r="AN75" s="100">
        <v>9</v>
      </c>
      <c r="AO75" s="100">
        <v>5788.7999999999993</v>
      </c>
      <c r="AP75" s="100">
        <v>10</v>
      </c>
      <c r="AQ75" s="100">
        <v>6431.9999999999991</v>
      </c>
      <c r="AR75" s="100">
        <v>5</v>
      </c>
      <c r="AS75" s="100">
        <v>3215.9999999999995</v>
      </c>
      <c r="AT75" s="100">
        <v>8</v>
      </c>
      <c r="AU75" s="100">
        <v>5145.5999999999995</v>
      </c>
      <c r="AV75" s="100">
        <v>9</v>
      </c>
      <c r="AW75" s="100">
        <v>5788.7999999999993</v>
      </c>
      <c r="AX75" s="100">
        <v>9</v>
      </c>
      <c r="AY75" s="100">
        <v>5788.7999999999993</v>
      </c>
      <c r="AZ75" s="100">
        <v>6</v>
      </c>
      <c r="BA75" s="100">
        <v>3859.2</v>
      </c>
      <c r="BB75" s="100">
        <v>5</v>
      </c>
      <c r="BC75" s="100">
        <v>3215.9999999999995</v>
      </c>
      <c r="BD75" s="100">
        <v>7</v>
      </c>
      <c r="BE75" s="100">
        <v>4502.3999999999996</v>
      </c>
      <c r="BF75" s="100">
        <v>6</v>
      </c>
      <c r="BG75" s="100">
        <v>3859.2</v>
      </c>
      <c r="BH75" s="100">
        <v>5</v>
      </c>
      <c r="BI75" s="100">
        <v>3215.9999999999995</v>
      </c>
      <c r="BJ75" s="100">
        <v>9</v>
      </c>
      <c r="BK75" s="100">
        <v>5788.7999999999993</v>
      </c>
      <c r="BL75" s="100">
        <v>8</v>
      </c>
      <c r="BM75" s="100">
        <v>5145.5999999999995</v>
      </c>
      <c r="BN75" s="100">
        <v>9</v>
      </c>
      <c r="BO75" s="100">
        <v>5788.7999999999993</v>
      </c>
      <c r="BP75" s="100">
        <v>9</v>
      </c>
      <c r="BQ75" s="100">
        <v>5788.7999999999993</v>
      </c>
      <c r="BR75" s="100">
        <v>6</v>
      </c>
      <c r="BS75" s="100">
        <v>3859.2</v>
      </c>
      <c r="BT75" s="100">
        <v>8</v>
      </c>
      <c r="BU75" s="100">
        <v>5145.5999999999995</v>
      </c>
      <c r="BV75" s="100">
        <v>6</v>
      </c>
      <c r="BW75" s="100">
        <v>3859.2</v>
      </c>
      <c r="BX75" s="100">
        <v>10</v>
      </c>
      <c r="BY75" s="100">
        <v>6431.9999999999991</v>
      </c>
      <c r="BZ75" s="100">
        <v>6</v>
      </c>
      <c r="CA75" s="100">
        <v>3859.2</v>
      </c>
      <c r="CB75" s="100">
        <v>10</v>
      </c>
      <c r="CC75" s="100">
        <v>6431.9999999999991</v>
      </c>
      <c r="CD75" s="100">
        <v>6</v>
      </c>
      <c r="CE75" s="100">
        <v>3859.2</v>
      </c>
      <c r="CF75" s="100">
        <v>6</v>
      </c>
      <c r="CG75" s="100">
        <v>3859.2</v>
      </c>
      <c r="CH75" s="100">
        <v>10</v>
      </c>
      <c r="CI75" s="100">
        <v>6431.9999999999991</v>
      </c>
      <c r="CJ75" s="100">
        <v>7</v>
      </c>
      <c r="CK75" s="100">
        <v>4502.3999999999996</v>
      </c>
      <c r="CL75" s="100">
        <v>7</v>
      </c>
      <c r="CM75" s="100">
        <v>4502.3999999999996</v>
      </c>
      <c r="CN75" s="100">
        <v>9</v>
      </c>
      <c r="CO75" s="100">
        <v>5788.7999999999993</v>
      </c>
      <c r="CP75" s="100">
        <v>5</v>
      </c>
      <c r="CQ75" s="100">
        <v>3215.9999999999995</v>
      </c>
      <c r="CR75" s="100">
        <v>7</v>
      </c>
      <c r="CS75" s="100">
        <v>4502.3999999999996</v>
      </c>
      <c r="CT75" s="100">
        <v>9</v>
      </c>
      <c r="CU75" s="100">
        <v>5788.7999999999993</v>
      </c>
    </row>
    <row r="76" spans="2:99">
      <c r="C76" s="99" t="s">
        <v>242</v>
      </c>
      <c r="D76" s="100">
        <v>5</v>
      </c>
      <c r="E76" s="100">
        <v>3894</v>
      </c>
      <c r="F76" s="100">
        <v>8</v>
      </c>
      <c r="G76" s="100">
        <v>6230.4</v>
      </c>
      <c r="H76" s="100">
        <v>6</v>
      </c>
      <c r="I76" s="100">
        <v>4672.7999999999993</v>
      </c>
      <c r="J76" s="100">
        <v>8</v>
      </c>
      <c r="K76" s="100">
        <v>6230.4</v>
      </c>
      <c r="L76" s="100">
        <v>8</v>
      </c>
      <c r="M76" s="100">
        <v>6230.4</v>
      </c>
      <c r="N76" s="100">
        <v>5</v>
      </c>
      <c r="O76" s="100">
        <v>3894</v>
      </c>
      <c r="P76" s="100">
        <v>9</v>
      </c>
      <c r="Q76" s="100">
        <v>7009.2</v>
      </c>
      <c r="R76" s="100">
        <v>5</v>
      </c>
      <c r="S76" s="100">
        <v>3894</v>
      </c>
      <c r="T76" s="100">
        <v>8</v>
      </c>
      <c r="U76" s="100">
        <v>6230.4</v>
      </c>
      <c r="V76" s="100">
        <v>7</v>
      </c>
      <c r="W76" s="100">
        <v>5451.5999999999995</v>
      </c>
      <c r="X76" s="100">
        <v>7</v>
      </c>
      <c r="Y76" s="100">
        <v>5451.5999999999995</v>
      </c>
      <c r="Z76" s="100">
        <v>7</v>
      </c>
      <c r="AA76" s="100">
        <v>5451.5999999999995</v>
      </c>
      <c r="AB76" s="100">
        <v>8</v>
      </c>
      <c r="AC76" s="100">
        <v>6230.4</v>
      </c>
      <c r="AD76" s="100">
        <v>8</v>
      </c>
      <c r="AE76" s="100">
        <v>6230.4</v>
      </c>
      <c r="AF76" s="100">
        <v>6</v>
      </c>
      <c r="AG76" s="100">
        <v>4672.7999999999993</v>
      </c>
      <c r="AH76" s="100">
        <v>5</v>
      </c>
      <c r="AI76" s="100">
        <v>3894</v>
      </c>
      <c r="AJ76" s="100">
        <v>7</v>
      </c>
      <c r="AK76" s="100">
        <v>5451.5999999999995</v>
      </c>
      <c r="AL76" s="100">
        <v>7</v>
      </c>
      <c r="AM76" s="100">
        <v>5451.5999999999995</v>
      </c>
      <c r="AN76" s="100">
        <v>9</v>
      </c>
      <c r="AO76" s="100">
        <v>7009.2</v>
      </c>
      <c r="AP76" s="100">
        <v>8</v>
      </c>
      <c r="AQ76" s="100">
        <v>6230.4</v>
      </c>
      <c r="AR76" s="100">
        <v>5</v>
      </c>
      <c r="AS76" s="100">
        <v>3894</v>
      </c>
      <c r="AT76" s="100">
        <v>8</v>
      </c>
      <c r="AU76" s="100">
        <v>6230.4</v>
      </c>
      <c r="AV76" s="100">
        <v>8</v>
      </c>
      <c r="AW76" s="100">
        <v>6230.4</v>
      </c>
      <c r="AX76" s="100">
        <v>9</v>
      </c>
      <c r="AY76" s="100">
        <v>7009.2</v>
      </c>
      <c r="AZ76" s="100">
        <v>6</v>
      </c>
      <c r="BA76" s="100">
        <v>4672.7999999999993</v>
      </c>
      <c r="BB76" s="100">
        <v>6</v>
      </c>
      <c r="BC76" s="100">
        <v>4672.7999999999993</v>
      </c>
      <c r="BD76" s="100">
        <v>7</v>
      </c>
      <c r="BE76" s="100">
        <v>5451.5999999999995</v>
      </c>
      <c r="BF76" s="100">
        <v>5</v>
      </c>
      <c r="BG76" s="100">
        <v>3894</v>
      </c>
      <c r="BH76" s="100">
        <v>6</v>
      </c>
      <c r="BI76" s="100">
        <v>4672.7999999999993</v>
      </c>
      <c r="BJ76" s="100">
        <v>7</v>
      </c>
      <c r="BK76" s="100">
        <v>5451.5999999999995</v>
      </c>
      <c r="BL76" s="100">
        <v>8</v>
      </c>
      <c r="BM76" s="100">
        <v>6230.4</v>
      </c>
      <c r="BN76" s="100">
        <v>8</v>
      </c>
      <c r="BO76" s="100">
        <v>6230.4</v>
      </c>
      <c r="BP76" s="100">
        <v>8</v>
      </c>
      <c r="BQ76" s="100">
        <v>6230.4</v>
      </c>
      <c r="BR76" s="100">
        <v>6</v>
      </c>
      <c r="BS76" s="100">
        <v>4672.7999999999993</v>
      </c>
      <c r="BT76" s="100">
        <v>8</v>
      </c>
      <c r="BU76" s="100">
        <v>6230.4</v>
      </c>
      <c r="BV76" s="100">
        <v>6</v>
      </c>
      <c r="BW76" s="100">
        <v>4672.7999999999993</v>
      </c>
      <c r="BX76" s="100">
        <v>10</v>
      </c>
      <c r="BY76" s="100">
        <v>7788</v>
      </c>
      <c r="BZ76" s="100">
        <v>6</v>
      </c>
      <c r="CA76" s="100">
        <v>4672.7999999999993</v>
      </c>
      <c r="CB76" s="100">
        <v>10</v>
      </c>
      <c r="CC76" s="100">
        <v>7788</v>
      </c>
      <c r="CD76" s="100">
        <v>7</v>
      </c>
      <c r="CE76" s="100">
        <v>5451.5999999999995</v>
      </c>
      <c r="CF76" s="100">
        <v>6</v>
      </c>
      <c r="CG76" s="100">
        <v>4672.7999999999993</v>
      </c>
      <c r="CH76" s="100">
        <v>9</v>
      </c>
      <c r="CI76" s="100">
        <v>7009.2</v>
      </c>
      <c r="CJ76" s="100">
        <v>6</v>
      </c>
      <c r="CK76" s="100">
        <v>4672.7999999999993</v>
      </c>
      <c r="CL76" s="100">
        <v>7</v>
      </c>
      <c r="CM76" s="100">
        <v>5451.5999999999995</v>
      </c>
      <c r="CN76" s="100">
        <v>9</v>
      </c>
      <c r="CO76" s="100">
        <v>7009.2</v>
      </c>
      <c r="CP76" s="100">
        <v>6</v>
      </c>
      <c r="CQ76" s="100">
        <v>4672.7999999999993</v>
      </c>
      <c r="CR76" s="100">
        <v>6</v>
      </c>
      <c r="CS76" s="100">
        <v>4672.7999999999993</v>
      </c>
      <c r="CT76" s="100">
        <v>8</v>
      </c>
      <c r="CU76" s="100">
        <v>6230.4</v>
      </c>
    </row>
    <row r="77" spans="2:99">
      <c r="C77" s="99" t="s">
        <v>243</v>
      </c>
      <c r="D77" s="100">
        <v>5</v>
      </c>
      <c r="E77" s="100">
        <v>1392</v>
      </c>
      <c r="F77" s="100">
        <v>8</v>
      </c>
      <c r="G77" s="100">
        <v>2227.1999999999998</v>
      </c>
      <c r="H77" s="100">
        <v>6</v>
      </c>
      <c r="I77" s="100">
        <v>1670.3999999999999</v>
      </c>
      <c r="J77" s="100">
        <v>7</v>
      </c>
      <c r="K77" s="100">
        <v>1948.7999999999997</v>
      </c>
      <c r="L77" s="100">
        <v>9</v>
      </c>
      <c r="M77" s="100">
        <v>2505.6</v>
      </c>
      <c r="N77" s="100">
        <v>5</v>
      </c>
      <c r="O77" s="100">
        <v>1392</v>
      </c>
      <c r="P77" s="100">
        <v>9</v>
      </c>
      <c r="Q77" s="100">
        <v>2505.6</v>
      </c>
      <c r="R77" s="100">
        <v>5</v>
      </c>
      <c r="S77" s="100">
        <v>1392</v>
      </c>
      <c r="T77" s="100">
        <v>9</v>
      </c>
      <c r="U77" s="100">
        <v>2505.6</v>
      </c>
      <c r="V77" s="100">
        <v>7</v>
      </c>
      <c r="W77" s="100">
        <v>1948.7999999999997</v>
      </c>
      <c r="X77" s="100">
        <v>7</v>
      </c>
      <c r="Y77" s="100">
        <v>1948.7999999999997</v>
      </c>
      <c r="Z77" s="100">
        <v>7</v>
      </c>
      <c r="AA77" s="100">
        <v>1948.7999999999997</v>
      </c>
      <c r="AB77" s="100">
        <v>9</v>
      </c>
      <c r="AC77" s="100">
        <v>2505.6</v>
      </c>
      <c r="AD77" s="100">
        <v>8</v>
      </c>
      <c r="AE77" s="100">
        <v>2227.1999999999998</v>
      </c>
      <c r="AF77" s="100">
        <v>6</v>
      </c>
      <c r="AG77" s="100">
        <v>1670.3999999999999</v>
      </c>
      <c r="AH77" s="100">
        <v>5</v>
      </c>
      <c r="AI77" s="100">
        <v>1392</v>
      </c>
      <c r="AJ77" s="100">
        <v>8</v>
      </c>
      <c r="AK77" s="100">
        <v>2227.1999999999998</v>
      </c>
      <c r="AL77" s="100">
        <v>7</v>
      </c>
      <c r="AM77" s="100">
        <v>1948.7999999999997</v>
      </c>
      <c r="AN77" s="100">
        <v>10</v>
      </c>
      <c r="AO77" s="100">
        <v>2784</v>
      </c>
      <c r="AP77" s="100">
        <v>9</v>
      </c>
      <c r="AQ77" s="100">
        <v>2505.6</v>
      </c>
      <c r="AR77" s="100">
        <v>5</v>
      </c>
      <c r="AS77" s="100">
        <v>1392</v>
      </c>
      <c r="AT77" s="100">
        <v>9</v>
      </c>
      <c r="AU77" s="100">
        <v>2505.6</v>
      </c>
      <c r="AV77" s="100">
        <v>9</v>
      </c>
      <c r="AW77" s="100">
        <v>2505.6</v>
      </c>
      <c r="AX77" s="100">
        <v>11</v>
      </c>
      <c r="AY77" s="100">
        <v>3062.3999999999996</v>
      </c>
      <c r="AZ77" s="100">
        <v>7</v>
      </c>
      <c r="BA77" s="100">
        <v>1948.7999999999997</v>
      </c>
      <c r="BB77" s="100">
        <v>5</v>
      </c>
      <c r="BC77" s="100">
        <v>1392</v>
      </c>
      <c r="BD77" s="100">
        <v>7</v>
      </c>
      <c r="BE77" s="100">
        <v>1948.7999999999997</v>
      </c>
      <c r="BF77" s="100">
        <v>6</v>
      </c>
      <c r="BG77" s="100">
        <v>1670.3999999999999</v>
      </c>
      <c r="BH77" s="100">
        <v>5</v>
      </c>
      <c r="BI77" s="100">
        <v>1392</v>
      </c>
      <c r="BJ77" s="100">
        <v>9</v>
      </c>
      <c r="BK77" s="100">
        <v>2505.6</v>
      </c>
      <c r="BL77" s="100">
        <v>9</v>
      </c>
      <c r="BM77" s="100">
        <v>2505.6</v>
      </c>
      <c r="BN77" s="100">
        <v>8</v>
      </c>
      <c r="BO77" s="100">
        <v>2227.1999999999998</v>
      </c>
      <c r="BP77" s="100">
        <v>8</v>
      </c>
      <c r="BQ77" s="100">
        <v>2227.1999999999998</v>
      </c>
      <c r="BR77" s="100">
        <v>6</v>
      </c>
      <c r="BS77" s="100">
        <v>1670.3999999999999</v>
      </c>
      <c r="BT77" s="100">
        <v>8</v>
      </c>
      <c r="BU77" s="100">
        <v>2227.1999999999998</v>
      </c>
      <c r="BV77" s="100">
        <v>7</v>
      </c>
      <c r="BW77" s="100">
        <v>1948.7999999999997</v>
      </c>
      <c r="BX77" s="100">
        <v>10</v>
      </c>
      <c r="BY77" s="100">
        <v>2784</v>
      </c>
      <c r="BZ77" s="100">
        <v>6</v>
      </c>
      <c r="CA77" s="100">
        <v>1670.3999999999999</v>
      </c>
      <c r="CB77" s="100">
        <v>11</v>
      </c>
      <c r="CC77" s="100">
        <v>3062.3999999999996</v>
      </c>
      <c r="CD77" s="100">
        <v>7</v>
      </c>
      <c r="CE77" s="100">
        <v>1948.7999999999997</v>
      </c>
      <c r="CF77" s="100">
        <v>7</v>
      </c>
      <c r="CG77" s="100">
        <v>1948.7999999999997</v>
      </c>
      <c r="CH77" s="100">
        <v>10</v>
      </c>
      <c r="CI77" s="100">
        <v>2784</v>
      </c>
      <c r="CJ77" s="100">
        <v>8</v>
      </c>
      <c r="CK77" s="100">
        <v>2227.1999999999998</v>
      </c>
      <c r="CL77" s="100">
        <v>9</v>
      </c>
      <c r="CM77" s="100">
        <v>2505.6</v>
      </c>
      <c r="CN77" s="100">
        <v>10</v>
      </c>
      <c r="CO77" s="100">
        <v>2784</v>
      </c>
      <c r="CP77" s="100">
        <v>6</v>
      </c>
      <c r="CQ77" s="100">
        <v>1670.3999999999999</v>
      </c>
      <c r="CR77" s="100">
        <v>7</v>
      </c>
      <c r="CS77" s="100">
        <v>1948.7999999999997</v>
      </c>
      <c r="CT77" s="100">
        <v>10</v>
      </c>
      <c r="CU77" s="100">
        <v>2784</v>
      </c>
    </row>
    <row r="78" spans="2:99">
      <c r="C78" s="99" t="s">
        <v>244</v>
      </c>
      <c r="D78" s="100">
        <v>5</v>
      </c>
      <c r="E78" s="100">
        <v>2760</v>
      </c>
      <c r="F78" s="100">
        <v>8</v>
      </c>
      <c r="G78" s="100">
        <v>4416</v>
      </c>
      <c r="H78" s="100">
        <v>6</v>
      </c>
      <c r="I78" s="100">
        <v>3312</v>
      </c>
      <c r="J78" s="100">
        <v>8</v>
      </c>
      <c r="K78" s="100">
        <v>4416</v>
      </c>
      <c r="L78" s="100">
        <v>8</v>
      </c>
      <c r="M78" s="100">
        <v>4416</v>
      </c>
      <c r="N78" s="100">
        <v>5</v>
      </c>
      <c r="O78" s="100">
        <v>2760</v>
      </c>
      <c r="P78" s="100">
        <v>10</v>
      </c>
      <c r="Q78" s="100">
        <v>5520</v>
      </c>
      <c r="R78" s="100">
        <v>5</v>
      </c>
      <c r="S78" s="100">
        <v>2760</v>
      </c>
      <c r="T78" s="100">
        <v>8</v>
      </c>
      <c r="U78" s="100">
        <v>4416</v>
      </c>
      <c r="V78" s="100">
        <v>7</v>
      </c>
      <c r="W78" s="100">
        <v>3864</v>
      </c>
      <c r="X78" s="100">
        <v>7</v>
      </c>
      <c r="Y78" s="100">
        <v>3864</v>
      </c>
      <c r="Z78" s="100">
        <v>8</v>
      </c>
      <c r="AA78" s="100">
        <v>4416</v>
      </c>
      <c r="AB78" s="100">
        <v>9</v>
      </c>
      <c r="AC78" s="100">
        <v>4968</v>
      </c>
      <c r="AD78" s="100">
        <v>8</v>
      </c>
      <c r="AE78" s="100">
        <v>4416</v>
      </c>
      <c r="AF78" s="100">
        <v>5</v>
      </c>
      <c r="AG78" s="100">
        <v>2760</v>
      </c>
      <c r="AH78" s="100">
        <v>5</v>
      </c>
      <c r="AI78" s="100">
        <v>2760</v>
      </c>
      <c r="AJ78" s="100">
        <v>8</v>
      </c>
      <c r="AK78" s="100">
        <v>4416</v>
      </c>
      <c r="AL78" s="100">
        <v>7</v>
      </c>
      <c r="AM78" s="100">
        <v>3864</v>
      </c>
      <c r="AN78" s="100">
        <v>9</v>
      </c>
      <c r="AO78" s="100">
        <v>4968</v>
      </c>
      <c r="AP78" s="100">
        <v>9</v>
      </c>
      <c r="AQ78" s="100">
        <v>4968</v>
      </c>
      <c r="AR78" s="100">
        <v>5</v>
      </c>
      <c r="AS78" s="100">
        <v>2760</v>
      </c>
      <c r="AT78" s="100">
        <v>8</v>
      </c>
      <c r="AU78" s="100">
        <v>4416</v>
      </c>
      <c r="AV78" s="100">
        <v>8</v>
      </c>
      <c r="AW78" s="100">
        <v>4416</v>
      </c>
      <c r="AX78" s="100">
        <v>9</v>
      </c>
      <c r="AY78" s="100">
        <v>4968</v>
      </c>
      <c r="AZ78" s="100">
        <v>6</v>
      </c>
      <c r="BA78" s="100">
        <v>3312</v>
      </c>
      <c r="BB78" s="100">
        <v>6</v>
      </c>
      <c r="BC78" s="100">
        <v>3312</v>
      </c>
      <c r="BD78" s="100">
        <v>8</v>
      </c>
      <c r="BE78" s="100">
        <v>4416</v>
      </c>
      <c r="BF78" s="100">
        <v>6</v>
      </c>
      <c r="BG78" s="100">
        <v>3312</v>
      </c>
      <c r="BH78" s="100">
        <v>5</v>
      </c>
      <c r="BI78" s="100">
        <v>2760</v>
      </c>
      <c r="BJ78" s="100">
        <v>7</v>
      </c>
      <c r="BK78" s="100">
        <v>3864</v>
      </c>
      <c r="BL78" s="100">
        <v>8</v>
      </c>
      <c r="BM78" s="100">
        <v>4416</v>
      </c>
      <c r="BN78" s="100">
        <v>9</v>
      </c>
      <c r="BO78" s="100">
        <v>4968</v>
      </c>
      <c r="BP78" s="100">
        <v>8</v>
      </c>
      <c r="BQ78" s="100">
        <v>4416</v>
      </c>
      <c r="BR78" s="100">
        <v>7</v>
      </c>
      <c r="BS78" s="100">
        <v>3864</v>
      </c>
      <c r="BT78" s="100">
        <v>7</v>
      </c>
      <c r="BU78" s="100">
        <v>3864</v>
      </c>
      <c r="BV78" s="100">
        <v>7</v>
      </c>
      <c r="BW78" s="100">
        <v>3864</v>
      </c>
      <c r="BX78" s="100">
        <v>10</v>
      </c>
      <c r="BY78" s="100">
        <v>5520</v>
      </c>
      <c r="BZ78" s="100">
        <v>6</v>
      </c>
      <c r="CA78" s="100">
        <v>3312</v>
      </c>
      <c r="CB78" s="100">
        <v>11</v>
      </c>
      <c r="CC78" s="100">
        <v>6072</v>
      </c>
      <c r="CD78" s="100">
        <v>6</v>
      </c>
      <c r="CE78" s="100">
        <v>3312</v>
      </c>
      <c r="CF78" s="100">
        <v>6</v>
      </c>
      <c r="CG78" s="100">
        <v>3312</v>
      </c>
      <c r="CH78" s="100">
        <v>10</v>
      </c>
      <c r="CI78" s="100">
        <v>5520</v>
      </c>
      <c r="CJ78" s="100">
        <v>6</v>
      </c>
      <c r="CK78" s="100">
        <v>3312</v>
      </c>
      <c r="CL78" s="100">
        <v>8</v>
      </c>
      <c r="CM78" s="100">
        <v>4416</v>
      </c>
      <c r="CN78" s="100">
        <v>10</v>
      </c>
      <c r="CO78" s="100">
        <v>5520</v>
      </c>
      <c r="CP78" s="100">
        <v>6</v>
      </c>
      <c r="CQ78" s="100">
        <v>3312</v>
      </c>
      <c r="CR78" s="100">
        <v>7</v>
      </c>
      <c r="CS78" s="100">
        <v>3864</v>
      </c>
      <c r="CT78" s="100">
        <v>9</v>
      </c>
      <c r="CU78" s="100">
        <v>4968</v>
      </c>
    </row>
    <row r="79" spans="2:99">
      <c r="C79" s="99" t="s">
        <v>245</v>
      </c>
      <c r="D79" s="100">
        <v>5</v>
      </c>
      <c r="E79" s="100">
        <v>3785.9999999999995</v>
      </c>
      <c r="F79" s="100">
        <v>9</v>
      </c>
      <c r="G79" s="100">
        <v>6814.7999999999993</v>
      </c>
      <c r="H79" s="100">
        <v>6</v>
      </c>
      <c r="I79" s="100">
        <v>4543.2</v>
      </c>
      <c r="J79" s="100">
        <v>8</v>
      </c>
      <c r="K79" s="100">
        <v>6057.5999999999995</v>
      </c>
      <c r="L79" s="100">
        <v>9</v>
      </c>
      <c r="M79" s="100">
        <v>6814.7999999999993</v>
      </c>
      <c r="N79" s="100">
        <v>5</v>
      </c>
      <c r="O79" s="100">
        <v>3785.9999999999995</v>
      </c>
      <c r="P79" s="100">
        <v>10</v>
      </c>
      <c r="Q79" s="100">
        <v>7571.9999999999991</v>
      </c>
      <c r="R79" s="100">
        <v>5</v>
      </c>
      <c r="S79" s="100">
        <v>3785.9999999999995</v>
      </c>
      <c r="T79" s="100">
        <v>8</v>
      </c>
      <c r="U79" s="100">
        <v>6057.5999999999995</v>
      </c>
      <c r="V79" s="100">
        <v>7</v>
      </c>
      <c r="W79" s="100">
        <v>5300.4</v>
      </c>
      <c r="X79" s="100">
        <v>6</v>
      </c>
      <c r="Y79" s="100">
        <v>4543.2</v>
      </c>
      <c r="Z79" s="100">
        <v>8</v>
      </c>
      <c r="AA79" s="100">
        <v>6057.5999999999995</v>
      </c>
      <c r="AB79" s="100">
        <v>9</v>
      </c>
      <c r="AC79" s="100">
        <v>6814.7999999999993</v>
      </c>
      <c r="AD79" s="100">
        <v>8</v>
      </c>
      <c r="AE79" s="100">
        <v>6057.5999999999995</v>
      </c>
      <c r="AF79" s="100">
        <v>6</v>
      </c>
      <c r="AG79" s="100">
        <v>4543.2</v>
      </c>
      <c r="AH79" s="100">
        <v>5</v>
      </c>
      <c r="AI79" s="100">
        <v>3785.9999999999995</v>
      </c>
      <c r="AJ79" s="100">
        <v>7</v>
      </c>
      <c r="AK79" s="100">
        <v>5300.4</v>
      </c>
      <c r="AL79" s="100">
        <v>7</v>
      </c>
      <c r="AM79" s="100">
        <v>5300.4</v>
      </c>
      <c r="AN79" s="100">
        <v>10</v>
      </c>
      <c r="AO79" s="100">
        <v>7571.9999999999991</v>
      </c>
      <c r="AP79" s="100">
        <v>10</v>
      </c>
      <c r="AQ79" s="100">
        <v>7571.9999999999991</v>
      </c>
      <c r="AR79" s="100">
        <v>5</v>
      </c>
      <c r="AS79" s="100">
        <v>3785.9999999999995</v>
      </c>
      <c r="AT79" s="100">
        <v>8</v>
      </c>
      <c r="AU79" s="100">
        <v>6057.5999999999995</v>
      </c>
      <c r="AV79" s="100">
        <v>8</v>
      </c>
      <c r="AW79" s="100">
        <v>6057.5999999999995</v>
      </c>
      <c r="AX79" s="100">
        <v>9</v>
      </c>
      <c r="AY79" s="100">
        <v>6814.7999999999993</v>
      </c>
      <c r="AZ79" s="100">
        <v>6</v>
      </c>
      <c r="BA79" s="100">
        <v>4543.2</v>
      </c>
      <c r="BB79" s="100">
        <v>6</v>
      </c>
      <c r="BC79" s="100">
        <v>4543.2</v>
      </c>
      <c r="BD79" s="100">
        <v>7</v>
      </c>
      <c r="BE79" s="100">
        <v>5300.4</v>
      </c>
      <c r="BF79" s="100">
        <v>6</v>
      </c>
      <c r="BG79" s="100">
        <v>4543.2</v>
      </c>
      <c r="BH79" s="100">
        <v>6</v>
      </c>
      <c r="BI79" s="100">
        <v>4543.2</v>
      </c>
      <c r="BJ79" s="100">
        <v>8</v>
      </c>
      <c r="BK79" s="100">
        <v>6057.5999999999995</v>
      </c>
      <c r="BL79" s="100">
        <v>8</v>
      </c>
      <c r="BM79" s="100">
        <v>6057.5999999999995</v>
      </c>
      <c r="BN79" s="100">
        <v>8</v>
      </c>
      <c r="BO79" s="100">
        <v>6057.5999999999995</v>
      </c>
      <c r="BP79" s="100">
        <v>8</v>
      </c>
      <c r="BQ79" s="100">
        <v>6057.5999999999995</v>
      </c>
      <c r="BR79" s="100">
        <v>5</v>
      </c>
      <c r="BS79" s="100">
        <v>3785.9999999999995</v>
      </c>
      <c r="BT79" s="100">
        <v>7</v>
      </c>
      <c r="BU79" s="100">
        <v>5300.4</v>
      </c>
      <c r="BV79" s="100">
        <v>7</v>
      </c>
      <c r="BW79" s="100">
        <v>5300.4</v>
      </c>
      <c r="BX79" s="100">
        <v>10</v>
      </c>
      <c r="BY79" s="100">
        <v>7571.9999999999991</v>
      </c>
      <c r="BZ79" s="100">
        <v>6</v>
      </c>
      <c r="CA79" s="100">
        <v>4543.2</v>
      </c>
      <c r="CB79" s="100">
        <v>10</v>
      </c>
      <c r="CC79" s="100">
        <v>7571.9999999999991</v>
      </c>
      <c r="CD79" s="100">
        <v>7</v>
      </c>
      <c r="CE79" s="100">
        <v>5300.4</v>
      </c>
      <c r="CF79" s="100">
        <v>5</v>
      </c>
      <c r="CG79" s="100">
        <v>3785.9999999999995</v>
      </c>
      <c r="CH79" s="100">
        <v>9</v>
      </c>
      <c r="CI79" s="100">
        <v>6814.7999999999993</v>
      </c>
      <c r="CJ79" s="100">
        <v>7</v>
      </c>
      <c r="CK79" s="100">
        <v>5300.4</v>
      </c>
      <c r="CL79" s="100">
        <v>8</v>
      </c>
      <c r="CM79" s="100">
        <v>6057.5999999999995</v>
      </c>
      <c r="CN79" s="100">
        <v>10</v>
      </c>
      <c r="CO79" s="100">
        <v>7571.9999999999991</v>
      </c>
      <c r="CP79" s="100">
        <v>6</v>
      </c>
      <c r="CQ79" s="100">
        <v>4543.2</v>
      </c>
      <c r="CR79" s="100">
        <v>6</v>
      </c>
      <c r="CS79" s="100">
        <v>4543.2</v>
      </c>
      <c r="CT79" s="100">
        <v>9</v>
      </c>
      <c r="CU79" s="100">
        <v>6814.7999999999993</v>
      </c>
    </row>
    <row r="80" spans="2:99">
      <c r="C80" s="99" t="s">
        <v>246</v>
      </c>
      <c r="D80" s="100">
        <v>5</v>
      </c>
      <c r="E80" s="100">
        <v>4025.9999999999995</v>
      </c>
      <c r="F80" s="100">
        <v>8</v>
      </c>
      <c r="G80" s="100">
        <v>6441.5999999999995</v>
      </c>
      <c r="H80" s="100">
        <v>6</v>
      </c>
      <c r="I80" s="100">
        <v>4831.2</v>
      </c>
      <c r="J80" s="100">
        <v>8</v>
      </c>
      <c r="K80" s="100">
        <v>6441.5999999999995</v>
      </c>
      <c r="L80" s="100">
        <v>9</v>
      </c>
      <c r="M80" s="100">
        <v>7246.7999999999993</v>
      </c>
      <c r="N80" s="100">
        <v>5</v>
      </c>
      <c r="O80" s="100">
        <v>4025.9999999999995</v>
      </c>
      <c r="P80" s="100">
        <v>9</v>
      </c>
      <c r="Q80" s="100">
        <v>7246.7999999999993</v>
      </c>
      <c r="R80" s="100">
        <v>5</v>
      </c>
      <c r="S80" s="100">
        <v>4025.9999999999995</v>
      </c>
      <c r="T80" s="100">
        <v>9</v>
      </c>
      <c r="U80" s="100">
        <v>7246.7999999999993</v>
      </c>
      <c r="V80" s="100">
        <v>8</v>
      </c>
      <c r="W80" s="100">
        <v>6441.5999999999995</v>
      </c>
      <c r="X80" s="100">
        <v>6</v>
      </c>
      <c r="Y80" s="100">
        <v>4831.2</v>
      </c>
      <c r="Z80" s="100">
        <v>8</v>
      </c>
      <c r="AA80" s="100">
        <v>6441.5999999999995</v>
      </c>
      <c r="AB80" s="100">
        <v>9</v>
      </c>
      <c r="AC80" s="100">
        <v>7246.7999999999993</v>
      </c>
      <c r="AD80" s="100">
        <v>8</v>
      </c>
      <c r="AE80" s="100">
        <v>6441.5999999999995</v>
      </c>
      <c r="AF80" s="100">
        <v>6</v>
      </c>
      <c r="AG80" s="100">
        <v>4831.2</v>
      </c>
      <c r="AH80" s="100">
        <v>5</v>
      </c>
      <c r="AI80" s="100">
        <v>4025.9999999999995</v>
      </c>
      <c r="AJ80" s="100">
        <v>8</v>
      </c>
      <c r="AK80" s="100">
        <v>6441.5999999999995</v>
      </c>
      <c r="AL80" s="100">
        <v>7</v>
      </c>
      <c r="AM80" s="100">
        <v>5636.4</v>
      </c>
      <c r="AN80" s="100">
        <v>9</v>
      </c>
      <c r="AO80" s="100">
        <v>7246.7999999999993</v>
      </c>
      <c r="AP80" s="100">
        <v>10</v>
      </c>
      <c r="AQ80" s="100">
        <v>8051.9999999999991</v>
      </c>
      <c r="AR80" s="100">
        <v>5</v>
      </c>
      <c r="AS80" s="100">
        <v>4025.9999999999995</v>
      </c>
      <c r="AT80" s="100">
        <v>8</v>
      </c>
      <c r="AU80" s="100">
        <v>6441.5999999999995</v>
      </c>
      <c r="AV80" s="100">
        <v>9</v>
      </c>
      <c r="AW80" s="100">
        <v>7246.7999999999993</v>
      </c>
      <c r="AX80" s="100">
        <v>11</v>
      </c>
      <c r="AY80" s="100">
        <v>8857.1999999999989</v>
      </c>
      <c r="AZ80" s="100">
        <v>6</v>
      </c>
      <c r="BA80" s="100">
        <v>4831.2</v>
      </c>
      <c r="BB80" s="100">
        <v>5</v>
      </c>
      <c r="BC80" s="100">
        <v>4025.9999999999995</v>
      </c>
      <c r="BD80" s="100">
        <v>8</v>
      </c>
      <c r="BE80" s="100">
        <v>6441.5999999999995</v>
      </c>
      <c r="BF80" s="100">
        <v>5</v>
      </c>
      <c r="BG80" s="100">
        <v>4025.9999999999995</v>
      </c>
      <c r="BH80" s="100">
        <v>5</v>
      </c>
      <c r="BI80" s="100">
        <v>4025.9999999999995</v>
      </c>
      <c r="BJ80" s="100">
        <v>9</v>
      </c>
      <c r="BK80" s="100">
        <v>7246.7999999999993</v>
      </c>
      <c r="BL80" s="100">
        <v>8</v>
      </c>
      <c r="BM80" s="100">
        <v>6441.5999999999995</v>
      </c>
      <c r="BN80" s="100">
        <v>8</v>
      </c>
      <c r="BO80" s="100">
        <v>6441.5999999999995</v>
      </c>
      <c r="BP80" s="100">
        <v>8</v>
      </c>
      <c r="BQ80" s="100">
        <v>6441.5999999999995</v>
      </c>
      <c r="BR80" s="100">
        <v>6</v>
      </c>
      <c r="BS80" s="100">
        <v>4831.2</v>
      </c>
      <c r="BT80" s="100">
        <v>8</v>
      </c>
      <c r="BU80" s="100">
        <v>6441.5999999999995</v>
      </c>
      <c r="BV80" s="100">
        <v>7</v>
      </c>
      <c r="BW80" s="100">
        <v>5636.4</v>
      </c>
      <c r="BX80" s="100">
        <v>10</v>
      </c>
      <c r="BY80" s="100">
        <v>8051.9999999999991</v>
      </c>
      <c r="BZ80" s="100">
        <v>6</v>
      </c>
      <c r="CA80" s="100">
        <v>4831.2</v>
      </c>
      <c r="CB80" s="100">
        <v>11</v>
      </c>
      <c r="CC80" s="100">
        <v>8857.1999999999989</v>
      </c>
      <c r="CD80" s="100">
        <v>6</v>
      </c>
      <c r="CE80" s="100">
        <v>4831.2</v>
      </c>
      <c r="CF80" s="100">
        <v>6</v>
      </c>
      <c r="CG80" s="100">
        <v>4831.2</v>
      </c>
      <c r="CH80" s="100">
        <v>9</v>
      </c>
      <c r="CI80" s="100">
        <v>7246.7999999999993</v>
      </c>
      <c r="CJ80" s="100">
        <v>7</v>
      </c>
      <c r="CK80" s="100">
        <v>5636.4</v>
      </c>
      <c r="CL80" s="100">
        <v>8</v>
      </c>
      <c r="CM80" s="100">
        <v>6441.5999999999995</v>
      </c>
      <c r="CN80" s="100">
        <v>9</v>
      </c>
      <c r="CO80" s="100">
        <v>7246.7999999999993</v>
      </c>
      <c r="CP80" s="100">
        <v>6</v>
      </c>
      <c r="CQ80" s="100">
        <v>4831.2</v>
      </c>
      <c r="CR80" s="100">
        <v>7</v>
      </c>
      <c r="CS80" s="100">
        <v>5636.4</v>
      </c>
      <c r="CT80" s="100">
        <v>9</v>
      </c>
      <c r="CU80" s="100">
        <v>7246.7999999999993</v>
      </c>
    </row>
    <row r="81" spans="2:99">
      <c r="C81" s="99" t="s">
        <v>247</v>
      </c>
      <c r="D81" s="100">
        <v>5</v>
      </c>
      <c r="E81" s="100">
        <v>3768</v>
      </c>
      <c r="F81" s="100">
        <v>9</v>
      </c>
      <c r="G81" s="100">
        <v>6782.4000000000005</v>
      </c>
      <c r="H81" s="100">
        <v>6</v>
      </c>
      <c r="I81" s="100">
        <v>4521.6000000000004</v>
      </c>
      <c r="J81" s="100">
        <v>7</v>
      </c>
      <c r="K81" s="100">
        <v>5275.2</v>
      </c>
      <c r="L81" s="100">
        <v>8</v>
      </c>
      <c r="M81" s="100">
        <v>6028.8</v>
      </c>
      <c r="N81" s="100">
        <v>5</v>
      </c>
      <c r="O81" s="100">
        <v>3768</v>
      </c>
      <c r="P81" s="100">
        <v>9</v>
      </c>
      <c r="Q81" s="100">
        <v>6782.4000000000005</v>
      </c>
      <c r="R81" s="100">
        <v>5</v>
      </c>
      <c r="S81" s="100">
        <v>3768</v>
      </c>
      <c r="T81" s="100">
        <v>8</v>
      </c>
      <c r="U81" s="100">
        <v>6028.8</v>
      </c>
      <c r="V81" s="100">
        <v>7</v>
      </c>
      <c r="W81" s="100">
        <v>5275.2</v>
      </c>
      <c r="X81" s="100">
        <v>7</v>
      </c>
      <c r="Y81" s="100">
        <v>5275.2</v>
      </c>
      <c r="Z81" s="100">
        <v>8</v>
      </c>
      <c r="AA81" s="100">
        <v>6028.8</v>
      </c>
      <c r="AB81" s="100">
        <v>8</v>
      </c>
      <c r="AC81" s="100">
        <v>6028.8</v>
      </c>
      <c r="AD81" s="100">
        <v>7</v>
      </c>
      <c r="AE81" s="100">
        <v>5275.2</v>
      </c>
      <c r="AF81" s="100">
        <v>6</v>
      </c>
      <c r="AG81" s="100">
        <v>4521.6000000000004</v>
      </c>
      <c r="AH81" s="100">
        <v>5</v>
      </c>
      <c r="AI81" s="100">
        <v>3768</v>
      </c>
      <c r="AJ81" s="100">
        <v>7</v>
      </c>
      <c r="AK81" s="100">
        <v>5275.2</v>
      </c>
      <c r="AL81" s="100">
        <v>7</v>
      </c>
      <c r="AM81" s="100">
        <v>5275.2</v>
      </c>
      <c r="AN81" s="100">
        <v>9</v>
      </c>
      <c r="AO81" s="100">
        <v>6782.4000000000005</v>
      </c>
      <c r="AP81" s="100">
        <v>9</v>
      </c>
      <c r="AQ81" s="100">
        <v>6782.4000000000005</v>
      </c>
      <c r="AR81" s="100">
        <v>5</v>
      </c>
      <c r="AS81" s="100">
        <v>3768</v>
      </c>
      <c r="AT81" s="100">
        <v>8</v>
      </c>
      <c r="AU81" s="100">
        <v>6028.8</v>
      </c>
      <c r="AV81" s="100">
        <v>8</v>
      </c>
      <c r="AW81" s="100">
        <v>6028.8</v>
      </c>
      <c r="AX81" s="100">
        <v>9</v>
      </c>
      <c r="AY81" s="100">
        <v>6782.4000000000005</v>
      </c>
      <c r="AZ81" s="100">
        <v>5</v>
      </c>
      <c r="BA81" s="100">
        <v>3768</v>
      </c>
      <c r="BB81" s="100">
        <v>6</v>
      </c>
      <c r="BC81" s="100">
        <v>4521.6000000000004</v>
      </c>
      <c r="BD81" s="100">
        <v>7</v>
      </c>
      <c r="BE81" s="100">
        <v>5275.2</v>
      </c>
      <c r="BF81" s="100">
        <v>5</v>
      </c>
      <c r="BG81" s="100">
        <v>3768</v>
      </c>
      <c r="BH81" s="100">
        <v>6</v>
      </c>
      <c r="BI81" s="100">
        <v>4521.6000000000004</v>
      </c>
      <c r="BJ81" s="100">
        <v>7</v>
      </c>
      <c r="BK81" s="100">
        <v>5275.2</v>
      </c>
      <c r="BL81" s="100">
        <v>8</v>
      </c>
      <c r="BM81" s="100">
        <v>6028.8</v>
      </c>
      <c r="BN81" s="100">
        <v>9</v>
      </c>
      <c r="BO81" s="100">
        <v>6782.4000000000005</v>
      </c>
      <c r="BP81" s="100">
        <v>9</v>
      </c>
      <c r="BQ81" s="100">
        <v>6782.4000000000005</v>
      </c>
      <c r="BR81" s="100">
        <v>6</v>
      </c>
      <c r="BS81" s="100">
        <v>4521.6000000000004</v>
      </c>
      <c r="BT81" s="100">
        <v>7</v>
      </c>
      <c r="BU81" s="100">
        <v>5275.2</v>
      </c>
      <c r="BV81" s="100">
        <v>7</v>
      </c>
      <c r="BW81" s="100">
        <v>5275.2</v>
      </c>
      <c r="BX81" s="100">
        <v>10</v>
      </c>
      <c r="BY81" s="100">
        <v>7536</v>
      </c>
      <c r="BZ81" s="100">
        <v>6</v>
      </c>
      <c r="CA81" s="100">
        <v>4521.6000000000004</v>
      </c>
      <c r="CB81" s="100">
        <v>11</v>
      </c>
      <c r="CC81" s="100">
        <v>8289.6</v>
      </c>
      <c r="CD81" s="100">
        <v>6</v>
      </c>
      <c r="CE81" s="100">
        <v>4521.6000000000004</v>
      </c>
      <c r="CF81" s="100">
        <v>6</v>
      </c>
      <c r="CG81" s="100">
        <v>4521.6000000000004</v>
      </c>
      <c r="CH81" s="100">
        <v>9</v>
      </c>
      <c r="CI81" s="100">
        <v>6782.4000000000005</v>
      </c>
      <c r="CJ81" s="100">
        <v>7</v>
      </c>
      <c r="CK81" s="100">
        <v>5275.2</v>
      </c>
      <c r="CL81" s="100">
        <v>7</v>
      </c>
      <c r="CM81" s="100">
        <v>5275.2</v>
      </c>
      <c r="CN81" s="100">
        <v>10</v>
      </c>
      <c r="CO81" s="100">
        <v>7536</v>
      </c>
      <c r="CP81" s="100">
        <v>6</v>
      </c>
      <c r="CQ81" s="100">
        <v>4521.6000000000004</v>
      </c>
      <c r="CR81" s="100">
        <v>7</v>
      </c>
      <c r="CS81" s="100">
        <v>5275.2</v>
      </c>
      <c r="CT81" s="100">
        <v>9</v>
      </c>
      <c r="CU81" s="100">
        <v>6782.4000000000005</v>
      </c>
    </row>
    <row r="82" spans="2:99">
      <c r="C82" s="99" t="s">
        <v>248</v>
      </c>
      <c r="D82" s="100">
        <v>5</v>
      </c>
      <c r="E82" s="100">
        <v>2543.9999999999995</v>
      </c>
      <c r="F82" s="100">
        <v>8</v>
      </c>
      <c r="G82" s="100">
        <v>4070.3999999999992</v>
      </c>
      <c r="H82" s="100">
        <v>7</v>
      </c>
      <c r="I82" s="100">
        <v>3561.5999999999995</v>
      </c>
      <c r="J82" s="100">
        <v>7</v>
      </c>
      <c r="K82" s="100">
        <v>3561.5999999999995</v>
      </c>
      <c r="L82" s="100">
        <v>8</v>
      </c>
      <c r="M82" s="100">
        <v>4070.3999999999992</v>
      </c>
      <c r="N82" s="100">
        <v>5</v>
      </c>
      <c r="O82" s="100">
        <v>2543.9999999999995</v>
      </c>
      <c r="P82" s="100">
        <v>10</v>
      </c>
      <c r="Q82" s="100">
        <v>5087.9999999999991</v>
      </c>
      <c r="R82" s="100">
        <v>5</v>
      </c>
      <c r="S82" s="100">
        <v>2543.9999999999995</v>
      </c>
      <c r="T82" s="100">
        <v>8</v>
      </c>
      <c r="U82" s="100">
        <v>4070.3999999999992</v>
      </c>
      <c r="V82" s="100">
        <v>7</v>
      </c>
      <c r="W82" s="100">
        <v>3561.5999999999995</v>
      </c>
      <c r="X82" s="100">
        <v>7</v>
      </c>
      <c r="Y82" s="100">
        <v>3561.5999999999995</v>
      </c>
      <c r="Z82" s="100">
        <v>8</v>
      </c>
      <c r="AA82" s="100">
        <v>4070.3999999999992</v>
      </c>
      <c r="AB82" s="100">
        <v>8</v>
      </c>
      <c r="AC82" s="100">
        <v>4070.3999999999992</v>
      </c>
      <c r="AD82" s="100">
        <v>7</v>
      </c>
      <c r="AE82" s="100">
        <v>3561.5999999999995</v>
      </c>
      <c r="AF82" s="100">
        <v>6</v>
      </c>
      <c r="AG82" s="100">
        <v>3052.7999999999993</v>
      </c>
      <c r="AH82" s="100">
        <v>5</v>
      </c>
      <c r="AI82" s="100">
        <v>2543.9999999999995</v>
      </c>
      <c r="AJ82" s="100">
        <v>8</v>
      </c>
      <c r="AK82" s="100">
        <v>4070.3999999999992</v>
      </c>
      <c r="AL82" s="100">
        <v>8</v>
      </c>
      <c r="AM82" s="100">
        <v>4070.3999999999992</v>
      </c>
      <c r="AN82" s="100">
        <v>9</v>
      </c>
      <c r="AO82" s="100">
        <v>4579.1999999999989</v>
      </c>
      <c r="AP82" s="100">
        <v>10</v>
      </c>
      <c r="AQ82" s="100">
        <v>5087.9999999999991</v>
      </c>
      <c r="AR82" s="100">
        <v>5</v>
      </c>
      <c r="AS82" s="100">
        <v>2543.9999999999995</v>
      </c>
      <c r="AT82" s="100">
        <v>7</v>
      </c>
      <c r="AU82" s="100">
        <v>3561.5999999999995</v>
      </c>
      <c r="AV82" s="100">
        <v>9</v>
      </c>
      <c r="AW82" s="100">
        <v>4579.1999999999989</v>
      </c>
      <c r="AX82" s="100">
        <v>9</v>
      </c>
      <c r="AY82" s="100">
        <v>4579.1999999999989</v>
      </c>
      <c r="AZ82" s="100">
        <v>6</v>
      </c>
      <c r="BA82" s="100">
        <v>3052.7999999999993</v>
      </c>
      <c r="BB82" s="100">
        <v>5</v>
      </c>
      <c r="BC82" s="100">
        <v>2543.9999999999995</v>
      </c>
      <c r="BD82" s="100">
        <v>8</v>
      </c>
      <c r="BE82" s="100">
        <v>4070.3999999999992</v>
      </c>
      <c r="BF82" s="100">
        <v>5</v>
      </c>
      <c r="BG82" s="100">
        <v>2543.9999999999995</v>
      </c>
      <c r="BH82" s="100">
        <v>5</v>
      </c>
      <c r="BI82" s="100">
        <v>2543.9999999999995</v>
      </c>
      <c r="BJ82" s="100">
        <v>8</v>
      </c>
      <c r="BK82" s="100">
        <v>4070.3999999999992</v>
      </c>
      <c r="BL82" s="100">
        <v>9</v>
      </c>
      <c r="BM82" s="100">
        <v>4579.1999999999989</v>
      </c>
      <c r="BN82" s="100">
        <v>8</v>
      </c>
      <c r="BO82" s="100">
        <v>4070.3999999999992</v>
      </c>
      <c r="BP82" s="100">
        <v>7</v>
      </c>
      <c r="BQ82" s="100">
        <v>3561.5999999999995</v>
      </c>
      <c r="BR82" s="100">
        <v>6</v>
      </c>
      <c r="BS82" s="100">
        <v>3052.7999999999993</v>
      </c>
      <c r="BT82" s="100">
        <v>8</v>
      </c>
      <c r="BU82" s="100">
        <v>4070.3999999999992</v>
      </c>
      <c r="BV82" s="100">
        <v>7</v>
      </c>
      <c r="BW82" s="100">
        <v>3561.5999999999995</v>
      </c>
      <c r="BX82" s="100">
        <v>10</v>
      </c>
      <c r="BY82" s="100">
        <v>5087.9999999999991</v>
      </c>
      <c r="BZ82" s="100">
        <v>6</v>
      </c>
      <c r="CA82" s="100">
        <v>3052.7999999999993</v>
      </c>
      <c r="CB82" s="100">
        <v>10</v>
      </c>
      <c r="CC82" s="100">
        <v>5087.9999999999991</v>
      </c>
      <c r="CD82" s="100">
        <v>7</v>
      </c>
      <c r="CE82" s="100">
        <v>3561.5999999999995</v>
      </c>
      <c r="CF82" s="100">
        <v>5</v>
      </c>
      <c r="CG82" s="100">
        <v>2543.9999999999995</v>
      </c>
      <c r="CH82" s="100">
        <v>9</v>
      </c>
      <c r="CI82" s="100">
        <v>4579.1999999999989</v>
      </c>
      <c r="CJ82" s="100">
        <v>7</v>
      </c>
      <c r="CK82" s="100">
        <v>3561.5999999999995</v>
      </c>
      <c r="CL82" s="100">
        <v>9</v>
      </c>
      <c r="CM82" s="100">
        <v>4579.1999999999989</v>
      </c>
      <c r="CN82" s="100">
        <v>9</v>
      </c>
      <c r="CO82" s="100">
        <v>4579.1999999999989</v>
      </c>
      <c r="CP82" s="100">
        <v>6</v>
      </c>
      <c r="CQ82" s="100">
        <v>3052.7999999999993</v>
      </c>
      <c r="CR82" s="100">
        <v>6</v>
      </c>
      <c r="CS82" s="100">
        <v>3052.7999999999993</v>
      </c>
      <c r="CT82" s="100">
        <v>8</v>
      </c>
      <c r="CU82" s="100">
        <v>4070.3999999999992</v>
      </c>
    </row>
    <row r="83" spans="2:99">
      <c r="C83" s="99" t="s">
        <v>249</v>
      </c>
      <c r="D83" s="100">
        <v>5</v>
      </c>
      <c r="E83" s="100">
        <v>4302</v>
      </c>
      <c r="F83" s="100">
        <v>8</v>
      </c>
      <c r="G83" s="100">
        <v>6883.2</v>
      </c>
      <c r="H83" s="100">
        <v>6</v>
      </c>
      <c r="I83" s="100">
        <v>5162.3999999999996</v>
      </c>
      <c r="J83" s="100">
        <v>7</v>
      </c>
      <c r="K83" s="100">
        <v>6022.8</v>
      </c>
      <c r="L83" s="100">
        <v>8</v>
      </c>
      <c r="M83" s="100">
        <v>6883.2</v>
      </c>
      <c r="N83" s="100">
        <v>5</v>
      </c>
      <c r="O83" s="100">
        <v>4302</v>
      </c>
      <c r="P83" s="100">
        <v>10</v>
      </c>
      <c r="Q83" s="100">
        <v>8604</v>
      </c>
      <c r="R83" s="100">
        <v>5</v>
      </c>
      <c r="S83" s="100">
        <v>4302</v>
      </c>
      <c r="T83" s="100">
        <v>9</v>
      </c>
      <c r="U83" s="100">
        <v>7743.5999999999995</v>
      </c>
      <c r="V83" s="100">
        <v>6</v>
      </c>
      <c r="W83" s="100">
        <v>5162.3999999999996</v>
      </c>
      <c r="X83" s="100">
        <v>7</v>
      </c>
      <c r="Y83" s="100">
        <v>6022.8</v>
      </c>
      <c r="Z83" s="100">
        <v>8</v>
      </c>
      <c r="AA83" s="100">
        <v>6883.2</v>
      </c>
      <c r="AB83" s="100">
        <v>9</v>
      </c>
      <c r="AC83" s="100">
        <v>7743.5999999999995</v>
      </c>
      <c r="AD83" s="100">
        <v>8</v>
      </c>
      <c r="AE83" s="100">
        <v>6883.2</v>
      </c>
      <c r="AF83" s="100">
        <v>5</v>
      </c>
      <c r="AG83" s="100">
        <v>4302</v>
      </c>
      <c r="AH83" s="100">
        <v>5</v>
      </c>
      <c r="AI83" s="100">
        <v>4302</v>
      </c>
      <c r="AJ83" s="100">
        <v>8</v>
      </c>
      <c r="AK83" s="100">
        <v>6883.2</v>
      </c>
      <c r="AL83" s="100">
        <v>7</v>
      </c>
      <c r="AM83" s="100">
        <v>6022.8</v>
      </c>
      <c r="AN83" s="100">
        <v>10</v>
      </c>
      <c r="AO83" s="100">
        <v>8604</v>
      </c>
      <c r="AP83" s="100">
        <v>10</v>
      </c>
      <c r="AQ83" s="100">
        <v>8604</v>
      </c>
      <c r="AR83" s="100">
        <v>5</v>
      </c>
      <c r="AS83" s="100">
        <v>4302</v>
      </c>
      <c r="AT83" s="100">
        <v>8</v>
      </c>
      <c r="AU83" s="100">
        <v>6883.2</v>
      </c>
      <c r="AV83" s="100">
        <v>8</v>
      </c>
      <c r="AW83" s="100">
        <v>6883.2</v>
      </c>
      <c r="AX83" s="100">
        <v>10</v>
      </c>
      <c r="AY83" s="100">
        <v>8604</v>
      </c>
      <c r="AZ83" s="100">
        <v>6</v>
      </c>
      <c r="BA83" s="100">
        <v>5162.3999999999996</v>
      </c>
      <c r="BB83" s="100">
        <v>6</v>
      </c>
      <c r="BC83" s="100">
        <v>5162.3999999999996</v>
      </c>
      <c r="BD83" s="100">
        <v>7</v>
      </c>
      <c r="BE83" s="100">
        <v>6022.8</v>
      </c>
      <c r="BF83" s="100">
        <v>5</v>
      </c>
      <c r="BG83" s="100">
        <v>4302</v>
      </c>
      <c r="BH83" s="100">
        <v>5</v>
      </c>
      <c r="BI83" s="100">
        <v>4302</v>
      </c>
      <c r="BJ83" s="100">
        <v>9</v>
      </c>
      <c r="BK83" s="100">
        <v>7743.5999999999995</v>
      </c>
      <c r="BL83" s="100">
        <v>8</v>
      </c>
      <c r="BM83" s="100">
        <v>6883.2</v>
      </c>
      <c r="BN83" s="100">
        <v>9</v>
      </c>
      <c r="BO83" s="100">
        <v>7743.5999999999995</v>
      </c>
      <c r="BP83" s="100">
        <v>8</v>
      </c>
      <c r="BQ83" s="100">
        <v>6883.2</v>
      </c>
      <c r="BR83" s="100">
        <v>6</v>
      </c>
      <c r="BS83" s="100">
        <v>5162.3999999999996</v>
      </c>
      <c r="BT83" s="100">
        <v>7</v>
      </c>
      <c r="BU83" s="100">
        <v>6022.8</v>
      </c>
      <c r="BV83" s="100">
        <v>7</v>
      </c>
      <c r="BW83" s="100">
        <v>6022.8</v>
      </c>
      <c r="BX83" s="100">
        <v>10</v>
      </c>
      <c r="BY83" s="100">
        <v>8604</v>
      </c>
      <c r="BZ83" s="100">
        <v>6</v>
      </c>
      <c r="CA83" s="100">
        <v>5162.3999999999996</v>
      </c>
      <c r="CB83" s="100">
        <v>11</v>
      </c>
      <c r="CC83" s="100">
        <v>9464.4</v>
      </c>
      <c r="CD83" s="100">
        <v>7</v>
      </c>
      <c r="CE83" s="100">
        <v>6022.8</v>
      </c>
      <c r="CF83" s="100">
        <v>5</v>
      </c>
      <c r="CG83" s="100">
        <v>4302</v>
      </c>
      <c r="CH83" s="100">
        <v>9</v>
      </c>
      <c r="CI83" s="100">
        <v>7743.5999999999995</v>
      </c>
      <c r="CJ83" s="100">
        <v>7</v>
      </c>
      <c r="CK83" s="100">
        <v>6022.8</v>
      </c>
      <c r="CL83" s="100">
        <v>8</v>
      </c>
      <c r="CM83" s="100">
        <v>6883.2</v>
      </c>
      <c r="CN83" s="100">
        <v>9</v>
      </c>
      <c r="CO83" s="100">
        <v>7743.5999999999995</v>
      </c>
      <c r="CP83" s="100">
        <v>5</v>
      </c>
      <c r="CQ83" s="100">
        <v>4302</v>
      </c>
      <c r="CR83" s="100">
        <v>7</v>
      </c>
      <c r="CS83" s="100">
        <v>6022.8</v>
      </c>
      <c r="CT83" s="100">
        <v>8</v>
      </c>
      <c r="CU83" s="100">
        <v>6883.2</v>
      </c>
    </row>
    <row r="84" spans="2:99">
      <c r="C84" s="99" t="s">
        <v>250</v>
      </c>
      <c r="D84" s="100">
        <v>6</v>
      </c>
      <c r="E84" s="100">
        <v>4687.2</v>
      </c>
      <c r="F84" s="100">
        <v>8</v>
      </c>
      <c r="G84" s="100">
        <v>6249.5999999999995</v>
      </c>
      <c r="H84" s="100">
        <v>7</v>
      </c>
      <c r="I84" s="100">
        <v>5468.4</v>
      </c>
      <c r="J84" s="100">
        <v>8</v>
      </c>
      <c r="K84" s="100">
        <v>6249.5999999999995</v>
      </c>
      <c r="L84" s="100">
        <v>8</v>
      </c>
      <c r="M84" s="100">
        <v>6249.5999999999995</v>
      </c>
      <c r="N84" s="100">
        <v>5</v>
      </c>
      <c r="O84" s="100">
        <v>3905.9999999999995</v>
      </c>
      <c r="P84" s="100">
        <v>9</v>
      </c>
      <c r="Q84" s="100">
        <v>7030.7999999999993</v>
      </c>
      <c r="R84" s="100">
        <v>5</v>
      </c>
      <c r="S84" s="100">
        <v>3905.9999999999995</v>
      </c>
      <c r="T84" s="100">
        <v>8</v>
      </c>
      <c r="U84" s="100">
        <v>6249.5999999999995</v>
      </c>
      <c r="V84" s="100">
        <v>7</v>
      </c>
      <c r="W84" s="100">
        <v>5468.4</v>
      </c>
      <c r="X84" s="100">
        <v>6</v>
      </c>
      <c r="Y84" s="100">
        <v>4687.2</v>
      </c>
      <c r="Z84" s="100">
        <v>7</v>
      </c>
      <c r="AA84" s="100">
        <v>5468.4</v>
      </c>
      <c r="AB84" s="100">
        <v>8</v>
      </c>
      <c r="AC84" s="100">
        <v>6249.5999999999995</v>
      </c>
      <c r="AD84" s="100">
        <v>7</v>
      </c>
      <c r="AE84" s="100">
        <v>5468.4</v>
      </c>
      <c r="AF84" s="100">
        <v>5</v>
      </c>
      <c r="AG84" s="100">
        <v>3905.9999999999995</v>
      </c>
      <c r="AH84" s="100">
        <v>5</v>
      </c>
      <c r="AI84" s="100">
        <v>3905.9999999999995</v>
      </c>
      <c r="AJ84" s="100">
        <v>7</v>
      </c>
      <c r="AK84" s="100">
        <v>5468.4</v>
      </c>
      <c r="AL84" s="100">
        <v>6</v>
      </c>
      <c r="AM84" s="100">
        <v>4687.2</v>
      </c>
      <c r="AN84" s="100">
        <v>9</v>
      </c>
      <c r="AO84" s="100">
        <v>7030.7999999999993</v>
      </c>
      <c r="AP84" s="100">
        <v>10</v>
      </c>
      <c r="AQ84" s="100">
        <v>7811.9999999999991</v>
      </c>
      <c r="AR84" s="100">
        <v>5</v>
      </c>
      <c r="AS84" s="100">
        <v>3905.9999999999995</v>
      </c>
      <c r="AT84" s="100">
        <v>8</v>
      </c>
      <c r="AU84" s="100">
        <v>6249.5999999999995</v>
      </c>
      <c r="AV84" s="100">
        <v>9</v>
      </c>
      <c r="AW84" s="100">
        <v>7030.7999999999993</v>
      </c>
      <c r="AX84" s="100">
        <v>9</v>
      </c>
      <c r="AY84" s="100">
        <v>7030.7999999999993</v>
      </c>
      <c r="AZ84" s="100">
        <v>6</v>
      </c>
      <c r="BA84" s="100">
        <v>4687.2</v>
      </c>
      <c r="BB84" s="100">
        <v>5</v>
      </c>
      <c r="BC84" s="100">
        <v>3905.9999999999995</v>
      </c>
      <c r="BD84" s="100">
        <v>8</v>
      </c>
      <c r="BE84" s="100">
        <v>6249.5999999999995</v>
      </c>
      <c r="BF84" s="100">
        <v>6</v>
      </c>
      <c r="BG84" s="100">
        <v>4687.2</v>
      </c>
      <c r="BH84" s="100">
        <v>5</v>
      </c>
      <c r="BI84" s="100">
        <v>3905.9999999999995</v>
      </c>
      <c r="BJ84" s="100">
        <v>9</v>
      </c>
      <c r="BK84" s="100">
        <v>7030.7999999999993</v>
      </c>
      <c r="BL84" s="100">
        <v>9</v>
      </c>
      <c r="BM84" s="100">
        <v>7030.7999999999993</v>
      </c>
      <c r="BN84" s="100">
        <v>8</v>
      </c>
      <c r="BO84" s="100">
        <v>6249.5999999999995</v>
      </c>
      <c r="BP84" s="100">
        <v>8</v>
      </c>
      <c r="BQ84" s="100">
        <v>6249.5999999999995</v>
      </c>
      <c r="BR84" s="100">
        <v>6</v>
      </c>
      <c r="BS84" s="100">
        <v>4687.2</v>
      </c>
      <c r="BT84" s="100">
        <v>8</v>
      </c>
      <c r="BU84" s="100">
        <v>6249.5999999999995</v>
      </c>
      <c r="BV84" s="100">
        <v>7</v>
      </c>
      <c r="BW84" s="100">
        <v>5468.4</v>
      </c>
      <c r="BX84" s="100">
        <v>9</v>
      </c>
      <c r="BY84" s="100">
        <v>7030.7999999999993</v>
      </c>
      <c r="BZ84" s="100">
        <v>6</v>
      </c>
      <c r="CA84" s="100">
        <v>4687.2</v>
      </c>
      <c r="CB84" s="100">
        <v>10</v>
      </c>
      <c r="CC84" s="100">
        <v>7811.9999999999991</v>
      </c>
      <c r="CD84" s="100">
        <v>6</v>
      </c>
      <c r="CE84" s="100">
        <v>4687.2</v>
      </c>
      <c r="CF84" s="100">
        <v>6</v>
      </c>
      <c r="CG84" s="100">
        <v>4687.2</v>
      </c>
      <c r="CH84" s="100">
        <v>10</v>
      </c>
      <c r="CI84" s="100">
        <v>7811.9999999999991</v>
      </c>
      <c r="CJ84" s="100">
        <v>7</v>
      </c>
      <c r="CK84" s="100">
        <v>5468.4</v>
      </c>
      <c r="CL84" s="100">
        <v>8</v>
      </c>
      <c r="CM84" s="100">
        <v>6249.5999999999995</v>
      </c>
      <c r="CN84" s="100">
        <v>10</v>
      </c>
      <c r="CO84" s="100">
        <v>7811.9999999999991</v>
      </c>
      <c r="CP84" s="100">
        <v>6</v>
      </c>
      <c r="CQ84" s="100">
        <v>4687.2</v>
      </c>
      <c r="CR84" s="100">
        <v>7</v>
      </c>
      <c r="CS84" s="100">
        <v>5468.4</v>
      </c>
      <c r="CT84" s="100">
        <v>9</v>
      </c>
      <c r="CU84" s="100">
        <v>7030.7999999999993</v>
      </c>
    </row>
    <row r="85" spans="2:99">
      <c r="C85" s="99" t="s">
        <v>251</v>
      </c>
      <c r="D85" s="100">
        <v>5</v>
      </c>
      <c r="E85" s="100">
        <v>750</v>
      </c>
      <c r="F85" s="100">
        <v>9</v>
      </c>
      <c r="G85" s="100">
        <v>1350</v>
      </c>
      <c r="H85" s="100">
        <v>7</v>
      </c>
      <c r="I85" s="100">
        <v>1050</v>
      </c>
      <c r="J85" s="100">
        <v>7</v>
      </c>
      <c r="K85" s="100">
        <v>1050</v>
      </c>
      <c r="L85" s="100">
        <v>9</v>
      </c>
      <c r="M85" s="100">
        <v>1350</v>
      </c>
      <c r="N85" s="100">
        <v>5</v>
      </c>
      <c r="O85" s="100">
        <v>750</v>
      </c>
      <c r="P85" s="100">
        <v>11</v>
      </c>
      <c r="Q85" s="100">
        <v>1650</v>
      </c>
      <c r="R85" s="100">
        <v>5</v>
      </c>
      <c r="S85" s="100">
        <v>750</v>
      </c>
      <c r="T85" s="100">
        <v>9</v>
      </c>
      <c r="U85" s="100">
        <v>1350</v>
      </c>
      <c r="V85" s="100">
        <v>7</v>
      </c>
      <c r="W85" s="100">
        <v>1050</v>
      </c>
      <c r="X85" s="100">
        <v>7</v>
      </c>
      <c r="Y85" s="100">
        <v>1050</v>
      </c>
      <c r="Z85" s="100">
        <v>8</v>
      </c>
      <c r="AA85" s="100">
        <v>1200</v>
      </c>
      <c r="AB85" s="100">
        <v>10</v>
      </c>
      <c r="AC85" s="100">
        <v>1500</v>
      </c>
      <c r="AD85" s="100">
        <v>9</v>
      </c>
      <c r="AE85" s="100">
        <v>1350</v>
      </c>
      <c r="AF85" s="100">
        <v>6</v>
      </c>
      <c r="AG85" s="100">
        <v>900</v>
      </c>
      <c r="AH85" s="100">
        <v>6</v>
      </c>
      <c r="AI85" s="100">
        <v>900</v>
      </c>
      <c r="AJ85" s="100">
        <v>9</v>
      </c>
      <c r="AK85" s="100">
        <v>1350</v>
      </c>
      <c r="AL85" s="100">
        <v>8</v>
      </c>
      <c r="AM85" s="100">
        <v>1200</v>
      </c>
      <c r="AN85" s="100">
        <v>10</v>
      </c>
      <c r="AO85" s="100">
        <v>1500</v>
      </c>
      <c r="AP85" s="100">
        <v>10</v>
      </c>
      <c r="AQ85" s="100">
        <v>1500</v>
      </c>
      <c r="AR85" s="100">
        <v>6</v>
      </c>
      <c r="AS85" s="100">
        <v>900</v>
      </c>
      <c r="AT85" s="100">
        <v>9</v>
      </c>
      <c r="AU85" s="100">
        <v>1350</v>
      </c>
      <c r="AV85" s="100">
        <v>9</v>
      </c>
      <c r="AW85" s="100">
        <v>1350</v>
      </c>
      <c r="AX85" s="100">
        <v>10</v>
      </c>
      <c r="AY85" s="100">
        <v>1500</v>
      </c>
      <c r="AZ85" s="100">
        <v>6</v>
      </c>
      <c r="BA85" s="100">
        <v>900</v>
      </c>
      <c r="BB85" s="100">
        <v>6</v>
      </c>
      <c r="BC85" s="100">
        <v>900</v>
      </c>
      <c r="BD85" s="100">
        <v>8</v>
      </c>
      <c r="BE85" s="100">
        <v>1200</v>
      </c>
      <c r="BF85" s="100">
        <v>5</v>
      </c>
      <c r="BG85" s="100">
        <v>750</v>
      </c>
      <c r="BH85" s="100">
        <v>6</v>
      </c>
      <c r="BI85" s="100">
        <v>900</v>
      </c>
      <c r="BJ85" s="100">
        <v>8</v>
      </c>
      <c r="BK85" s="100">
        <v>1200</v>
      </c>
      <c r="BL85" s="100">
        <v>9</v>
      </c>
      <c r="BM85" s="100">
        <v>1350</v>
      </c>
      <c r="BN85" s="100">
        <v>10</v>
      </c>
      <c r="BO85" s="100">
        <v>1500</v>
      </c>
      <c r="BP85" s="100">
        <v>9</v>
      </c>
      <c r="BQ85" s="100">
        <v>1350</v>
      </c>
      <c r="BR85" s="100">
        <v>7</v>
      </c>
      <c r="BS85" s="100">
        <v>1050</v>
      </c>
      <c r="BT85" s="100">
        <v>8</v>
      </c>
      <c r="BU85" s="100">
        <v>1200</v>
      </c>
      <c r="BV85" s="100">
        <v>6</v>
      </c>
      <c r="BW85" s="100">
        <v>900</v>
      </c>
      <c r="BX85" s="100">
        <v>10</v>
      </c>
      <c r="BY85" s="100">
        <v>1500</v>
      </c>
      <c r="BZ85" s="100">
        <v>6</v>
      </c>
      <c r="CA85" s="100">
        <v>900</v>
      </c>
      <c r="CB85" s="100">
        <v>12</v>
      </c>
      <c r="CC85" s="100">
        <v>1800</v>
      </c>
      <c r="CD85" s="100">
        <v>7</v>
      </c>
      <c r="CE85" s="100">
        <v>1050</v>
      </c>
      <c r="CF85" s="100">
        <v>6</v>
      </c>
      <c r="CG85" s="100">
        <v>900</v>
      </c>
      <c r="CH85" s="100">
        <v>10</v>
      </c>
      <c r="CI85" s="100">
        <v>1500</v>
      </c>
      <c r="CJ85" s="100">
        <v>7</v>
      </c>
      <c r="CK85" s="100">
        <v>1050</v>
      </c>
      <c r="CL85" s="100">
        <v>9</v>
      </c>
      <c r="CM85" s="100">
        <v>1350</v>
      </c>
      <c r="CN85" s="100">
        <v>10</v>
      </c>
      <c r="CO85" s="100">
        <v>1500</v>
      </c>
      <c r="CP85" s="100">
        <v>6</v>
      </c>
      <c r="CQ85" s="100">
        <v>900</v>
      </c>
      <c r="CR85" s="100">
        <v>7</v>
      </c>
      <c r="CS85" s="100">
        <v>1050</v>
      </c>
      <c r="CT85" s="100">
        <v>9</v>
      </c>
      <c r="CU85" s="100">
        <v>1350</v>
      </c>
    </row>
    <row r="86" spans="2:99">
      <c r="C86" s="99" t="s">
        <v>252</v>
      </c>
      <c r="D86" s="100">
        <v>5</v>
      </c>
      <c r="E86" s="100">
        <v>2700</v>
      </c>
      <c r="F86" s="100">
        <v>8</v>
      </c>
      <c r="G86" s="100">
        <v>4320</v>
      </c>
      <c r="H86" s="100">
        <v>6</v>
      </c>
      <c r="I86" s="100">
        <v>3240</v>
      </c>
      <c r="J86" s="100">
        <v>8</v>
      </c>
      <c r="K86" s="100">
        <v>4320</v>
      </c>
      <c r="L86" s="100">
        <v>10</v>
      </c>
      <c r="M86" s="100">
        <v>5400</v>
      </c>
      <c r="N86" s="100">
        <v>5</v>
      </c>
      <c r="O86" s="100">
        <v>2700</v>
      </c>
      <c r="P86" s="100">
        <v>10</v>
      </c>
      <c r="Q86" s="100">
        <v>5400</v>
      </c>
      <c r="R86" s="100">
        <v>5</v>
      </c>
      <c r="S86" s="100">
        <v>2700</v>
      </c>
      <c r="T86" s="100">
        <v>8</v>
      </c>
      <c r="U86" s="100">
        <v>4320</v>
      </c>
      <c r="V86" s="100">
        <v>7</v>
      </c>
      <c r="W86" s="100">
        <v>3780</v>
      </c>
      <c r="X86" s="100">
        <v>6</v>
      </c>
      <c r="Y86" s="100">
        <v>3240</v>
      </c>
      <c r="Z86" s="100">
        <v>8</v>
      </c>
      <c r="AA86" s="100">
        <v>4320</v>
      </c>
      <c r="AB86" s="100">
        <v>9</v>
      </c>
      <c r="AC86" s="100">
        <v>4860</v>
      </c>
      <c r="AD86" s="100">
        <v>8</v>
      </c>
      <c r="AE86" s="100">
        <v>4320</v>
      </c>
      <c r="AF86" s="100">
        <v>5</v>
      </c>
      <c r="AG86" s="100">
        <v>2700</v>
      </c>
      <c r="AH86" s="100">
        <v>6</v>
      </c>
      <c r="AI86" s="100">
        <v>3240</v>
      </c>
      <c r="AJ86" s="100">
        <v>8</v>
      </c>
      <c r="AK86" s="100">
        <v>4320</v>
      </c>
      <c r="AL86" s="100">
        <v>7</v>
      </c>
      <c r="AM86" s="100">
        <v>3780</v>
      </c>
      <c r="AN86" s="100">
        <v>10</v>
      </c>
      <c r="AO86" s="100">
        <v>5400</v>
      </c>
      <c r="AP86" s="100">
        <v>9</v>
      </c>
      <c r="AQ86" s="100">
        <v>4860</v>
      </c>
      <c r="AR86" s="100">
        <v>5</v>
      </c>
      <c r="AS86" s="100">
        <v>2700</v>
      </c>
      <c r="AT86" s="100">
        <v>8</v>
      </c>
      <c r="AU86" s="100">
        <v>4320</v>
      </c>
      <c r="AV86" s="100">
        <v>9</v>
      </c>
      <c r="AW86" s="100">
        <v>4860</v>
      </c>
      <c r="AX86" s="100">
        <v>10</v>
      </c>
      <c r="AY86" s="100">
        <v>5400</v>
      </c>
      <c r="AZ86" s="100">
        <v>6</v>
      </c>
      <c r="BA86" s="100">
        <v>3240</v>
      </c>
      <c r="BB86" s="100">
        <v>6</v>
      </c>
      <c r="BC86" s="100">
        <v>3240</v>
      </c>
      <c r="BD86" s="100">
        <v>7</v>
      </c>
      <c r="BE86" s="100">
        <v>3780</v>
      </c>
      <c r="BF86" s="100">
        <v>5</v>
      </c>
      <c r="BG86" s="100">
        <v>2700</v>
      </c>
      <c r="BH86" s="100">
        <v>5</v>
      </c>
      <c r="BI86" s="100">
        <v>2700</v>
      </c>
      <c r="BJ86" s="100">
        <v>8</v>
      </c>
      <c r="BK86" s="100">
        <v>4320</v>
      </c>
      <c r="BL86" s="100">
        <v>9</v>
      </c>
      <c r="BM86" s="100">
        <v>4860</v>
      </c>
      <c r="BN86" s="100">
        <v>8</v>
      </c>
      <c r="BO86" s="100">
        <v>4320</v>
      </c>
      <c r="BP86" s="100">
        <v>9</v>
      </c>
      <c r="BQ86" s="100">
        <v>4860</v>
      </c>
      <c r="BR86" s="100">
        <v>7</v>
      </c>
      <c r="BS86" s="100">
        <v>3780</v>
      </c>
      <c r="BT86" s="100">
        <v>7</v>
      </c>
      <c r="BU86" s="100">
        <v>3780</v>
      </c>
      <c r="BV86" s="100">
        <v>6</v>
      </c>
      <c r="BW86" s="100">
        <v>3240</v>
      </c>
      <c r="BX86" s="100">
        <v>10</v>
      </c>
      <c r="BY86" s="100">
        <v>5400</v>
      </c>
      <c r="BZ86" s="100">
        <v>6</v>
      </c>
      <c r="CA86" s="100">
        <v>3240</v>
      </c>
      <c r="CB86" s="100">
        <v>11</v>
      </c>
      <c r="CC86" s="100">
        <v>5940</v>
      </c>
      <c r="CD86" s="100">
        <v>7</v>
      </c>
      <c r="CE86" s="100">
        <v>3780</v>
      </c>
      <c r="CF86" s="100">
        <v>6</v>
      </c>
      <c r="CG86" s="100">
        <v>3240</v>
      </c>
      <c r="CH86" s="100">
        <v>9</v>
      </c>
      <c r="CI86" s="100">
        <v>4860</v>
      </c>
      <c r="CJ86" s="100">
        <v>7</v>
      </c>
      <c r="CK86" s="100">
        <v>3780</v>
      </c>
      <c r="CL86" s="100">
        <v>9</v>
      </c>
      <c r="CM86" s="100">
        <v>4860</v>
      </c>
      <c r="CN86" s="100">
        <v>9</v>
      </c>
      <c r="CO86" s="100">
        <v>4860</v>
      </c>
      <c r="CP86" s="100">
        <v>5</v>
      </c>
      <c r="CQ86" s="100">
        <v>2700</v>
      </c>
      <c r="CR86" s="100">
        <v>7</v>
      </c>
      <c r="CS86" s="100">
        <v>3780</v>
      </c>
      <c r="CT86" s="100">
        <v>9</v>
      </c>
      <c r="CU86" s="100">
        <v>4860</v>
      </c>
    </row>
    <row r="87" spans="2:99">
      <c r="B87" s="99" t="s">
        <v>131</v>
      </c>
      <c r="C87" s="99" t="s">
        <v>253</v>
      </c>
      <c r="D87" s="100">
        <v>10</v>
      </c>
      <c r="E87" s="100">
        <v>10740</v>
      </c>
      <c r="F87" s="100">
        <v>12</v>
      </c>
      <c r="G87" s="100">
        <v>12888</v>
      </c>
      <c r="H87" s="100">
        <v>6</v>
      </c>
      <c r="I87" s="100">
        <v>6444</v>
      </c>
      <c r="J87" s="100">
        <v>9</v>
      </c>
      <c r="K87" s="100">
        <v>9666</v>
      </c>
      <c r="L87" s="100">
        <v>9</v>
      </c>
      <c r="M87" s="100">
        <v>9666</v>
      </c>
      <c r="N87" s="100">
        <v>9</v>
      </c>
      <c r="O87" s="100">
        <v>9666</v>
      </c>
      <c r="P87" s="100">
        <v>10</v>
      </c>
      <c r="Q87" s="100">
        <v>10740</v>
      </c>
      <c r="R87" s="100">
        <v>8</v>
      </c>
      <c r="S87" s="100">
        <v>8592</v>
      </c>
      <c r="T87" s="100">
        <v>9</v>
      </c>
      <c r="U87" s="100">
        <v>9666</v>
      </c>
      <c r="V87" s="100">
        <v>6</v>
      </c>
      <c r="W87" s="100">
        <v>6444</v>
      </c>
      <c r="X87" s="100">
        <v>6</v>
      </c>
      <c r="Y87" s="100">
        <v>6444</v>
      </c>
      <c r="Z87" s="100">
        <v>6</v>
      </c>
      <c r="AA87" s="100">
        <v>6444</v>
      </c>
      <c r="AB87" s="100">
        <v>8</v>
      </c>
      <c r="AC87" s="100">
        <v>8592</v>
      </c>
      <c r="AD87" s="100">
        <v>8</v>
      </c>
      <c r="AE87" s="100">
        <v>8592</v>
      </c>
      <c r="AF87" s="100">
        <v>13</v>
      </c>
      <c r="AG87" s="100">
        <v>13962</v>
      </c>
      <c r="AH87" s="100">
        <v>11</v>
      </c>
      <c r="AI87" s="100">
        <v>11814</v>
      </c>
      <c r="AJ87" s="100">
        <v>9</v>
      </c>
      <c r="AK87" s="100">
        <v>9666</v>
      </c>
      <c r="AL87" s="100">
        <v>7</v>
      </c>
      <c r="AM87" s="100">
        <v>7518</v>
      </c>
      <c r="AN87" s="100">
        <v>12</v>
      </c>
      <c r="AO87" s="100">
        <v>12888</v>
      </c>
      <c r="AP87" s="100">
        <v>8</v>
      </c>
      <c r="AQ87" s="100">
        <v>8592</v>
      </c>
      <c r="AR87" s="100">
        <v>9</v>
      </c>
      <c r="AS87" s="100">
        <v>9666</v>
      </c>
      <c r="AT87" s="100">
        <v>10</v>
      </c>
      <c r="AU87" s="100">
        <v>10740</v>
      </c>
      <c r="AV87" s="100">
        <v>9</v>
      </c>
      <c r="AW87" s="100">
        <v>9666</v>
      </c>
      <c r="AX87" s="100">
        <v>6</v>
      </c>
      <c r="AY87" s="100">
        <v>6444</v>
      </c>
      <c r="AZ87" s="100">
        <v>4.5283018867924874</v>
      </c>
      <c r="BA87" s="100">
        <v>4863.3962264151314</v>
      </c>
      <c r="BB87" s="100">
        <v>1.1186225920127503E-21</v>
      </c>
      <c r="BC87" s="100">
        <v>1.2014006638216938E-18</v>
      </c>
      <c r="BD87" s="100">
        <v>3.236266618401668E-22</v>
      </c>
      <c r="BE87" s="100">
        <v>3.4757503481633913E-19</v>
      </c>
      <c r="BF87" s="100">
        <v>5.0447685522143644E-22</v>
      </c>
      <c r="BG87" s="100">
        <v>5.418081425078227E-19</v>
      </c>
      <c r="BH87" s="100">
        <v>13</v>
      </c>
      <c r="BI87" s="100">
        <v>13962</v>
      </c>
      <c r="BJ87" s="100">
        <v>8.7692307692307718</v>
      </c>
      <c r="BK87" s="100">
        <v>9418.1538461538494</v>
      </c>
      <c r="BL87" s="100">
        <v>7</v>
      </c>
      <c r="BM87" s="100">
        <v>7518</v>
      </c>
      <c r="BN87" s="100">
        <v>5.8163265306122467</v>
      </c>
      <c r="BO87" s="100">
        <v>6246.7346938775527</v>
      </c>
      <c r="BP87" s="100">
        <v>12</v>
      </c>
      <c r="BQ87" s="100">
        <v>12888</v>
      </c>
      <c r="BR87" s="100">
        <v>8.6086956521739157</v>
      </c>
      <c r="BS87" s="100">
        <v>9245.7391304347857</v>
      </c>
      <c r="BT87" s="100">
        <v>10.466101694915256</v>
      </c>
      <c r="BU87" s="100">
        <v>11240.593220338986</v>
      </c>
      <c r="BV87" s="100">
        <v>10</v>
      </c>
      <c r="BW87" s="100">
        <v>10740</v>
      </c>
      <c r="BX87" s="100">
        <v>8</v>
      </c>
      <c r="BY87" s="100">
        <v>8592</v>
      </c>
      <c r="BZ87" s="100">
        <v>6.4641148325358886</v>
      </c>
      <c r="CA87" s="100">
        <v>6942.4593301435443</v>
      </c>
      <c r="CB87" s="100">
        <v>9.4570135746606336</v>
      </c>
      <c r="CC87" s="100">
        <v>10156.83257918552</v>
      </c>
      <c r="CD87" s="100">
        <v>9.0909090909090917</v>
      </c>
      <c r="CE87" s="100">
        <v>9763.636363636364</v>
      </c>
      <c r="CF87" s="100">
        <v>11.271186440677969</v>
      </c>
      <c r="CG87" s="100">
        <v>12105.254237288138</v>
      </c>
      <c r="CH87" s="100">
        <v>10.885416666666668</v>
      </c>
      <c r="CI87" s="100">
        <v>11690.937500000002</v>
      </c>
      <c r="CJ87" s="100">
        <v>6.5841584158415856</v>
      </c>
      <c r="CK87" s="100">
        <v>7071.3861386138633</v>
      </c>
      <c r="CL87" s="100">
        <v>10.555555555555557</v>
      </c>
      <c r="CM87" s="100">
        <v>11336.666666666668</v>
      </c>
      <c r="CN87" s="100">
        <v>9</v>
      </c>
      <c r="CO87" s="100">
        <v>9666</v>
      </c>
      <c r="CP87" s="100">
        <v>9</v>
      </c>
      <c r="CQ87" s="100">
        <v>9666</v>
      </c>
      <c r="CR87" s="100">
        <v>9.7051792828685297</v>
      </c>
      <c r="CS87" s="100">
        <v>10423.3625498008</v>
      </c>
      <c r="CT87" s="100">
        <v>11.706161137440759</v>
      </c>
      <c r="CU87" s="100">
        <v>12572.417061611375</v>
      </c>
    </row>
    <row r="88" spans="2:99">
      <c r="C88" s="99" t="s">
        <v>254</v>
      </c>
      <c r="D88" s="100">
        <v>11</v>
      </c>
      <c r="E88" s="100">
        <v>10916.4</v>
      </c>
      <c r="F88" s="100">
        <v>12</v>
      </c>
      <c r="G88" s="100">
        <v>11908.8</v>
      </c>
      <c r="H88" s="100">
        <v>7</v>
      </c>
      <c r="I88" s="100">
        <v>6946.8</v>
      </c>
      <c r="J88" s="100">
        <v>9</v>
      </c>
      <c r="K88" s="100">
        <v>8931.6</v>
      </c>
      <c r="L88" s="100">
        <v>9</v>
      </c>
      <c r="M88" s="100">
        <v>8931.6</v>
      </c>
      <c r="N88" s="100">
        <v>9</v>
      </c>
      <c r="O88" s="100">
        <v>8931.6</v>
      </c>
      <c r="P88" s="100">
        <v>12</v>
      </c>
      <c r="Q88" s="100">
        <v>11908.8</v>
      </c>
      <c r="R88" s="100">
        <v>9</v>
      </c>
      <c r="S88" s="100">
        <v>8931.6</v>
      </c>
      <c r="T88" s="100">
        <v>8</v>
      </c>
      <c r="U88" s="100">
        <v>7939.2</v>
      </c>
      <c r="V88" s="100">
        <v>6</v>
      </c>
      <c r="W88" s="100">
        <v>5954.4</v>
      </c>
      <c r="X88" s="100">
        <v>6</v>
      </c>
      <c r="Y88" s="100">
        <v>5954.4</v>
      </c>
      <c r="Z88" s="100">
        <v>6</v>
      </c>
      <c r="AA88" s="100">
        <v>5954.4</v>
      </c>
      <c r="AB88" s="100">
        <v>7</v>
      </c>
      <c r="AC88" s="100">
        <v>6946.8</v>
      </c>
      <c r="AD88" s="100">
        <v>10</v>
      </c>
      <c r="AE88" s="100">
        <v>9924</v>
      </c>
      <c r="AF88" s="100">
        <v>13</v>
      </c>
      <c r="AG88" s="100">
        <v>12901.199999999999</v>
      </c>
      <c r="AH88" s="100">
        <v>11</v>
      </c>
      <c r="AI88" s="100">
        <v>10916.4</v>
      </c>
      <c r="AJ88" s="100">
        <v>8</v>
      </c>
      <c r="AK88" s="100">
        <v>7939.2</v>
      </c>
      <c r="AL88" s="100">
        <v>7</v>
      </c>
      <c r="AM88" s="100">
        <v>6946.8</v>
      </c>
      <c r="AN88" s="100">
        <v>12</v>
      </c>
      <c r="AO88" s="100">
        <v>11908.8</v>
      </c>
      <c r="AP88" s="100">
        <v>7</v>
      </c>
      <c r="AQ88" s="100">
        <v>6946.8</v>
      </c>
      <c r="AR88" s="100">
        <v>9</v>
      </c>
      <c r="AS88" s="100">
        <v>8931.6</v>
      </c>
      <c r="AT88" s="100">
        <v>10</v>
      </c>
      <c r="AU88" s="100">
        <v>9924</v>
      </c>
      <c r="AV88" s="100">
        <v>10</v>
      </c>
      <c r="AW88" s="100">
        <v>9924</v>
      </c>
      <c r="AX88" s="100">
        <v>7</v>
      </c>
      <c r="AY88" s="100">
        <v>6946.8</v>
      </c>
      <c r="AZ88" s="100">
        <v>5.0943396226415478</v>
      </c>
      <c r="BA88" s="100">
        <v>5055.6226415094716</v>
      </c>
      <c r="BB88" s="100">
        <v>1.1186225920127503E-21</v>
      </c>
      <c r="BC88" s="100">
        <v>1.1101210603134534E-18</v>
      </c>
      <c r="BD88" s="100">
        <v>3.236266618401668E-22</v>
      </c>
      <c r="BE88" s="100">
        <v>3.2116709921018151E-19</v>
      </c>
      <c r="BF88" s="100">
        <v>4.5861532292857859E-22</v>
      </c>
      <c r="BG88" s="100">
        <v>4.5512984647432142E-19</v>
      </c>
      <c r="BH88" s="100">
        <v>13</v>
      </c>
      <c r="BI88" s="100">
        <v>12901.199999999999</v>
      </c>
      <c r="BJ88" s="100">
        <v>9.7435897435897463</v>
      </c>
      <c r="BK88" s="100">
        <v>9669.5384615384646</v>
      </c>
      <c r="BL88" s="100">
        <v>7</v>
      </c>
      <c r="BM88" s="100">
        <v>6946.8</v>
      </c>
      <c r="BN88" s="100">
        <v>6.7857142857142874</v>
      </c>
      <c r="BO88" s="100">
        <v>6734.1428571428587</v>
      </c>
      <c r="BP88" s="100">
        <v>12</v>
      </c>
      <c r="BQ88" s="100">
        <v>11908.8</v>
      </c>
      <c r="BR88" s="100">
        <v>8.6086956521739157</v>
      </c>
      <c r="BS88" s="100">
        <v>8543.2695652173934</v>
      </c>
      <c r="BT88" s="100">
        <v>9.6610169491525451</v>
      </c>
      <c r="BU88" s="100">
        <v>9587.5932203389857</v>
      </c>
      <c r="BV88" s="100">
        <v>9</v>
      </c>
      <c r="BW88" s="100">
        <v>8931.6</v>
      </c>
      <c r="BX88" s="100">
        <v>7</v>
      </c>
      <c r="BY88" s="100">
        <v>6946.8</v>
      </c>
      <c r="BZ88" s="100">
        <v>6.4641148325358886</v>
      </c>
      <c r="CA88" s="100">
        <v>6414.9875598086155</v>
      </c>
      <c r="CB88" s="100">
        <v>11.176470588235295</v>
      </c>
      <c r="CC88" s="100">
        <v>11091.529411764706</v>
      </c>
      <c r="CD88" s="100">
        <v>9.0909090909090917</v>
      </c>
      <c r="CE88" s="100">
        <v>9021.818181818182</v>
      </c>
      <c r="CF88" s="100">
        <v>10.466101694915256</v>
      </c>
      <c r="CG88" s="100">
        <v>10386.5593220339</v>
      </c>
      <c r="CH88" s="100">
        <v>10.885416666666668</v>
      </c>
      <c r="CI88" s="100">
        <v>10802.687500000002</v>
      </c>
      <c r="CJ88" s="100">
        <v>7.5247524752475261</v>
      </c>
      <c r="CK88" s="100">
        <v>7467.5643564356451</v>
      </c>
      <c r="CL88" s="100">
        <v>11.515151515151517</v>
      </c>
      <c r="CM88" s="100">
        <v>11427.636363636366</v>
      </c>
      <c r="CN88" s="100">
        <v>9</v>
      </c>
      <c r="CO88" s="100">
        <v>8931.6</v>
      </c>
      <c r="CP88" s="100">
        <v>8</v>
      </c>
      <c r="CQ88" s="100">
        <v>7939.2</v>
      </c>
      <c r="CR88" s="100">
        <v>10.513944223107575</v>
      </c>
      <c r="CS88" s="100">
        <v>10434.038247011958</v>
      </c>
      <c r="CT88" s="100">
        <v>11.706161137440759</v>
      </c>
      <c r="CU88" s="100">
        <v>11617.194312796209</v>
      </c>
    </row>
    <row r="89" spans="2:99">
      <c r="C89" s="99" t="s">
        <v>255</v>
      </c>
      <c r="D89" s="100">
        <v>11</v>
      </c>
      <c r="E89" s="100">
        <v>11682</v>
      </c>
      <c r="F89" s="100">
        <v>11</v>
      </c>
      <c r="G89" s="100">
        <v>11682</v>
      </c>
      <c r="H89" s="100">
        <v>6</v>
      </c>
      <c r="I89" s="100">
        <v>6372</v>
      </c>
      <c r="J89" s="100">
        <v>9</v>
      </c>
      <c r="K89" s="100">
        <v>9558</v>
      </c>
      <c r="L89" s="100">
        <v>8</v>
      </c>
      <c r="M89" s="100">
        <v>8496</v>
      </c>
      <c r="N89" s="100">
        <v>8</v>
      </c>
      <c r="O89" s="100">
        <v>8496</v>
      </c>
      <c r="P89" s="100">
        <v>12</v>
      </c>
      <c r="Q89" s="100">
        <v>12744</v>
      </c>
      <c r="R89" s="100">
        <v>9</v>
      </c>
      <c r="S89" s="100">
        <v>9558</v>
      </c>
      <c r="T89" s="100">
        <v>9</v>
      </c>
      <c r="U89" s="100">
        <v>9558</v>
      </c>
      <c r="V89" s="100">
        <v>6</v>
      </c>
      <c r="W89" s="100">
        <v>6372</v>
      </c>
      <c r="X89" s="100">
        <v>6</v>
      </c>
      <c r="Y89" s="100">
        <v>6372</v>
      </c>
      <c r="Z89" s="100">
        <v>6</v>
      </c>
      <c r="AA89" s="100">
        <v>6372</v>
      </c>
      <c r="AB89" s="100">
        <v>7</v>
      </c>
      <c r="AC89" s="100">
        <v>7434</v>
      </c>
      <c r="AD89" s="100">
        <v>9</v>
      </c>
      <c r="AE89" s="100">
        <v>9558</v>
      </c>
      <c r="AF89" s="100">
        <v>11</v>
      </c>
      <c r="AG89" s="100">
        <v>11682</v>
      </c>
      <c r="AH89" s="100">
        <v>10</v>
      </c>
      <c r="AI89" s="100">
        <v>10620</v>
      </c>
      <c r="AJ89" s="100">
        <v>8</v>
      </c>
      <c r="AK89" s="100">
        <v>8496</v>
      </c>
      <c r="AL89" s="100">
        <v>8</v>
      </c>
      <c r="AM89" s="100">
        <v>8496</v>
      </c>
      <c r="AN89" s="100">
        <v>12</v>
      </c>
      <c r="AO89" s="100">
        <v>12744</v>
      </c>
      <c r="AP89" s="100">
        <v>7</v>
      </c>
      <c r="AQ89" s="100">
        <v>7434</v>
      </c>
      <c r="AR89" s="100">
        <v>9</v>
      </c>
      <c r="AS89" s="100">
        <v>9558</v>
      </c>
      <c r="AT89" s="100">
        <v>10</v>
      </c>
      <c r="AU89" s="100">
        <v>10620</v>
      </c>
      <c r="AV89" s="100">
        <v>11</v>
      </c>
      <c r="AW89" s="100">
        <v>11682</v>
      </c>
      <c r="AX89" s="100">
        <v>6</v>
      </c>
      <c r="AY89" s="100">
        <v>6372</v>
      </c>
      <c r="AZ89" s="100">
        <v>5.0943396226415478</v>
      </c>
      <c r="BA89" s="100">
        <v>5410.1886792453242</v>
      </c>
      <c r="BB89" s="100">
        <v>1.1186225920127503E-21</v>
      </c>
      <c r="BC89" s="100">
        <v>1.1879771927175409E-18</v>
      </c>
      <c r="BD89" s="100">
        <v>3.6407999457018763E-22</v>
      </c>
      <c r="BE89" s="100">
        <v>3.8665295423353928E-19</v>
      </c>
      <c r="BF89" s="100">
        <v>5.0447685522143644E-22</v>
      </c>
      <c r="BG89" s="100">
        <v>5.3575442024516547E-19</v>
      </c>
      <c r="BH89" s="100">
        <v>12</v>
      </c>
      <c r="BI89" s="100">
        <v>12744</v>
      </c>
      <c r="BJ89" s="100">
        <v>9.7435897435897463</v>
      </c>
      <c r="BK89" s="100">
        <v>10347.69230769231</v>
      </c>
      <c r="BL89" s="100">
        <v>7</v>
      </c>
      <c r="BM89" s="100">
        <v>7434</v>
      </c>
      <c r="BN89" s="100">
        <v>6.7857142857142874</v>
      </c>
      <c r="BO89" s="100">
        <v>7206.4285714285734</v>
      </c>
      <c r="BP89" s="100">
        <v>10</v>
      </c>
      <c r="BQ89" s="100">
        <v>10620</v>
      </c>
      <c r="BR89" s="100">
        <v>8.6086956521739157</v>
      </c>
      <c r="BS89" s="100">
        <v>9142.4347826086978</v>
      </c>
      <c r="BT89" s="100">
        <v>10.466101694915256</v>
      </c>
      <c r="BU89" s="100">
        <v>11115.000000000002</v>
      </c>
      <c r="BV89" s="100">
        <v>10</v>
      </c>
      <c r="BW89" s="100">
        <v>10620</v>
      </c>
      <c r="BX89" s="100">
        <v>9</v>
      </c>
      <c r="BY89" s="100">
        <v>9558</v>
      </c>
      <c r="BZ89" s="100">
        <v>7.3875598086124432</v>
      </c>
      <c r="CA89" s="100">
        <v>7845.5885167464148</v>
      </c>
      <c r="CB89" s="100">
        <v>10.316742081447966</v>
      </c>
      <c r="CC89" s="100">
        <v>10956.38009049774</v>
      </c>
      <c r="CD89" s="100">
        <v>8.1818181818181834</v>
      </c>
      <c r="CE89" s="100">
        <v>8689.0909090909099</v>
      </c>
      <c r="CF89" s="100">
        <v>10.466101694915256</v>
      </c>
      <c r="CG89" s="100">
        <v>11115.000000000002</v>
      </c>
      <c r="CH89" s="100">
        <v>9.8958333333333357</v>
      </c>
      <c r="CI89" s="100">
        <v>10509.375000000002</v>
      </c>
      <c r="CJ89" s="100">
        <v>7.5247524752475261</v>
      </c>
      <c r="CK89" s="100">
        <v>7991.2871287128728</v>
      </c>
      <c r="CL89" s="100">
        <v>12.474747474747478</v>
      </c>
      <c r="CM89" s="100">
        <v>13248.181818181822</v>
      </c>
      <c r="CN89" s="100">
        <v>9</v>
      </c>
      <c r="CO89" s="100">
        <v>9558</v>
      </c>
      <c r="CP89" s="100">
        <v>8</v>
      </c>
      <c r="CQ89" s="100">
        <v>8496</v>
      </c>
      <c r="CR89" s="100">
        <v>9.7051792828685297</v>
      </c>
      <c r="CS89" s="100">
        <v>10306.900398406378</v>
      </c>
      <c r="CT89" s="100">
        <v>12.60663507109005</v>
      </c>
      <c r="CU89" s="100">
        <v>13388.246445497633</v>
      </c>
    </row>
    <row r="90" spans="2:99">
      <c r="C90" s="99" t="s">
        <v>256</v>
      </c>
      <c r="D90" s="100">
        <v>11</v>
      </c>
      <c r="E90" s="100">
        <v>12196.8</v>
      </c>
      <c r="F90" s="100">
        <v>11</v>
      </c>
      <c r="G90" s="100">
        <v>12196.8</v>
      </c>
      <c r="H90" s="100">
        <v>6</v>
      </c>
      <c r="I90" s="100">
        <v>6652.7999999999993</v>
      </c>
      <c r="J90" s="100">
        <v>8</v>
      </c>
      <c r="K90" s="100">
        <v>8870.4</v>
      </c>
      <c r="L90" s="100">
        <v>8</v>
      </c>
      <c r="M90" s="100">
        <v>8870.4</v>
      </c>
      <c r="N90" s="100">
        <v>9</v>
      </c>
      <c r="O90" s="100">
        <v>9979.1999999999989</v>
      </c>
      <c r="P90" s="100">
        <v>11</v>
      </c>
      <c r="Q90" s="100">
        <v>12196.8</v>
      </c>
      <c r="R90" s="100">
        <v>8</v>
      </c>
      <c r="S90" s="100">
        <v>8870.4</v>
      </c>
      <c r="T90" s="100">
        <v>9</v>
      </c>
      <c r="U90" s="100">
        <v>9979.1999999999989</v>
      </c>
      <c r="V90" s="100">
        <v>6</v>
      </c>
      <c r="W90" s="100">
        <v>6652.7999999999993</v>
      </c>
      <c r="X90" s="100">
        <v>5</v>
      </c>
      <c r="Y90" s="100">
        <v>5544</v>
      </c>
      <c r="Z90" s="100">
        <v>7</v>
      </c>
      <c r="AA90" s="100">
        <v>7761.5999999999995</v>
      </c>
      <c r="AB90" s="100">
        <v>8</v>
      </c>
      <c r="AC90" s="100">
        <v>8870.4</v>
      </c>
      <c r="AD90" s="100">
        <v>9</v>
      </c>
      <c r="AE90" s="100">
        <v>9979.1999999999989</v>
      </c>
      <c r="AF90" s="100">
        <v>12</v>
      </c>
      <c r="AG90" s="100">
        <v>13305.599999999999</v>
      </c>
      <c r="AH90" s="100">
        <v>10</v>
      </c>
      <c r="AI90" s="100">
        <v>11088</v>
      </c>
      <c r="AJ90" s="100">
        <v>9</v>
      </c>
      <c r="AK90" s="100">
        <v>9979.1999999999989</v>
      </c>
      <c r="AL90" s="100">
        <v>8</v>
      </c>
      <c r="AM90" s="100">
        <v>8870.4</v>
      </c>
      <c r="AN90" s="100">
        <v>11</v>
      </c>
      <c r="AO90" s="100">
        <v>12196.8</v>
      </c>
      <c r="AP90" s="100">
        <v>8</v>
      </c>
      <c r="AQ90" s="100">
        <v>8870.4</v>
      </c>
      <c r="AR90" s="100">
        <v>9</v>
      </c>
      <c r="AS90" s="100">
        <v>9979.1999999999989</v>
      </c>
      <c r="AT90" s="100">
        <v>11</v>
      </c>
      <c r="AU90" s="100">
        <v>12196.8</v>
      </c>
      <c r="AV90" s="100">
        <v>10</v>
      </c>
      <c r="AW90" s="100">
        <v>11088</v>
      </c>
      <c r="AX90" s="100">
        <v>7</v>
      </c>
      <c r="AY90" s="100">
        <v>7761.5999999999995</v>
      </c>
      <c r="AZ90" s="100">
        <v>5.0943396226415478</v>
      </c>
      <c r="BA90" s="100">
        <v>5648.6037735849477</v>
      </c>
      <c r="BB90" s="100">
        <v>1.1186225920127503E-21</v>
      </c>
      <c r="BC90" s="100">
        <v>1.2403287300237376E-18</v>
      </c>
      <c r="BD90" s="100">
        <v>3.236266618401668E-22</v>
      </c>
      <c r="BE90" s="100">
        <v>3.5883724264837694E-19</v>
      </c>
      <c r="BF90" s="100">
        <v>5.5033838751429437E-22</v>
      </c>
      <c r="BG90" s="100">
        <v>6.1021520407584958E-19</v>
      </c>
      <c r="BH90" s="100">
        <v>12</v>
      </c>
      <c r="BI90" s="100">
        <v>13305.599999999999</v>
      </c>
      <c r="BJ90" s="100">
        <v>8.7692307692307718</v>
      </c>
      <c r="BK90" s="100">
        <v>9723.3230769230795</v>
      </c>
      <c r="BL90" s="100">
        <v>7</v>
      </c>
      <c r="BM90" s="100">
        <v>7761.5999999999995</v>
      </c>
      <c r="BN90" s="100">
        <v>5.8163265306122467</v>
      </c>
      <c r="BO90" s="100">
        <v>6449.1428571428587</v>
      </c>
      <c r="BP90" s="100">
        <v>12</v>
      </c>
      <c r="BQ90" s="100">
        <v>13305.599999999999</v>
      </c>
      <c r="BR90" s="100">
        <v>8.6086956521739157</v>
      </c>
      <c r="BS90" s="100">
        <v>9545.321739130437</v>
      </c>
      <c r="BT90" s="100">
        <v>10.466101694915256</v>
      </c>
      <c r="BU90" s="100">
        <v>11604.813559322036</v>
      </c>
      <c r="BV90" s="100">
        <v>9</v>
      </c>
      <c r="BW90" s="100">
        <v>9979.1999999999989</v>
      </c>
      <c r="BX90" s="100">
        <v>9</v>
      </c>
      <c r="BY90" s="100">
        <v>9979.1999999999989</v>
      </c>
      <c r="BZ90" s="100">
        <v>7.3875598086124432</v>
      </c>
      <c r="CA90" s="100">
        <v>8191.3263157894771</v>
      </c>
      <c r="CB90" s="100">
        <v>9.4570135746606336</v>
      </c>
      <c r="CC90" s="100">
        <v>10485.93665158371</v>
      </c>
      <c r="CD90" s="100">
        <v>9.0909090909090917</v>
      </c>
      <c r="CE90" s="100">
        <v>10080</v>
      </c>
      <c r="CF90" s="100">
        <v>11.271186440677969</v>
      </c>
      <c r="CG90" s="100">
        <v>12497.491525423731</v>
      </c>
      <c r="CH90" s="100">
        <v>9.8958333333333357</v>
      </c>
      <c r="CI90" s="100">
        <v>10972.500000000002</v>
      </c>
      <c r="CJ90" s="100">
        <v>6.5841584158415856</v>
      </c>
      <c r="CK90" s="100">
        <v>7300.5148514851498</v>
      </c>
      <c r="CL90" s="100">
        <v>11.515151515151517</v>
      </c>
      <c r="CM90" s="100">
        <v>12768.000000000002</v>
      </c>
      <c r="CN90" s="100">
        <v>9</v>
      </c>
      <c r="CO90" s="100">
        <v>9979.1999999999989</v>
      </c>
      <c r="CP90" s="100">
        <v>9</v>
      </c>
      <c r="CQ90" s="100">
        <v>9979.1999999999989</v>
      </c>
      <c r="CR90" s="100">
        <v>10.513944223107575</v>
      </c>
      <c r="CS90" s="100">
        <v>11657.861354581679</v>
      </c>
      <c r="CT90" s="100">
        <v>11.706161137440759</v>
      </c>
      <c r="CU90" s="100">
        <v>12979.791469194313</v>
      </c>
    </row>
    <row r="91" spans="2:99">
      <c r="C91" s="99" t="s">
        <v>257</v>
      </c>
      <c r="D91" s="100">
        <v>9</v>
      </c>
      <c r="E91" s="100">
        <v>10227.599999999999</v>
      </c>
      <c r="F91" s="100">
        <v>10</v>
      </c>
      <c r="G91" s="100">
        <v>11363.999999999998</v>
      </c>
      <c r="H91" s="100">
        <v>6</v>
      </c>
      <c r="I91" s="100">
        <v>6818.4</v>
      </c>
      <c r="J91" s="100">
        <v>9</v>
      </c>
      <c r="K91" s="100">
        <v>10227.599999999999</v>
      </c>
      <c r="L91" s="100">
        <v>9</v>
      </c>
      <c r="M91" s="100">
        <v>10227.599999999999</v>
      </c>
      <c r="N91" s="100">
        <v>8</v>
      </c>
      <c r="O91" s="100">
        <v>9091.1999999999989</v>
      </c>
      <c r="P91" s="100">
        <v>11</v>
      </c>
      <c r="Q91" s="100">
        <v>12500.399999999998</v>
      </c>
      <c r="R91" s="100">
        <v>8</v>
      </c>
      <c r="S91" s="100">
        <v>9091.1999999999989</v>
      </c>
      <c r="T91" s="100">
        <v>9</v>
      </c>
      <c r="U91" s="100">
        <v>10227.599999999999</v>
      </c>
      <c r="V91" s="100">
        <v>6</v>
      </c>
      <c r="W91" s="100">
        <v>6818.4</v>
      </c>
      <c r="X91" s="100">
        <v>5</v>
      </c>
      <c r="Y91" s="100">
        <v>5681.9999999999991</v>
      </c>
      <c r="Z91" s="100">
        <v>7</v>
      </c>
      <c r="AA91" s="100">
        <v>7954.7999999999993</v>
      </c>
      <c r="AB91" s="100">
        <v>7</v>
      </c>
      <c r="AC91" s="100">
        <v>7954.7999999999993</v>
      </c>
      <c r="AD91" s="100">
        <v>9</v>
      </c>
      <c r="AE91" s="100">
        <v>10227.599999999999</v>
      </c>
      <c r="AF91" s="100">
        <v>11</v>
      </c>
      <c r="AG91" s="100">
        <v>12500.399999999998</v>
      </c>
      <c r="AH91" s="100">
        <v>11</v>
      </c>
      <c r="AI91" s="100">
        <v>12500.399999999998</v>
      </c>
      <c r="AJ91" s="100">
        <v>9</v>
      </c>
      <c r="AK91" s="100">
        <v>10227.599999999999</v>
      </c>
      <c r="AL91" s="100">
        <v>7</v>
      </c>
      <c r="AM91" s="100">
        <v>7954.7999999999993</v>
      </c>
      <c r="AN91" s="100">
        <v>12</v>
      </c>
      <c r="AO91" s="100">
        <v>13636.8</v>
      </c>
      <c r="AP91" s="100">
        <v>8</v>
      </c>
      <c r="AQ91" s="100">
        <v>9091.1999999999989</v>
      </c>
      <c r="AR91" s="100">
        <v>8</v>
      </c>
      <c r="AS91" s="100">
        <v>9091.1999999999989</v>
      </c>
      <c r="AT91" s="100">
        <v>10</v>
      </c>
      <c r="AU91" s="100">
        <v>11363.999999999998</v>
      </c>
      <c r="AV91" s="100">
        <v>9</v>
      </c>
      <c r="AW91" s="100">
        <v>10227.599999999999</v>
      </c>
      <c r="AX91" s="100">
        <v>6</v>
      </c>
      <c r="AY91" s="100">
        <v>6818.4</v>
      </c>
      <c r="AZ91" s="100">
        <v>5.0943396226415478</v>
      </c>
      <c r="BA91" s="100">
        <v>5789.2075471698545</v>
      </c>
      <c r="BB91" s="100">
        <v>1.1186225920127503E-21</v>
      </c>
      <c r="BC91" s="100">
        <v>1.2712027135632892E-18</v>
      </c>
      <c r="BD91" s="100">
        <v>3.236266618401668E-22</v>
      </c>
      <c r="BE91" s="100">
        <v>3.6776933851516552E-19</v>
      </c>
      <c r="BF91" s="100">
        <v>5.5033838751429437E-22</v>
      </c>
      <c r="BG91" s="100">
        <v>6.2540454357124401E-19</v>
      </c>
      <c r="BH91" s="100">
        <v>12</v>
      </c>
      <c r="BI91" s="100">
        <v>13636.8</v>
      </c>
      <c r="BJ91" s="100">
        <v>9.7435897435897463</v>
      </c>
      <c r="BK91" s="100">
        <v>11072.615384615387</v>
      </c>
      <c r="BL91" s="100">
        <v>6</v>
      </c>
      <c r="BM91" s="100">
        <v>6818.4</v>
      </c>
      <c r="BN91" s="100">
        <v>6.7857142857142874</v>
      </c>
      <c r="BO91" s="100">
        <v>7711.2857142857156</v>
      </c>
      <c r="BP91" s="100">
        <v>11</v>
      </c>
      <c r="BQ91" s="100">
        <v>12500.399999999998</v>
      </c>
      <c r="BR91" s="100">
        <v>7.6521739130434803</v>
      </c>
      <c r="BS91" s="100">
        <v>8695.9304347826092</v>
      </c>
      <c r="BT91" s="100">
        <v>8.8559322033898322</v>
      </c>
      <c r="BU91" s="100">
        <v>10063.881355932204</v>
      </c>
      <c r="BV91" s="100">
        <v>9</v>
      </c>
      <c r="BW91" s="100">
        <v>10227.599999999999</v>
      </c>
      <c r="BX91" s="100">
        <v>8</v>
      </c>
      <c r="BY91" s="100">
        <v>9091.1999999999989</v>
      </c>
      <c r="BZ91" s="100">
        <v>6.4641148325358886</v>
      </c>
      <c r="CA91" s="100">
        <v>7345.8200956937826</v>
      </c>
      <c r="CB91" s="100">
        <v>9.4570135746606336</v>
      </c>
      <c r="CC91" s="100">
        <v>10746.950226244342</v>
      </c>
      <c r="CD91" s="100">
        <v>8.1818181818181834</v>
      </c>
      <c r="CE91" s="100">
        <v>9297.818181818182</v>
      </c>
      <c r="CF91" s="100">
        <v>10.466101694915256</v>
      </c>
      <c r="CG91" s="100">
        <v>11893.677966101695</v>
      </c>
      <c r="CH91" s="100">
        <v>9.8958333333333357</v>
      </c>
      <c r="CI91" s="100">
        <v>11245.625000000002</v>
      </c>
      <c r="CJ91" s="100">
        <v>7.5247524752475261</v>
      </c>
      <c r="CK91" s="100">
        <v>8551.1287128712884</v>
      </c>
      <c r="CL91" s="100">
        <v>10.555555555555557</v>
      </c>
      <c r="CM91" s="100">
        <v>11995.333333333334</v>
      </c>
      <c r="CN91" s="100">
        <v>9</v>
      </c>
      <c r="CO91" s="100">
        <v>10227.599999999999</v>
      </c>
      <c r="CP91" s="100">
        <v>9</v>
      </c>
      <c r="CQ91" s="100">
        <v>10227.599999999999</v>
      </c>
      <c r="CR91" s="100">
        <v>10.513944223107575</v>
      </c>
      <c r="CS91" s="100">
        <v>11948.046215139448</v>
      </c>
      <c r="CT91" s="100">
        <v>12.60663507109005</v>
      </c>
      <c r="CU91" s="100">
        <v>14326.18009478673</v>
      </c>
    </row>
    <row r="92" spans="2:99">
      <c r="C92" s="99" t="s">
        <v>258</v>
      </c>
      <c r="D92" s="100">
        <v>11</v>
      </c>
      <c r="E92" s="100">
        <v>8632.7999999999993</v>
      </c>
      <c r="F92" s="100">
        <v>12</v>
      </c>
      <c r="G92" s="100">
        <v>9417.5999999999985</v>
      </c>
      <c r="H92" s="100">
        <v>7</v>
      </c>
      <c r="I92" s="100">
        <v>5493.5999999999995</v>
      </c>
      <c r="J92" s="100">
        <v>8</v>
      </c>
      <c r="K92" s="100">
        <v>6278.4</v>
      </c>
      <c r="L92" s="100">
        <v>9</v>
      </c>
      <c r="M92" s="100">
        <v>7063.2</v>
      </c>
      <c r="N92" s="100">
        <v>9</v>
      </c>
      <c r="O92" s="100">
        <v>7063.2</v>
      </c>
      <c r="P92" s="100">
        <v>11</v>
      </c>
      <c r="Q92" s="100">
        <v>8632.7999999999993</v>
      </c>
      <c r="R92" s="100">
        <v>9</v>
      </c>
      <c r="S92" s="100">
        <v>7063.2</v>
      </c>
      <c r="T92" s="100">
        <v>9</v>
      </c>
      <c r="U92" s="100">
        <v>7063.2</v>
      </c>
      <c r="V92" s="100">
        <v>6</v>
      </c>
      <c r="W92" s="100">
        <v>4708.7999999999993</v>
      </c>
      <c r="X92" s="100">
        <v>6</v>
      </c>
      <c r="Y92" s="100">
        <v>4708.7999999999993</v>
      </c>
      <c r="Z92" s="100">
        <v>7</v>
      </c>
      <c r="AA92" s="100">
        <v>5493.5999999999995</v>
      </c>
      <c r="AB92" s="100">
        <v>7</v>
      </c>
      <c r="AC92" s="100">
        <v>5493.5999999999995</v>
      </c>
      <c r="AD92" s="100">
        <v>10</v>
      </c>
      <c r="AE92" s="100">
        <v>7848</v>
      </c>
      <c r="AF92" s="100">
        <v>11</v>
      </c>
      <c r="AG92" s="100">
        <v>8632.7999999999993</v>
      </c>
      <c r="AH92" s="100">
        <v>10</v>
      </c>
      <c r="AI92" s="100">
        <v>7848</v>
      </c>
      <c r="AJ92" s="100">
        <v>9</v>
      </c>
      <c r="AK92" s="100">
        <v>7063.2</v>
      </c>
      <c r="AL92" s="100">
        <v>9</v>
      </c>
      <c r="AM92" s="100">
        <v>7063.2</v>
      </c>
      <c r="AN92" s="100">
        <v>13</v>
      </c>
      <c r="AO92" s="100">
        <v>10202.4</v>
      </c>
      <c r="AP92" s="100">
        <v>7</v>
      </c>
      <c r="AQ92" s="100">
        <v>5493.5999999999995</v>
      </c>
      <c r="AR92" s="100">
        <v>8</v>
      </c>
      <c r="AS92" s="100">
        <v>6278.4</v>
      </c>
      <c r="AT92" s="100">
        <v>11</v>
      </c>
      <c r="AU92" s="100">
        <v>8632.7999999999993</v>
      </c>
      <c r="AV92" s="100">
        <v>9</v>
      </c>
      <c r="AW92" s="100">
        <v>7063.2</v>
      </c>
      <c r="AX92" s="100">
        <v>7</v>
      </c>
      <c r="AY92" s="100">
        <v>5493.5999999999995</v>
      </c>
      <c r="AZ92" s="100">
        <v>5.0943396226415478</v>
      </c>
      <c r="BA92" s="100">
        <v>3998.0377358490864</v>
      </c>
      <c r="BB92" s="100">
        <v>1.0254040426783547E-21</v>
      </c>
      <c r="BC92" s="100">
        <v>8.0473709269397273E-19</v>
      </c>
      <c r="BD92" s="100">
        <v>3.6407999457018763E-22</v>
      </c>
      <c r="BE92" s="100">
        <v>2.8572997973868325E-19</v>
      </c>
      <c r="BF92" s="100">
        <v>5.0447685522143644E-22</v>
      </c>
      <c r="BG92" s="100">
        <v>3.9591343597778328E-19</v>
      </c>
      <c r="BH92" s="100">
        <v>12</v>
      </c>
      <c r="BI92" s="100">
        <v>9417.5999999999985</v>
      </c>
      <c r="BJ92" s="100">
        <v>9.7435897435897463</v>
      </c>
      <c r="BK92" s="100">
        <v>7646.7692307692323</v>
      </c>
      <c r="BL92" s="100">
        <v>6</v>
      </c>
      <c r="BM92" s="100">
        <v>4708.7999999999993</v>
      </c>
      <c r="BN92" s="100">
        <v>6.7857142857142874</v>
      </c>
      <c r="BO92" s="100">
        <v>5325.4285714285725</v>
      </c>
      <c r="BP92" s="100">
        <v>10</v>
      </c>
      <c r="BQ92" s="100">
        <v>7848</v>
      </c>
      <c r="BR92" s="100">
        <v>9.5652173913043512</v>
      </c>
      <c r="BS92" s="100">
        <v>7506.7826086956547</v>
      </c>
      <c r="BT92" s="100">
        <v>10.466101694915256</v>
      </c>
      <c r="BU92" s="100">
        <v>8213.7966101694929</v>
      </c>
      <c r="BV92" s="100">
        <v>11</v>
      </c>
      <c r="BW92" s="100">
        <v>8632.7999999999993</v>
      </c>
      <c r="BX92" s="100">
        <v>8</v>
      </c>
      <c r="BY92" s="100">
        <v>6278.4</v>
      </c>
      <c r="BZ92" s="100">
        <v>7.3875598086124432</v>
      </c>
      <c r="CA92" s="100">
        <v>5797.7569377990449</v>
      </c>
      <c r="CB92" s="100">
        <v>9.4570135746606336</v>
      </c>
      <c r="CC92" s="100">
        <v>7421.8642533936645</v>
      </c>
      <c r="CD92" s="100">
        <v>9.0909090909090917</v>
      </c>
      <c r="CE92" s="100">
        <v>7134.545454545455</v>
      </c>
      <c r="CF92" s="100">
        <v>10.466101694915256</v>
      </c>
      <c r="CG92" s="100">
        <v>8213.7966101694929</v>
      </c>
      <c r="CH92" s="100">
        <v>11.875000000000002</v>
      </c>
      <c r="CI92" s="100">
        <v>9319.5</v>
      </c>
      <c r="CJ92" s="100">
        <v>7.5247524752475261</v>
      </c>
      <c r="CK92" s="100">
        <v>5905.425742574258</v>
      </c>
      <c r="CL92" s="100">
        <v>13.434343434343436</v>
      </c>
      <c r="CM92" s="100">
        <v>10543.272727272728</v>
      </c>
      <c r="CN92" s="100">
        <v>10</v>
      </c>
      <c r="CO92" s="100">
        <v>7848</v>
      </c>
      <c r="CP92" s="100">
        <v>8</v>
      </c>
      <c r="CQ92" s="100">
        <v>6278.4</v>
      </c>
      <c r="CR92" s="100">
        <v>11.322709163346618</v>
      </c>
      <c r="CS92" s="100">
        <v>8886.0621513944243</v>
      </c>
      <c r="CT92" s="100">
        <v>12.60663507109005</v>
      </c>
      <c r="CU92" s="100">
        <v>9893.6872037914709</v>
      </c>
    </row>
    <row r="93" spans="2:99">
      <c r="C93" s="99" t="s">
        <v>259</v>
      </c>
      <c r="D93" s="100">
        <v>11</v>
      </c>
      <c r="E93" s="100">
        <v>7629.6</v>
      </c>
      <c r="F93" s="100">
        <v>10</v>
      </c>
      <c r="G93" s="100">
        <v>6936</v>
      </c>
      <c r="H93" s="100">
        <v>7</v>
      </c>
      <c r="I93" s="100">
        <v>4855.2</v>
      </c>
      <c r="J93" s="100">
        <v>8</v>
      </c>
      <c r="K93" s="100">
        <v>5548.8</v>
      </c>
      <c r="L93" s="100">
        <v>10</v>
      </c>
      <c r="M93" s="100">
        <v>6936</v>
      </c>
      <c r="N93" s="100">
        <v>9</v>
      </c>
      <c r="O93" s="100">
        <v>6242.4000000000005</v>
      </c>
      <c r="P93" s="100">
        <v>12</v>
      </c>
      <c r="Q93" s="100">
        <v>8323.2000000000007</v>
      </c>
      <c r="R93" s="100">
        <v>8</v>
      </c>
      <c r="S93" s="100">
        <v>5548.8</v>
      </c>
      <c r="T93" s="100">
        <v>9</v>
      </c>
      <c r="U93" s="100">
        <v>6242.4000000000005</v>
      </c>
      <c r="V93" s="100">
        <v>6</v>
      </c>
      <c r="W93" s="100">
        <v>4161.6000000000004</v>
      </c>
      <c r="X93" s="100">
        <v>6</v>
      </c>
      <c r="Y93" s="100">
        <v>4161.6000000000004</v>
      </c>
      <c r="Z93" s="100">
        <v>7</v>
      </c>
      <c r="AA93" s="100">
        <v>4855.2</v>
      </c>
      <c r="AB93" s="100">
        <v>7</v>
      </c>
      <c r="AC93" s="100">
        <v>4855.2</v>
      </c>
      <c r="AD93" s="100">
        <v>10</v>
      </c>
      <c r="AE93" s="100">
        <v>6936</v>
      </c>
      <c r="AF93" s="100">
        <v>13</v>
      </c>
      <c r="AG93" s="100">
        <v>9016.8000000000011</v>
      </c>
      <c r="AH93" s="100">
        <v>10</v>
      </c>
      <c r="AI93" s="100">
        <v>6936</v>
      </c>
      <c r="AJ93" s="100">
        <v>9</v>
      </c>
      <c r="AK93" s="100">
        <v>6242.4000000000005</v>
      </c>
      <c r="AL93" s="100">
        <v>7</v>
      </c>
      <c r="AM93" s="100">
        <v>4855.2</v>
      </c>
      <c r="AN93" s="100">
        <v>13</v>
      </c>
      <c r="AO93" s="100">
        <v>9016.8000000000011</v>
      </c>
      <c r="AP93" s="100">
        <v>7</v>
      </c>
      <c r="AQ93" s="100">
        <v>4855.2</v>
      </c>
      <c r="AR93" s="100">
        <v>8</v>
      </c>
      <c r="AS93" s="100">
        <v>5548.8</v>
      </c>
      <c r="AT93" s="100">
        <v>12</v>
      </c>
      <c r="AU93" s="100">
        <v>8323.2000000000007</v>
      </c>
      <c r="AV93" s="100">
        <v>10</v>
      </c>
      <c r="AW93" s="100">
        <v>6936</v>
      </c>
      <c r="AX93" s="100">
        <v>7</v>
      </c>
      <c r="AY93" s="100">
        <v>4855.2</v>
      </c>
      <c r="AZ93" s="100">
        <v>5.0943396226415478</v>
      </c>
      <c r="BA93" s="100">
        <v>3533.4339622641778</v>
      </c>
      <c r="BB93" s="100">
        <v>1.0254040426783547E-21</v>
      </c>
      <c r="BC93" s="100">
        <v>7.1122024400170684E-19</v>
      </c>
      <c r="BD93" s="100">
        <v>3.6407999457018763E-22</v>
      </c>
      <c r="BE93" s="100">
        <v>2.5252588423388213E-19</v>
      </c>
      <c r="BF93" s="100">
        <v>5.0447685522143644E-22</v>
      </c>
      <c r="BG93" s="100">
        <v>3.4990514678158831E-19</v>
      </c>
      <c r="BH93" s="100">
        <v>12</v>
      </c>
      <c r="BI93" s="100">
        <v>8323.2000000000007</v>
      </c>
      <c r="BJ93" s="100">
        <v>9.7435897435897463</v>
      </c>
      <c r="BK93" s="100">
        <v>6758.1538461538485</v>
      </c>
      <c r="BL93" s="100">
        <v>6</v>
      </c>
      <c r="BM93" s="100">
        <v>4161.6000000000004</v>
      </c>
      <c r="BN93" s="100">
        <v>5.8163265306122467</v>
      </c>
      <c r="BO93" s="100">
        <v>4034.2040816326544</v>
      </c>
      <c r="BP93" s="100">
        <v>10</v>
      </c>
      <c r="BQ93" s="100">
        <v>6936</v>
      </c>
      <c r="BR93" s="100">
        <v>8.6086956521739157</v>
      </c>
      <c r="BS93" s="100">
        <v>5970.9913043478282</v>
      </c>
      <c r="BT93" s="100">
        <v>10.466101694915256</v>
      </c>
      <c r="BU93" s="100">
        <v>7259.2881355932223</v>
      </c>
      <c r="BV93" s="100">
        <v>11</v>
      </c>
      <c r="BW93" s="100">
        <v>7629.6</v>
      </c>
      <c r="BX93" s="100">
        <v>9</v>
      </c>
      <c r="BY93" s="100">
        <v>6242.4000000000005</v>
      </c>
      <c r="BZ93" s="100">
        <v>8.3110047846889987</v>
      </c>
      <c r="CA93" s="100">
        <v>5764.5129186602899</v>
      </c>
      <c r="CB93" s="100">
        <v>10.316742081447966</v>
      </c>
      <c r="CC93" s="100">
        <v>7155.6923076923094</v>
      </c>
      <c r="CD93" s="100">
        <v>10.000000000000002</v>
      </c>
      <c r="CE93" s="100">
        <v>6936.0000000000018</v>
      </c>
      <c r="CF93" s="100">
        <v>10.466101694915256</v>
      </c>
      <c r="CG93" s="100">
        <v>7259.2881355932223</v>
      </c>
      <c r="CH93" s="100">
        <v>12.864583333333334</v>
      </c>
      <c r="CI93" s="100">
        <v>8922.875</v>
      </c>
      <c r="CJ93" s="100">
        <v>7.5247524752475261</v>
      </c>
      <c r="CK93" s="100">
        <v>5219.168316831684</v>
      </c>
      <c r="CL93" s="100">
        <v>12.474747474747478</v>
      </c>
      <c r="CM93" s="100">
        <v>8652.4848484848499</v>
      </c>
      <c r="CN93" s="100">
        <v>10</v>
      </c>
      <c r="CO93" s="100">
        <v>6936</v>
      </c>
      <c r="CP93" s="100">
        <v>9</v>
      </c>
      <c r="CQ93" s="100">
        <v>6242.4000000000005</v>
      </c>
      <c r="CR93" s="100">
        <v>10.513944223107575</v>
      </c>
      <c r="CS93" s="100">
        <v>7292.4717131474144</v>
      </c>
      <c r="CT93" s="100">
        <v>11.706161137440759</v>
      </c>
      <c r="CU93" s="100">
        <v>8119.3933649289111</v>
      </c>
    </row>
    <row r="94" spans="2:99">
      <c r="C94" s="99" t="s">
        <v>260</v>
      </c>
      <c r="D94" s="100">
        <v>10</v>
      </c>
      <c r="E94" s="100">
        <v>11928</v>
      </c>
      <c r="F94" s="100">
        <v>10</v>
      </c>
      <c r="G94" s="100">
        <v>11928</v>
      </c>
      <c r="H94" s="100">
        <v>7</v>
      </c>
      <c r="I94" s="100">
        <v>8349.6</v>
      </c>
      <c r="J94" s="100">
        <v>8</v>
      </c>
      <c r="K94" s="100">
        <v>9542.4</v>
      </c>
      <c r="L94" s="100">
        <v>8</v>
      </c>
      <c r="M94" s="100">
        <v>9542.4</v>
      </c>
      <c r="N94" s="100">
        <v>8</v>
      </c>
      <c r="O94" s="100">
        <v>9542.4</v>
      </c>
      <c r="P94" s="100">
        <v>11</v>
      </c>
      <c r="Q94" s="100">
        <v>13120.8</v>
      </c>
      <c r="R94" s="100">
        <v>9</v>
      </c>
      <c r="S94" s="100">
        <v>10735.199999999999</v>
      </c>
      <c r="T94" s="100">
        <v>8</v>
      </c>
      <c r="U94" s="100">
        <v>9542.4</v>
      </c>
      <c r="V94" s="100">
        <v>5</v>
      </c>
      <c r="W94" s="100">
        <v>5964</v>
      </c>
      <c r="X94" s="100">
        <v>6</v>
      </c>
      <c r="Y94" s="100">
        <v>7156.7999999999993</v>
      </c>
      <c r="Z94" s="100">
        <v>6</v>
      </c>
      <c r="AA94" s="100">
        <v>7156.7999999999993</v>
      </c>
      <c r="AB94" s="100">
        <v>7</v>
      </c>
      <c r="AC94" s="100">
        <v>8349.6</v>
      </c>
      <c r="AD94" s="100">
        <v>9</v>
      </c>
      <c r="AE94" s="100">
        <v>10735.199999999999</v>
      </c>
      <c r="AF94" s="100">
        <v>12</v>
      </c>
      <c r="AG94" s="100">
        <v>14313.599999999999</v>
      </c>
      <c r="AH94" s="100">
        <v>10</v>
      </c>
      <c r="AI94" s="100">
        <v>11928</v>
      </c>
      <c r="AJ94" s="100">
        <v>9</v>
      </c>
      <c r="AK94" s="100">
        <v>10735.199999999999</v>
      </c>
      <c r="AL94" s="100">
        <v>7</v>
      </c>
      <c r="AM94" s="100">
        <v>8349.6</v>
      </c>
      <c r="AN94" s="100">
        <v>12</v>
      </c>
      <c r="AO94" s="100">
        <v>14313.599999999999</v>
      </c>
      <c r="AP94" s="100">
        <v>7</v>
      </c>
      <c r="AQ94" s="100">
        <v>8349.6</v>
      </c>
      <c r="AR94" s="100">
        <v>8</v>
      </c>
      <c r="AS94" s="100">
        <v>9542.4</v>
      </c>
      <c r="AT94" s="100">
        <v>10</v>
      </c>
      <c r="AU94" s="100">
        <v>11928</v>
      </c>
      <c r="AV94" s="100">
        <v>10</v>
      </c>
      <c r="AW94" s="100">
        <v>11928</v>
      </c>
      <c r="AX94" s="100">
        <v>6</v>
      </c>
      <c r="AY94" s="100">
        <v>7156.7999999999993</v>
      </c>
      <c r="AZ94" s="100">
        <v>5.0943396226415478</v>
      </c>
      <c r="BA94" s="100">
        <v>6076.5283018868377</v>
      </c>
      <c r="BB94" s="100">
        <v>1.1186225920127503E-21</v>
      </c>
      <c r="BC94" s="100">
        <v>1.3342930277528085E-18</v>
      </c>
      <c r="BD94" s="100">
        <v>3.236266618401668E-22</v>
      </c>
      <c r="BE94" s="100">
        <v>3.8602188224295093E-19</v>
      </c>
      <c r="BF94" s="100">
        <v>5.5033838751429437E-22</v>
      </c>
      <c r="BG94" s="100">
        <v>6.5644362862705034E-19</v>
      </c>
      <c r="BH94" s="100">
        <v>12</v>
      </c>
      <c r="BI94" s="100">
        <v>14313.599999999999</v>
      </c>
      <c r="BJ94" s="100">
        <v>8.7692307692307718</v>
      </c>
      <c r="BK94" s="100">
        <v>10459.938461538464</v>
      </c>
      <c r="BL94" s="100">
        <v>6</v>
      </c>
      <c r="BM94" s="100">
        <v>7156.7999999999993</v>
      </c>
      <c r="BN94" s="100">
        <v>6.7857142857142874</v>
      </c>
      <c r="BO94" s="100">
        <v>8094.0000000000018</v>
      </c>
      <c r="BP94" s="100">
        <v>10</v>
      </c>
      <c r="BQ94" s="100">
        <v>11928</v>
      </c>
      <c r="BR94" s="100">
        <v>9.5652173913043512</v>
      </c>
      <c r="BS94" s="100">
        <v>11409.39130434783</v>
      </c>
      <c r="BT94" s="100">
        <v>8.8559322033898322</v>
      </c>
      <c r="BU94" s="100">
        <v>10563.355932203391</v>
      </c>
      <c r="BV94" s="100">
        <v>10</v>
      </c>
      <c r="BW94" s="100">
        <v>11928</v>
      </c>
      <c r="BX94" s="100">
        <v>8</v>
      </c>
      <c r="BY94" s="100">
        <v>9542.4</v>
      </c>
      <c r="BZ94" s="100">
        <v>6.4641148325358886</v>
      </c>
      <c r="CA94" s="100">
        <v>7710.3961722488075</v>
      </c>
      <c r="CB94" s="100">
        <v>10.316742081447966</v>
      </c>
      <c r="CC94" s="100">
        <v>12305.809954751134</v>
      </c>
      <c r="CD94" s="100">
        <v>8.1818181818181834</v>
      </c>
      <c r="CE94" s="100">
        <v>9759.2727272727279</v>
      </c>
      <c r="CF94" s="100">
        <v>9.6610169491525451</v>
      </c>
      <c r="CG94" s="100">
        <v>11523.661016949156</v>
      </c>
      <c r="CH94" s="100">
        <v>9.8958333333333357</v>
      </c>
      <c r="CI94" s="100">
        <v>11803.750000000002</v>
      </c>
      <c r="CJ94" s="100">
        <v>7.5247524752475261</v>
      </c>
      <c r="CK94" s="100">
        <v>8975.5247524752485</v>
      </c>
      <c r="CL94" s="100">
        <v>11.515151515151517</v>
      </c>
      <c r="CM94" s="100">
        <v>13735.27272727273</v>
      </c>
      <c r="CN94" s="100">
        <v>10</v>
      </c>
      <c r="CO94" s="100">
        <v>11928</v>
      </c>
      <c r="CP94" s="100">
        <v>8</v>
      </c>
      <c r="CQ94" s="100">
        <v>9542.4</v>
      </c>
      <c r="CR94" s="100">
        <v>10.513944223107575</v>
      </c>
      <c r="CS94" s="100">
        <v>12541.032669322716</v>
      </c>
      <c r="CT94" s="100">
        <v>12.60663507109005</v>
      </c>
      <c r="CU94" s="100">
        <v>15037.194312796211</v>
      </c>
    </row>
    <row r="95" spans="2:99">
      <c r="B95" s="99" t="s">
        <v>132</v>
      </c>
      <c r="C95" s="99" t="s">
        <v>261</v>
      </c>
      <c r="D95" s="100">
        <v>10</v>
      </c>
      <c r="E95" s="100">
        <v>3288</v>
      </c>
      <c r="F95" s="100">
        <v>7</v>
      </c>
      <c r="G95" s="100">
        <v>2301.6</v>
      </c>
      <c r="H95" s="100">
        <v>7</v>
      </c>
      <c r="I95" s="100">
        <v>2301.6</v>
      </c>
      <c r="J95" s="100">
        <v>12</v>
      </c>
      <c r="K95" s="100">
        <v>3945.6000000000004</v>
      </c>
      <c r="L95" s="100">
        <v>7</v>
      </c>
      <c r="M95" s="100">
        <v>2301.6</v>
      </c>
      <c r="N95" s="100">
        <v>9</v>
      </c>
      <c r="O95" s="100">
        <v>2959.2000000000003</v>
      </c>
      <c r="P95" s="100">
        <v>10</v>
      </c>
      <c r="Q95" s="100">
        <v>3288</v>
      </c>
      <c r="R95" s="100">
        <v>6</v>
      </c>
      <c r="S95" s="100">
        <v>1972.8000000000002</v>
      </c>
      <c r="T95" s="100">
        <v>6</v>
      </c>
      <c r="U95" s="100">
        <v>1972.8000000000002</v>
      </c>
      <c r="V95" s="100">
        <v>11</v>
      </c>
      <c r="W95" s="100">
        <v>3616.8</v>
      </c>
      <c r="X95" s="100">
        <v>10</v>
      </c>
      <c r="Y95" s="100">
        <v>3288</v>
      </c>
      <c r="Z95" s="100">
        <v>9</v>
      </c>
      <c r="AA95" s="100">
        <v>2959.2000000000003</v>
      </c>
      <c r="AB95" s="100">
        <v>9</v>
      </c>
      <c r="AC95" s="100">
        <v>2959.2000000000003</v>
      </c>
      <c r="AD95" s="100">
        <v>12</v>
      </c>
      <c r="AE95" s="100">
        <v>3945.6000000000004</v>
      </c>
      <c r="AF95" s="100">
        <v>8</v>
      </c>
      <c r="AG95" s="100">
        <v>2630.4</v>
      </c>
      <c r="AH95" s="100">
        <v>8</v>
      </c>
      <c r="AI95" s="100">
        <v>2630.4</v>
      </c>
      <c r="AJ95" s="100">
        <v>12</v>
      </c>
      <c r="AK95" s="100">
        <v>3945.6000000000004</v>
      </c>
      <c r="AL95" s="100">
        <v>12</v>
      </c>
      <c r="AM95" s="100">
        <v>3945.6000000000004</v>
      </c>
      <c r="AN95" s="100">
        <v>6</v>
      </c>
      <c r="AO95" s="100">
        <v>1972.8000000000002</v>
      </c>
      <c r="AP95" s="100">
        <v>8</v>
      </c>
      <c r="AQ95" s="100">
        <v>2630.4</v>
      </c>
      <c r="AR95" s="100">
        <v>9</v>
      </c>
      <c r="AS95" s="100">
        <v>2959.2000000000003</v>
      </c>
      <c r="AT95" s="100">
        <v>8</v>
      </c>
      <c r="AU95" s="100">
        <v>2630.4</v>
      </c>
      <c r="AV95" s="100">
        <v>7</v>
      </c>
      <c r="AW95" s="100">
        <v>2301.6</v>
      </c>
      <c r="AX95" s="100">
        <v>8</v>
      </c>
      <c r="AY95" s="100">
        <v>2630.4</v>
      </c>
      <c r="AZ95" s="100">
        <v>3.962264150943426</v>
      </c>
      <c r="BA95" s="100">
        <v>1302.7924528301985</v>
      </c>
      <c r="BB95" s="100">
        <v>5.5931129600637516E-22</v>
      </c>
      <c r="BC95" s="100">
        <v>1.8390155412689616E-19</v>
      </c>
      <c r="BD95" s="100">
        <v>4.4498666003022936E-22</v>
      </c>
      <c r="BE95" s="100">
        <v>1.4631161381793942E-19</v>
      </c>
      <c r="BF95" s="100">
        <v>2.7516919375714718E-22</v>
      </c>
      <c r="BG95" s="100">
        <v>9.0475630907349995E-20</v>
      </c>
      <c r="BH95" s="100">
        <v>7</v>
      </c>
      <c r="BI95" s="100">
        <v>2301.6</v>
      </c>
      <c r="BJ95" s="100">
        <v>8.7692307692307718</v>
      </c>
      <c r="BK95" s="100">
        <v>2883.3230769230777</v>
      </c>
      <c r="BL95" s="100">
        <v>11</v>
      </c>
      <c r="BM95" s="100">
        <v>3616.8</v>
      </c>
      <c r="BN95" s="100">
        <v>11.632653061224493</v>
      </c>
      <c r="BO95" s="100">
        <v>3824.8163265306134</v>
      </c>
      <c r="BP95" s="100">
        <v>6</v>
      </c>
      <c r="BQ95" s="100">
        <v>1972.8000000000002</v>
      </c>
      <c r="BR95" s="100">
        <v>9.5652173913043512</v>
      </c>
      <c r="BS95" s="100">
        <v>3145.0434782608709</v>
      </c>
      <c r="BT95" s="100">
        <v>8.8559322033898322</v>
      </c>
      <c r="BU95" s="100">
        <v>2911.8305084745771</v>
      </c>
      <c r="BV95" s="100">
        <v>8</v>
      </c>
      <c r="BW95" s="100">
        <v>2630.4</v>
      </c>
      <c r="BX95" s="100">
        <v>11</v>
      </c>
      <c r="BY95" s="100">
        <v>3616.8</v>
      </c>
      <c r="BZ95" s="100">
        <v>11.081339712918666</v>
      </c>
      <c r="CA95" s="100">
        <v>3643.5444976076574</v>
      </c>
      <c r="CB95" s="100">
        <v>6.8778280542986439</v>
      </c>
      <c r="CC95" s="100">
        <v>2261.429864253394</v>
      </c>
      <c r="CD95" s="100">
        <v>10.000000000000002</v>
      </c>
      <c r="CE95" s="100">
        <v>3288.0000000000009</v>
      </c>
      <c r="CF95" s="100">
        <v>8.8559322033898322</v>
      </c>
      <c r="CG95" s="100">
        <v>2911.8305084745771</v>
      </c>
      <c r="CH95" s="100">
        <v>5.9375000000000009</v>
      </c>
      <c r="CI95" s="100">
        <v>1952.2500000000005</v>
      </c>
      <c r="CJ95" s="100">
        <v>11.287128712871288</v>
      </c>
      <c r="CK95" s="100">
        <v>3711.2079207920797</v>
      </c>
      <c r="CL95" s="100">
        <v>5.7575757575757587</v>
      </c>
      <c r="CM95" s="100">
        <v>1893.0909090909095</v>
      </c>
      <c r="CN95" s="100">
        <v>8</v>
      </c>
      <c r="CO95" s="100">
        <v>2630.4</v>
      </c>
      <c r="CP95" s="100">
        <v>9</v>
      </c>
      <c r="CQ95" s="100">
        <v>2959.2000000000003</v>
      </c>
      <c r="CR95" s="100">
        <v>8.8964143426294857</v>
      </c>
      <c r="CS95" s="100">
        <v>2925.1410358565749</v>
      </c>
      <c r="CT95" s="100">
        <v>7.2037914691943143</v>
      </c>
      <c r="CU95" s="100">
        <v>2368.6066350710907</v>
      </c>
    </row>
    <row r="96" spans="2:99">
      <c r="C96" s="99" t="s">
        <v>262</v>
      </c>
      <c r="D96" s="100">
        <v>9</v>
      </c>
      <c r="E96" s="100">
        <v>6253.2</v>
      </c>
      <c r="F96" s="100">
        <v>6</v>
      </c>
      <c r="G96" s="100">
        <v>4168.7999999999993</v>
      </c>
      <c r="H96" s="100">
        <v>7</v>
      </c>
      <c r="I96" s="100">
        <v>4863.5999999999995</v>
      </c>
      <c r="J96" s="100">
        <v>10</v>
      </c>
      <c r="K96" s="100">
        <v>6948</v>
      </c>
      <c r="L96" s="100">
        <v>7</v>
      </c>
      <c r="M96" s="100">
        <v>4863.5999999999995</v>
      </c>
      <c r="N96" s="100">
        <v>8</v>
      </c>
      <c r="O96" s="100">
        <v>5558.4</v>
      </c>
      <c r="P96" s="100">
        <v>9</v>
      </c>
      <c r="Q96" s="100">
        <v>6253.2</v>
      </c>
      <c r="R96" s="100">
        <v>6</v>
      </c>
      <c r="S96" s="100">
        <v>4168.7999999999993</v>
      </c>
      <c r="T96" s="100">
        <v>6</v>
      </c>
      <c r="U96" s="100">
        <v>4168.7999999999993</v>
      </c>
      <c r="V96" s="100">
        <v>9</v>
      </c>
      <c r="W96" s="100">
        <v>6253.2</v>
      </c>
      <c r="X96" s="100">
        <v>10</v>
      </c>
      <c r="Y96" s="100">
        <v>6948</v>
      </c>
      <c r="Z96" s="100">
        <v>9</v>
      </c>
      <c r="AA96" s="100">
        <v>6253.2</v>
      </c>
      <c r="AB96" s="100">
        <v>8</v>
      </c>
      <c r="AC96" s="100">
        <v>5558.4</v>
      </c>
      <c r="AD96" s="100">
        <v>11</v>
      </c>
      <c r="AE96" s="100">
        <v>7642.7999999999993</v>
      </c>
      <c r="AF96" s="100">
        <v>7</v>
      </c>
      <c r="AG96" s="100">
        <v>4863.5999999999995</v>
      </c>
      <c r="AH96" s="100">
        <v>6</v>
      </c>
      <c r="AI96" s="100">
        <v>4168.7999999999993</v>
      </c>
      <c r="AJ96" s="100">
        <v>10</v>
      </c>
      <c r="AK96" s="100">
        <v>6948</v>
      </c>
      <c r="AL96" s="100">
        <v>10</v>
      </c>
      <c r="AM96" s="100">
        <v>6948</v>
      </c>
      <c r="AN96" s="100">
        <v>6</v>
      </c>
      <c r="AO96" s="100">
        <v>4168.7999999999993</v>
      </c>
      <c r="AP96" s="100">
        <v>9</v>
      </c>
      <c r="AQ96" s="100">
        <v>6253.2</v>
      </c>
      <c r="AR96" s="100">
        <v>10</v>
      </c>
      <c r="AS96" s="100">
        <v>6948</v>
      </c>
      <c r="AT96" s="100">
        <v>8</v>
      </c>
      <c r="AU96" s="100">
        <v>5558.4</v>
      </c>
      <c r="AV96" s="100">
        <v>7</v>
      </c>
      <c r="AW96" s="100">
        <v>4863.5999999999995</v>
      </c>
      <c r="AX96" s="100">
        <v>8</v>
      </c>
      <c r="AY96" s="100">
        <v>5558.4</v>
      </c>
      <c r="AZ96" s="100">
        <v>3.3962264150943651</v>
      </c>
      <c r="BA96" s="100">
        <v>2359.6981132075648</v>
      </c>
      <c r="BB96" s="100">
        <v>6.5252984534077116E-22</v>
      </c>
      <c r="BC96" s="100">
        <v>4.5337773654276781E-19</v>
      </c>
      <c r="BD96" s="100">
        <v>4.4498666003022936E-22</v>
      </c>
      <c r="BE96" s="100">
        <v>3.0917673138900333E-19</v>
      </c>
      <c r="BF96" s="100">
        <v>3.2103072605000503E-22</v>
      </c>
      <c r="BG96" s="100">
        <v>2.2305214845954346E-19</v>
      </c>
      <c r="BH96" s="100">
        <v>6</v>
      </c>
      <c r="BI96" s="100">
        <v>4168.7999999999993</v>
      </c>
      <c r="BJ96" s="100">
        <v>8.7692307692307718</v>
      </c>
      <c r="BK96" s="100">
        <v>6092.8615384615396</v>
      </c>
      <c r="BL96" s="100">
        <v>11</v>
      </c>
      <c r="BM96" s="100">
        <v>7642.7999999999993</v>
      </c>
      <c r="BN96" s="100">
        <v>9.693877551020412</v>
      </c>
      <c r="BO96" s="100">
        <v>6735.306122448982</v>
      </c>
      <c r="BP96" s="100">
        <v>7</v>
      </c>
      <c r="BQ96" s="100">
        <v>4863.5999999999995</v>
      </c>
      <c r="BR96" s="100">
        <v>9.5652173913043512</v>
      </c>
      <c r="BS96" s="100">
        <v>6645.9130434782628</v>
      </c>
      <c r="BT96" s="100">
        <v>7.2457627118644083</v>
      </c>
      <c r="BU96" s="100">
        <v>5034.3559322033907</v>
      </c>
      <c r="BV96" s="100">
        <v>7</v>
      </c>
      <c r="BW96" s="100">
        <v>4863.5999999999995</v>
      </c>
      <c r="BX96" s="100">
        <v>10</v>
      </c>
      <c r="BY96" s="100">
        <v>6948</v>
      </c>
      <c r="BZ96" s="100">
        <v>10.15789473684211</v>
      </c>
      <c r="CA96" s="100">
        <v>7057.7052631578972</v>
      </c>
      <c r="CB96" s="100">
        <v>8.5972850678733046</v>
      </c>
      <c r="CC96" s="100">
        <v>5973.3936651583717</v>
      </c>
      <c r="CD96" s="100">
        <v>9.0909090909090917</v>
      </c>
      <c r="CE96" s="100">
        <v>6316.3636363636369</v>
      </c>
      <c r="CF96" s="100">
        <v>8.0508474576271194</v>
      </c>
      <c r="CG96" s="100">
        <v>5593.7288135593226</v>
      </c>
      <c r="CH96" s="100">
        <v>6.9270833333333348</v>
      </c>
      <c r="CI96" s="100">
        <v>4812.9375000000009</v>
      </c>
      <c r="CJ96" s="100">
        <v>9.4059405940594072</v>
      </c>
      <c r="CK96" s="100">
        <v>6535.2475247524753</v>
      </c>
      <c r="CL96" s="100">
        <v>6.717171717171718</v>
      </c>
      <c r="CM96" s="100">
        <v>4667.090909090909</v>
      </c>
      <c r="CN96" s="100">
        <v>7</v>
      </c>
      <c r="CO96" s="100">
        <v>4863.5999999999995</v>
      </c>
      <c r="CP96" s="100">
        <v>10</v>
      </c>
      <c r="CQ96" s="100">
        <v>6948</v>
      </c>
      <c r="CR96" s="100">
        <v>8.8964143426294857</v>
      </c>
      <c r="CS96" s="100">
        <v>6181.2286852589659</v>
      </c>
      <c r="CT96" s="100">
        <v>7.2037914691943143</v>
      </c>
      <c r="CU96" s="100">
        <v>5005.1943127962095</v>
      </c>
    </row>
    <row r="97" spans="2:99">
      <c r="C97" s="99" t="s">
        <v>263</v>
      </c>
      <c r="D97" s="100">
        <v>9</v>
      </c>
      <c r="E97" s="100">
        <v>3531.6</v>
      </c>
      <c r="F97" s="100">
        <v>7</v>
      </c>
      <c r="G97" s="100">
        <v>2746.7999999999997</v>
      </c>
      <c r="H97" s="100">
        <v>7</v>
      </c>
      <c r="I97" s="100">
        <v>2746.7999999999997</v>
      </c>
      <c r="J97" s="100">
        <v>12</v>
      </c>
      <c r="K97" s="100">
        <v>4708.7999999999993</v>
      </c>
      <c r="L97" s="100">
        <v>8</v>
      </c>
      <c r="M97" s="100">
        <v>3139.2</v>
      </c>
      <c r="N97" s="100">
        <v>8</v>
      </c>
      <c r="O97" s="100">
        <v>3139.2</v>
      </c>
      <c r="P97" s="100">
        <v>9</v>
      </c>
      <c r="Q97" s="100">
        <v>3531.6</v>
      </c>
      <c r="R97" s="100">
        <v>6</v>
      </c>
      <c r="S97" s="100">
        <v>2354.3999999999996</v>
      </c>
      <c r="T97" s="100">
        <v>6</v>
      </c>
      <c r="U97" s="100">
        <v>2354.3999999999996</v>
      </c>
      <c r="V97" s="100">
        <v>9</v>
      </c>
      <c r="W97" s="100">
        <v>3531.6</v>
      </c>
      <c r="X97" s="100">
        <v>11</v>
      </c>
      <c r="Y97" s="100">
        <v>4316.3999999999996</v>
      </c>
      <c r="Z97" s="100">
        <v>9</v>
      </c>
      <c r="AA97" s="100">
        <v>3531.6</v>
      </c>
      <c r="AB97" s="100">
        <v>8</v>
      </c>
      <c r="AC97" s="100">
        <v>3139.2</v>
      </c>
      <c r="AD97" s="100">
        <v>12</v>
      </c>
      <c r="AE97" s="100">
        <v>4708.7999999999993</v>
      </c>
      <c r="AF97" s="100">
        <v>7</v>
      </c>
      <c r="AG97" s="100">
        <v>2746.7999999999997</v>
      </c>
      <c r="AH97" s="100">
        <v>7</v>
      </c>
      <c r="AI97" s="100">
        <v>2746.7999999999997</v>
      </c>
      <c r="AJ97" s="100">
        <v>11</v>
      </c>
      <c r="AK97" s="100">
        <v>4316.3999999999996</v>
      </c>
      <c r="AL97" s="100">
        <v>11</v>
      </c>
      <c r="AM97" s="100">
        <v>4316.3999999999996</v>
      </c>
      <c r="AN97" s="100">
        <v>6</v>
      </c>
      <c r="AO97" s="100">
        <v>2354.3999999999996</v>
      </c>
      <c r="AP97" s="100">
        <v>9</v>
      </c>
      <c r="AQ97" s="100">
        <v>3531.6</v>
      </c>
      <c r="AR97" s="100">
        <v>9</v>
      </c>
      <c r="AS97" s="100">
        <v>3531.6</v>
      </c>
      <c r="AT97" s="100">
        <v>10</v>
      </c>
      <c r="AU97" s="100">
        <v>3924</v>
      </c>
      <c r="AV97" s="100">
        <v>7</v>
      </c>
      <c r="AW97" s="100">
        <v>2746.7999999999997</v>
      </c>
      <c r="AX97" s="100">
        <v>9</v>
      </c>
      <c r="AY97" s="100">
        <v>3531.6</v>
      </c>
      <c r="AZ97" s="100">
        <v>3.962264150943426</v>
      </c>
      <c r="BA97" s="100">
        <v>1554.7924528302003</v>
      </c>
      <c r="BB97" s="100">
        <v>6.5252984534077116E-22</v>
      </c>
      <c r="BC97" s="100">
        <v>2.5605271131171858E-19</v>
      </c>
      <c r="BD97" s="100">
        <v>4.8543999276025024E-22</v>
      </c>
      <c r="BE97" s="100">
        <v>1.9048665315912218E-19</v>
      </c>
      <c r="BF97" s="100">
        <v>2.7516919375714718E-22</v>
      </c>
      <c r="BG97" s="100">
        <v>1.0797639163030455E-19</v>
      </c>
      <c r="BH97" s="100">
        <v>6</v>
      </c>
      <c r="BI97" s="100">
        <v>2354.3999999999996</v>
      </c>
      <c r="BJ97" s="100">
        <v>7.7948717948717974</v>
      </c>
      <c r="BK97" s="100">
        <v>3058.7076923076929</v>
      </c>
      <c r="BL97" s="100">
        <v>11</v>
      </c>
      <c r="BM97" s="100">
        <v>4316.3999999999996</v>
      </c>
      <c r="BN97" s="100">
        <v>10.663265306122453</v>
      </c>
      <c r="BO97" s="100">
        <v>4184.2653061224501</v>
      </c>
      <c r="BP97" s="100">
        <v>7</v>
      </c>
      <c r="BQ97" s="100">
        <v>2746.7999999999997</v>
      </c>
      <c r="BR97" s="100">
        <v>9.5652173913043512</v>
      </c>
      <c r="BS97" s="100">
        <v>3753.3913043478274</v>
      </c>
      <c r="BT97" s="100">
        <v>8.0508474576271194</v>
      </c>
      <c r="BU97" s="100">
        <v>3159.1525423728813</v>
      </c>
      <c r="BV97" s="100">
        <v>7</v>
      </c>
      <c r="BW97" s="100">
        <v>2746.7999999999997</v>
      </c>
      <c r="BX97" s="100">
        <v>12</v>
      </c>
      <c r="BY97" s="100">
        <v>4708.7999999999993</v>
      </c>
      <c r="BZ97" s="100">
        <v>11.081339712918666</v>
      </c>
      <c r="CA97" s="100">
        <v>4348.3177033492848</v>
      </c>
      <c r="CB97" s="100">
        <v>8.5972850678733046</v>
      </c>
      <c r="CC97" s="100">
        <v>3373.5746606334847</v>
      </c>
      <c r="CD97" s="100">
        <v>8.1818181818181834</v>
      </c>
      <c r="CE97" s="100">
        <v>3210.545454545455</v>
      </c>
      <c r="CF97" s="100">
        <v>8.8559322033898322</v>
      </c>
      <c r="CG97" s="100">
        <v>3475.0677966101698</v>
      </c>
      <c r="CH97" s="100">
        <v>7.9166666666666679</v>
      </c>
      <c r="CI97" s="100">
        <v>3106.5000000000005</v>
      </c>
      <c r="CJ97" s="100">
        <v>11.287128712871288</v>
      </c>
      <c r="CK97" s="100">
        <v>4429.0693069306935</v>
      </c>
      <c r="CL97" s="100">
        <v>6.717171717171718</v>
      </c>
      <c r="CM97" s="100">
        <v>2635.818181818182</v>
      </c>
      <c r="CN97" s="100">
        <v>8</v>
      </c>
      <c r="CO97" s="100">
        <v>3139.2</v>
      </c>
      <c r="CP97" s="100">
        <v>10</v>
      </c>
      <c r="CQ97" s="100">
        <v>3924</v>
      </c>
      <c r="CR97" s="100">
        <v>8.8964143426294857</v>
      </c>
      <c r="CS97" s="100">
        <v>3490.9529880478099</v>
      </c>
      <c r="CT97" s="100">
        <v>7.2037914691943143</v>
      </c>
      <c r="CU97" s="100">
        <v>2826.7677725118488</v>
      </c>
    </row>
    <row r="98" spans="2:99">
      <c r="C98" s="99" t="s">
        <v>264</v>
      </c>
      <c r="D98" s="100">
        <v>9</v>
      </c>
      <c r="E98" s="100">
        <v>4730.4000000000005</v>
      </c>
      <c r="F98" s="100">
        <v>7</v>
      </c>
      <c r="G98" s="100">
        <v>3679.2000000000003</v>
      </c>
      <c r="H98" s="100">
        <v>7</v>
      </c>
      <c r="I98" s="100">
        <v>3679.2000000000003</v>
      </c>
      <c r="J98" s="100">
        <v>11</v>
      </c>
      <c r="K98" s="100">
        <v>5781.6</v>
      </c>
      <c r="L98" s="100">
        <v>7</v>
      </c>
      <c r="M98" s="100">
        <v>3679.2000000000003</v>
      </c>
      <c r="N98" s="100">
        <v>7</v>
      </c>
      <c r="O98" s="100">
        <v>3679.2000000000003</v>
      </c>
      <c r="P98" s="100">
        <v>9</v>
      </c>
      <c r="Q98" s="100">
        <v>4730.4000000000005</v>
      </c>
      <c r="R98" s="100">
        <v>6</v>
      </c>
      <c r="S98" s="100">
        <v>3153.6000000000004</v>
      </c>
      <c r="T98" s="100">
        <v>6</v>
      </c>
      <c r="U98" s="100">
        <v>3153.6000000000004</v>
      </c>
      <c r="V98" s="100">
        <v>11</v>
      </c>
      <c r="W98" s="100">
        <v>5781.6</v>
      </c>
      <c r="X98" s="100">
        <v>11</v>
      </c>
      <c r="Y98" s="100">
        <v>5781.6</v>
      </c>
      <c r="Z98" s="100">
        <v>9</v>
      </c>
      <c r="AA98" s="100">
        <v>4730.4000000000005</v>
      </c>
      <c r="AB98" s="100">
        <v>9</v>
      </c>
      <c r="AC98" s="100">
        <v>4730.4000000000005</v>
      </c>
      <c r="AD98" s="100">
        <v>12</v>
      </c>
      <c r="AE98" s="100">
        <v>6307.2000000000007</v>
      </c>
      <c r="AF98" s="100">
        <v>7</v>
      </c>
      <c r="AG98" s="100">
        <v>3679.2000000000003</v>
      </c>
      <c r="AH98" s="100">
        <v>8</v>
      </c>
      <c r="AI98" s="100">
        <v>4204.8</v>
      </c>
      <c r="AJ98" s="100">
        <v>11</v>
      </c>
      <c r="AK98" s="100">
        <v>5781.6</v>
      </c>
      <c r="AL98" s="100">
        <v>10</v>
      </c>
      <c r="AM98" s="100">
        <v>5256</v>
      </c>
      <c r="AN98" s="100">
        <v>6</v>
      </c>
      <c r="AO98" s="100">
        <v>3153.6000000000004</v>
      </c>
      <c r="AP98" s="100">
        <v>8</v>
      </c>
      <c r="AQ98" s="100">
        <v>4204.8</v>
      </c>
      <c r="AR98" s="100">
        <v>10</v>
      </c>
      <c r="AS98" s="100">
        <v>5256</v>
      </c>
      <c r="AT98" s="100">
        <v>9</v>
      </c>
      <c r="AU98" s="100">
        <v>4730.4000000000005</v>
      </c>
      <c r="AV98" s="100">
        <v>7</v>
      </c>
      <c r="AW98" s="100">
        <v>3679.2000000000003</v>
      </c>
      <c r="AX98" s="100">
        <v>7</v>
      </c>
      <c r="AY98" s="100">
        <v>3679.2000000000003</v>
      </c>
      <c r="AZ98" s="100">
        <v>3.962264150943426</v>
      </c>
      <c r="BA98" s="100">
        <v>2082.5660377358649</v>
      </c>
      <c r="BB98" s="100">
        <v>5.5931129600637516E-22</v>
      </c>
      <c r="BC98" s="100">
        <v>2.9397401718095079E-19</v>
      </c>
      <c r="BD98" s="100">
        <v>4.8543999276025024E-22</v>
      </c>
      <c r="BE98" s="100">
        <v>2.5514726019478752E-19</v>
      </c>
      <c r="BF98" s="100">
        <v>3.2103072605000503E-22</v>
      </c>
      <c r="BG98" s="100">
        <v>1.6873374961188265E-19</v>
      </c>
      <c r="BH98" s="100">
        <v>6</v>
      </c>
      <c r="BI98" s="100">
        <v>3153.6000000000004</v>
      </c>
      <c r="BJ98" s="100">
        <v>7.7948717948717974</v>
      </c>
      <c r="BK98" s="100">
        <v>4096.9846153846165</v>
      </c>
      <c r="BL98" s="100">
        <v>11</v>
      </c>
      <c r="BM98" s="100">
        <v>5781.6</v>
      </c>
      <c r="BN98" s="100">
        <v>9.693877551020412</v>
      </c>
      <c r="BO98" s="100">
        <v>5095.1020408163286</v>
      </c>
      <c r="BP98" s="100">
        <v>6</v>
      </c>
      <c r="BQ98" s="100">
        <v>3153.6000000000004</v>
      </c>
      <c r="BR98" s="100">
        <v>9.5652173913043512</v>
      </c>
      <c r="BS98" s="100">
        <v>5027.4782608695668</v>
      </c>
      <c r="BT98" s="100">
        <v>8.0508474576271194</v>
      </c>
      <c r="BU98" s="100">
        <v>4231.5254237288145</v>
      </c>
      <c r="BV98" s="100">
        <v>7</v>
      </c>
      <c r="BW98" s="100">
        <v>3679.2000000000003</v>
      </c>
      <c r="BX98" s="100">
        <v>11</v>
      </c>
      <c r="BY98" s="100">
        <v>5781.6</v>
      </c>
      <c r="BZ98" s="100">
        <v>9.2344497607655551</v>
      </c>
      <c r="CA98" s="100">
        <v>4853.6267942583763</v>
      </c>
      <c r="CB98" s="100">
        <v>6.8778280542986439</v>
      </c>
      <c r="CC98" s="100">
        <v>3614.9864253393675</v>
      </c>
      <c r="CD98" s="100">
        <v>9.0909090909090917</v>
      </c>
      <c r="CE98" s="100">
        <v>4778.1818181818189</v>
      </c>
      <c r="CF98" s="100">
        <v>8.8559322033898322</v>
      </c>
      <c r="CG98" s="100">
        <v>4654.6779661016963</v>
      </c>
      <c r="CH98" s="100">
        <v>6.9270833333333348</v>
      </c>
      <c r="CI98" s="100">
        <v>3640.8750000000009</v>
      </c>
      <c r="CJ98" s="100">
        <v>9.4059405940594072</v>
      </c>
      <c r="CK98" s="100">
        <v>4943.7623762376243</v>
      </c>
      <c r="CL98" s="100">
        <v>6.717171717171718</v>
      </c>
      <c r="CM98" s="100">
        <v>3530.545454545455</v>
      </c>
      <c r="CN98" s="100">
        <v>8</v>
      </c>
      <c r="CO98" s="100">
        <v>4204.8</v>
      </c>
      <c r="CP98" s="100">
        <v>10</v>
      </c>
      <c r="CQ98" s="100">
        <v>5256</v>
      </c>
      <c r="CR98" s="100">
        <v>9.7051792828685297</v>
      </c>
      <c r="CS98" s="100">
        <v>5101.0422310756994</v>
      </c>
      <c r="CT98" s="100">
        <v>7.2037914691943143</v>
      </c>
      <c r="CU98" s="100">
        <v>3786.3127962085318</v>
      </c>
    </row>
    <row r="99" spans="2:99">
      <c r="C99" s="99" t="s">
        <v>265</v>
      </c>
      <c r="D99" s="100">
        <v>8</v>
      </c>
      <c r="E99" s="100">
        <v>33667.199999999997</v>
      </c>
      <c r="F99" s="100">
        <v>6</v>
      </c>
      <c r="G99" s="100">
        <v>25250.399999999998</v>
      </c>
      <c r="H99" s="100">
        <v>5</v>
      </c>
      <c r="I99" s="100">
        <v>21042</v>
      </c>
      <c r="J99" s="100">
        <v>9</v>
      </c>
      <c r="K99" s="100">
        <v>37875.599999999999</v>
      </c>
      <c r="L99" s="100">
        <v>6</v>
      </c>
      <c r="M99" s="100">
        <v>25250.399999999998</v>
      </c>
      <c r="N99" s="100">
        <v>6</v>
      </c>
      <c r="O99" s="100">
        <v>25250.399999999998</v>
      </c>
      <c r="P99" s="100">
        <v>7</v>
      </c>
      <c r="Q99" s="100">
        <v>29458.799999999996</v>
      </c>
      <c r="R99" s="100">
        <v>5</v>
      </c>
      <c r="S99" s="100">
        <v>21042</v>
      </c>
      <c r="T99" s="100">
        <v>5</v>
      </c>
      <c r="U99" s="100">
        <v>21042</v>
      </c>
      <c r="V99" s="100">
        <v>7</v>
      </c>
      <c r="W99" s="100">
        <v>29458.799999999996</v>
      </c>
      <c r="X99" s="100">
        <v>9</v>
      </c>
      <c r="Y99" s="100">
        <v>37875.599999999999</v>
      </c>
      <c r="Z99" s="100">
        <v>7</v>
      </c>
      <c r="AA99" s="100">
        <v>29458.799999999996</v>
      </c>
      <c r="AB99" s="100">
        <v>6</v>
      </c>
      <c r="AC99" s="100">
        <v>25250.399999999998</v>
      </c>
      <c r="AD99" s="100">
        <v>8</v>
      </c>
      <c r="AE99" s="100">
        <v>33667.199999999997</v>
      </c>
      <c r="AF99" s="100">
        <v>5</v>
      </c>
      <c r="AG99" s="100">
        <v>21042</v>
      </c>
      <c r="AH99" s="100">
        <v>5</v>
      </c>
      <c r="AI99" s="100">
        <v>21042</v>
      </c>
      <c r="AJ99" s="100">
        <v>9</v>
      </c>
      <c r="AK99" s="100">
        <v>37875.599999999999</v>
      </c>
      <c r="AL99" s="100">
        <v>8</v>
      </c>
      <c r="AM99" s="100">
        <v>33667.199999999997</v>
      </c>
      <c r="AN99" s="100">
        <v>5</v>
      </c>
      <c r="AO99" s="100">
        <v>21042</v>
      </c>
      <c r="AP99" s="100">
        <v>6</v>
      </c>
      <c r="AQ99" s="100">
        <v>25250.399999999998</v>
      </c>
      <c r="AR99" s="100">
        <v>7</v>
      </c>
      <c r="AS99" s="100">
        <v>29458.799999999996</v>
      </c>
      <c r="AT99" s="100">
        <v>6</v>
      </c>
      <c r="AU99" s="100">
        <v>25250.399999999998</v>
      </c>
      <c r="AV99" s="100">
        <v>6</v>
      </c>
      <c r="AW99" s="100">
        <v>25250.399999999998</v>
      </c>
      <c r="AX99" s="100">
        <v>7</v>
      </c>
      <c r="AY99" s="100">
        <v>29458.799999999996</v>
      </c>
      <c r="AZ99" s="100">
        <v>2.8301886792453046</v>
      </c>
      <c r="BA99" s="100">
        <v>11910.566037735938</v>
      </c>
      <c r="BB99" s="100">
        <v>4.6609274667197935E-22</v>
      </c>
      <c r="BC99" s="100">
        <v>1.9615047150943578E-18</v>
      </c>
      <c r="BD99" s="100">
        <v>3.236266618401668E-22</v>
      </c>
      <c r="BE99" s="100">
        <v>1.3619504436881579E-18</v>
      </c>
      <c r="BF99" s="100">
        <v>2.293076614642893E-22</v>
      </c>
      <c r="BG99" s="100">
        <v>9.6501836250631503E-19</v>
      </c>
      <c r="BH99" s="100">
        <v>5</v>
      </c>
      <c r="BI99" s="100">
        <v>21042</v>
      </c>
      <c r="BJ99" s="100">
        <v>5.8461538461538485</v>
      </c>
      <c r="BK99" s="100">
        <v>24602.953846153854</v>
      </c>
      <c r="BL99" s="100">
        <v>9</v>
      </c>
      <c r="BM99" s="100">
        <v>37875.599999999999</v>
      </c>
      <c r="BN99" s="100">
        <v>7.755102040816328</v>
      </c>
      <c r="BO99" s="100">
        <v>32636.571428571431</v>
      </c>
      <c r="BP99" s="100">
        <v>4</v>
      </c>
      <c r="BQ99" s="100">
        <v>16833.599999999999</v>
      </c>
      <c r="BR99" s="100">
        <v>6.6956521739130448</v>
      </c>
      <c r="BS99" s="100">
        <v>28177.982608695656</v>
      </c>
      <c r="BT99" s="100">
        <v>5.6355932203389845</v>
      </c>
      <c r="BU99" s="100">
        <v>23716.830508474581</v>
      </c>
      <c r="BV99" s="100">
        <v>5</v>
      </c>
      <c r="BW99" s="100">
        <v>21042</v>
      </c>
      <c r="BX99" s="100">
        <v>9</v>
      </c>
      <c r="BY99" s="100">
        <v>37875.599999999999</v>
      </c>
      <c r="BZ99" s="100">
        <v>7.3875598086124432</v>
      </c>
      <c r="CA99" s="100">
        <v>31089.806698564604</v>
      </c>
      <c r="CB99" s="100">
        <v>5.1583710407239831</v>
      </c>
      <c r="CC99" s="100">
        <v>21708.48868778281</v>
      </c>
      <c r="CD99" s="100">
        <v>6.3636363636363651</v>
      </c>
      <c r="CE99" s="100">
        <v>26780.727272727276</v>
      </c>
      <c r="CF99" s="100">
        <v>6.4406779661016955</v>
      </c>
      <c r="CG99" s="100">
        <v>27104.949152542373</v>
      </c>
      <c r="CH99" s="100">
        <v>4.9479166666666679</v>
      </c>
      <c r="CI99" s="100">
        <v>20822.812500000004</v>
      </c>
      <c r="CJ99" s="100">
        <v>7.5247524752475261</v>
      </c>
      <c r="CK99" s="100">
        <v>31667.168316831685</v>
      </c>
      <c r="CL99" s="100">
        <v>4.7979797979797985</v>
      </c>
      <c r="CM99" s="100">
        <v>20191.818181818184</v>
      </c>
      <c r="CN99" s="100">
        <v>5</v>
      </c>
      <c r="CO99" s="100">
        <v>21042</v>
      </c>
      <c r="CP99" s="100">
        <v>7</v>
      </c>
      <c r="CQ99" s="100">
        <v>29458.799999999996</v>
      </c>
      <c r="CR99" s="100">
        <v>6.4701195219123528</v>
      </c>
      <c r="CS99" s="100">
        <v>27228.850996015943</v>
      </c>
      <c r="CT99" s="100">
        <v>5.4028436018957349</v>
      </c>
      <c r="CU99" s="100">
        <v>22737.327014218008</v>
      </c>
    </row>
    <row r="100" spans="2:99">
      <c r="C100" s="99" t="s">
        <v>266</v>
      </c>
      <c r="D100" s="100">
        <v>10</v>
      </c>
      <c r="E100" s="100">
        <v>3240</v>
      </c>
      <c r="F100" s="100">
        <v>7</v>
      </c>
      <c r="G100" s="100">
        <v>2268</v>
      </c>
      <c r="H100" s="100">
        <v>7</v>
      </c>
      <c r="I100" s="100">
        <v>2268</v>
      </c>
      <c r="J100" s="100">
        <v>12</v>
      </c>
      <c r="K100" s="100">
        <v>3888</v>
      </c>
      <c r="L100" s="100">
        <v>8</v>
      </c>
      <c r="M100" s="100">
        <v>2592</v>
      </c>
      <c r="N100" s="100">
        <v>9</v>
      </c>
      <c r="O100" s="100">
        <v>2916</v>
      </c>
      <c r="P100" s="100">
        <v>9</v>
      </c>
      <c r="Q100" s="100">
        <v>2916</v>
      </c>
      <c r="R100" s="100">
        <v>7</v>
      </c>
      <c r="S100" s="100">
        <v>2268</v>
      </c>
      <c r="T100" s="100">
        <v>6</v>
      </c>
      <c r="U100" s="100">
        <v>1944</v>
      </c>
      <c r="V100" s="100">
        <v>10</v>
      </c>
      <c r="W100" s="100">
        <v>3240</v>
      </c>
      <c r="X100" s="100">
        <v>11</v>
      </c>
      <c r="Y100" s="100">
        <v>3564</v>
      </c>
      <c r="Z100" s="100">
        <v>9</v>
      </c>
      <c r="AA100" s="100">
        <v>2916</v>
      </c>
      <c r="AB100" s="100">
        <v>9</v>
      </c>
      <c r="AC100" s="100">
        <v>2916</v>
      </c>
      <c r="AD100" s="100">
        <v>12</v>
      </c>
      <c r="AE100" s="100">
        <v>3888</v>
      </c>
      <c r="AF100" s="100">
        <v>7</v>
      </c>
      <c r="AG100" s="100">
        <v>2268</v>
      </c>
      <c r="AH100" s="100">
        <v>7</v>
      </c>
      <c r="AI100" s="100">
        <v>2268</v>
      </c>
      <c r="AJ100" s="100">
        <v>11</v>
      </c>
      <c r="AK100" s="100">
        <v>3564</v>
      </c>
      <c r="AL100" s="100">
        <v>11</v>
      </c>
      <c r="AM100" s="100">
        <v>3564</v>
      </c>
      <c r="AN100" s="100">
        <v>6</v>
      </c>
      <c r="AO100" s="100">
        <v>1944</v>
      </c>
      <c r="AP100" s="100">
        <v>9</v>
      </c>
      <c r="AQ100" s="100">
        <v>2916</v>
      </c>
      <c r="AR100" s="100">
        <v>11</v>
      </c>
      <c r="AS100" s="100">
        <v>3564</v>
      </c>
      <c r="AT100" s="100">
        <v>10</v>
      </c>
      <c r="AU100" s="100">
        <v>3240</v>
      </c>
      <c r="AV100" s="100">
        <v>8</v>
      </c>
      <c r="AW100" s="100">
        <v>2592</v>
      </c>
      <c r="AX100" s="100">
        <v>8</v>
      </c>
      <c r="AY100" s="100">
        <v>2592</v>
      </c>
      <c r="AZ100" s="100">
        <v>3.3962264150943651</v>
      </c>
      <c r="BA100" s="100">
        <v>1100.3773584905744</v>
      </c>
      <c r="BB100" s="100">
        <v>5.5931129600637516E-22</v>
      </c>
      <c r="BC100" s="100">
        <v>1.8121685990606555E-19</v>
      </c>
      <c r="BD100" s="100">
        <v>4.4498666003022936E-22</v>
      </c>
      <c r="BE100" s="100">
        <v>1.4417567784979432E-19</v>
      </c>
      <c r="BF100" s="100">
        <v>2.7516919375714718E-22</v>
      </c>
      <c r="BG100" s="100">
        <v>8.9154818777315691E-20</v>
      </c>
      <c r="BH100" s="100">
        <v>6</v>
      </c>
      <c r="BI100" s="100">
        <v>1944</v>
      </c>
      <c r="BJ100" s="100">
        <v>8.7692307692307718</v>
      </c>
      <c r="BK100" s="100">
        <v>2841.23076923077</v>
      </c>
      <c r="BL100" s="100">
        <v>11</v>
      </c>
      <c r="BM100" s="100">
        <v>3564</v>
      </c>
      <c r="BN100" s="100">
        <v>10.663265306122453</v>
      </c>
      <c r="BO100" s="100">
        <v>3454.8979591836746</v>
      </c>
      <c r="BP100" s="100">
        <v>7</v>
      </c>
      <c r="BQ100" s="100">
        <v>2268</v>
      </c>
      <c r="BR100" s="100">
        <v>9.5652173913043512</v>
      </c>
      <c r="BS100" s="100">
        <v>3099.1304347826099</v>
      </c>
      <c r="BT100" s="100">
        <v>8.8559322033898322</v>
      </c>
      <c r="BU100" s="100">
        <v>2869.3220338983056</v>
      </c>
      <c r="BV100" s="100">
        <v>7</v>
      </c>
      <c r="BW100" s="100">
        <v>2268</v>
      </c>
      <c r="BX100" s="100">
        <v>12</v>
      </c>
      <c r="BY100" s="100">
        <v>3888</v>
      </c>
      <c r="BZ100" s="100">
        <v>11.081339712918666</v>
      </c>
      <c r="CA100" s="100">
        <v>3590.3540669856479</v>
      </c>
      <c r="CB100" s="100">
        <v>8.5972850678733046</v>
      </c>
      <c r="CC100" s="100">
        <v>2785.5203619909507</v>
      </c>
      <c r="CD100" s="100">
        <v>9.0909090909090917</v>
      </c>
      <c r="CE100" s="100">
        <v>2945.4545454545455</v>
      </c>
      <c r="CF100" s="100">
        <v>8.0508474576271194</v>
      </c>
      <c r="CG100" s="100">
        <v>2608.4745762711868</v>
      </c>
      <c r="CH100" s="100">
        <v>6.9270833333333348</v>
      </c>
      <c r="CI100" s="100">
        <v>2244.3750000000005</v>
      </c>
      <c r="CJ100" s="100">
        <v>10.346534653465348</v>
      </c>
      <c r="CK100" s="100">
        <v>3352.2772277227727</v>
      </c>
      <c r="CL100" s="100">
        <v>7.6767676767676782</v>
      </c>
      <c r="CM100" s="100">
        <v>2487.2727272727279</v>
      </c>
      <c r="CN100" s="100">
        <v>7</v>
      </c>
      <c r="CO100" s="100">
        <v>2268</v>
      </c>
      <c r="CP100" s="100">
        <v>9</v>
      </c>
      <c r="CQ100" s="100">
        <v>2916</v>
      </c>
      <c r="CR100" s="100">
        <v>10.513944223107575</v>
      </c>
      <c r="CS100" s="100">
        <v>3406.5179282868544</v>
      </c>
      <c r="CT100" s="100">
        <v>7.2037914691943143</v>
      </c>
      <c r="CU100" s="100">
        <v>2334.028436018958</v>
      </c>
    </row>
    <row r="101" spans="2:99">
      <c r="C101" s="99" t="s">
        <v>267</v>
      </c>
      <c r="D101" s="100">
        <v>10</v>
      </c>
      <c r="E101" s="100">
        <v>7236</v>
      </c>
      <c r="F101" s="100">
        <v>7</v>
      </c>
      <c r="G101" s="100">
        <v>5065.2</v>
      </c>
      <c r="H101" s="100">
        <v>6</v>
      </c>
      <c r="I101" s="100">
        <v>4341.6000000000004</v>
      </c>
      <c r="J101" s="100">
        <v>11</v>
      </c>
      <c r="K101" s="100">
        <v>7959.6</v>
      </c>
      <c r="L101" s="100">
        <v>7</v>
      </c>
      <c r="M101" s="100">
        <v>5065.2</v>
      </c>
      <c r="N101" s="100">
        <v>9</v>
      </c>
      <c r="O101" s="100">
        <v>6512.4000000000005</v>
      </c>
      <c r="P101" s="100">
        <v>9</v>
      </c>
      <c r="Q101" s="100">
        <v>6512.4000000000005</v>
      </c>
      <c r="R101" s="100">
        <v>7</v>
      </c>
      <c r="S101" s="100">
        <v>5065.2</v>
      </c>
      <c r="T101" s="100">
        <v>6</v>
      </c>
      <c r="U101" s="100">
        <v>4341.6000000000004</v>
      </c>
      <c r="V101" s="100">
        <v>9</v>
      </c>
      <c r="W101" s="100">
        <v>6512.4000000000005</v>
      </c>
      <c r="X101" s="100">
        <v>11</v>
      </c>
      <c r="Y101" s="100">
        <v>7959.6</v>
      </c>
      <c r="Z101" s="100">
        <v>10</v>
      </c>
      <c r="AA101" s="100">
        <v>7236</v>
      </c>
      <c r="AB101" s="100">
        <v>9</v>
      </c>
      <c r="AC101" s="100">
        <v>6512.4000000000005</v>
      </c>
      <c r="AD101" s="100">
        <v>12</v>
      </c>
      <c r="AE101" s="100">
        <v>8683.2000000000007</v>
      </c>
      <c r="AF101" s="100">
        <v>7</v>
      </c>
      <c r="AG101" s="100">
        <v>5065.2</v>
      </c>
      <c r="AH101" s="100">
        <v>7</v>
      </c>
      <c r="AI101" s="100">
        <v>5065.2</v>
      </c>
      <c r="AJ101" s="100">
        <v>11</v>
      </c>
      <c r="AK101" s="100">
        <v>7959.6</v>
      </c>
      <c r="AL101" s="100">
        <v>10</v>
      </c>
      <c r="AM101" s="100">
        <v>7236</v>
      </c>
      <c r="AN101" s="100">
        <v>6</v>
      </c>
      <c r="AO101" s="100">
        <v>4341.6000000000004</v>
      </c>
      <c r="AP101" s="100">
        <v>9</v>
      </c>
      <c r="AQ101" s="100">
        <v>6512.4000000000005</v>
      </c>
      <c r="AR101" s="100">
        <v>10</v>
      </c>
      <c r="AS101" s="100">
        <v>7236</v>
      </c>
      <c r="AT101" s="100">
        <v>9</v>
      </c>
      <c r="AU101" s="100">
        <v>6512.4000000000005</v>
      </c>
      <c r="AV101" s="100">
        <v>7</v>
      </c>
      <c r="AW101" s="100">
        <v>5065.2</v>
      </c>
      <c r="AX101" s="100">
        <v>8</v>
      </c>
      <c r="AY101" s="100">
        <v>5788.8</v>
      </c>
      <c r="AZ101" s="100">
        <v>3.962264150943426</v>
      </c>
      <c r="BA101" s="100">
        <v>2867.094339622663</v>
      </c>
      <c r="BB101" s="100">
        <v>5.5931129600637516E-22</v>
      </c>
      <c r="BC101" s="100">
        <v>4.0471765379021306E-19</v>
      </c>
      <c r="BD101" s="100">
        <v>4.4498666003022936E-22</v>
      </c>
      <c r="BE101" s="100">
        <v>3.2199234719787397E-19</v>
      </c>
      <c r="BF101" s="100">
        <v>2.7516919375714718E-22</v>
      </c>
      <c r="BG101" s="100">
        <v>1.9911242860267171E-19</v>
      </c>
      <c r="BH101" s="100">
        <v>6</v>
      </c>
      <c r="BI101" s="100">
        <v>4341.6000000000004</v>
      </c>
      <c r="BJ101" s="100">
        <v>7.7948717948717974</v>
      </c>
      <c r="BK101" s="100">
        <v>5640.3692307692327</v>
      </c>
      <c r="BL101" s="100">
        <v>10</v>
      </c>
      <c r="BM101" s="100">
        <v>7236</v>
      </c>
      <c r="BN101" s="100">
        <v>10.663265306122453</v>
      </c>
      <c r="BO101" s="100">
        <v>7715.9387755102071</v>
      </c>
      <c r="BP101" s="100">
        <v>6</v>
      </c>
      <c r="BQ101" s="100">
        <v>4341.6000000000004</v>
      </c>
      <c r="BR101" s="100">
        <v>9.5652173913043512</v>
      </c>
      <c r="BS101" s="100">
        <v>6921.3913043478287</v>
      </c>
      <c r="BT101" s="100">
        <v>8.0508474576271194</v>
      </c>
      <c r="BU101" s="100">
        <v>5825.5932203389839</v>
      </c>
      <c r="BV101" s="100">
        <v>7</v>
      </c>
      <c r="BW101" s="100">
        <v>5065.2</v>
      </c>
      <c r="BX101" s="100">
        <v>11</v>
      </c>
      <c r="BY101" s="100">
        <v>7959.6</v>
      </c>
      <c r="BZ101" s="100">
        <v>10.15789473684211</v>
      </c>
      <c r="CA101" s="100">
        <v>7350.252631578951</v>
      </c>
      <c r="CB101" s="100">
        <v>8.5972850678733046</v>
      </c>
      <c r="CC101" s="100">
        <v>6220.9954751131236</v>
      </c>
      <c r="CD101" s="100">
        <v>9.0909090909090917</v>
      </c>
      <c r="CE101" s="100">
        <v>6578.1818181818189</v>
      </c>
      <c r="CF101" s="100">
        <v>8.0508474576271194</v>
      </c>
      <c r="CG101" s="100">
        <v>5825.5932203389839</v>
      </c>
      <c r="CH101" s="100">
        <v>5.9375000000000009</v>
      </c>
      <c r="CI101" s="100">
        <v>4296.3750000000009</v>
      </c>
      <c r="CJ101" s="100">
        <v>11.287128712871288</v>
      </c>
      <c r="CK101" s="100">
        <v>8167.3663366336641</v>
      </c>
      <c r="CL101" s="100">
        <v>6.717171717171718</v>
      </c>
      <c r="CM101" s="100">
        <v>4860.545454545455</v>
      </c>
      <c r="CN101" s="100">
        <v>8</v>
      </c>
      <c r="CO101" s="100">
        <v>5788.8</v>
      </c>
      <c r="CP101" s="100">
        <v>9</v>
      </c>
      <c r="CQ101" s="100">
        <v>6512.4000000000005</v>
      </c>
      <c r="CR101" s="100">
        <v>8.8964143426294857</v>
      </c>
      <c r="CS101" s="100">
        <v>6437.4454183266962</v>
      </c>
      <c r="CT101" s="100">
        <v>7.2037914691943143</v>
      </c>
      <c r="CU101" s="100">
        <v>5212.6635071090059</v>
      </c>
    </row>
    <row r="102" spans="2:99">
      <c r="C102" s="99" t="s">
        <v>268</v>
      </c>
      <c r="D102" s="100">
        <v>10</v>
      </c>
      <c r="E102" s="100">
        <v>5316</v>
      </c>
      <c r="F102" s="100">
        <v>7</v>
      </c>
      <c r="G102" s="100">
        <v>3721.2000000000003</v>
      </c>
      <c r="H102" s="100">
        <v>6</v>
      </c>
      <c r="I102" s="100">
        <v>3189.6000000000004</v>
      </c>
      <c r="J102" s="100">
        <v>11</v>
      </c>
      <c r="K102" s="100">
        <v>5847.6</v>
      </c>
      <c r="L102" s="100">
        <v>7</v>
      </c>
      <c r="M102" s="100">
        <v>3721.2000000000003</v>
      </c>
      <c r="N102" s="100">
        <v>8</v>
      </c>
      <c r="O102" s="100">
        <v>4252.8</v>
      </c>
      <c r="P102" s="100">
        <v>9</v>
      </c>
      <c r="Q102" s="100">
        <v>4784.4000000000005</v>
      </c>
      <c r="R102" s="100">
        <v>6</v>
      </c>
      <c r="S102" s="100">
        <v>3189.6000000000004</v>
      </c>
      <c r="T102" s="100">
        <v>6</v>
      </c>
      <c r="U102" s="100">
        <v>3189.6000000000004</v>
      </c>
      <c r="V102" s="100">
        <v>9</v>
      </c>
      <c r="W102" s="100">
        <v>4784.4000000000005</v>
      </c>
      <c r="X102" s="100">
        <v>12</v>
      </c>
      <c r="Y102" s="100">
        <v>6379.2000000000007</v>
      </c>
      <c r="Z102" s="100">
        <v>10</v>
      </c>
      <c r="AA102" s="100">
        <v>5316</v>
      </c>
      <c r="AB102" s="100">
        <v>9</v>
      </c>
      <c r="AC102" s="100">
        <v>4784.4000000000005</v>
      </c>
      <c r="AD102" s="100">
        <v>12</v>
      </c>
      <c r="AE102" s="100">
        <v>6379.2000000000007</v>
      </c>
      <c r="AF102" s="100">
        <v>8</v>
      </c>
      <c r="AG102" s="100">
        <v>4252.8</v>
      </c>
      <c r="AH102" s="100">
        <v>7</v>
      </c>
      <c r="AI102" s="100">
        <v>3721.2000000000003</v>
      </c>
      <c r="AJ102" s="100">
        <v>12</v>
      </c>
      <c r="AK102" s="100">
        <v>6379.2000000000007</v>
      </c>
      <c r="AL102" s="100">
        <v>10</v>
      </c>
      <c r="AM102" s="100">
        <v>5316</v>
      </c>
      <c r="AN102" s="100">
        <v>6</v>
      </c>
      <c r="AO102" s="100">
        <v>3189.6000000000004</v>
      </c>
      <c r="AP102" s="100">
        <v>9</v>
      </c>
      <c r="AQ102" s="100">
        <v>4784.4000000000005</v>
      </c>
      <c r="AR102" s="100">
        <v>9</v>
      </c>
      <c r="AS102" s="100">
        <v>4784.4000000000005</v>
      </c>
      <c r="AT102" s="100">
        <v>9</v>
      </c>
      <c r="AU102" s="100">
        <v>4784.4000000000005</v>
      </c>
      <c r="AV102" s="100">
        <v>7</v>
      </c>
      <c r="AW102" s="100">
        <v>3721.2000000000003</v>
      </c>
      <c r="AX102" s="100">
        <v>8</v>
      </c>
      <c r="AY102" s="100">
        <v>4252.8</v>
      </c>
      <c r="AZ102" s="100">
        <v>3.962264150943426</v>
      </c>
      <c r="BA102" s="100">
        <v>2106.3396226415252</v>
      </c>
      <c r="BB102" s="100">
        <v>5.5931129600637516E-22</v>
      </c>
      <c r="BC102" s="100">
        <v>2.9732988495698906E-19</v>
      </c>
      <c r="BD102" s="100">
        <v>4.8543999276025024E-22</v>
      </c>
      <c r="BE102" s="100">
        <v>2.5805990015134906E-19</v>
      </c>
      <c r="BF102" s="100">
        <v>2.7516919375714718E-22</v>
      </c>
      <c r="BG102" s="100">
        <v>1.4627994340129945E-19</v>
      </c>
      <c r="BH102" s="100">
        <v>6</v>
      </c>
      <c r="BI102" s="100">
        <v>3189.6000000000004</v>
      </c>
      <c r="BJ102" s="100">
        <v>7.7948717948717974</v>
      </c>
      <c r="BK102" s="100">
        <v>4143.7538461538479</v>
      </c>
      <c r="BL102" s="100">
        <v>12</v>
      </c>
      <c r="BM102" s="100">
        <v>6379.2000000000007</v>
      </c>
      <c r="BN102" s="100">
        <v>9.693877551020412</v>
      </c>
      <c r="BO102" s="100">
        <v>5153.265306122451</v>
      </c>
      <c r="BP102" s="100">
        <v>6</v>
      </c>
      <c r="BQ102" s="100">
        <v>3189.6000000000004</v>
      </c>
      <c r="BR102" s="100">
        <v>8.6086956521739157</v>
      </c>
      <c r="BS102" s="100">
        <v>4576.3826086956542</v>
      </c>
      <c r="BT102" s="100">
        <v>8.0508474576271194</v>
      </c>
      <c r="BU102" s="100">
        <v>4279.8305084745771</v>
      </c>
      <c r="BV102" s="100">
        <v>6</v>
      </c>
      <c r="BW102" s="100">
        <v>3189.6000000000004</v>
      </c>
      <c r="BX102" s="100">
        <v>10</v>
      </c>
      <c r="BY102" s="100">
        <v>5316</v>
      </c>
      <c r="BZ102" s="100">
        <v>10.15789473684211</v>
      </c>
      <c r="CA102" s="100">
        <v>5399.9368421052659</v>
      </c>
      <c r="CB102" s="100">
        <v>7.7375565610859738</v>
      </c>
      <c r="CC102" s="100">
        <v>4113.2850678733039</v>
      </c>
      <c r="CD102" s="100">
        <v>8.1818181818181834</v>
      </c>
      <c r="CE102" s="100">
        <v>4349.4545454545469</v>
      </c>
      <c r="CF102" s="100">
        <v>8.0508474576271194</v>
      </c>
      <c r="CG102" s="100">
        <v>4279.8305084745771</v>
      </c>
      <c r="CH102" s="100">
        <v>6.9270833333333348</v>
      </c>
      <c r="CI102" s="100">
        <v>3682.4375000000009</v>
      </c>
      <c r="CJ102" s="100">
        <v>9.4059405940594072</v>
      </c>
      <c r="CK102" s="100">
        <v>5000.198019801981</v>
      </c>
      <c r="CL102" s="100">
        <v>6.717171717171718</v>
      </c>
      <c r="CM102" s="100">
        <v>3570.8484848484854</v>
      </c>
      <c r="CN102" s="100">
        <v>8</v>
      </c>
      <c r="CO102" s="100">
        <v>4252.8</v>
      </c>
      <c r="CP102" s="100">
        <v>10</v>
      </c>
      <c r="CQ102" s="100">
        <v>5316</v>
      </c>
      <c r="CR102" s="100">
        <v>9.7051792828685297</v>
      </c>
      <c r="CS102" s="100">
        <v>5159.2733067729105</v>
      </c>
      <c r="CT102" s="100">
        <v>6.3033175355450251</v>
      </c>
      <c r="CU102" s="100">
        <v>3350.8436018957354</v>
      </c>
    </row>
    <row r="103" spans="2:99">
      <c r="C103" s="99" t="s">
        <v>269</v>
      </c>
      <c r="D103" s="100">
        <v>10</v>
      </c>
      <c r="E103" s="100">
        <v>5891.9999999999991</v>
      </c>
      <c r="F103" s="100">
        <v>7</v>
      </c>
      <c r="G103" s="100">
        <v>4124.3999999999996</v>
      </c>
      <c r="H103" s="100">
        <v>6</v>
      </c>
      <c r="I103" s="100">
        <v>3535.2</v>
      </c>
      <c r="J103" s="100">
        <v>10</v>
      </c>
      <c r="K103" s="100">
        <v>5891.9999999999991</v>
      </c>
      <c r="L103" s="100">
        <v>8</v>
      </c>
      <c r="M103" s="100">
        <v>4713.5999999999995</v>
      </c>
      <c r="N103" s="100">
        <v>8</v>
      </c>
      <c r="O103" s="100">
        <v>4713.5999999999995</v>
      </c>
      <c r="P103" s="100">
        <v>9</v>
      </c>
      <c r="Q103" s="100">
        <v>5302.7999999999993</v>
      </c>
      <c r="R103" s="100">
        <v>6</v>
      </c>
      <c r="S103" s="100">
        <v>3535.2</v>
      </c>
      <c r="T103" s="100">
        <v>6</v>
      </c>
      <c r="U103" s="100">
        <v>3535.2</v>
      </c>
      <c r="V103" s="100">
        <v>9</v>
      </c>
      <c r="W103" s="100">
        <v>5302.7999999999993</v>
      </c>
      <c r="X103" s="100">
        <v>12</v>
      </c>
      <c r="Y103" s="100">
        <v>7070.4</v>
      </c>
      <c r="Z103" s="100">
        <v>9</v>
      </c>
      <c r="AA103" s="100">
        <v>5302.7999999999993</v>
      </c>
      <c r="AB103" s="100">
        <v>9</v>
      </c>
      <c r="AC103" s="100">
        <v>5302.7999999999993</v>
      </c>
      <c r="AD103" s="100">
        <v>12</v>
      </c>
      <c r="AE103" s="100">
        <v>7070.4</v>
      </c>
      <c r="AF103" s="100">
        <v>7</v>
      </c>
      <c r="AG103" s="100">
        <v>4124.3999999999996</v>
      </c>
      <c r="AH103" s="100">
        <v>7</v>
      </c>
      <c r="AI103" s="100">
        <v>4124.3999999999996</v>
      </c>
      <c r="AJ103" s="100">
        <v>11</v>
      </c>
      <c r="AK103" s="100">
        <v>6481.1999999999989</v>
      </c>
      <c r="AL103" s="100">
        <v>10</v>
      </c>
      <c r="AM103" s="100">
        <v>5891.9999999999991</v>
      </c>
      <c r="AN103" s="100">
        <v>6</v>
      </c>
      <c r="AO103" s="100">
        <v>3535.2</v>
      </c>
      <c r="AP103" s="100">
        <v>8</v>
      </c>
      <c r="AQ103" s="100">
        <v>4713.5999999999995</v>
      </c>
      <c r="AR103" s="100">
        <v>10</v>
      </c>
      <c r="AS103" s="100">
        <v>5891.9999999999991</v>
      </c>
      <c r="AT103" s="100">
        <v>8</v>
      </c>
      <c r="AU103" s="100">
        <v>4713.5999999999995</v>
      </c>
      <c r="AV103" s="100">
        <v>7</v>
      </c>
      <c r="AW103" s="100">
        <v>4124.3999999999996</v>
      </c>
      <c r="AX103" s="100">
        <v>9</v>
      </c>
      <c r="AY103" s="100">
        <v>5302.7999999999993</v>
      </c>
      <c r="AZ103" s="100">
        <v>3.962264150943426</v>
      </c>
      <c r="BA103" s="100">
        <v>2334.5660377358663</v>
      </c>
      <c r="BB103" s="100">
        <v>5.5931129600637516E-22</v>
      </c>
      <c r="BC103" s="100">
        <v>3.2954621560695622E-19</v>
      </c>
      <c r="BD103" s="100">
        <v>4.8543999276025024E-22</v>
      </c>
      <c r="BE103" s="100">
        <v>2.8602124373433941E-19</v>
      </c>
      <c r="BF103" s="100">
        <v>3.2103072605000503E-22</v>
      </c>
      <c r="BG103" s="100">
        <v>1.8915130378866293E-19</v>
      </c>
      <c r="BH103" s="100">
        <v>6</v>
      </c>
      <c r="BI103" s="100">
        <v>3535.2</v>
      </c>
      <c r="BJ103" s="100">
        <v>7.7948717948717974</v>
      </c>
      <c r="BK103" s="100">
        <v>4592.7384615384626</v>
      </c>
      <c r="BL103" s="100">
        <v>11</v>
      </c>
      <c r="BM103" s="100">
        <v>6481.1999999999989</v>
      </c>
      <c r="BN103" s="100">
        <v>9.693877551020412</v>
      </c>
      <c r="BO103" s="100">
        <v>5711.6326530612259</v>
      </c>
      <c r="BP103" s="100">
        <v>6</v>
      </c>
      <c r="BQ103" s="100">
        <v>3535.2</v>
      </c>
      <c r="BR103" s="100">
        <v>10.521739130434785</v>
      </c>
      <c r="BS103" s="100">
        <v>6199.4086956521742</v>
      </c>
      <c r="BT103" s="100">
        <v>8.8559322033898322</v>
      </c>
      <c r="BU103" s="100">
        <v>5217.9152542372885</v>
      </c>
      <c r="BV103" s="100">
        <v>7</v>
      </c>
      <c r="BW103" s="100">
        <v>4124.3999999999996</v>
      </c>
      <c r="BX103" s="100">
        <v>10</v>
      </c>
      <c r="BY103" s="100">
        <v>5891.9999999999991</v>
      </c>
      <c r="BZ103" s="100">
        <v>9.2344497607655551</v>
      </c>
      <c r="CA103" s="100">
        <v>5440.9377990430648</v>
      </c>
      <c r="CB103" s="100">
        <v>7.7375565610859738</v>
      </c>
      <c r="CC103" s="100">
        <v>4558.968325791855</v>
      </c>
      <c r="CD103" s="100">
        <v>9.0909090909090917</v>
      </c>
      <c r="CE103" s="100">
        <v>5356.363636363636</v>
      </c>
      <c r="CF103" s="100">
        <v>8.8559322033898322</v>
      </c>
      <c r="CG103" s="100">
        <v>5217.9152542372885</v>
      </c>
      <c r="CH103" s="100">
        <v>5.9375000000000009</v>
      </c>
      <c r="CI103" s="100">
        <v>3498.375</v>
      </c>
      <c r="CJ103" s="100">
        <v>10.346534653465348</v>
      </c>
      <c r="CK103" s="100">
        <v>6096.1782178217818</v>
      </c>
      <c r="CL103" s="100">
        <v>5.7575757575757587</v>
      </c>
      <c r="CM103" s="100">
        <v>3392.3636363636365</v>
      </c>
      <c r="CN103" s="100">
        <v>8</v>
      </c>
      <c r="CO103" s="100">
        <v>4713.5999999999995</v>
      </c>
      <c r="CP103" s="100">
        <v>10</v>
      </c>
      <c r="CQ103" s="100">
        <v>5891.9999999999991</v>
      </c>
      <c r="CR103" s="100">
        <v>9.7051792828685297</v>
      </c>
      <c r="CS103" s="100">
        <v>5718.2916334661368</v>
      </c>
      <c r="CT103" s="100">
        <v>7.2037914691943143</v>
      </c>
      <c r="CU103" s="100">
        <v>4244.4739336492894</v>
      </c>
    </row>
    <row r="104" spans="2:99">
      <c r="C104" s="99" t="s">
        <v>270</v>
      </c>
      <c r="D104" s="100">
        <v>9</v>
      </c>
      <c r="E104" s="100">
        <v>5691.5999999999995</v>
      </c>
      <c r="F104" s="100">
        <v>7</v>
      </c>
      <c r="G104" s="100">
        <v>4426.8</v>
      </c>
      <c r="H104" s="100">
        <v>6</v>
      </c>
      <c r="I104" s="100">
        <v>3794.3999999999996</v>
      </c>
      <c r="J104" s="100">
        <v>12</v>
      </c>
      <c r="K104" s="100">
        <v>7588.7999999999993</v>
      </c>
      <c r="L104" s="100">
        <v>7</v>
      </c>
      <c r="M104" s="100">
        <v>4426.8</v>
      </c>
      <c r="N104" s="100">
        <v>8</v>
      </c>
      <c r="O104" s="100">
        <v>5059.2</v>
      </c>
      <c r="P104" s="100">
        <v>10</v>
      </c>
      <c r="Q104" s="100">
        <v>6324</v>
      </c>
      <c r="R104" s="100">
        <v>6</v>
      </c>
      <c r="S104" s="100">
        <v>3794.3999999999996</v>
      </c>
      <c r="T104" s="100">
        <v>5</v>
      </c>
      <c r="U104" s="100">
        <v>3162</v>
      </c>
      <c r="V104" s="100">
        <v>10</v>
      </c>
      <c r="W104" s="100">
        <v>6324</v>
      </c>
      <c r="X104" s="100">
        <v>10</v>
      </c>
      <c r="Y104" s="100">
        <v>6324</v>
      </c>
      <c r="Z104" s="100">
        <v>9</v>
      </c>
      <c r="AA104" s="100">
        <v>5691.5999999999995</v>
      </c>
      <c r="AB104" s="100">
        <v>9</v>
      </c>
      <c r="AC104" s="100">
        <v>5691.5999999999995</v>
      </c>
      <c r="AD104" s="100">
        <v>11</v>
      </c>
      <c r="AE104" s="100">
        <v>6956.4</v>
      </c>
      <c r="AF104" s="100">
        <v>7</v>
      </c>
      <c r="AG104" s="100">
        <v>4426.8</v>
      </c>
      <c r="AH104" s="100">
        <v>7</v>
      </c>
      <c r="AI104" s="100">
        <v>4426.8</v>
      </c>
      <c r="AJ104" s="100">
        <v>12</v>
      </c>
      <c r="AK104" s="100">
        <v>7588.7999999999993</v>
      </c>
      <c r="AL104" s="100">
        <v>11</v>
      </c>
      <c r="AM104" s="100">
        <v>6956.4</v>
      </c>
      <c r="AN104" s="100">
        <v>6</v>
      </c>
      <c r="AO104" s="100">
        <v>3794.3999999999996</v>
      </c>
      <c r="AP104" s="100">
        <v>9</v>
      </c>
      <c r="AQ104" s="100">
        <v>5691.5999999999995</v>
      </c>
      <c r="AR104" s="100">
        <v>10</v>
      </c>
      <c r="AS104" s="100">
        <v>6324</v>
      </c>
      <c r="AT104" s="100">
        <v>8</v>
      </c>
      <c r="AU104" s="100">
        <v>5059.2</v>
      </c>
      <c r="AV104" s="100">
        <v>8</v>
      </c>
      <c r="AW104" s="100">
        <v>5059.2</v>
      </c>
      <c r="AX104" s="100">
        <v>8</v>
      </c>
      <c r="AY104" s="100">
        <v>5059.2</v>
      </c>
      <c r="AZ104" s="100">
        <v>3.3962264150943651</v>
      </c>
      <c r="BA104" s="100">
        <v>2147.7735849056762</v>
      </c>
      <c r="BB104" s="100">
        <v>4.6609274667197935E-22</v>
      </c>
      <c r="BC104" s="100">
        <v>2.9475705299535972E-19</v>
      </c>
      <c r="BD104" s="100">
        <v>4.8543999276025024E-22</v>
      </c>
      <c r="BE104" s="100">
        <v>3.0699225142158225E-19</v>
      </c>
      <c r="BF104" s="100">
        <v>2.7516919375714718E-22</v>
      </c>
      <c r="BG104" s="100">
        <v>1.7401699813201987E-19</v>
      </c>
      <c r="BH104" s="100">
        <v>7</v>
      </c>
      <c r="BI104" s="100">
        <v>4426.8</v>
      </c>
      <c r="BJ104" s="100">
        <v>7.7948717948717974</v>
      </c>
      <c r="BK104" s="100">
        <v>4929.4769230769243</v>
      </c>
      <c r="BL104" s="100">
        <v>10</v>
      </c>
      <c r="BM104" s="100">
        <v>6324</v>
      </c>
      <c r="BN104" s="100">
        <v>10.663265306122453</v>
      </c>
      <c r="BO104" s="100">
        <v>6743.4489795918389</v>
      </c>
      <c r="BP104" s="100">
        <v>6</v>
      </c>
      <c r="BQ104" s="100">
        <v>3794.3999999999996</v>
      </c>
      <c r="BR104" s="100">
        <v>10.521739130434785</v>
      </c>
      <c r="BS104" s="100">
        <v>6653.9478260869573</v>
      </c>
      <c r="BT104" s="100">
        <v>8.0508474576271194</v>
      </c>
      <c r="BU104" s="100">
        <v>5091.3559322033898</v>
      </c>
      <c r="BV104" s="100">
        <v>8</v>
      </c>
      <c r="BW104" s="100">
        <v>5059.2</v>
      </c>
      <c r="BX104" s="100">
        <v>10</v>
      </c>
      <c r="BY104" s="100">
        <v>6324</v>
      </c>
      <c r="BZ104" s="100">
        <v>10.15789473684211</v>
      </c>
      <c r="CA104" s="100">
        <v>6423.8526315789504</v>
      </c>
      <c r="CB104" s="100">
        <v>7.7375565610859738</v>
      </c>
      <c r="CC104" s="100">
        <v>4893.2307692307695</v>
      </c>
      <c r="CD104" s="100">
        <v>9.0909090909090917</v>
      </c>
      <c r="CE104" s="100">
        <v>5749.090909090909</v>
      </c>
      <c r="CF104" s="100">
        <v>8.0508474576271194</v>
      </c>
      <c r="CG104" s="100">
        <v>5091.3559322033898</v>
      </c>
      <c r="CH104" s="100">
        <v>6.9270833333333348</v>
      </c>
      <c r="CI104" s="100">
        <v>4380.6875000000009</v>
      </c>
      <c r="CJ104" s="100">
        <v>9.4059405940594072</v>
      </c>
      <c r="CK104" s="100">
        <v>5948.3168316831689</v>
      </c>
      <c r="CL104" s="100">
        <v>6.717171717171718</v>
      </c>
      <c r="CM104" s="100">
        <v>4247.939393939394</v>
      </c>
      <c r="CN104" s="100">
        <v>7</v>
      </c>
      <c r="CO104" s="100">
        <v>4426.8</v>
      </c>
      <c r="CP104" s="100">
        <v>10</v>
      </c>
      <c r="CQ104" s="100">
        <v>6324</v>
      </c>
      <c r="CR104" s="100">
        <v>8.8964143426294857</v>
      </c>
      <c r="CS104" s="100">
        <v>5626.0924302788862</v>
      </c>
      <c r="CT104" s="100">
        <v>7.2037914691943143</v>
      </c>
      <c r="CU104" s="100">
        <v>4555.677725118484</v>
      </c>
    </row>
    <row r="105" spans="2:99">
      <c r="C105" s="99" t="s">
        <v>271</v>
      </c>
      <c r="D105" s="100">
        <v>10</v>
      </c>
      <c r="E105" s="100">
        <v>5568</v>
      </c>
      <c r="F105" s="100">
        <v>7</v>
      </c>
      <c r="G105" s="100">
        <v>3897.5999999999995</v>
      </c>
      <c r="H105" s="100">
        <v>6</v>
      </c>
      <c r="I105" s="100">
        <v>3340.7999999999997</v>
      </c>
      <c r="J105" s="100">
        <v>10</v>
      </c>
      <c r="K105" s="100">
        <v>5568</v>
      </c>
      <c r="L105" s="100">
        <v>7</v>
      </c>
      <c r="M105" s="100">
        <v>3897.5999999999995</v>
      </c>
      <c r="N105" s="100">
        <v>8</v>
      </c>
      <c r="O105" s="100">
        <v>4454.3999999999996</v>
      </c>
      <c r="P105" s="100">
        <v>10</v>
      </c>
      <c r="Q105" s="100">
        <v>5568</v>
      </c>
      <c r="R105" s="100">
        <v>7</v>
      </c>
      <c r="S105" s="100">
        <v>3897.5999999999995</v>
      </c>
      <c r="T105" s="100">
        <v>6</v>
      </c>
      <c r="U105" s="100">
        <v>3340.7999999999997</v>
      </c>
      <c r="V105" s="100">
        <v>10</v>
      </c>
      <c r="W105" s="100">
        <v>5568</v>
      </c>
      <c r="X105" s="100">
        <v>10</v>
      </c>
      <c r="Y105" s="100">
        <v>5568</v>
      </c>
      <c r="Z105" s="100">
        <v>10</v>
      </c>
      <c r="AA105" s="100">
        <v>5568</v>
      </c>
      <c r="AB105" s="100">
        <v>9</v>
      </c>
      <c r="AC105" s="100">
        <v>5011.2</v>
      </c>
      <c r="AD105" s="100">
        <v>11</v>
      </c>
      <c r="AE105" s="100">
        <v>6124.7999999999993</v>
      </c>
      <c r="AF105" s="100">
        <v>8</v>
      </c>
      <c r="AG105" s="100">
        <v>4454.3999999999996</v>
      </c>
      <c r="AH105" s="100">
        <v>8</v>
      </c>
      <c r="AI105" s="100">
        <v>4454.3999999999996</v>
      </c>
      <c r="AJ105" s="100">
        <v>12</v>
      </c>
      <c r="AK105" s="100">
        <v>6681.5999999999995</v>
      </c>
      <c r="AL105" s="100">
        <v>11</v>
      </c>
      <c r="AM105" s="100">
        <v>6124.7999999999993</v>
      </c>
      <c r="AN105" s="100">
        <v>6</v>
      </c>
      <c r="AO105" s="100">
        <v>3340.7999999999997</v>
      </c>
      <c r="AP105" s="100">
        <v>9</v>
      </c>
      <c r="AQ105" s="100">
        <v>5011.2</v>
      </c>
      <c r="AR105" s="100">
        <v>9</v>
      </c>
      <c r="AS105" s="100">
        <v>5011.2</v>
      </c>
      <c r="AT105" s="100">
        <v>9</v>
      </c>
      <c r="AU105" s="100">
        <v>5011.2</v>
      </c>
      <c r="AV105" s="100">
        <v>8</v>
      </c>
      <c r="AW105" s="100">
        <v>4454.3999999999996</v>
      </c>
      <c r="AX105" s="100">
        <v>8</v>
      </c>
      <c r="AY105" s="100">
        <v>4454.3999999999996</v>
      </c>
      <c r="AZ105" s="100">
        <v>3.962264150943426</v>
      </c>
      <c r="BA105" s="100">
        <v>2206.1886792452992</v>
      </c>
      <c r="BB105" s="100">
        <v>5.5931129600637516E-22</v>
      </c>
      <c r="BC105" s="100">
        <v>3.1142452961634966E-19</v>
      </c>
      <c r="BD105" s="100">
        <v>4.0453332730020852E-22</v>
      </c>
      <c r="BE105" s="100">
        <v>2.2524415664075609E-19</v>
      </c>
      <c r="BF105" s="100">
        <v>2.7516919375714718E-22</v>
      </c>
      <c r="BG105" s="100">
        <v>1.5321420708397954E-19</v>
      </c>
      <c r="BH105" s="100">
        <v>7</v>
      </c>
      <c r="BI105" s="100">
        <v>3897.5999999999995</v>
      </c>
      <c r="BJ105" s="100">
        <v>9.7435897435897463</v>
      </c>
      <c r="BK105" s="100">
        <v>5425.2307692307704</v>
      </c>
      <c r="BL105" s="100">
        <v>12</v>
      </c>
      <c r="BM105" s="100">
        <v>6681.5999999999995</v>
      </c>
      <c r="BN105" s="100">
        <v>9.693877551020412</v>
      </c>
      <c r="BO105" s="100">
        <v>5397.5510204081647</v>
      </c>
      <c r="BP105" s="100">
        <v>6</v>
      </c>
      <c r="BQ105" s="100">
        <v>3340.7999999999997</v>
      </c>
      <c r="BR105" s="100">
        <v>10.521739130434785</v>
      </c>
      <c r="BS105" s="100">
        <v>5858.5043478260877</v>
      </c>
      <c r="BT105" s="100">
        <v>7.2457627118644083</v>
      </c>
      <c r="BU105" s="100">
        <v>4034.4406779661022</v>
      </c>
      <c r="BV105" s="100">
        <v>7</v>
      </c>
      <c r="BW105" s="100">
        <v>3897.5999999999995</v>
      </c>
      <c r="BX105" s="100">
        <v>11</v>
      </c>
      <c r="BY105" s="100">
        <v>6124.7999999999993</v>
      </c>
      <c r="BZ105" s="100">
        <v>10.15789473684211</v>
      </c>
      <c r="CA105" s="100">
        <v>5655.9157894736863</v>
      </c>
      <c r="CB105" s="100">
        <v>7.7375565610859738</v>
      </c>
      <c r="CC105" s="100">
        <v>4308.2714932126701</v>
      </c>
      <c r="CD105" s="100">
        <v>9.0909090909090917</v>
      </c>
      <c r="CE105" s="100">
        <v>5061.818181818182</v>
      </c>
      <c r="CF105" s="100">
        <v>8.8559322033898322</v>
      </c>
      <c r="CG105" s="100">
        <v>4930.9830508474579</v>
      </c>
      <c r="CH105" s="100">
        <v>7.9166666666666679</v>
      </c>
      <c r="CI105" s="100">
        <v>4408</v>
      </c>
      <c r="CJ105" s="100">
        <v>11.287128712871288</v>
      </c>
      <c r="CK105" s="100">
        <v>6284.6732673267325</v>
      </c>
      <c r="CL105" s="100">
        <v>6.717171717171718</v>
      </c>
      <c r="CM105" s="100">
        <v>3740.1212121212125</v>
      </c>
      <c r="CN105" s="100">
        <v>8</v>
      </c>
      <c r="CO105" s="100">
        <v>4454.3999999999996</v>
      </c>
      <c r="CP105" s="100">
        <v>10</v>
      </c>
      <c r="CQ105" s="100">
        <v>5568</v>
      </c>
      <c r="CR105" s="100">
        <v>10.513944223107575</v>
      </c>
      <c r="CS105" s="100">
        <v>5854.1641434262974</v>
      </c>
      <c r="CT105" s="100">
        <v>6.3033175355450251</v>
      </c>
      <c r="CU105" s="100">
        <v>3509.6872037914695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941.57435093271772</v>
      </c>
      <c r="E109" s="100">
        <f>SUM(L$6:L$19)+SUM(N$6:N$19)+SUM(P$6:P$19)+SUM(R$6:R$19)</f>
        <v>1183</v>
      </c>
      <c r="F109" s="100">
        <f>SUM(T$6:T$19)+SUM(V$6:V$19)+SUM(X$6:X$19)+SUM(Z$6:Z$19)</f>
        <v>1114.6634812328109</v>
      </c>
      <c r="G109" s="100">
        <f>SUM(AB$6:AB$19)+SUM(AD$6:AD$19)+SUM(AF$6:AF$19)+SUM(AH$6:AH$19)</f>
        <v>1058.4979248753471</v>
      </c>
      <c r="H109" s="100">
        <f>SUM(AJ$6:AJ$19)+SUM(AL$6:AL$19)+SUM(AN$6:AN$19)+SUM(AP$6:AP$19)</f>
        <v>1275.4080590984975</v>
      </c>
      <c r="I109" s="100">
        <f>SUM(AR$6:AR$19)+SUM(AT$6:AT$19)+SUM(AV$6:AV$19)+SUM(AX$6:AX$19)</f>
        <v>1282.4350936395299</v>
      </c>
      <c r="J109" s="100">
        <f>SUM(AZ$6:AZ$19)+SUM(BB$6:BB$19)+SUM(BD$6:BD$19)+SUM(BF$6:BF$19)</f>
        <v>1160.9317042439625</v>
      </c>
      <c r="K109" s="100">
        <f>SUM(BH$6:BH$19)+SUM(BJ$6:BJ$19)+SUM(BL$6:BL$19)+SUM(BN$6:BN$19)</f>
        <v>1273.3088491607023</v>
      </c>
      <c r="L109" s="100">
        <f>SUM(BP$6:BP$19)+SUM(BR$6:BR$19)+SUM(BT$6:BT$19)+SUM(BV$6:BV$19)</f>
        <v>1155.9694351769335</v>
      </c>
      <c r="M109" s="100">
        <f>SUM(BX$6:BX$19)+SUM(BZ$6:BZ$19)+SUM(CB$6:CB$19)+SUM(CD$6:CD$19)</f>
        <v>1195.0664269885319</v>
      </c>
      <c r="N109" s="100">
        <f>SUM(CF$6:CF$19)+SUM(CH$6:CH$19)+SUM(CJ$6:CJ$19)+SUM(CL$6:CL$19)</f>
        <v>1145.8757402575438</v>
      </c>
      <c r="O109" s="100">
        <f>SUM(CN$6:CN$19)+SUM(CP$6:CP$19)+SUM(CR$6:CR$19)+SUM(CT$6:CT$19)</f>
        <v>1401.6383605443407</v>
      </c>
    </row>
    <row r="110" spans="2:99">
      <c r="C110" s="99" t="s">
        <v>127</v>
      </c>
      <c r="D110" s="100">
        <f>SUM(D$20:D$36)+SUM(F$20:F$36)+SUM(H$20:H$36)+SUM(J$20:J$36)</f>
        <v>1374.9168354160111</v>
      </c>
      <c r="E110" s="100">
        <f>SUM(L$20:L$36)+SUM(N$20:N$36)+SUM(P$20:P$36)+SUM(R$20:R$36)</f>
        <v>1677</v>
      </c>
      <c r="F110" s="100">
        <f>SUM(T$20:T$36)+SUM(V$20:V$36)+SUM(X$20:X$36)+SUM(Z$20:Z$36)</f>
        <v>1528.9454146391097</v>
      </c>
      <c r="G110" s="100">
        <f>SUM(AB$20:AB$36)+SUM(AD$20:AD$36)+SUM(AF$20:AF$36)+SUM(AH$20:AH$36)</f>
        <v>1644.4264046307596</v>
      </c>
      <c r="H110" s="100">
        <f>SUM(AJ$20:AJ$36)+SUM(AL$20:AL$36)+SUM(AN$20:AN$36)+SUM(AP$20:AP$36)</f>
        <v>1336.1020598687887</v>
      </c>
      <c r="I110" s="100">
        <f>SUM(AR$20:AR$36)+SUM(AT$20:AT$36)+SUM(AV$20:AV$36)+SUM(AX$20:AX$36)</f>
        <v>1372.9518753308919</v>
      </c>
      <c r="J110" s="100">
        <f>SUM(AZ$20:AZ$36)+SUM(BB$20:BB$36)+SUM(BD$20:BD$36)+SUM(BF$20:BF$36)</f>
        <v>1497.6539993628949</v>
      </c>
      <c r="K110" s="100">
        <f>SUM(BH$20:BH$36)+SUM(BJ$20:BJ$36)+SUM(BL$20:BL$36)+SUM(BN$20:BN$36)</f>
        <v>1436.4556384190307</v>
      </c>
      <c r="L110" s="100">
        <f>SUM(BP$20:BP$36)+SUM(BR$20:BR$36)+SUM(BT$20:BT$36)+SUM(BV$20:BV$36)</f>
        <v>1575.4480958249851</v>
      </c>
      <c r="M110" s="100">
        <f>SUM(BX$20:BX$36)+SUM(BZ$20:BZ$36)+SUM(CB$20:CB$36)+SUM(CD$20:CD$36)</f>
        <v>1427.906729666212</v>
      </c>
      <c r="N110" s="100">
        <f>SUM(CF$20:CF$36)+SUM(CH$20:CH$36)+SUM(CJ$20:CJ$36)+SUM(CL$20:CL$36)</f>
        <v>1486.3684359774902</v>
      </c>
      <c r="O110" s="100">
        <f>SUM(CN$20:CN$36)+SUM(CP$20:CP$36)+SUM(CR$20:CR$36)+SUM(CT$20:CT$36)</f>
        <v>1389.7103124632242</v>
      </c>
    </row>
    <row r="111" spans="2:99">
      <c r="C111" s="99" t="s">
        <v>128</v>
      </c>
      <c r="D111" s="100">
        <f>SUM(D$37:D$48)+SUM(F$37:F$48)+SUM(H$37:H$48)+SUM(J$37:J$48)</f>
        <v>680.66310106674598</v>
      </c>
      <c r="E111" s="100">
        <f>SUM(L$37:L$48)+SUM(N$37:N$48)+SUM(P$37:P$48)+SUM(R$37:R$48)</f>
        <v>620</v>
      </c>
      <c r="F111" s="100">
        <f>SUM(T$37:T$48)+SUM(V$37:V$48)+SUM(X$37:X$48)+SUM(Z$37:Z$48)</f>
        <v>665.9659391078842</v>
      </c>
      <c r="G111" s="100">
        <f>SUM(AB$37:AB$48)+SUM(AD$37:AD$48)+SUM(AF$37:AF$48)+SUM(AH$37:AH$48)</f>
        <v>651.10109794028517</v>
      </c>
      <c r="H111" s="100">
        <f>SUM(AJ$37:AJ$48)+SUM(AL$37:AL$48)+SUM(AN$37:AN$48)+SUM(AP$37:AP$48)</f>
        <v>696.68566246593628</v>
      </c>
      <c r="I111" s="100">
        <f>SUM(AR$37:AR$48)+SUM(AT$37:AT$48)+SUM(AV$37:AV$48)+SUM(AX$37:AX$48)</f>
        <v>687.03234228810049</v>
      </c>
      <c r="J111" s="100">
        <f>SUM(AZ$37:AZ$48)+SUM(BB$37:BB$48)+SUM(BD$37:BD$48)+SUM(BF$37:BF$48)</f>
        <v>722.52294467121351</v>
      </c>
      <c r="K111" s="100">
        <f>SUM(BH$37:BH$48)+SUM(BJ$37:BJ$48)+SUM(BL$37:BL$48)+SUM(BN$37:BN$48)</f>
        <v>606.5817424217787</v>
      </c>
      <c r="L111" s="100">
        <f>SUM(BP$37:BP$48)+SUM(BR$37:BR$48)+SUM(BT$37:BT$48)+SUM(BV$37:BV$48)</f>
        <v>598.23224283361287</v>
      </c>
      <c r="M111" s="100">
        <f>SUM(BX$37:BX$48)+SUM(BZ$37:BZ$48)+SUM(CB$37:CB$48)+SUM(CD$37:CD$48)</f>
        <v>687.13694927103074</v>
      </c>
      <c r="N111" s="100">
        <f>SUM(CF$37:CF$48)+SUM(CH$37:CH$48)+SUM(CJ$37:CJ$48)+SUM(CL$37:CL$48)</f>
        <v>598.9597615371415</v>
      </c>
      <c r="O111" s="100">
        <f>SUM(CN$37:CN$48)+SUM(CP$37:CP$48)+SUM(CR$37:CR$48)+SUM(CT$37:CT$48)</f>
        <v>710.46088481001902</v>
      </c>
    </row>
    <row r="112" spans="2:99">
      <c r="C112" s="99" t="s">
        <v>129</v>
      </c>
      <c r="D112" s="100">
        <f>SUM(D$49:D$70)+SUM(F$49:F$70)+SUM(H$49:H$70)+SUM(J$49:J$70)</f>
        <v>1039.9761706386644</v>
      </c>
      <c r="E112" s="100">
        <f>SUM(L$49:L$70)+SUM(N$49:N$70)+SUM(P$49:P$70)+SUM(R$49:R$70)</f>
        <v>951</v>
      </c>
      <c r="F112" s="100">
        <f>SUM(T$49:T$70)+SUM(V$49:V$70)+SUM(X$49:X$70)+SUM(Z$49:Z$70)</f>
        <v>1162.2240648289528</v>
      </c>
      <c r="G112" s="100">
        <f>SUM(AB$49:AB$70)+SUM(AD$49:AD$70)+SUM(AF$49:AF$70)+SUM(AH$49:AH$70)</f>
        <v>1043.3296391352783</v>
      </c>
      <c r="H112" s="100">
        <f>SUM(AJ$49:AJ$70)+SUM(AL$49:AL$70)+SUM(AN$49:AN$70)+SUM(AP$49:AP$70)</f>
        <v>1111.1592851484481</v>
      </c>
      <c r="I112" s="100">
        <f>SUM(AR$49:AR$70)+SUM(AT$49:AT$70)+SUM(AV$49:AV$70)+SUM(AX$49:AX$70)</f>
        <v>1058.935755323148</v>
      </c>
      <c r="J112" s="100">
        <f>SUM(AZ$49:AZ$70)+SUM(BB$49:BB$70)+SUM(BD$49:BD$70)+SUM(BF$49:BF$70)</f>
        <v>924.3030220771841</v>
      </c>
      <c r="K112" s="100">
        <f>SUM(BH$49:BH$70)+SUM(BJ$49:BJ$70)+SUM(BL$49:BL$70)+SUM(BN$49:BN$70)</f>
        <v>1081.4287737858097</v>
      </c>
      <c r="L112" s="100">
        <f>SUM(BP$49:BP$70)+SUM(BR$49:BR$70)+SUM(BT$49:BT$70)+SUM(BV$49:BV$70)</f>
        <v>1074.9657938515184</v>
      </c>
      <c r="M112" s="100">
        <f>SUM(BX$49:BX$70)+SUM(BZ$49:BZ$70)+SUM(CB$49:CB$70)+SUM(CD$49:CD$70)</f>
        <v>1092.5439928930084</v>
      </c>
      <c r="N112" s="100">
        <f>SUM(CF$49:CF$70)+SUM(CH$49:CH$70)+SUM(CJ$49:CJ$70)+SUM(CL$49:CL$70)</f>
        <v>1011.641759488522</v>
      </c>
      <c r="O112" s="100">
        <f>SUM(CN$49:CN$70)+SUM(CP$49:CP$70)+SUM(CR$49:CR$70)+SUM(CT$49:CT$70)</f>
        <v>858.25610712892058</v>
      </c>
    </row>
    <row r="113" spans="2:15">
      <c r="C113" s="99" t="s">
        <v>130</v>
      </c>
      <c r="D113" s="100">
        <f>SUM(D$71:D$86)+SUM(F$71:F$86)+SUM(H$71:H$86)+SUM(J$71:J$86)</f>
        <v>438</v>
      </c>
      <c r="E113" s="100">
        <f>SUM(L$71:L$86)+SUM(N$71:N$86)+SUM(P$71:P$86)+SUM(R$71:R$86)</f>
        <v>453</v>
      </c>
      <c r="F113" s="100">
        <f>SUM(T$71:T$86)+SUM(V$71:V$86)+SUM(X$71:X$86)+SUM(Z$71:Z$86)</f>
        <v>474</v>
      </c>
      <c r="G113" s="100">
        <f>SUM(AB$71:AB$86)+SUM(AD$71:AD$86)+SUM(AF$71:AF$86)+SUM(AH$71:AH$86)</f>
        <v>439</v>
      </c>
      <c r="H113" s="100">
        <f>SUM(AJ$71:AJ$86)+SUM(AL$71:AL$86)+SUM(AN$71:AN$86)+SUM(AP$71:AP$86)</f>
        <v>545</v>
      </c>
      <c r="I113" s="100">
        <f>SUM(AR$71:AR$86)+SUM(AT$71:AT$86)+SUM(AV$71:AV$86)+SUM(AX$71:AX$86)</f>
        <v>506</v>
      </c>
      <c r="J113" s="100">
        <f>SUM(AZ$71:AZ$86)+SUM(BB$71:BB$86)+SUM(BD$71:BD$86)+SUM(BF$71:BF$86)</f>
        <v>392</v>
      </c>
      <c r="K113" s="100">
        <f>SUM(BH$71:BH$86)+SUM(BJ$71:BJ$86)+SUM(BL$71:BL$86)+SUM(BN$71:BN$86)</f>
        <v>492</v>
      </c>
      <c r="L113" s="100">
        <f>SUM(BP$71:BP$86)+SUM(BR$71:BR$86)+SUM(BT$71:BT$86)+SUM(BV$71:BV$86)</f>
        <v>461</v>
      </c>
      <c r="M113" s="100">
        <f>SUM(BX$71:BX$86)+SUM(BZ$71:BZ$86)+SUM(CB$71:CB$86)+SUM(CD$71:CD$86)</f>
        <v>533</v>
      </c>
      <c r="N113" s="100">
        <f>SUM(CF$71:CF$86)+SUM(CH$71:CH$86)+SUM(CJ$71:CJ$86)+SUM(CL$71:CL$86)</f>
        <v>486</v>
      </c>
      <c r="O113" s="100">
        <f>SUM(CN$71:CN$86)+SUM(CP$71:CP$86)+SUM(CR$71:CR$86)+SUM(CT$71:CT$86)</f>
        <v>497</v>
      </c>
    </row>
    <row r="114" spans="2:15">
      <c r="C114" s="99" t="s">
        <v>131</v>
      </c>
      <c r="D114" s="100">
        <f>SUM(D$87:D$94)+SUM(F$87:F$94)+SUM(H$87:H$94)+SUM(J$87:J$94)</f>
        <v>292</v>
      </c>
      <c r="E114" s="100">
        <f>SUM(L$87:L$94)+SUM(N$87:N$94)+SUM(P$87:P$94)+SUM(R$87:R$94)</f>
        <v>297</v>
      </c>
      <c r="F114" s="100">
        <f>SUM(T$87:T$94)+SUM(V$87:V$94)+SUM(X$87:X$94)+SUM(Z$87:Z$94)</f>
        <v>215</v>
      </c>
      <c r="G114" s="100">
        <f>SUM(AB$87:AB$94)+SUM(AD$87:AD$94)+SUM(AF$87:AF$94)+SUM(AH$87:AH$94)</f>
        <v>311</v>
      </c>
      <c r="H114" s="100">
        <f>SUM(AJ$87:AJ$94)+SUM(AL$87:AL$94)+SUM(AN$87:AN$94)+SUM(AP$87:AP$94)</f>
        <v>286</v>
      </c>
      <c r="I114" s="100">
        <f>SUM(AR$87:AR$94)+SUM(AT$87:AT$94)+SUM(AV$87:AV$94)+SUM(AX$87:AX$94)</f>
        <v>282</v>
      </c>
      <c r="J114" s="100">
        <f>SUM(AZ$87:AZ$94)+SUM(BB$87:BB$94)+SUM(BD$87:BD$94)+SUM(BF$87:BF$94)</f>
        <v>40.188679245283325</v>
      </c>
      <c r="K114" s="100">
        <f>SUM(BH$87:BH$94)+SUM(BJ$87:BJ$94)+SUM(BL$87:BL$94)+SUM(BN$87:BN$94)</f>
        <v>276.40319204604924</v>
      </c>
      <c r="L114" s="100">
        <f>SUM(BP$87:BP$94)+SUM(BR$87:BR$94)+SUM(BT$87:BT$94)+SUM(BV$87:BV$94)</f>
        <v>315.52947678703026</v>
      </c>
      <c r="M114" s="100">
        <f>SUM(BX$87:BX$94)+SUM(BZ$87:BZ$94)+SUM(CB$87:CB$94)+SUM(CD$87:CD$94)</f>
        <v>273.19398558098254</v>
      </c>
      <c r="N114" s="100">
        <f>SUM(CF$87:CF$94)+SUM(CH$87:CH$94)+SUM(CJ$87:CJ$94)+SUM(CL$87:CL$94)</f>
        <v>322.98488402865712</v>
      </c>
      <c r="O114" s="100">
        <f>SUM(CN$87:CN$94)+SUM(CP$87:CP$94)+SUM(CR$87:CR$94)+SUM(CT$87:CT$94)</f>
        <v>323.5539736787448</v>
      </c>
    </row>
    <row r="115" spans="2:15">
      <c r="C115" s="99" t="s">
        <v>132</v>
      </c>
      <c r="D115" s="100">
        <f>SUM(D$95:D$105)+SUM(F$95:F$105)+SUM(H$95:H$105)+SUM(J$95:J$105)</f>
        <v>369</v>
      </c>
      <c r="E115" s="100">
        <f>SUM(L$95:L$105)+SUM(N$95:N$105)+SUM(P$95:P$105)+SUM(R$95:R$105)</f>
        <v>335</v>
      </c>
      <c r="F115" s="100">
        <f>SUM(T$95:T$105)+SUM(V$95:V$105)+SUM(X$95:X$105)+SUM(Z$95:Z$105)</f>
        <v>385</v>
      </c>
      <c r="G115" s="100">
        <f>SUM(AB$95:AB$105)+SUM(AD$95:AD$105)+SUM(AF$95:AF$105)+SUM(AH$95:AH$105)</f>
        <v>374</v>
      </c>
      <c r="H115" s="100">
        <f>SUM(AJ$95:AJ$105)+SUM(AL$95:AL$105)+SUM(AN$95:AN$105)+SUM(AP$95:AP$105)</f>
        <v>394</v>
      </c>
      <c r="I115" s="100">
        <f>SUM(AR$95:AR$105)+SUM(AT$95:AT$105)+SUM(AV$95:AV$105)+SUM(AX$95:AX$105)</f>
        <v>365</v>
      </c>
      <c r="J115" s="100">
        <f>SUM(AZ$95:AZ$105)+SUM(BB$95:BB$105)+SUM(BD$95:BD$105)+SUM(BF$95:BF$105)</f>
        <v>40.754716981132383</v>
      </c>
      <c r="K115" s="100">
        <f>SUM(BH$95:BH$105)+SUM(BJ$95:BJ$105)+SUM(BL$95:BL$105)+SUM(BN$95:BN$105)</f>
        <v>386.17687074829939</v>
      </c>
      <c r="L115" s="100">
        <f>SUM(BP$95:BP$105)+SUM(BR$95:BR$105)+SUM(BT$95:BT$105)+SUM(BV$95:BV$105)</f>
        <v>334.21002210759036</v>
      </c>
      <c r="M115" s="100">
        <f>SUM(BX$95:BX$105)+SUM(BZ$95:BZ$105)+SUM(CB$95:CB$105)+SUM(CD$95:CD$105)</f>
        <v>407.50698218190485</v>
      </c>
      <c r="N115" s="100">
        <f>SUM(CF$95:CF$105)+SUM(CH$95:CH$105)+SUM(CJ$95:CJ$105)+SUM(CL$95:CL$105)</f>
        <v>346.20394295785513</v>
      </c>
      <c r="O115" s="100">
        <f>SUM(CN$95:CN$105)+SUM(CP$95:CP$105)+SUM(CR$95:CR$105)+SUM(CT$95:CT$105)</f>
        <v>362.73542795642084</v>
      </c>
    </row>
    <row r="116" spans="2:15">
      <c r="C116" s="99" t="s">
        <v>278</v>
      </c>
      <c r="D116" s="100">
        <f t="shared" ref="D116:O116" si="0">SUM(D$109:D$115)</f>
        <v>5136.1304580541391</v>
      </c>
      <c r="E116" s="100">
        <f t="shared" si="0"/>
        <v>5516</v>
      </c>
      <c r="F116" s="100">
        <f t="shared" si="0"/>
        <v>5545.7988998087576</v>
      </c>
      <c r="G116" s="100">
        <f t="shared" si="0"/>
        <v>5521.3550665816711</v>
      </c>
      <c r="H116" s="100">
        <f t="shared" si="0"/>
        <v>5644.3550665816701</v>
      </c>
      <c r="I116" s="100">
        <f t="shared" si="0"/>
        <v>5554.3550665816701</v>
      </c>
      <c r="J116" s="100">
        <f t="shared" si="0"/>
        <v>4778.3550665816711</v>
      </c>
      <c r="K116" s="100">
        <f t="shared" si="0"/>
        <v>5552.3550665816701</v>
      </c>
      <c r="L116" s="100">
        <f t="shared" si="0"/>
        <v>5515.3550665816701</v>
      </c>
      <c r="M116" s="100">
        <f t="shared" si="0"/>
        <v>5616.3550665816701</v>
      </c>
      <c r="N116" s="100">
        <f t="shared" si="0"/>
        <v>5398.0345242472104</v>
      </c>
      <c r="O116" s="100">
        <f t="shared" si="0"/>
        <v>5543.3550665816692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3201352.79317124</v>
      </c>
      <c r="E120" s="100">
        <f>E109*pricing!E6*2000</f>
        <v>4022200</v>
      </c>
      <c r="F120" s="100">
        <f>F109*pricing!F6*2000</f>
        <v>3789855.8361915569</v>
      </c>
      <c r="G120" s="100">
        <f>G109*pricing!G6*2000</f>
        <v>3598892.9445761801</v>
      </c>
      <c r="H120" s="100">
        <f>H109*pricing!H6*2000</f>
        <v>4336387.4009348908</v>
      </c>
      <c r="I120" s="100">
        <f>I109*pricing!I6*2000</f>
        <v>4360279.3183744019</v>
      </c>
      <c r="J120" s="100">
        <f>J109*pricing!J6*2000</f>
        <v>3947167.7944294726</v>
      </c>
      <c r="K120" s="100">
        <f>K109*pricing!K6*2000</f>
        <v>4329250.0871463874</v>
      </c>
      <c r="L120" s="100">
        <f>L109*pricing!L6*2000</f>
        <v>3930296.0796015742</v>
      </c>
      <c r="M120" s="100">
        <f>M109*pricing!M6*2000</f>
        <v>4063225.8517610086</v>
      </c>
      <c r="N120" s="100">
        <f>N109*pricing!N6*2000</f>
        <v>3895977.5168756493</v>
      </c>
      <c r="O120" s="100">
        <f>O109*pricing!O6*2000</f>
        <v>4765570.4258507583</v>
      </c>
    </row>
    <row r="121" spans="2:15">
      <c r="C121" s="99" t="s">
        <v>127</v>
      </c>
      <c r="D121" s="100">
        <f>D110*pricing!D7*2000</f>
        <v>5499667.3416640442</v>
      </c>
      <c r="E121" s="100">
        <f>E110*pricing!E7*2000</f>
        <v>6708000</v>
      </c>
      <c r="F121" s="100">
        <f>F110*pricing!F7*2000</f>
        <v>6115781.658556439</v>
      </c>
      <c r="G121" s="100">
        <f>G110*pricing!G7*2000</f>
        <v>6577705.6185230389</v>
      </c>
      <c r="H121" s="100">
        <f>H110*pricing!H7*2000</f>
        <v>5344408.2394751552</v>
      </c>
      <c r="I121" s="100">
        <f>I110*pricing!I7*2000</f>
        <v>5491807.5013235677</v>
      </c>
      <c r="J121" s="100">
        <f>J110*pricing!J7*2000</f>
        <v>5990615.9974515792</v>
      </c>
      <c r="K121" s="100">
        <f>K110*pricing!K7*2000</f>
        <v>5745822.5536761228</v>
      </c>
      <c r="L121" s="100">
        <f>L110*pricing!L7*2000</f>
        <v>6301792.3832999403</v>
      </c>
      <c r="M121" s="100">
        <f>M110*pricing!M7*2000</f>
        <v>5711626.9186648475</v>
      </c>
      <c r="N121" s="100">
        <f>N110*pricing!N7*2000</f>
        <v>5945473.7439099606</v>
      </c>
      <c r="O121" s="100">
        <f>O110*pricing!O7*2000</f>
        <v>5558841.2498528967</v>
      </c>
    </row>
    <row r="122" spans="2:15">
      <c r="C122" s="99" t="s">
        <v>128</v>
      </c>
      <c r="D122" s="100">
        <f>D111*pricing!D8*2000</f>
        <v>3062983.9548003571</v>
      </c>
      <c r="E122" s="100">
        <f>E111*pricing!E8*2000</f>
        <v>2790000</v>
      </c>
      <c r="F122" s="100">
        <f>F111*pricing!F8*2000</f>
        <v>2996846.7259854786</v>
      </c>
      <c r="G122" s="100">
        <f>G111*pricing!G8*2000</f>
        <v>2929954.9407312833</v>
      </c>
      <c r="H122" s="100">
        <f>H111*pricing!H8*2000</f>
        <v>3135085.4810967129</v>
      </c>
      <c r="I122" s="100">
        <f>I111*pricing!I8*2000</f>
        <v>3091645.5402964521</v>
      </c>
      <c r="J122" s="100">
        <f>J111*pricing!J8*2000</f>
        <v>3251353.2510204609</v>
      </c>
      <c r="K122" s="100">
        <f>K111*pricing!K8*2000</f>
        <v>2729617.8408980039</v>
      </c>
      <c r="L122" s="100">
        <f>L111*pricing!L8*2000</f>
        <v>2692045.0927512581</v>
      </c>
      <c r="M122" s="100">
        <f>M111*pricing!M8*2000</f>
        <v>3092116.2717196383</v>
      </c>
      <c r="N122" s="100">
        <f>N111*pricing!N8*2000</f>
        <v>2695318.9269171366</v>
      </c>
      <c r="O122" s="100">
        <f>O111*pricing!O8*2000</f>
        <v>3197073.9816450854</v>
      </c>
    </row>
    <row r="123" spans="2:15">
      <c r="C123" s="99" t="s">
        <v>129</v>
      </c>
      <c r="D123" s="100">
        <f>D112*pricing!D9*2000</f>
        <v>4679892.7678739894</v>
      </c>
      <c r="E123" s="100">
        <f>E112*pricing!E9*2000</f>
        <v>4279500</v>
      </c>
      <c r="F123" s="100">
        <f>F112*pricing!F9*2000</f>
        <v>5230008.2917302884</v>
      </c>
      <c r="G123" s="100">
        <f>G112*pricing!G9*2000</f>
        <v>4694983.3761087516</v>
      </c>
      <c r="H123" s="100">
        <f>H112*pricing!H9*2000</f>
        <v>5000216.783168016</v>
      </c>
      <c r="I123" s="100">
        <f>I112*pricing!I9*2000</f>
        <v>4765210.8989541661</v>
      </c>
      <c r="J123" s="100">
        <f>J112*pricing!J9*2000</f>
        <v>4159363.5993473283</v>
      </c>
      <c r="K123" s="100">
        <f>K112*pricing!K9*2000</f>
        <v>4866429.4820361435</v>
      </c>
      <c r="L123" s="100">
        <f>L112*pricing!L9*2000</f>
        <v>4837346.0723318327</v>
      </c>
      <c r="M123" s="100">
        <f>M112*pricing!M9*2000</f>
        <v>4916447.9680185374</v>
      </c>
      <c r="N123" s="100">
        <f>N112*pricing!N9*2000</f>
        <v>4552387.9176983489</v>
      </c>
      <c r="O123" s="100">
        <f>O112*pricing!O9*2000</f>
        <v>3862152.4820801425</v>
      </c>
    </row>
    <row r="124" spans="2:15">
      <c r="C124" s="99" t="s">
        <v>130</v>
      </c>
      <c r="D124" s="100">
        <f>D113*pricing!D10*2000</f>
        <v>2190000</v>
      </c>
      <c r="E124" s="100">
        <f>E113*pricing!E10*2000</f>
        <v>2265000</v>
      </c>
      <c r="F124" s="100">
        <f>F113*pricing!F10*2000</f>
        <v>2370000</v>
      </c>
      <c r="G124" s="100">
        <f>G113*pricing!G10*2000</f>
        <v>2195000</v>
      </c>
      <c r="H124" s="100">
        <f>H113*pricing!H10*2000</f>
        <v>2725000</v>
      </c>
      <c r="I124" s="100">
        <f>I113*pricing!I10*2000</f>
        <v>2530000</v>
      </c>
      <c r="J124" s="100">
        <f>J113*pricing!J10*2000</f>
        <v>1960000</v>
      </c>
      <c r="K124" s="100">
        <f>K113*pricing!K10*2000</f>
        <v>2460000</v>
      </c>
      <c r="L124" s="100">
        <f>L113*pricing!L10*2000</f>
        <v>2305000</v>
      </c>
      <c r="M124" s="100">
        <f>M113*pricing!M10*2000</f>
        <v>2665000</v>
      </c>
      <c r="N124" s="100">
        <f>N113*pricing!N10*2000</f>
        <v>2430000</v>
      </c>
      <c r="O124" s="100">
        <f>O113*pricing!O10*2000</f>
        <v>2485000</v>
      </c>
    </row>
    <row r="125" spans="2:15">
      <c r="C125" s="99" t="s">
        <v>131</v>
      </c>
      <c r="D125" s="100">
        <f>D114*pricing!D11*2000</f>
        <v>1518400</v>
      </c>
      <c r="E125" s="100">
        <f>E114*pricing!E11*2000</f>
        <v>1544400</v>
      </c>
      <c r="F125" s="100">
        <f>F114*pricing!F11*2000</f>
        <v>1118000</v>
      </c>
      <c r="G125" s="100">
        <f>G114*pricing!G11*2000</f>
        <v>1617200</v>
      </c>
      <c r="H125" s="100">
        <f>H114*pricing!H11*2000</f>
        <v>1487200</v>
      </c>
      <c r="I125" s="100">
        <f>I114*pricing!I11*2000</f>
        <v>1466400</v>
      </c>
      <c r="J125" s="100">
        <f>J114*pricing!J11*2000</f>
        <v>208981.13207547329</v>
      </c>
      <c r="K125" s="100">
        <f>K114*pricing!K11*2000</f>
        <v>1437296.5986394561</v>
      </c>
      <c r="L125" s="100">
        <f>L114*pricing!L11*2000</f>
        <v>1640753.2792925574</v>
      </c>
      <c r="M125" s="100">
        <f>M114*pricing!M11*2000</f>
        <v>1420608.7250211092</v>
      </c>
      <c r="N125" s="100">
        <f>N114*pricing!N11*2000</f>
        <v>1679521.3969490172</v>
      </c>
      <c r="O125" s="100">
        <f>O114*pricing!O11*2000</f>
        <v>1682480.6631294729</v>
      </c>
    </row>
    <row r="126" spans="2:15">
      <c r="C126" s="99" t="s">
        <v>132</v>
      </c>
      <c r="D126" s="100">
        <f>D115*pricing!D12*2000</f>
        <v>1992600.0000000002</v>
      </c>
      <c r="E126" s="100">
        <f>E115*pricing!E12*2000</f>
        <v>1809000.0000000002</v>
      </c>
      <c r="F126" s="100">
        <f>F115*pricing!F12*2000</f>
        <v>2079000</v>
      </c>
      <c r="G126" s="100">
        <f>G115*pricing!G12*2000</f>
        <v>2019600.0000000002</v>
      </c>
      <c r="H126" s="100">
        <f>H115*pricing!H12*2000</f>
        <v>2127600.0000000005</v>
      </c>
      <c r="I126" s="100">
        <f>I115*pricing!I12*2000</f>
        <v>1971000.0000000002</v>
      </c>
      <c r="J126" s="100">
        <f>J115*pricing!J12*2000</f>
        <v>220075.47169811488</v>
      </c>
      <c r="K126" s="100">
        <f>K115*pricing!K12*2000</f>
        <v>2085355.1020408168</v>
      </c>
      <c r="L126" s="100">
        <f>L115*pricing!L12*2000</f>
        <v>1804734.1193809879</v>
      </c>
      <c r="M126" s="100">
        <f>M115*pricing!M12*2000</f>
        <v>2200537.7037822865</v>
      </c>
      <c r="N126" s="100">
        <f>N115*pricing!N12*2000</f>
        <v>1869501.2919724179</v>
      </c>
      <c r="O126" s="100">
        <f>O115*pricing!O12*2000</f>
        <v>1958771.3109646726</v>
      </c>
    </row>
    <row r="127" spans="2:15">
      <c r="C127" s="99" t="s">
        <v>278</v>
      </c>
      <c r="D127" s="100">
        <f t="shared" ref="D127:O127" si="1">SUM(D$120:D$126)</f>
        <v>22144896.857509628</v>
      </c>
      <c r="E127" s="100">
        <f t="shared" si="1"/>
        <v>23418100</v>
      </c>
      <c r="F127" s="100">
        <f t="shared" si="1"/>
        <v>23699492.512463763</v>
      </c>
      <c r="G127" s="100">
        <f t="shared" si="1"/>
        <v>23633336.879939254</v>
      </c>
      <c r="H127" s="100">
        <f t="shared" si="1"/>
        <v>24155897.904674776</v>
      </c>
      <c r="I127" s="100">
        <f t="shared" si="1"/>
        <v>23676343.258948587</v>
      </c>
      <c r="J127" s="100">
        <f t="shared" si="1"/>
        <v>19737557.246022429</v>
      </c>
      <c r="K127" s="100">
        <f t="shared" si="1"/>
        <v>23653771.664436929</v>
      </c>
      <c r="L127" s="100">
        <f t="shared" si="1"/>
        <v>23511967.026658151</v>
      </c>
      <c r="M127" s="100">
        <f t="shared" si="1"/>
        <v>24069563.438967425</v>
      </c>
      <c r="N127" s="100">
        <f t="shared" si="1"/>
        <v>23068180.794322528</v>
      </c>
      <c r="O127" s="100">
        <f t="shared" si="1"/>
        <v>23509890.113523029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473505.71172515908</v>
      </c>
      <c r="E131" s="106">
        <f>SUM(M$6:M$19)+SUM(O$6:O$19)+SUM(Q$6:Q$19)+SUM(S$6:S$19)</f>
        <v>595388.39999999991</v>
      </c>
      <c r="F131" s="106">
        <f>SUM(U$6:U$19)+SUM(W$6:W$19)+SUM(Y$6:Y$19)+SUM(AA$6:AA$19)</f>
        <v>558980.99945191573</v>
      </c>
      <c r="G131" s="106">
        <f>SUM(AC$6:AC$19)+SUM(AE$6:AE$19)+SUM(AG$6:AG$19)+SUM(AI$6:AI$19)</f>
        <v>532969.94844552502</v>
      </c>
      <c r="H131" s="106">
        <f>SUM(AK$6:AK$19)+SUM(AM$6:AM$19)+SUM(AO$6:AO$19)+SUM(AQ$6:AQ$19)</f>
        <v>640410.09446995822</v>
      </c>
      <c r="I131" s="106">
        <f>SUM(AS$6:AS$19)+SUM(AU$6:AU$19)+SUM(AW$6:AW$19)+SUM(AY$6:AY$19)</f>
        <v>646495.76472053933</v>
      </c>
      <c r="J131" s="106">
        <f>SUM(BA$6:BA$19)+SUM(BC$6:BC$19)+SUM(BE$6:BE$19)+SUM(BG$6:BG$19)</f>
        <v>586162.71436664346</v>
      </c>
      <c r="K131" s="106">
        <f>SUM(BI$6:BI$19)+SUM(BK$6:BK$19)+SUM(BM$6:BM$19)+SUM(BO$6:BO$19)</f>
        <v>642404.12330265762</v>
      </c>
      <c r="L131" s="106">
        <f>SUM(BQ$6:BQ$19)+SUM(BS$6:BS$19)+SUM(BU$6:BU$19)+SUM(BW$6:BW$19)</f>
        <v>580211.10000116192</v>
      </c>
      <c r="M131" s="106">
        <f>SUM(BY$6:BY$19)+SUM(CA$6:CA$19)+SUM(CC$6:CC$19)+SUM(CE$6:CE$19)</f>
        <v>599381.32871938427</v>
      </c>
      <c r="N131" s="106">
        <f>SUM(CG$6:CG$19)+SUM(CI$6:CI$19)+SUM(CK$6:CK$19)+SUM(CM$6:CM$19)</f>
        <v>574997.22834232287</v>
      </c>
      <c r="O131" s="106">
        <f>SUM(CO$6:CO$19)+SUM(CQ$6:CQ$19)+SUM(CS$6:CS$19)+SUM(CU$6:CU$19)</f>
        <v>704821.41521258338</v>
      </c>
    </row>
    <row r="132" spans="2:15">
      <c r="C132" s="105" t="s">
        <v>127</v>
      </c>
      <c r="D132" s="106">
        <f>SUM(E$20:E$36)+SUM(G$20:G$36)+SUM(I$20:I$36)+SUM(K$20:K$36)</f>
        <v>583502.28933037177</v>
      </c>
      <c r="E132" s="106">
        <f>SUM(M$20:M$36)+SUM(O$20:O$36)+SUM(Q$20:Q$36)+SUM(S$20:S$36)</f>
        <v>719714.4</v>
      </c>
      <c r="F132" s="106">
        <f>SUM(U$20:U$36)+SUM(W$20:W$36)+SUM(Y$20:Y$36)+SUM(AA$20:AA$36)</f>
        <v>648410.32359600021</v>
      </c>
      <c r="G132" s="106">
        <f>SUM(AC$20:AC$36)+SUM(AE$20:AE$36)+SUM(AG$20:AG$36)+SUM(AI$20:AI$36)</f>
        <v>701139.12688934861</v>
      </c>
      <c r="H132" s="106">
        <f>SUM(AK$20:AK$36)+SUM(AM$20:AM$36)+SUM(AO$20:AO$36)+SUM(AQ$20:AQ$36)</f>
        <v>567181.70234513585</v>
      </c>
      <c r="I132" s="106">
        <f>SUM(AS$20:AS$36)+SUM(AU$20:AU$36)+SUM(AW$20:AW$36)+SUM(AY$20:AY$36)</f>
        <v>583547.60872701823</v>
      </c>
      <c r="J132" s="106">
        <f>SUM(BA$20:BA$36)+SUM(BC$20:BC$36)+SUM(BE$20:BE$36)+SUM(BG$20:BG$36)</f>
        <v>636106.14615815703</v>
      </c>
      <c r="K132" s="106">
        <f>SUM(BI$20:BI$36)+SUM(BK$20:BK$36)+SUM(BM$20:BM$36)+SUM(BO$20:BO$36)</f>
        <v>612976.00933912816</v>
      </c>
      <c r="L132" s="106">
        <f>SUM(BQ$20:BQ$36)+SUM(BS$20:BS$36)+SUM(BU$20:BU$36)+SUM(BW$20:BW$36)</f>
        <v>675836.46147331141</v>
      </c>
      <c r="M132" s="106">
        <f>SUM(BY$20:BY$36)+SUM(CA$20:CA$36)+SUM(CC$20:CC$36)+SUM(CE$20:CE$36)</f>
        <v>606955.405067235</v>
      </c>
      <c r="N132" s="106">
        <f>SUM(CG$20:CG$36)+SUM(CI$20:CI$36)+SUM(CK$20:CK$36)+SUM(CM$20:CM$36)</f>
        <v>632495.68269200018</v>
      </c>
      <c r="O132" s="106">
        <f>SUM(CO$20:CO$36)+SUM(CQ$20:CQ$36)+SUM(CS$20:CS$36)+SUM(CU$20:CU$36)</f>
        <v>593670.58608942106</v>
      </c>
    </row>
    <row r="133" spans="2:15">
      <c r="C133" s="105" t="s">
        <v>128</v>
      </c>
      <c r="D133" s="106">
        <f>SUM(E$37:E$48)+SUM(G$37:G$48)+SUM(I$37:I$48)+SUM(K$37:K$48)</f>
        <v>712124.01592679473</v>
      </c>
      <c r="E133" s="106">
        <f>SUM(M$37:M$48)+SUM(O$37:O$48)+SUM(Q$37:Q$48)+SUM(S$37:S$48)</f>
        <v>648684</v>
      </c>
      <c r="F133" s="106">
        <f>SUM(U$37:U$48)+SUM(W$37:W$48)+SUM(Y$37:Y$48)+SUM(AA$37:AA$48)</f>
        <v>701557.71173526533</v>
      </c>
      <c r="G133" s="106">
        <f>SUM(AC$37:AC$48)+SUM(AE$37:AE$48)+SUM(AG$37:AG$48)+SUM(AI$37:AI$48)</f>
        <v>683105.51120488928</v>
      </c>
      <c r="H133" s="106">
        <f>SUM(AK$37:AK$48)+SUM(AM$37:AM$48)+SUM(AO$37:AO$48)+SUM(AQ$37:AQ$48)</f>
        <v>730443.31149942474</v>
      </c>
      <c r="I133" s="106">
        <f>SUM(AS$37:AS$48)+SUM(AU$37:AU$48)+SUM(AW$37:AW$48)+SUM(AY$37:AY$48)</f>
        <v>718071.40728421474</v>
      </c>
      <c r="J133" s="106">
        <f>SUM(BA$37:BA$48)+SUM(BC$37:BC$48)+SUM(BE$37:BE$48)+SUM(BG$37:BG$48)</f>
        <v>754291.70408352034</v>
      </c>
      <c r="K133" s="106">
        <f>SUM(BI$37:BI$48)+SUM(BK$37:BK$48)+SUM(BM$37:BM$48)+SUM(BO$37:BO$48)</f>
        <v>637472.69633014593</v>
      </c>
      <c r="L133" s="106">
        <f>SUM(BQ$37:BQ$48)+SUM(BS$37:BS$48)+SUM(BU$37:BU$48)+SUM(BW$37:BW$48)</f>
        <v>627932.63023757981</v>
      </c>
      <c r="M133" s="106">
        <f>SUM(BY$37:BY$48)+SUM(CA$37:CA$48)+SUM(CC$37:CC$48)+SUM(CE$37:CE$48)</f>
        <v>719953.22160826554</v>
      </c>
      <c r="N133" s="106">
        <f>SUM(CG$37:CG$48)+SUM(CI$37:CI$48)+SUM(CK$37:CK$48)+SUM(CM$37:CM$48)</f>
        <v>628127.43120438943</v>
      </c>
      <c r="O133" s="106">
        <f>SUM(CO$37:CO$48)+SUM(CQ$37:CQ$48)+SUM(CS$37:CS$48)+SUM(CU$37:CU$48)</f>
        <v>744731.60297339852</v>
      </c>
    </row>
    <row r="134" spans="2:15">
      <c r="C134" s="105" t="s">
        <v>129</v>
      </c>
      <c r="D134" s="106">
        <f>SUM(E$49:E$70)+SUM(G$49:G$70)+SUM(I$49:I$70)+SUM(K$49:K$70)</f>
        <v>871369.54179570358</v>
      </c>
      <c r="E134" s="106">
        <f>SUM(M$49:M$70)+SUM(O$49:O$70)+SUM(Q$49:Q$70)+SUM(S$49:S$70)</f>
        <v>795612</v>
      </c>
      <c r="F134" s="106">
        <f>SUM(U$49:U$70)+SUM(W$49:W$70)+SUM(Y$49:Y$70)+SUM(AA$49:AA$70)</f>
        <v>981651.91976996034</v>
      </c>
      <c r="G134" s="106">
        <f>SUM(AC$49:AC$70)+SUM(AE$49:AE$70)+SUM(AG$49:AG$70)+SUM(AI$49:AI$70)</f>
        <v>877138.26175457495</v>
      </c>
      <c r="H134" s="106">
        <f>SUM(AK$49:AK$70)+SUM(AM$49:AM$70)+SUM(AO$49:AO$70)+SUM(AQ$49:AQ$70)</f>
        <v>940316.04590729252</v>
      </c>
      <c r="I134" s="106">
        <f>SUM(AS$49:AS$70)+SUM(AU$49:AU$70)+SUM(AW$49:AW$70)+SUM(AY$49:AY$70)</f>
        <v>892557.02597208461</v>
      </c>
      <c r="J134" s="106">
        <f>SUM(BA$49:BA$70)+SUM(BC$49:BC$70)+SUM(BE$49:BE$70)+SUM(BG$49:BG$70)</f>
        <v>740545.58884645253</v>
      </c>
      <c r="K134" s="106">
        <f>SUM(BI$49:BI$70)+SUM(BK$49:BK$70)+SUM(BM$49:BM$70)+SUM(BO$49:BO$70)</f>
        <v>905937.46150168648</v>
      </c>
      <c r="L134" s="106">
        <f>SUM(BQ$49:BQ$70)+SUM(BS$49:BS$70)+SUM(BU$49:BU$70)+SUM(BW$49:BW$70)</f>
        <v>906854.70446410426</v>
      </c>
      <c r="M134" s="106">
        <f>SUM(BY$49:BY$70)+SUM(CA$49:CA$70)+SUM(CC$49:CC$70)+SUM(CE$49:CE$70)</f>
        <v>916520.27019235282</v>
      </c>
      <c r="N134" s="106">
        <f>SUM(CG$49:CG$70)+SUM(CI$49:CI$70)+SUM(CK$49:CK$70)+SUM(CM$49:CM$70)</f>
        <v>848433.42273767258</v>
      </c>
      <c r="O134" s="106">
        <f>SUM(CO$49:CO$70)+SUM(CQ$49:CQ$70)+SUM(CS$49:CS$70)+SUM(CU$49:CU$70)</f>
        <v>719833.13384664746</v>
      </c>
    </row>
    <row r="135" spans="2:15">
      <c r="C135" s="105" t="s">
        <v>130</v>
      </c>
      <c r="D135" s="106">
        <f>SUM(E$71:E$86)+SUM(G$71:G$86)+SUM(I$71:I$86)+SUM(K$71:K$86)</f>
        <v>245862</v>
      </c>
      <c r="E135" s="106">
        <f>SUM(M$71:M$86)+SUM(O$71:O$86)+SUM(Q$71:Q$86)+SUM(S$71:S$86)</f>
        <v>252884.40000000002</v>
      </c>
      <c r="F135" s="106">
        <f>SUM(U$71:U$86)+SUM(W$71:W$86)+SUM(Y$71:Y$86)+SUM(AA$71:AA$86)</f>
        <v>265843.20000000001</v>
      </c>
      <c r="G135" s="106">
        <f>SUM(AC$71:AC$86)+SUM(AE$71:AE$86)+SUM(AG$71:AG$86)+SUM(AI$71:AI$86)</f>
        <v>245102.40000000002</v>
      </c>
      <c r="H135" s="106">
        <f>SUM(AK$71:AK$86)+SUM(AM$71:AM$86)+SUM(AO$71:AO$86)+SUM(AQ$71:AQ$86)</f>
        <v>303298.80000000005</v>
      </c>
      <c r="I135" s="106">
        <f>SUM(AS$71:AS$86)+SUM(AU$71:AU$86)+SUM(AW$71:AW$86)+SUM(AY$71:AY$86)</f>
        <v>281790</v>
      </c>
      <c r="J135" s="106">
        <f>SUM(BA$71:BA$86)+SUM(BC$71:BC$86)+SUM(BE$71:BE$86)+SUM(BG$71:BG$86)</f>
        <v>219589.2</v>
      </c>
      <c r="K135" s="106">
        <f>SUM(BI$71:BI$86)+SUM(BK$71:BK$86)+SUM(BM$71:BM$86)+SUM(BO$71:BO$86)</f>
        <v>274123.2</v>
      </c>
      <c r="L135" s="106">
        <f>SUM(BQ$71:BQ$86)+SUM(BS$71:BS$86)+SUM(BU$71:BU$86)+SUM(BW$71:BW$86)</f>
        <v>257840.4</v>
      </c>
      <c r="M135" s="106">
        <f>SUM(BY$71:BY$86)+SUM(CA$71:CA$86)+SUM(CC$71:CC$86)+SUM(CE$71:CE$86)</f>
        <v>297646.8</v>
      </c>
      <c r="N135" s="106">
        <f>SUM(CG$71:CG$86)+SUM(CI$71:CI$86)+SUM(CK$71:CK$86)+SUM(CM$71:CM$86)</f>
        <v>269166</v>
      </c>
      <c r="O135" s="106">
        <f>SUM(CO$71:CO$86)+SUM(CQ$71:CQ$86)+SUM(CS$71:CS$86)+SUM(CU$71:CU$86)</f>
        <v>277164.00000000006</v>
      </c>
    </row>
    <row r="136" spans="2:15">
      <c r="C136" s="105" t="s">
        <v>131</v>
      </c>
      <c r="D136" s="106">
        <f>SUM(E$87:E$94)+SUM(G$87:G$94)+SUM(I$87:I$94)+SUM(K$87:K$94)</f>
        <v>292830</v>
      </c>
      <c r="E136" s="106">
        <f>SUM(M$87:M$94)+SUM(O$87:O$94)+SUM(Q$87:Q$94)+SUM(S$87:S$94)</f>
        <v>297302.40000000002</v>
      </c>
      <c r="F136" s="106">
        <f>SUM(U$87:U$94)+SUM(W$87:W$94)+SUM(Y$87:Y$94)+SUM(AA$87:AA$94)</f>
        <v>215309.99999999997</v>
      </c>
      <c r="G136" s="106">
        <f>SUM(AC$87:AC$94)+SUM(AE$87:AE$94)+SUM(AG$87:AG$94)+SUM(AI$87:AI$94)</f>
        <v>312261.59999999998</v>
      </c>
      <c r="H136" s="106">
        <f>SUM(AK$87:AK$94)+SUM(AM$87:AM$94)+SUM(AO$87:AO$94)+SUM(AQ$87:AQ$94)</f>
        <v>286942.8</v>
      </c>
      <c r="I136" s="106">
        <f>SUM(AS$87:AS$94)+SUM(AU$87:AU$94)+SUM(AW$87:AW$94)+SUM(AY$87:AY$94)</f>
        <v>282687.59999999998</v>
      </c>
      <c r="J136" s="106">
        <f>SUM(BA$87:BA$94)+SUM(BC$87:BC$94)+SUM(BE$87:BE$94)+SUM(BG$87:BG$94)</f>
        <v>40375.018867924831</v>
      </c>
      <c r="K136" s="106">
        <f>SUM(BI$87:BI$94)+SUM(BK$87:BK$94)+SUM(BM$87:BM$94)+SUM(BO$87:BO$94)</f>
        <v>278007.55196232337</v>
      </c>
      <c r="L136" s="106">
        <f>SUM(BQ$87:BQ$94)+SUM(BS$87:BS$94)+SUM(BU$87:BU$94)+SUM(BW$87:BW$94)</f>
        <v>316331.78290346358</v>
      </c>
      <c r="M136" s="106">
        <f>SUM(BY$87:BY$94)+SUM(CA$87:CA$94)+SUM(CC$87:CC$94)+SUM(CE$87:CE$94)</f>
        <v>273246.42514018493</v>
      </c>
      <c r="N136" s="106">
        <f>SUM(CG$87:CG$94)+SUM(CI$87:CI$94)+SUM(CK$87:CK$94)+SUM(CM$87:CM$94)</f>
        <v>322450.82729840785</v>
      </c>
      <c r="O136" s="106">
        <f>SUM(CO$87:CO$94)+SUM(CQ$87:CQ$94)+SUM(CS$87:CS$94)+SUM(CU$87:CU$94)</f>
        <v>324869.47956420761</v>
      </c>
    </row>
    <row r="137" spans="2:15">
      <c r="C137" s="105" t="s">
        <v>132</v>
      </c>
      <c r="D137" s="106">
        <f>SUM(E$95:E$105)+SUM(G$95:G$105)+SUM(I$95:I$105)+SUM(K$95:K$105)</f>
        <v>297170.40000000002</v>
      </c>
      <c r="E137" s="106">
        <f>SUM(M$95:M$105)+SUM(O$95:O$105)+SUM(Q$95:Q$105)+SUM(S$95:S$105)</f>
        <v>265256.39999999997</v>
      </c>
      <c r="F137" s="106">
        <f>SUM(U$95:U$105)+SUM(W$95:W$105)+SUM(Y$95:Y$105)+SUM(AA$95:AA$105)</f>
        <v>306616.8</v>
      </c>
      <c r="G137" s="106">
        <f>SUM(AC$95:AC$105)+SUM(AE$95:AE$105)+SUM(AG$95:AG$105)+SUM(AI$95:AI$105)</f>
        <v>285636</v>
      </c>
      <c r="H137" s="106">
        <f>SUM(AK$95:AK$105)+SUM(AM$95:AM$105)+SUM(AO$95:AO$105)+SUM(AQ$95:AQ$105)</f>
        <v>311080.8</v>
      </c>
      <c r="I137" s="106">
        <f>SUM(AS$95:AS$105)+SUM(AU$95:AU$105)+SUM(AW$95:AW$105)+SUM(AY$95:AY$105)</f>
        <v>288546</v>
      </c>
      <c r="J137" s="106">
        <f>SUM(BA$95:BA$105)+SUM(BC$95:BC$105)+SUM(BE$95:BE$105)+SUM(BG$95:BG$105)</f>
        <v>31972.754716981373</v>
      </c>
      <c r="K137" s="106">
        <f>SUM(BI$95:BI$105)+SUM(BK$95:BK$105)+SUM(BM$95:BM$105)+SUM(BO$95:BO$105)</f>
        <v>305214.82668759814</v>
      </c>
      <c r="L137" s="106">
        <f>SUM(BQ$95:BQ$105)+SUM(BS$95:BS$105)+SUM(BU$95:BU$105)+SUM(BW$95:BW$105)</f>
        <v>255036.72645541638</v>
      </c>
      <c r="M137" s="106">
        <f>SUM(BY$95:BY$105)+SUM(CA$95:CA$105)+SUM(CC$95:CC$105)+SUM(CE$95:CE$105)</f>
        <v>317515.77733226528</v>
      </c>
      <c r="N137" s="106">
        <f>SUM(CG$95:CG$105)+SUM(CI$95:CI$105)+SUM(CK$95:CK$105)+SUM(CM$95:CM$105)</f>
        <v>269892.95167165028</v>
      </c>
      <c r="O137" s="106">
        <f>SUM(CO$95:CO$105)+SUM(CQ$95:CQ$105)+SUM(CS$95:CS$105)+SUM(CU$95:CU$105)</f>
        <v>279919.38373520144</v>
      </c>
    </row>
    <row r="138" spans="2:15">
      <c r="C138" s="105" t="s">
        <v>278</v>
      </c>
      <c r="D138" s="100">
        <f t="shared" ref="D138:O138" si="2">SUM(D$131:D$137)</f>
        <v>3476363.9587780288</v>
      </c>
      <c r="E138" s="100">
        <f t="shared" si="2"/>
        <v>3574841.9999999995</v>
      </c>
      <c r="F138" s="100">
        <f t="shared" si="2"/>
        <v>3678370.9545531417</v>
      </c>
      <c r="G138" s="100">
        <f t="shared" si="2"/>
        <v>3637352.8482943377</v>
      </c>
      <c r="H138" s="100">
        <f t="shared" si="2"/>
        <v>3779673.5542218108</v>
      </c>
      <c r="I138" s="100">
        <f t="shared" si="2"/>
        <v>3693695.4067038568</v>
      </c>
      <c r="J138" s="100">
        <f t="shared" si="2"/>
        <v>3009043.1270396798</v>
      </c>
      <c r="K138" s="100">
        <f t="shared" si="2"/>
        <v>3656135.8691235399</v>
      </c>
      <c r="L138" s="100">
        <f t="shared" si="2"/>
        <v>3620043.8055350375</v>
      </c>
      <c r="M138" s="100">
        <f t="shared" si="2"/>
        <v>3731219.2280596877</v>
      </c>
      <c r="N138" s="100">
        <f t="shared" si="2"/>
        <v>3545563.5439464431</v>
      </c>
      <c r="O138" s="100">
        <f t="shared" si="2"/>
        <v>3645009.6014214591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9</v>
      </c>
      <c r="E6" s="100">
        <v>5205.5999999999995</v>
      </c>
      <c r="F6" s="100">
        <v>5</v>
      </c>
      <c r="G6" s="100">
        <v>2892</v>
      </c>
      <c r="H6" s="100">
        <v>8</v>
      </c>
      <c r="I6" s="100">
        <v>4627.2</v>
      </c>
      <c r="J6" s="100">
        <v>6</v>
      </c>
      <c r="K6" s="100">
        <v>3470.3999999999996</v>
      </c>
      <c r="L6" s="100">
        <v>10</v>
      </c>
      <c r="M6" s="100">
        <v>5784</v>
      </c>
      <c r="N6" s="100">
        <v>9.3065646817624739</v>
      </c>
      <c r="O6" s="100">
        <v>5382.9170119314149</v>
      </c>
      <c r="P6" s="100">
        <v>9</v>
      </c>
      <c r="Q6" s="100">
        <v>5205.5999999999995</v>
      </c>
      <c r="R6" s="100">
        <v>11</v>
      </c>
      <c r="S6" s="100">
        <v>6362.4</v>
      </c>
      <c r="T6" s="100">
        <v>12</v>
      </c>
      <c r="U6" s="100">
        <v>6940.7999999999993</v>
      </c>
      <c r="V6" s="100">
        <v>7</v>
      </c>
      <c r="W6" s="100">
        <v>4048.7999999999997</v>
      </c>
      <c r="X6" s="100">
        <v>7</v>
      </c>
      <c r="Y6" s="100">
        <v>4048.7999999999997</v>
      </c>
      <c r="Z6" s="100">
        <v>11</v>
      </c>
      <c r="AA6" s="100">
        <v>6362.4</v>
      </c>
      <c r="AB6" s="100">
        <v>9</v>
      </c>
      <c r="AC6" s="100">
        <v>5205.5999999999995</v>
      </c>
      <c r="AD6" s="100">
        <v>11</v>
      </c>
      <c r="AE6" s="100">
        <v>6362.4</v>
      </c>
      <c r="AF6" s="100">
        <v>6</v>
      </c>
      <c r="AG6" s="100">
        <v>3470.3999999999996</v>
      </c>
      <c r="AH6" s="100">
        <v>10</v>
      </c>
      <c r="AI6" s="100">
        <v>5784</v>
      </c>
      <c r="AJ6" s="100">
        <v>11</v>
      </c>
      <c r="AK6" s="100">
        <v>6362.4</v>
      </c>
      <c r="AL6" s="100">
        <v>10</v>
      </c>
      <c r="AM6" s="100">
        <v>5784</v>
      </c>
      <c r="AN6" s="100">
        <v>8</v>
      </c>
      <c r="AO6" s="100">
        <v>4627.2</v>
      </c>
      <c r="AP6" s="100">
        <v>6</v>
      </c>
      <c r="AQ6" s="100">
        <v>3470.3999999999996</v>
      </c>
      <c r="AR6" s="100">
        <v>8</v>
      </c>
      <c r="AS6" s="100">
        <v>4627.2</v>
      </c>
      <c r="AT6" s="100">
        <v>12</v>
      </c>
      <c r="AU6" s="100">
        <v>6940.7999999999993</v>
      </c>
      <c r="AV6" s="100">
        <v>12</v>
      </c>
      <c r="AW6" s="100">
        <v>6940.7999999999993</v>
      </c>
      <c r="AX6" s="100">
        <v>9</v>
      </c>
      <c r="AY6" s="100">
        <v>5205.5999999999995</v>
      </c>
      <c r="AZ6" s="100">
        <v>6</v>
      </c>
      <c r="BA6" s="100">
        <v>3470.3999999999996</v>
      </c>
      <c r="BB6" s="100">
        <v>11</v>
      </c>
      <c r="BC6" s="100">
        <v>6362.4</v>
      </c>
      <c r="BD6" s="100">
        <v>7</v>
      </c>
      <c r="BE6" s="100">
        <v>4048.7999999999997</v>
      </c>
      <c r="BF6" s="100">
        <v>9</v>
      </c>
      <c r="BG6" s="100">
        <v>5205.5999999999995</v>
      </c>
      <c r="BH6" s="100">
        <v>11</v>
      </c>
      <c r="BI6" s="100">
        <v>6362.4</v>
      </c>
      <c r="BJ6" s="100">
        <v>7.9214402618658406</v>
      </c>
      <c r="BK6" s="100">
        <v>4581.761047463202</v>
      </c>
      <c r="BL6" s="100">
        <v>8.7194266139043446</v>
      </c>
      <c r="BM6" s="100">
        <v>5043.3163534822725</v>
      </c>
      <c r="BN6" s="100">
        <v>11</v>
      </c>
      <c r="BO6" s="100">
        <v>6362.4</v>
      </c>
      <c r="BP6" s="100">
        <v>7.2029629629629657</v>
      </c>
      <c r="BQ6" s="100">
        <v>4166.1937777777794</v>
      </c>
      <c r="BR6" s="100">
        <v>9</v>
      </c>
      <c r="BS6" s="100">
        <v>5205.5999999999995</v>
      </c>
      <c r="BT6" s="100">
        <v>7.0933333333333364</v>
      </c>
      <c r="BU6" s="100">
        <v>4102.7840000000015</v>
      </c>
      <c r="BV6" s="100">
        <v>9</v>
      </c>
      <c r="BW6" s="100">
        <v>5205.5999999999995</v>
      </c>
      <c r="BX6" s="100">
        <v>9</v>
      </c>
      <c r="BY6" s="100">
        <v>5205.5999999999995</v>
      </c>
      <c r="BZ6" s="100">
        <v>5.1457838621301955</v>
      </c>
      <c r="CA6" s="100">
        <v>2976.3213858561048</v>
      </c>
      <c r="CB6" s="100">
        <v>4.8897969444795866</v>
      </c>
      <c r="CC6" s="100">
        <v>2828.258552686993</v>
      </c>
      <c r="CD6" s="100">
        <v>11</v>
      </c>
      <c r="CE6" s="100">
        <v>6362.4</v>
      </c>
      <c r="CF6" s="100">
        <v>7</v>
      </c>
      <c r="CG6" s="100">
        <v>4048.7999999999997</v>
      </c>
      <c r="CH6" s="100">
        <v>4.1967719020136292</v>
      </c>
      <c r="CI6" s="100">
        <v>2427.412868124683</v>
      </c>
      <c r="CJ6" s="100">
        <v>12</v>
      </c>
      <c r="CK6" s="100">
        <v>6940.7999999999993</v>
      </c>
      <c r="CL6" s="100">
        <v>9</v>
      </c>
      <c r="CM6" s="100">
        <v>5205.5999999999995</v>
      </c>
      <c r="CN6" s="100">
        <v>10</v>
      </c>
      <c r="CO6" s="100">
        <v>5784</v>
      </c>
      <c r="CP6" s="100">
        <v>8</v>
      </c>
      <c r="CQ6" s="100">
        <v>4627.2</v>
      </c>
      <c r="CR6" s="100">
        <v>10</v>
      </c>
      <c r="CS6" s="100">
        <v>5784</v>
      </c>
      <c r="CT6" s="100">
        <v>9</v>
      </c>
      <c r="CU6" s="100">
        <v>5205.5999999999995</v>
      </c>
    </row>
    <row r="7" spans="1:99">
      <c r="C7" s="99" t="s">
        <v>173</v>
      </c>
      <c r="D7" s="100">
        <v>8</v>
      </c>
      <c r="E7" s="100">
        <v>6307.2</v>
      </c>
      <c r="F7" s="100">
        <v>6</v>
      </c>
      <c r="G7" s="100">
        <v>4730.3999999999996</v>
      </c>
      <c r="H7" s="100">
        <v>8</v>
      </c>
      <c r="I7" s="100">
        <v>6307.2</v>
      </c>
      <c r="J7" s="100">
        <v>5</v>
      </c>
      <c r="K7" s="100">
        <v>3942</v>
      </c>
      <c r="L7" s="100">
        <v>9</v>
      </c>
      <c r="M7" s="100">
        <v>7095.5999999999995</v>
      </c>
      <c r="N7" s="100">
        <v>8.3759082135862268</v>
      </c>
      <c r="O7" s="100">
        <v>6603.5660355913815</v>
      </c>
      <c r="P7" s="100">
        <v>8</v>
      </c>
      <c r="Q7" s="100">
        <v>6307.2</v>
      </c>
      <c r="R7" s="100">
        <v>10</v>
      </c>
      <c r="S7" s="100">
        <v>7884</v>
      </c>
      <c r="T7" s="100">
        <v>10</v>
      </c>
      <c r="U7" s="100">
        <v>7884</v>
      </c>
      <c r="V7" s="100">
        <v>6</v>
      </c>
      <c r="W7" s="100">
        <v>4730.3999999999996</v>
      </c>
      <c r="X7" s="100">
        <v>6</v>
      </c>
      <c r="Y7" s="100">
        <v>4730.3999999999996</v>
      </c>
      <c r="Z7" s="100">
        <v>10</v>
      </c>
      <c r="AA7" s="100">
        <v>7884</v>
      </c>
      <c r="AB7" s="100">
        <v>10</v>
      </c>
      <c r="AC7" s="100">
        <v>7884</v>
      </c>
      <c r="AD7" s="100">
        <v>10</v>
      </c>
      <c r="AE7" s="100">
        <v>7884</v>
      </c>
      <c r="AF7" s="100">
        <v>7</v>
      </c>
      <c r="AG7" s="100">
        <v>5518.8</v>
      </c>
      <c r="AH7" s="100">
        <v>9</v>
      </c>
      <c r="AI7" s="100">
        <v>7095.5999999999995</v>
      </c>
      <c r="AJ7" s="100">
        <v>9</v>
      </c>
      <c r="AK7" s="100">
        <v>7095.5999999999995</v>
      </c>
      <c r="AL7" s="100">
        <v>9</v>
      </c>
      <c r="AM7" s="100">
        <v>7095.5999999999995</v>
      </c>
      <c r="AN7" s="100">
        <v>7</v>
      </c>
      <c r="AO7" s="100">
        <v>5518.8</v>
      </c>
      <c r="AP7" s="100">
        <v>7</v>
      </c>
      <c r="AQ7" s="100">
        <v>5518.8</v>
      </c>
      <c r="AR7" s="100">
        <v>10</v>
      </c>
      <c r="AS7" s="100">
        <v>7884</v>
      </c>
      <c r="AT7" s="100">
        <v>10</v>
      </c>
      <c r="AU7" s="100">
        <v>7884</v>
      </c>
      <c r="AV7" s="100">
        <v>12</v>
      </c>
      <c r="AW7" s="100">
        <v>9460.7999999999993</v>
      </c>
      <c r="AX7" s="100">
        <v>9</v>
      </c>
      <c r="AY7" s="100">
        <v>7095.5999999999995</v>
      </c>
      <c r="AZ7" s="100">
        <v>6</v>
      </c>
      <c r="BA7" s="100">
        <v>4730.3999999999996</v>
      </c>
      <c r="BB7" s="100">
        <v>11</v>
      </c>
      <c r="BC7" s="100">
        <v>8672.4</v>
      </c>
      <c r="BD7" s="100">
        <v>8</v>
      </c>
      <c r="BE7" s="100">
        <v>6307.2</v>
      </c>
      <c r="BF7" s="100">
        <v>8</v>
      </c>
      <c r="BG7" s="100">
        <v>6307.2</v>
      </c>
      <c r="BH7" s="100">
        <v>11</v>
      </c>
      <c r="BI7" s="100">
        <v>8672.4</v>
      </c>
      <c r="BJ7" s="100">
        <v>7.9214402618658406</v>
      </c>
      <c r="BK7" s="100">
        <v>6245.2635024550282</v>
      </c>
      <c r="BL7" s="100">
        <v>8.7194266139043446</v>
      </c>
      <c r="BM7" s="100">
        <v>6874.395942402185</v>
      </c>
      <c r="BN7" s="100">
        <v>11</v>
      </c>
      <c r="BO7" s="100">
        <v>8672.4</v>
      </c>
      <c r="BP7" s="100">
        <v>7.2029629629629657</v>
      </c>
      <c r="BQ7" s="100">
        <v>5678.8160000000016</v>
      </c>
      <c r="BR7" s="100">
        <v>9</v>
      </c>
      <c r="BS7" s="100">
        <v>7095.5999999999995</v>
      </c>
      <c r="BT7" s="100">
        <v>7.0933333333333364</v>
      </c>
      <c r="BU7" s="100">
        <v>5592.3840000000018</v>
      </c>
      <c r="BV7" s="100">
        <v>8</v>
      </c>
      <c r="BW7" s="100">
        <v>6307.2</v>
      </c>
      <c r="BX7" s="100">
        <v>8</v>
      </c>
      <c r="BY7" s="100">
        <v>6307.2</v>
      </c>
      <c r="BZ7" s="100">
        <v>6.0034145058185615</v>
      </c>
      <c r="CA7" s="100">
        <v>4733.0919963873539</v>
      </c>
      <c r="CB7" s="100">
        <v>4.8897969444795866</v>
      </c>
      <c r="CC7" s="100">
        <v>3855.1159110277058</v>
      </c>
      <c r="CD7" s="100">
        <v>10</v>
      </c>
      <c r="CE7" s="100">
        <v>7884</v>
      </c>
      <c r="CF7" s="100">
        <v>6</v>
      </c>
      <c r="CG7" s="100">
        <v>4730.3999999999996</v>
      </c>
      <c r="CH7" s="100">
        <v>3.8739432941664274</v>
      </c>
      <c r="CI7" s="100">
        <v>3054.2168931208112</v>
      </c>
      <c r="CJ7" s="100">
        <v>12</v>
      </c>
      <c r="CK7" s="100">
        <v>9460.7999999999993</v>
      </c>
      <c r="CL7" s="100">
        <v>10</v>
      </c>
      <c r="CM7" s="100">
        <v>7884</v>
      </c>
      <c r="CN7" s="100">
        <v>10</v>
      </c>
      <c r="CO7" s="100">
        <v>7884</v>
      </c>
      <c r="CP7" s="100">
        <v>9</v>
      </c>
      <c r="CQ7" s="100">
        <v>7095.5999999999995</v>
      </c>
      <c r="CR7" s="100">
        <v>11</v>
      </c>
      <c r="CS7" s="100">
        <v>8672.4</v>
      </c>
      <c r="CT7" s="100">
        <v>9</v>
      </c>
      <c r="CU7" s="100">
        <v>7095.5999999999995</v>
      </c>
    </row>
    <row r="8" spans="1:99">
      <c r="C8" s="99" t="s">
        <v>174</v>
      </c>
      <c r="D8" s="100">
        <v>9</v>
      </c>
      <c r="E8" s="100">
        <v>2786.3999999999996</v>
      </c>
      <c r="F8" s="100">
        <v>5</v>
      </c>
      <c r="G8" s="100">
        <v>1547.9999999999998</v>
      </c>
      <c r="H8" s="100">
        <v>8</v>
      </c>
      <c r="I8" s="100">
        <v>2476.7999999999997</v>
      </c>
      <c r="J8" s="100">
        <v>5</v>
      </c>
      <c r="K8" s="100">
        <v>1547.9999999999998</v>
      </c>
      <c r="L8" s="100">
        <v>10</v>
      </c>
      <c r="M8" s="100">
        <v>3095.9999999999995</v>
      </c>
      <c r="N8" s="100">
        <v>10.237221149938721</v>
      </c>
      <c r="O8" s="100">
        <v>3169.4436680210279</v>
      </c>
      <c r="P8" s="100">
        <v>9</v>
      </c>
      <c r="Q8" s="100">
        <v>2786.3999999999996</v>
      </c>
      <c r="R8" s="100">
        <v>10</v>
      </c>
      <c r="S8" s="100">
        <v>3095.9999999999995</v>
      </c>
      <c r="T8" s="100">
        <v>11</v>
      </c>
      <c r="U8" s="100">
        <v>3405.5999999999995</v>
      </c>
      <c r="V8" s="100">
        <v>6</v>
      </c>
      <c r="W8" s="100">
        <v>1857.6</v>
      </c>
      <c r="X8" s="100">
        <v>7</v>
      </c>
      <c r="Y8" s="100">
        <v>2167.1999999999998</v>
      </c>
      <c r="Z8" s="100">
        <v>10</v>
      </c>
      <c r="AA8" s="100">
        <v>3095.9999999999995</v>
      </c>
      <c r="AB8" s="100">
        <v>9</v>
      </c>
      <c r="AC8" s="100">
        <v>2786.3999999999996</v>
      </c>
      <c r="AD8" s="100">
        <v>11</v>
      </c>
      <c r="AE8" s="100">
        <v>3405.5999999999995</v>
      </c>
      <c r="AF8" s="100">
        <v>7</v>
      </c>
      <c r="AG8" s="100">
        <v>2167.1999999999998</v>
      </c>
      <c r="AH8" s="100">
        <v>9</v>
      </c>
      <c r="AI8" s="100">
        <v>2786.3999999999996</v>
      </c>
      <c r="AJ8" s="100">
        <v>11</v>
      </c>
      <c r="AK8" s="100">
        <v>3405.5999999999995</v>
      </c>
      <c r="AL8" s="100">
        <v>10</v>
      </c>
      <c r="AM8" s="100">
        <v>3095.9999999999995</v>
      </c>
      <c r="AN8" s="100">
        <v>7</v>
      </c>
      <c r="AO8" s="100">
        <v>2167.1999999999998</v>
      </c>
      <c r="AP8" s="100">
        <v>7</v>
      </c>
      <c r="AQ8" s="100">
        <v>2167.1999999999998</v>
      </c>
      <c r="AR8" s="100">
        <v>9</v>
      </c>
      <c r="AS8" s="100">
        <v>2786.3999999999996</v>
      </c>
      <c r="AT8" s="100">
        <v>11</v>
      </c>
      <c r="AU8" s="100">
        <v>3405.5999999999995</v>
      </c>
      <c r="AV8" s="100">
        <v>11</v>
      </c>
      <c r="AW8" s="100">
        <v>3405.5999999999995</v>
      </c>
      <c r="AX8" s="100">
        <v>8</v>
      </c>
      <c r="AY8" s="100">
        <v>2476.7999999999997</v>
      </c>
      <c r="AZ8" s="100">
        <v>6</v>
      </c>
      <c r="BA8" s="100">
        <v>1857.6</v>
      </c>
      <c r="BB8" s="100">
        <v>13</v>
      </c>
      <c r="BC8" s="100">
        <v>4024.7999999999997</v>
      </c>
      <c r="BD8" s="100">
        <v>8</v>
      </c>
      <c r="BE8" s="100">
        <v>2476.7999999999997</v>
      </c>
      <c r="BF8" s="100">
        <v>9</v>
      </c>
      <c r="BG8" s="100">
        <v>2786.3999999999996</v>
      </c>
      <c r="BH8" s="100">
        <v>10</v>
      </c>
      <c r="BI8" s="100">
        <v>3095.9999999999995</v>
      </c>
      <c r="BJ8" s="100">
        <v>8.7135842880524255</v>
      </c>
      <c r="BK8" s="100">
        <v>2697.7256955810308</v>
      </c>
      <c r="BL8" s="100">
        <v>7.9928077294123154</v>
      </c>
      <c r="BM8" s="100">
        <v>2474.5732730260524</v>
      </c>
      <c r="BN8" s="100">
        <v>12</v>
      </c>
      <c r="BO8" s="100">
        <v>3715.2</v>
      </c>
      <c r="BP8" s="100">
        <v>7.2029629629629657</v>
      </c>
      <c r="BQ8" s="100">
        <v>2230.0373333333341</v>
      </c>
      <c r="BR8" s="100">
        <v>8</v>
      </c>
      <c r="BS8" s="100">
        <v>2476.7999999999997</v>
      </c>
      <c r="BT8" s="100">
        <v>7.8814814814814849</v>
      </c>
      <c r="BU8" s="100">
        <v>2440.1066666666675</v>
      </c>
      <c r="BV8" s="100">
        <v>9</v>
      </c>
      <c r="BW8" s="100">
        <v>2786.3999999999996</v>
      </c>
      <c r="BX8" s="100">
        <v>8</v>
      </c>
      <c r="BY8" s="100">
        <v>2476.7999999999997</v>
      </c>
      <c r="BZ8" s="100">
        <v>5.1457838621301955</v>
      </c>
      <c r="CA8" s="100">
        <v>1593.1346837155083</v>
      </c>
      <c r="CB8" s="100">
        <v>5.5883393651195279</v>
      </c>
      <c r="CC8" s="100">
        <v>1730.1498674410057</v>
      </c>
      <c r="CD8" s="100">
        <v>10</v>
      </c>
      <c r="CE8" s="100">
        <v>3095.9999999999995</v>
      </c>
      <c r="CF8" s="100">
        <v>7</v>
      </c>
      <c r="CG8" s="100">
        <v>2167.1999999999998</v>
      </c>
      <c r="CH8" s="100">
        <v>3.8739432941664274</v>
      </c>
      <c r="CI8" s="100">
        <v>1199.3728438739258</v>
      </c>
      <c r="CJ8" s="100">
        <v>12</v>
      </c>
      <c r="CK8" s="100">
        <v>3715.2</v>
      </c>
      <c r="CL8" s="100">
        <v>9</v>
      </c>
      <c r="CM8" s="100">
        <v>2786.3999999999996</v>
      </c>
      <c r="CN8" s="100">
        <v>10</v>
      </c>
      <c r="CO8" s="100">
        <v>3095.9999999999995</v>
      </c>
      <c r="CP8" s="100">
        <v>9</v>
      </c>
      <c r="CQ8" s="100">
        <v>2786.3999999999996</v>
      </c>
      <c r="CR8" s="100">
        <v>10</v>
      </c>
      <c r="CS8" s="100">
        <v>3095.9999999999995</v>
      </c>
      <c r="CT8" s="100">
        <v>8</v>
      </c>
      <c r="CU8" s="100">
        <v>2476.7999999999997</v>
      </c>
    </row>
    <row r="9" spans="1:99">
      <c r="C9" s="99" t="s">
        <v>175</v>
      </c>
      <c r="D9" s="100">
        <v>8</v>
      </c>
      <c r="E9" s="100">
        <v>5616</v>
      </c>
      <c r="F9" s="100">
        <v>6</v>
      </c>
      <c r="G9" s="100">
        <v>4212</v>
      </c>
      <c r="H9" s="100">
        <v>7</v>
      </c>
      <c r="I9" s="100">
        <v>4914</v>
      </c>
      <c r="J9" s="100">
        <v>5</v>
      </c>
      <c r="K9" s="100">
        <v>3510</v>
      </c>
      <c r="L9" s="100">
        <v>9</v>
      </c>
      <c r="M9" s="100">
        <v>6318</v>
      </c>
      <c r="N9" s="100">
        <v>10.237221149938721</v>
      </c>
      <c r="O9" s="100">
        <v>7186.5292472569818</v>
      </c>
      <c r="P9" s="100">
        <v>8</v>
      </c>
      <c r="Q9" s="100">
        <v>5616</v>
      </c>
      <c r="R9" s="100">
        <v>10</v>
      </c>
      <c r="S9" s="100">
        <v>7020</v>
      </c>
      <c r="T9" s="100">
        <v>10</v>
      </c>
      <c r="U9" s="100">
        <v>7020</v>
      </c>
      <c r="V9" s="100">
        <v>6</v>
      </c>
      <c r="W9" s="100">
        <v>4212</v>
      </c>
      <c r="X9" s="100">
        <v>7</v>
      </c>
      <c r="Y9" s="100">
        <v>4914</v>
      </c>
      <c r="Z9" s="100">
        <v>10</v>
      </c>
      <c r="AA9" s="100">
        <v>7020</v>
      </c>
      <c r="AB9" s="100">
        <v>10</v>
      </c>
      <c r="AC9" s="100">
        <v>7020</v>
      </c>
      <c r="AD9" s="100">
        <v>10</v>
      </c>
      <c r="AE9" s="100">
        <v>7020</v>
      </c>
      <c r="AF9" s="100">
        <v>6</v>
      </c>
      <c r="AG9" s="100">
        <v>4212</v>
      </c>
      <c r="AH9" s="100">
        <v>9</v>
      </c>
      <c r="AI9" s="100">
        <v>6318</v>
      </c>
      <c r="AJ9" s="100">
        <v>11</v>
      </c>
      <c r="AK9" s="100">
        <v>7722</v>
      </c>
      <c r="AL9" s="100">
        <v>9</v>
      </c>
      <c r="AM9" s="100">
        <v>6318</v>
      </c>
      <c r="AN9" s="100">
        <v>8</v>
      </c>
      <c r="AO9" s="100">
        <v>5616</v>
      </c>
      <c r="AP9" s="100">
        <v>6</v>
      </c>
      <c r="AQ9" s="100">
        <v>4212</v>
      </c>
      <c r="AR9" s="100">
        <v>8</v>
      </c>
      <c r="AS9" s="100">
        <v>5616</v>
      </c>
      <c r="AT9" s="100">
        <v>11</v>
      </c>
      <c r="AU9" s="100">
        <v>7722</v>
      </c>
      <c r="AV9" s="100">
        <v>12</v>
      </c>
      <c r="AW9" s="100">
        <v>8424</v>
      </c>
      <c r="AX9" s="100">
        <v>9</v>
      </c>
      <c r="AY9" s="100">
        <v>6318</v>
      </c>
      <c r="AZ9" s="100">
        <v>6</v>
      </c>
      <c r="BA9" s="100">
        <v>4212</v>
      </c>
      <c r="BB9" s="100">
        <v>13</v>
      </c>
      <c r="BC9" s="100">
        <v>9126</v>
      </c>
      <c r="BD9" s="100">
        <v>7</v>
      </c>
      <c r="BE9" s="100">
        <v>4914</v>
      </c>
      <c r="BF9" s="100">
        <v>9</v>
      </c>
      <c r="BG9" s="100">
        <v>6318</v>
      </c>
      <c r="BH9" s="100">
        <v>11</v>
      </c>
      <c r="BI9" s="100">
        <v>7722</v>
      </c>
      <c r="BJ9" s="100">
        <v>7.1292962356792566</v>
      </c>
      <c r="BK9" s="100">
        <v>5004.765957446838</v>
      </c>
      <c r="BL9" s="100">
        <v>8.7194266139043446</v>
      </c>
      <c r="BM9" s="100">
        <v>6121.03748296085</v>
      </c>
      <c r="BN9" s="100">
        <v>12</v>
      </c>
      <c r="BO9" s="100">
        <v>8424</v>
      </c>
      <c r="BP9" s="100">
        <v>7.8577777777777822</v>
      </c>
      <c r="BQ9" s="100">
        <v>5516.1600000000035</v>
      </c>
      <c r="BR9" s="100">
        <v>7</v>
      </c>
      <c r="BS9" s="100">
        <v>4914</v>
      </c>
      <c r="BT9" s="100">
        <v>7.0933333333333364</v>
      </c>
      <c r="BU9" s="100">
        <v>4979.5200000000023</v>
      </c>
      <c r="BV9" s="100">
        <v>9</v>
      </c>
      <c r="BW9" s="100">
        <v>6318</v>
      </c>
      <c r="BX9" s="100">
        <v>8</v>
      </c>
      <c r="BY9" s="100">
        <v>5616</v>
      </c>
      <c r="BZ9" s="100">
        <v>6.0034145058185615</v>
      </c>
      <c r="CA9" s="100">
        <v>4214.3969830846299</v>
      </c>
      <c r="CB9" s="100">
        <v>5.5883393651195279</v>
      </c>
      <c r="CC9" s="100">
        <v>3923.0142343139087</v>
      </c>
      <c r="CD9" s="100">
        <v>11</v>
      </c>
      <c r="CE9" s="100">
        <v>7722</v>
      </c>
      <c r="CF9" s="100">
        <v>7</v>
      </c>
      <c r="CG9" s="100">
        <v>4914</v>
      </c>
      <c r="CH9" s="100">
        <v>4.1967719020136292</v>
      </c>
      <c r="CI9" s="100">
        <v>2946.1338752135675</v>
      </c>
      <c r="CJ9" s="100">
        <v>11</v>
      </c>
      <c r="CK9" s="100">
        <v>7722</v>
      </c>
      <c r="CL9" s="100">
        <v>9</v>
      </c>
      <c r="CM9" s="100">
        <v>6318</v>
      </c>
      <c r="CN9" s="100">
        <v>11</v>
      </c>
      <c r="CO9" s="100">
        <v>7722</v>
      </c>
      <c r="CP9" s="100">
        <v>9</v>
      </c>
      <c r="CQ9" s="100">
        <v>6318</v>
      </c>
      <c r="CR9" s="100">
        <v>10</v>
      </c>
      <c r="CS9" s="100">
        <v>7020</v>
      </c>
      <c r="CT9" s="100">
        <v>9</v>
      </c>
      <c r="CU9" s="100">
        <v>6318</v>
      </c>
    </row>
    <row r="10" spans="1:99">
      <c r="C10" s="99" t="s">
        <v>176</v>
      </c>
      <c r="D10" s="100">
        <v>8</v>
      </c>
      <c r="E10" s="100">
        <v>4358.3999999999996</v>
      </c>
      <c r="F10" s="100">
        <v>5</v>
      </c>
      <c r="G10" s="100">
        <v>2724</v>
      </c>
      <c r="H10" s="100">
        <v>8</v>
      </c>
      <c r="I10" s="100">
        <v>4358.3999999999996</v>
      </c>
      <c r="J10" s="100">
        <v>5</v>
      </c>
      <c r="K10" s="100">
        <v>2724</v>
      </c>
      <c r="L10" s="100">
        <v>10</v>
      </c>
      <c r="M10" s="100">
        <v>5448</v>
      </c>
      <c r="N10" s="100">
        <v>9.3065646817624739</v>
      </c>
      <c r="O10" s="100">
        <v>5070.2164386241957</v>
      </c>
      <c r="P10" s="100">
        <v>8</v>
      </c>
      <c r="Q10" s="100">
        <v>4358.3999999999996</v>
      </c>
      <c r="R10" s="100">
        <v>10</v>
      </c>
      <c r="S10" s="100">
        <v>5448</v>
      </c>
      <c r="T10" s="100">
        <v>12</v>
      </c>
      <c r="U10" s="100">
        <v>6537.5999999999995</v>
      </c>
      <c r="V10" s="100">
        <v>6</v>
      </c>
      <c r="W10" s="100">
        <v>3268.7999999999997</v>
      </c>
      <c r="X10" s="100">
        <v>6</v>
      </c>
      <c r="Y10" s="100">
        <v>3268.7999999999997</v>
      </c>
      <c r="Z10" s="100">
        <v>11</v>
      </c>
      <c r="AA10" s="100">
        <v>5992.7999999999993</v>
      </c>
      <c r="AB10" s="100">
        <v>9</v>
      </c>
      <c r="AC10" s="100">
        <v>4903.2</v>
      </c>
      <c r="AD10" s="100">
        <v>11</v>
      </c>
      <c r="AE10" s="100">
        <v>5992.7999999999993</v>
      </c>
      <c r="AF10" s="100">
        <v>7</v>
      </c>
      <c r="AG10" s="100">
        <v>3813.5999999999995</v>
      </c>
      <c r="AH10" s="100">
        <v>10</v>
      </c>
      <c r="AI10" s="100">
        <v>5448</v>
      </c>
      <c r="AJ10" s="100">
        <v>11</v>
      </c>
      <c r="AK10" s="100">
        <v>5992.7999999999993</v>
      </c>
      <c r="AL10" s="100">
        <v>10</v>
      </c>
      <c r="AM10" s="100">
        <v>5448</v>
      </c>
      <c r="AN10" s="100">
        <v>8</v>
      </c>
      <c r="AO10" s="100">
        <v>4358.3999999999996</v>
      </c>
      <c r="AP10" s="100">
        <v>6</v>
      </c>
      <c r="AQ10" s="100">
        <v>3268.7999999999997</v>
      </c>
      <c r="AR10" s="100">
        <v>9</v>
      </c>
      <c r="AS10" s="100">
        <v>4903.2</v>
      </c>
      <c r="AT10" s="100">
        <v>11</v>
      </c>
      <c r="AU10" s="100">
        <v>5992.7999999999993</v>
      </c>
      <c r="AV10" s="100">
        <v>12</v>
      </c>
      <c r="AW10" s="100">
        <v>6537.5999999999995</v>
      </c>
      <c r="AX10" s="100">
        <v>9</v>
      </c>
      <c r="AY10" s="100">
        <v>4903.2</v>
      </c>
      <c r="AZ10" s="100">
        <v>6</v>
      </c>
      <c r="BA10" s="100">
        <v>3268.7999999999997</v>
      </c>
      <c r="BB10" s="100">
        <v>11</v>
      </c>
      <c r="BC10" s="100">
        <v>5992.7999999999993</v>
      </c>
      <c r="BD10" s="100">
        <v>8</v>
      </c>
      <c r="BE10" s="100">
        <v>4358.3999999999996</v>
      </c>
      <c r="BF10" s="100">
        <v>10</v>
      </c>
      <c r="BG10" s="100">
        <v>5448</v>
      </c>
      <c r="BH10" s="100">
        <v>10</v>
      </c>
      <c r="BI10" s="100">
        <v>5448</v>
      </c>
      <c r="BJ10" s="100">
        <v>7.1292962356792566</v>
      </c>
      <c r="BK10" s="100">
        <v>3884.0405891980586</v>
      </c>
      <c r="BL10" s="100">
        <v>7.9928077294123154</v>
      </c>
      <c r="BM10" s="100">
        <v>4354.4816509838292</v>
      </c>
      <c r="BN10" s="100">
        <v>12</v>
      </c>
      <c r="BO10" s="100">
        <v>6537.5999999999995</v>
      </c>
      <c r="BP10" s="100">
        <v>7.8577777777777822</v>
      </c>
      <c r="BQ10" s="100">
        <v>4280.9173333333356</v>
      </c>
      <c r="BR10" s="100">
        <v>9</v>
      </c>
      <c r="BS10" s="100">
        <v>4903.2</v>
      </c>
      <c r="BT10" s="100">
        <v>7.0933333333333364</v>
      </c>
      <c r="BU10" s="100">
        <v>3864.4480000000012</v>
      </c>
      <c r="BV10" s="100">
        <v>9</v>
      </c>
      <c r="BW10" s="100">
        <v>4903.2</v>
      </c>
      <c r="BX10" s="100">
        <v>9</v>
      </c>
      <c r="BY10" s="100">
        <v>4903.2</v>
      </c>
      <c r="BZ10" s="100">
        <v>6.0034145058185615</v>
      </c>
      <c r="CA10" s="100">
        <v>3270.6602227699518</v>
      </c>
      <c r="CB10" s="100">
        <v>5.5883393651195279</v>
      </c>
      <c r="CC10" s="100">
        <v>3044.5272861171184</v>
      </c>
      <c r="CD10" s="100">
        <v>11</v>
      </c>
      <c r="CE10" s="100">
        <v>5992.7999999999993</v>
      </c>
      <c r="CF10" s="100">
        <v>6</v>
      </c>
      <c r="CG10" s="100">
        <v>3268.7999999999997</v>
      </c>
      <c r="CH10" s="100">
        <v>3.5511146863192247</v>
      </c>
      <c r="CI10" s="100">
        <v>1934.6472811067135</v>
      </c>
      <c r="CJ10" s="100">
        <v>13</v>
      </c>
      <c r="CK10" s="100">
        <v>7082.4</v>
      </c>
      <c r="CL10" s="100">
        <v>9</v>
      </c>
      <c r="CM10" s="100">
        <v>4903.2</v>
      </c>
      <c r="CN10" s="100">
        <v>10</v>
      </c>
      <c r="CO10" s="100">
        <v>5448</v>
      </c>
      <c r="CP10" s="100">
        <v>9</v>
      </c>
      <c r="CQ10" s="100">
        <v>4903.2</v>
      </c>
      <c r="CR10" s="100">
        <v>11</v>
      </c>
      <c r="CS10" s="100">
        <v>5992.7999999999993</v>
      </c>
      <c r="CT10" s="100">
        <v>9</v>
      </c>
      <c r="CU10" s="100">
        <v>4903.2</v>
      </c>
    </row>
    <row r="11" spans="1:99">
      <c r="C11" s="99" t="s">
        <v>177</v>
      </c>
      <c r="D11" s="100">
        <v>8</v>
      </c>
      <c r="E11" s="100">
        <v>4262.3999999999996</v>
      </c>
      <c r="F11" s="100">
        <v>5</v>
      </c>
      <c r="G11" s="100">
        <v>2664</v>
      </c>
      <c r="H11" s="100">
        <v>8</v>
      </c>
      <c r="I11" s="100">
        <v>4262.3999999999996</v>
      </c>
      <c r="J11" s="100">
        <v>5</v>
      </c>
      <c r="K11" s="100">
        <v>2664</v>
      </c>
      <c r="L11" s="100">
        <v>10</v>
      </c>
      <c r="M11" s="100">
        <v>5328</v>
      </c>
      <c r="N11" s="100">
        <v>10.237221149938721</v>
      </c>
      <c r="O11" s="100">
        <v>5454.3914286873496</v>
      </c>
      <c r="P11" s="100">
        <v>8</v>
      </c>
      <c r="Q11" s="100">
        <v>4262.3999999999996</v>
      </c>
      <c r="R11" s="100">
        <v>11</v>
      </c>
      <c r="S11" s="100">
        <v>5860.7999999999993</v>
      </c>
      <c r="T11" s="100">
        <v>12</v>
      </c>
      <c r="U11" s="100">
        <v>6393.5999999999995</v>
      </c>
      <c r="V11" s="100">
        <v>6</v>
      </c>
      <c r="W11" s="100">
        <v>3196.7999999999997</v>
      </c>
      <c r="X11" s="100">
        <v>7</v>
      </c>
      <c r="Y11" s="100">
        <v>3729.5999999999995</v>
      </c>
      <c r="Z11" s="100">
        <v>11</v>
      </c>
      <c r="AA11" s="100">
        <v>5860.7999999999993</v>
      </c>
      <c r="AB11" s="100">
        <v>9</v>
      </c>
      <c r="AC11" s="100">
        <v>4795.2</v>
      </c>
      <c r="AD11" s="100">
        <v>12</v>
      </c>
      <c r="AE11" s="100">
        <v>6393.5999999999995</v>
      </c>
      <c r="AF11" s="100">
        <v>7</v>
      </c>
      <c r="AG11" s="100">
        <v>3729.5999999999995</v>
      </c>
      <c r="AH11" s="100">
        <v>10</v>
      </c>
      <c r="AI11" s="100">
        <v>5328</v>
      </c>
      <c r="AJ11" s="100">
        <v>10</v>
      </c>
      <c r="AK11" s="100">
        <v>5328</v>
      </c>
      <c r="AL11" s="100">
        <v>9</v>
      </c>
      <c r="AM11" s="100">
        <v>4795.2</v>
      </c>
      <c r="AN11" s="100">
        <v>8</v>
      </c>
      <c r="AO11" s="100">
        <v>4262.3999999999996</v>
      </c>
      <c r="AP11" s="100">
        <v>6</v>
      </c>
      <c r="AQ11" s="100">
        <v>3196.7999999999997</v>
      </c>
      <c r="AR11" s="100">
        <v>9</v>
      </c>
      <c r="AS11" s="100">
        <v>4795.2</v>
      </c>
      <c r="AT11" s="100">
        <v>11</v>
      </c>
      <c r="AU11" s="100">
        <v>5860.7999999999993</v>
      </c>
      <c r="AV11" s="100">
        <v>12</v>
      </c>
      <c r="AW11" s="100">
        <v>6393.5999999999995</v>
      </c>
      <c r="AX11" s="100">
        <v>9</v>
      </c>
      <c r="AY11" s="100">
        <v>4795.2</v>
      </c>
      <c r="AZ11" s="100">
        <v>6</v>
      </c>
      <c r="BA11" s="100">
        <v>3196.7999999999997</v>
      </c>
      <c r="BB11" s="100">
        <v>11</v>
      </c>
      <c r="BC11" s="100">
        <v>5860.7999999999993</v>
      </c>
      <c r="BD11" s="100">
        <v>8</v>
      </c>
      <c r="BE11" s="100">
        <v>4262.3999999999996</v>
      </c>
      <c r="BF11" s="100">
        <v>8</v>
      </c>
      <c r="BG11" s="100">
        <v>4262.3999999999996</v>
      </c>
      <c r="BH11" s="100">
        <v>10</v>
      </c>
      <c r="BI11" s="100">
        <v>5328</v>
      </c>
      <c r="BJ11" s="100">
        <v>7.1292962356792566</v>
      </c>
      <c r="BK11" s="100">
        <v>3798.4890343699076</v>
      </c>
      <c r="BL11" s="100">
        <v>8.7194266139043446</v>
      </c>
      <c r="BM11" s="100">
        <v>4645.7104998882342</v>
      </c>
      <c r="BN11" s="100">
        <v>12</v>
      </c>
      <c r="BO11" s="100">
        <v>6393.5999999999995</v>
      </c>
      <c r="BP11" s="100">
        <v>7.8577777777777822</v>
      </c>
      <c r="BQ11" s="100">
        <v>4186.6240000000016</v>
      </c>
      <c r="BR11" s="100">
        <v>9</v>
      </c>
      <c r="BS11" s="100">
        <v>4795.2</v>
      </c>
      <c r="BT11" s="100">
        <v>7.8814814814814849</v>
      </c>
      <c r="BU11" s="100">
        <v>4199.2533333333349</v>
      </c>
      <c r="BV11" s="100">
        <v>9</v>
      </c>
      <c r="BW11" s="100">
        <v>4795.2</v>
      </c>
      <c r="BX11" s="100">
        <v>9</v>
      </c>
      <c r="BY11" s="100">
        <v>4795.2</v>
      </c>
      <c r="BZ11" s="100">
        <v>5.1457838621301955</v>
      </c>
      <c r="CA11" s="100">
        <v>2741.6736417429679</v>
      </c>
      <c r="CB11" s="100">
        <v>4.8897969444795866</v>
      </c>
      <c r="CC11" s="100">
        <v>2605.2838120187234</v>
      </c>
      <c r="CD11" s="100">
        <v>11</v>
      </c>
      <c r="CE11" s="100">
        <v>5860.7999999999993</v>
      </c>
      <c r="CF11" s="100">
        <v>6</v>
      </c>
      <c r="CG11" s="100">
        <v>3196.7999999999997</v>
      </c>
      <c r="CH11" s="100">
        <v>3.8739432941664274</v>
      </c>
      <c r="CI11" s="100">
        <v>2064.0369871318721</v>
      </c>
      <c r="CJ11" s="100">
        <v>12</v>
      </c>
      <c r="CK11" s="100">
        <v>6393.5999999999995</v>
      </c>
      <c r="CL11" s="100">
        <v>10</v>
      </c>
      <c r="CM11" s="100">
        <v>5328</v>
      </c>
      <c r="CN11" s="100">
        <v>10</v>
      </c>
      <c r="CO11" s="100">
        <v>5328</v>
      </c>
      <c r="CP11" s="100">
        <v>10</v>
      </c>
      <c r="CQ11" s="100">
        <v>5328</v>
      </c>
      <c r="CR11" s="100">
        <v>9</v>
      </c>
      <c r="CS11" s="100">
        <v>4795.2</v>
      </c>
      <c r="CT11" s="100">
        <v>8</v>
      </c>
      <c r="CU11" s="100">
        <v>4262.3999999999996</v>
      </c>
    </row>
    <row r="12" spans="1:99">
      <c r="C12" s="99" t="s">
        <v>178</v>
      </c>
      <c r="D12" s="100">
        <v>8</v>
      </c>
      <c r="E12" s="100">
        <v>4502.3999999999996</v>
      </c>
      <c r="F12" s="100">
        <v>5</v>
      </c>
      <c r="G12" s="100">
        <v>2814</v>
      </c>
      <c r="H12" s="100">
        <v>7</v>
      </c>
      <c r="I12" s="100">
        <v>3939.5999999999995</v>
      </c>
      <c r="J12" s="100">
        <v>6</v>
      </c>
      <c r="K12" s="100">
        <v>3376.7999999999997</v>
      </c>
      <c r="L12" s="100">
        <v>10</v>
      </c>
      <c r="M12" s="100">
        <v>5628</v>
      </c>
      <c r="N12" s="100">
        <v>11.167877618114968</v>
      </c>
      <c r="O12" s="100">
        <v>6285.2815234751033</v>
      </c>
      <c r="P12" s="100">
        <v>8</v>
      </c>
      <c r="Q12" s="100">
        <v>4502.3999999999996</v>
      </c>
      <c r="R12" s="100">
        <v>11</v>
      </c>
      <c r="S12" s="100">
        <v>6190.7999999999993</v>
      </c>
      <c r="T12" s="100">
        <v>11</v>
      </c>
      <c r="U12" s="100">
        <v>6190.7999999999993</v>
      </c>
      <c r="V12" s="100">
        <v>6</v>
      </c>
      <c r="W12" s="100">
        <v>3376.7999999999997</v>
      </c>
      <c r="X12" s="100">
        <v>7</v>
      </c>
      <c r="Y12" s="100">
        <v>3939.5999999999995</v>
      </c>
      <c r="Z12" s="100">
        <v>11</v>
      </c>
      <c r="AA12" s="100">
        <v>6190.7999999999993</v>
      </c>
      <c r="AB12" s="100">
        <v>9</v>
      </c>
      <c r="AC12" s="100">
        <v>5065.2</v>
      </c>
      <c r="AD12" s="100">
        <v>11</v>
      </c>
      <c r="AE12" s="100">
        <v>6190.7999999999993</v>
      </c>
      <c r="AF12" s="100">
        <v>7</v>
      </c>
      <c r="AG12" s="100">
        <v>3939.5999999999995</v>
      </c>
      <c r="AH12" s="100">
        <v>10</v>
      </c>
      <c r="AI12" s="100">
        <v>5628</v>
      </c>
      <c r="AJ12" s="100">
        <v>10</v>
      </c>
      <c r="AK12" s="100">
        <v>5628</v>
      </c>
      <c r="AL12" s="100">
        <v>10</v>
      </c>
      <c r="AM12" s="100">
        <v>5628</v>
      </c>
      <c r="AN12" s="100">
        <v>8</v>
      </c>
      <c r="AO12" s="100">
        <v>4502.3999999999996</v>
      </c>
      <c r="AP12" s="100">
        <v>7</v>
      </c>
      <c r="AQ12" s="100">
        <v>3939.5999999999995</v>
      </c>
      <c r="AR12" s="100">
        <v>9</v>
      </c>
      <c r="AS12" s="100">
        <v>5065.2</v>
      </c>
      <c r="AT12" s="100">
        <v>10</v>
      </c>
      <c r="AU12" s="100">
        <v>5628</v>
      </c>
      <c r="AV12" s="100">
        <v>11</v>
      </c>
      <c r="AW12" s="100">
        <v>6190.7999999999993</v>
      </c>
      <c r="AX12" s="100">
        <v>8</v>
      </c>
      <c r="AY12" s="100">
        <v>4502.3999999999996</v>
      </c>
      <c r="AZ12" s="100">
        <v>7</v>
      </c>
      <c r="BA12" s="100">
        <v>3939.5999999999995</v>
      </c>
      <c r="BB12" s="100">
        <v>12</v>
      </c>
      <c r="BC12" s="100">
        <v>6753.5999999999995</v>
      </c>
      <c r="BD12" s="100">
        <v>7</v>
      </c>
      <c r="BE12" s="100">
        <v>3939.5999999999995</v>
      </c>
      <c r="BF12" s="100">
        <v>8</v>
      </c>
      <c r="BG12" s="100">
        <v>4502.3999999999996</v>
      </c>
      <c r="BH12" s="100">
        <v>10</v>
      </c>
      <c r="BI12" s="100">
        <v>5628</v>
      </c>
      <c r="BJ12" s="100">
        <v>7.1292962356792566</v>
      </c>
      <c r="BK12" s="100">
        <v>4012.3679214402855</v>
      </c>
      <c r="BL12" s="100">
        <v>8.7194266139043446</v>
      </c>
      <c r="BM12" s="100">
        <v>4907.2932983053652</v>
      </c>
      <c r="BN12" s="100">
        <v>11</v>
      </c>
      <c r="BO12" s="100">
        <v>6190.7999999999993</v>
      </c>
      <c r="BP12" s="100">
        <v>6.5481481481481518</v>
      </c>
      <c r="BQ12" s="100">
        <v>3685.2977777777796</v>
      </c>
      <c r="BR12" s="100">
        <v>9</v>
      </c>
      <c r="BS12" s="100">
        <v>5065.2</v>
      </c>
      <c r="BT12" s="100">
        <v>7.0933333333333364</v>
      </c>
      <c r="BU12" s="100">
        <v>3992.1280000000015</v>
      </c>
      <c r="BV12" s="100">
        <v>8</v>
      </c>
      <c r="BW12" s="100">
        <v>4502.3999999999996</v>
      </c>
      <c r="BX12" s="100">
        <v>9</v>
      </c>
      <c r="BY12" s="100">
        <v>5065.2</v>
      </c>
      <c r="BZ12" s="100">
        <v>6.0034145058185615</v>
      </c>
      <c r="CA12" s="100">
        <v>3378.7216838746863</v>
      </c>
      <c r="CB12" s="100">
        <v>4.8897969444795866</v>
      </c>
      <c r="CC12" s="100">
        <v>2751.9777203531112</v>
      </c>
      <c r="CD12" s="100">
        <v>11</v>
      </c>
      <c r="CE12" s="100">
        <v>6190.7999999999993</v>
      </c>
      <c r="CF12" s="100">
        <v>6</v>
      </c>
      <c r="CG12" s="100">
        <v>3376.7999999999997</v>
      </c>
      <c r="CH12" s="100">
        <v>4.1967719020136292</v>
      </c>
      <c r="CI12" s="100">
        <v>2361.9432264532702</v>
      </c>
      <c r="CJ12" s="100">
        <v>11</v>
      </c>
      <c r="CK12" s="100">
        <v>6190.7999999999993</v>
      </c>
      <c r="CL12" s="100">
        <v>9</v>
      </c>
      <c r="CM12" s="100">
        <v>5065.2</v>
      </c>
      <c r="CN12" s="100">
        <v>11</v>
      </c>
      <c r="CO12" s="100">
        <v>6190.7999999999993</v>
      </c>
      <c r="CP12" s="100">
        <v>8</v>
      </c>
      <c r="CQ12" s="100">
        <v>4502.3999999999996</v>
      </c>
      <c r="CR12" s="100">
        <v>10</v>
      </c>
      <c r="CS12" s="100">
        <v>5628</v>
      </c>
      <c r="CT12" s="100">
        <v>9</v>
      </c>
      <c r="CU12" s="100">
        <v>5065.2</v>
      </c>
    </row>
    <row r="13" spans="1:99">
      <c r="C13" s="99" t="s">
        <v>179</v>
      </c>
      <c r="D13" s="100">
        <v>8</v>
      </c>
      <c r="E13" s="100">
        <v>681.6</v>
      </c>
      <c r="F13" s="100">
        <v>6</v>
      </c>
      <c r="G13" s="100">
        <v>511.20000000000005</v>
      </c>
      <c r="H13" s="100">
        <v>7</v>
      </c>
      <c r="I13" s="100">
        <v>596.4</v>
      </c>
      <c r="J13" s="100">
        <v>5</v>
      </c>
      <c r="K13" s="100">
        <v>426</v>
      </c>
      <c r="L13" s="100">
        <v>11</v>
      </c>
      <c r="M13" s="100">
        <v>937.2</v>
      </c>
      <c r="N13" s="100">
        <v>10.237221149938721</v>
      </c>
      <c r="O13" s="100">
        <v>872.211241974779</v>
      </c>
      <c r="P13" s="100">
        <v>8</v>
      </c>
      <c r="Q13" s="100">
        <v>681.6</v>
      </c>
      <c r="R13" s="100">
        <v>11</v>
      </c>
      <c r="S13" s="100">
        <v>937.2</v>
      </c>
      <c r="T13" s="100">
        <v>10</v>
      </c>
      <c r="U13" s="100">
        <v>852</v>
      </c>
      <c r="V13" s="100">
        <v>6</v>
      </c>
      <c r="W13" s="100">
        <v>511.20000000000005</v>
      </c>
      <c r="X13" s="100">
        <v>7</v>
      </c>
      <c r="Y13" s="100">
        <v>596.4</v>
      </c>
      <c r="Z13" s="100">
        <v>10</v>
      </c>
      <c r="AA13" s="100">
        <v>852</v>
      </c>
      <c r="AB13" s="100">
        <v>9</v>
      </c>
      <c r="AC13" s="100">
        <v>766.80000000000007</v>
      </c>
      <c r="AD13" s="100">
        <v>12</v>
      </c>
      <c r="AE13" s="100">
        <v>1022.4000000000001</v>
      </c>
      <c r="AF13" s="100">
        <v>7</v>
      </c>
      <c r="AG13" s="100">
        <v>596.4</v>
      </c>
      <c r="AH13" s="100">
        <v>9</v>
      </c>
      <c r="AI13" s="100">
        <v>766.80000000000007</v>
      </c>
      <c r="AJ13" s="100">
        <v>11</v>
      </c>
      <c r="AK13" s="100">
        <v>937.2</v>
      </c>
      <c r="AL13" s="100">
        <v>10</v>
      </c>
      <c r="AM13" s="100">
        <v>852</v>
      </c>
      <c r="AN13" s="100">
        <v>7</v>
      </c>
      <c r="AO13" s="100">
        <v>596.4</v>
      </c>
      <c r="AP13" s="100">
        <v>6</v>
      </c>
      <c r="AQ13" s="100">
        <v>511.20000000000005</v>
      </c>
      <c r="AR13" s="100">
        <v>9</v>
      </c>
      <c r="AS13" s="100">
        <v>766.80000000000007</v>
      </c>
      <c r="AT13" s="100">
        <v>10</v>
      </c>
      <c r="AU13" s="100">
        <v>852</v>
      </c>
      <c r="AV13" s="100">
        <v>11</v>
      </c>
      <c r="AW13" s="100">
        <v>937.2</v>
      </c>
      <c r="AX13" s="100">
        <v>10</v>
      </c>
      <c r="AY13" s="100">
        <v>852</v>
      </c>
      <c r="AZ13" s="100">
        <v>6</v>
      </c>
      <c r="BA13" s="100">
        <v>511.20000000000005</v>
      </c>
      <c r="BB13" s="100">
        <v>13</v>
      </c>
      <c r="BC13" s="100">
        <v>1107.6000000000001</v>
      </c>
      <c r="BD13" s="100">
        <v>9</v>
      </c>
      <c r="BE13" s="100">
        <v>766.80000000000007</v>
      </c>
      <c r="BF13" s="100">
        <v>9</v>
      </c>
      <c r="BG13" s="100">
        <v>766.80000000000007</v>
      </c>
      <c r="BH13" s="100">
        <v>11</v>
      </c>
      <c r="BI13" s="100">
        <v>937.2</v>
      </c>
      <c r="BJ13" s="100">
        <v>7.9214402618658406</v>
      </c>
      <c r="BK13" s="100">
        <v>674.90671031096963</v>
      </c>
      <c r="BL13" s="100">
        <v>7.9928077294123154</v>
      </c>
      <c r="BM13" s="100">
        <v>680.9872185459293</v>
      </c>
      <c r="BN13" s="100">
        <v>11</v>
      </c>
      <c r="BO13" s="100">
        <v>937.2</v>
      </c>
      <c r="BP13" s="100">
        <v>7.8577777777777822</v>
      </c>
      <c r="BQ13" s="100">
        <v>669.48266666666711</v>
      </c>
      <c r="BR13" s="100">
        <v>8</v>
      </c>
      <c r="BS13" s="100">
        <v>681.6</v>
      </c>
      <c r="BT13" s="100">
        <v>7.0933333333333364</v>
      </c>
      <c r="BU13" s="100">
        <v>604.35200000000032</v>
      </c>
      <c r="BV13" s="100">
        <v>9</v>
      </c>
      <c r="BW13" s="100">
        <v>766.80000000000007</v>
      </c>
      <c r="BX13" s="100">
        <v>9</v>
      </c>
      <c r="BY13" s="100">
        <v>766.80000000000007</v>
      </c>
      <c r="BZ13" s="100">
        <v>6.0034145058185615</v>
      </c>
      <c r="CA13" s="100">
        <v>511.49091589574147</v>
      </c>
      <c r="CB13" s="100">
        <v>4.8897969444795866</v>
      </c>
      <c r="CC13" s="100">
        <v>416.61069966966079</v>
      </c>
      <c r="CD13" s="100">
        <v>11</v>
      </c>
      <c r="CE13" s="100">
        <v>937.2</v>
      </c>
      <c r="CF13" s="100">
        <v>7</v>
      </c>
      <c r="CG13" s="100">
        <v>596.4</v>
      </c>
      <c r="CH13" s="100">
        <v>3.8739432941664274</v>
      </c>
      <c r="CI13" s="100">
        <v>330.0599686629796</v>
      </c>
      <c r="CJ13" s="100">
        <v>13</v>
      </c>
      <c r="CK13" s="100">
        <v>1107.6000000000001</v>
      </c>
      <c r="CL13" s="100">
        <v>9</v>
      </c>
      <c r="CM13" s="100">
        <v>766.80000000000007</v>
      </c>
      <c r="CN13" s="100">
        <v>11</v>
      </c>
      <c r="CO13" s="100">
        <v>937.2</v>
      </c>
      <c r="CP13" s="100">
        <v>9</v>
      </c>
      <c r="CQ13" s="100">
        <v>766.80000000000007</v>
      </c>
      <c r="CR13" s="100">
        <v>11</v>
      </c>
      <c r="CS13" s="100">
        <v>937.2</v>
      </c>
      <c r="CT13" s="100">
        <v>9</v>
      </c>
      <c r="CU13" s="100">
        <v>766.80000000000007</v>
      </c>
    </row>
    <row r="14" spans="1:99">
      <c r="C14" s="99" t="s">
        <v>180</v>
      </c>
      <c r="D14" s="100">
        <v>9</v>
      </c>
      <c r="E14" s="100">
        <v>4395.5999999999995</v>
      </c>
      <c r="F14" s="100">
        <v>5</v>
      </c>
      <c r="G14" s="100">
        <v>2442</v>
      </c>
      <c r="H14" s="100">
        <v>8</v>
      </c>
      <c r="I14" s="100">
        <v>3907.2</v>
      </c>
      <c r="J14" s="100">
        <v>6</v>
      </c>
      <c r="K14" s="100">
        <v>2930.3999999999996</v>
      </c>
      <c r="L14" s="100">
        <v>9</v>
      </c>
      <c r="M14" s="100">
        <v>4395.5999999999995</v>
      </c>
      <c r="N14" s="100">
        <v>9.3065646817624739</v>
      </c>
      <c r="O14" s="100">
        <v>4545.3261905727923</v>
      </c>
      <c r="P14" s="100">
        <v>9</v>
      </c>
      <c r="Q14" s="100">
        <v>4395.5999999999995</v>
      </c>
      <c r="R14" s="100">
        <v>12</v>
      </c>
      <c r="S14" s="100">
        <v>5860.7999999999993</v>
      </c>
      <c r="T14" s="100">
        <v>11</v>
      </c>
      <c r="U14" s="100">
        <v>5372.4</v>
      </c>
      <c r="V14" s="100">
        <v>6</v>
      </c>
      <c r="W14" s="100">
        <v>2930.3999999999996</v>
      </c>
      <c r="X14" s="100">
        <v>7</v>
      </c>
      <c r="Y14" s="100">
        <v>3418.7999999999997</v>
      </c>
      <c r="Z14" s="100">
        <v>11</v>
      </c>
      <c r="AA14" s="100">
        <v>5372.4</v>
      </c>
      <c r="AB14" s="100">
        <v>9</v>
      </c>
      <c r="AC14" s="100">
        <v>4395.5999999999995</v>
      </c>
      <c r="AD14" s="100">
        <v>10</v>
      </c>
      <c r="AE14" s="100">
        <v>4884</v>
      </c>
      <c r="AF14" s="100">
        <v>7</v>
      </c>
      <c r="AG14" s="100">
        <v>3418.7999999999997</v>
      </c>
      <c r="AH14" s="100">
        <v>9</v>
      </c>
      <c r="AI14" s="100">
        <v>4395.5999999999995</v>
      </c>
      <c r="AJ14" s="100">
        <v>10</v>
      </c>
      <c r="AK14" s="100">
        <v>4884</v>
      </c>
      <c r="AL14" s="100">
        <v>9</v>
      </c>
      <c r="AM14" s="100">
        <v>4395.5999999999995</v>
      </c>
      <c r="AN14" s="100">
        <v>8</v>
      </c>
      <c r="AO14" s="100">
        <v>3907.2</v>
      </c>
      <c r="AP14" s="100">
        <v>6</v>
      </c>
      <c r="AQ14" s="100">
        <v>2930.3999999999996</v>
      </c>
      <c r="AR14" s="100">
        <v>9</v>
      </c>
      <c r="AS14" s="100">
        <v>4395.5999999999995</v>
      </c>
      <c r="AT14" s="100">
        <v>10</v>
      </c>
      <c r="AU14" s="100">
        <v>4884</v>
      </c>
      <c r="AV14" s="100">
        <v>13</v>
      </c>
      <c r="AW14" s="100">
        <v>6349.2</v>
      </c>
      <c r="AX14" s="100">
        <v>9</v>
      </c>
      <c r="AY14" s="100">
        <v>4395.5999999999995</v>
      </c>
      <c r="AZ14" s="100">
        <v>7</v>
      </c>
      <c r="BA14" s="100">
        <v>3418.7999999999997</v>
      </c>
      <c r="BB14" s="100">
        <v>13</v>
      </c>
      <c r="BC14" s="100">
        <v>6349.2</v>
      </c>
      <c r="BD14" s="100">
        <v>8</v>
      </c>
      <c r="BE14" s="100">
        <v>3907.2</v>
      </c>
      <c r="BF14" s="100">
        <v>10</v>
      </c>
      <c r="BG14" s="100">
        <v>4884</v>
      </c>
      <c r="BH14" s="100">
        <v>11</v>
      </c>
      <c r="BI14" s="100">
        <v>5372.4</v>
      </c>
      <c r="BJ14" s="100">
        <v>8.7135842880524255</v>
      </c>
      <c r="BK14" s="100">
        <v>4255.7145662848043</v>
      </c>
      <c r="BL14" s="100">
        <v>8.7194266139043446</v>
      </c>
      <c r="BM14" s="100">
        <v>4258.5679582308821</v>
      </c>
      <c r="BN14" s="100">
        <v>12</v>
      </c>
      <c r="BO14" s="100">
        <v>5860.7999999999993</v>
      </c>
      <c r="BP14" s="100">
        <v>7.8577777777777822</v>
      </c>
      <c r="BQ14" s="100">
        <v>3837.7386666666685</v>
      </c>
      <c r="BR14" s="100">
        <v>8</v>
      </c>
      <c r="BS14" s="100">
        <v>3907.2</v>
      </c>
      <c r="BT14" s="100">
        <v>7.0933333333333364</v>
      </c>
      <c r="BU14" s="100">
        <v>3464.3840000000014</v>
      </c>
      <c r="BV14" s="100">
        <v>9</v>
      </c>
      <c r="BW14" s="100">
        <v>4395.5999999999995</v>
      </c>
      <c r="BX14" s="100">
        <v>8</v>
      </c>
      <c r="BY14" s="100">
        <v>3907.2</v>
      </c>
      <c r="BZ14" s="100">
        <v>5.1457838621301955</v>
      </c>
      <c r="CA14" s="100">
        <v>2513.2008382643871</v>
      </c>
      <c r="CB14" s="100">
        <v>4.8897969444795866</v>
      </c>
      <c r="CC14" s="100">
        <v>2388.1768276838302</v>
      </c>
      <c r="CD14" s="100">
        <v>12</v>
      </c>
      <c r="CE14" s="100">
        <v>5860.7999999999993</v>
      </c>
      <c r="CF14" s="100">
        <v>7</v>
      </c>
      <c r="CG14" s="100">
        <v>3418.7999999999997</v>
      </c>
      <c r="CH14" s="100">
        <v>3.8739432941664274</v>
      </c>
      <c r="CI14" s="100">
        <v>1892.0339048708831</v>
      </c>
      <c r="CJ14" s="100">
        <v>12</v>
      </c>
      <c r="CK14" s="100">
        <v>5860.7999999999993</v>
      </c>
      <c r="CL14" s="100">
        <v>10</v>
      </c>
      <c r="CM14" s="100">
        <v>4884</v>
      </c>
      <c r="CN14" s="100">
        <v>10</v>
      </c>
      <c r="CO14" s="100">
        <v>4884</v>
      </c>
      <c r="CP14" s="100">
        <v>9</v>
      </c>
      <c r="CQ14" s="100">
        <v>4395.5999999999995</v>
      </c>
      <c r="CR14" s="100">
        <v>10</v>
      </c>
      <c r="CS14" s="100">
        <v>4884</v>
      </c>
      <c r="CT14" s="100">
        <v>8</v>
      </c>
      <c r="CU14" s="100">
        <v>3907.2</v>
      </c>
    </row>
    <row r="15" spans="1:99">
      <c r="C15" s="99" t="s">
        <v>181</v>
      </c>
      <c r="D15" s="100">
        <v>8</v>
      </c>
      <c r="E15" s="100">
        <v>6105.5999999999995</v>
      </c>
      <c r="F15" s="100">
        <v>5</v>
      </c>
      <c r="G15" s="100">
        <v>3815.9999999999995</v>
      </c>
      <c r="H15" s="100">
        <v>7</v>
      </c>
      <c r="I15" s="100">
        <v>5342.4</v>
      </c>
      <c r="J15" s="100">
        <v>5</v>
      </c>
      <c r="K15" s="100">
        <v>3815.9999999999995</v>
      </c>
      <c r="L15" s="100">
        <v>10</v>
      </c>
      <c r="M15" s="100">
        <v>7631.9999999999991</v>
      </c>
      <c r="N15" s="100">
        <v>9.3065646817624739</v>
      </c>
      <c r="O15" s="100">
        <v>7102.7701651211191</v>
      </c>
      <c r="P15" s="100">
        <v>7</v>
      </c>
      <c r="Q15" s="100">
        <v>5342.4</v>
      </c>
      <c r="R15" s="100">
        <v>11</v>
      </c>
      <c r="S15" s="100">
        <v>8395.1999999999989</v>
      </c>
      <c r="T15" s="100">
        <v>11</v>
      </c>
      <c r="U15" s="100">
        <v>8395.1999999999989</v>
      </c>
      <c r="V15" s="100">
        <v>6</v>
      </c>
      <c r="W15" s="100">
        <v>4579.2</v>
      </c>
      <c r="X15" s="100">
        <v>6</v>
      </c>
      <c r="Y15" s="100">
        <v>4579.2</v>
      </c>
      <c r="Z15" s="100">
        <v>9</v>
      </c>
      <c r="AA15" s="100">
        <v>6868.7999999999993</v>
      </c>
      <c r="AB15" s="100">
        <v>8</v>
      </c>
      <c r="AC15" s="100">
        <v>6105.5999999999995</v>
      </c>
      <c r="AD15" s="100">
        <v>10</v>
      </c>
      <c r="AE15" s="100">
        <v>7631.9999999999991</v>
      </c>
      <c r="AF15" s="100">
        <v>7</v>
      </c>
      <c r="AG15" s="100">
        <v>5342.4</v>
      </c>
      <c r="AH15" s="100">
        <v>9</v>
      </c>
      <c r="AI15" s="100">
        <v>6868.7999999999993</v>
      </c>
      <c r="AJ15" s="100">
        <v>10</v>
      </c>
      <c r="AK15" s="100">
        <v>7631.9999999999991</v>
      </c>
      <c r="AL15" s="100">
        <v>9</v>
      </c>
      <c r="AM15" s="100">
        <v>6868.7999999999993</v>
      </c>
      <c r="AN15" s="100">
        <v>7</v>
      </c>
      <c r="AO15" s="100">
        <v>5342.4</v>
      </c>
      <c r="AP15" s="100">
        <v>6</v>
      </c>
      <c r="AQ15" s="100">
        <v>4579.2</v>
      </c>
      <c r="AR15" s="100">
        <v>9</v>
      </c>
      <c r="AS15" s="100">
        <v>6868.7999999999993</v>
      </c>
      <c r="AT15" s="100">
        <v>10</v>
      </c>
      <c r="AU15" s="100">
        <v>7631.9999999999991</v>
      </c>
      <c r="AV15" s="100">
        <v>12</v>
      </c>
      <c r="AW15" s="100">
        <v>9158.4</v>
      </c>
      <c r="AX15" s="100">
        <v>9</v>
      </c>
      <c r="AY15" s="100">
        <v>6868.7999999999993</v>
      </c>
      <c r="AZ15" s="100">
        <v>6</v>
      </c>
      <c r="BA15" s="100">
        <v>4579.2</v>
      </c>
      <c r="BB15" s="100">
        <v>11</v>
      </c>
      <c r="BC15" s="100">
        <v>8395.1999999999989</v>
      </c>
      <c r="BD15" s="100">
        <v>8</v>
      </c>
      <c r="BE15" s="100">
        <v>6105.5999999999995</v>
      </c>
      <c r="BF15" s="100">
        <v>10</v>
      </c>
      <c r="BG15" s="100">
        <v>7631.9999999999991</v>
      </c>
      <c r="BH15" s="100">
        <v>11</v>
      </c>
      <c r="BI15" s="100">
        <v>8395.1999999999989</v>
      </c>
      <c r="BJ15" s="100">
        <v>8.7135842880524255</v>
      </c>
      <c r="BK15" s="100">
        <v>6650.2075286416102</v>
      </c>
      <c r="BL15" s="100">
        <v>8.7194266139043446</v>
      </c>
      <c r="BM15" s="100">
        <v>6654.6663917317956</v>
      </c>
      <c r="BN15" s="100">
        <v>13</v>
      </c>
      <c r="BO15" s="100">
        <v>9921.5999999999985</v>
      </c>
      <c r="BP15" s="100">
        <v>7.2029629629629657</v>
      </c>
      <c r="BQ15" s="100">
        <v>5497.3013333333347</v>
      </c>
      <c r="BR15" s="100">
        <v>9</v>
      </c>
      <c r="BS15" s="100">
        <v>6868.7999999999993</v>
      </c>
      <c r="BT15" s="100">
        <v>6.3051851851851879</v>
      </c>
      <c r="BU15" s="100">
        <v>4812.1173333333354</v>
      </c>
      <c r="BV15" s="100">
        <v>10</v>
      </c>
      <c r="BW15" s="100">
        <v>7631.9999999999991</v>
      </c>
      <c r="BX15" s="100">
        <v>8</v>
      </c>
      <c r="BY15" s="100">
        <v>6105.5999999999995</v>
      </c>
      <c r="BZ15" s="100">
        <v>6.0034145058185615</v>
      </c>
      <c r="CA15" s="100">
        <v>4581.8059508407259</v>
      </c>
      <c r="CB15" s="100">
        <v>4.8897969444795866</v>
      </c>
      <c r="CC15" s="100">
        <v>3731.89302802682</v>
      </c>
      <c r="CD15" s="100">
        <v>10</v>
      </c>
      <c r="CE15" s="100">
        <v>7631.9999999999991</v>
      </c>
      <c r="CF15" s="100">
        <v>6</v>
      </c>
      <c r="CG15" s="100">
        <v>4579.2</v>
      </c>
      <c r="CH15" s="100">
        <v>4.1967719020136292</v>
      </c>
      <c r="CI15" s="100">
        <v>3202.9763156168015</v>
      </c>
      <c r="CJ15" s="100">
        <v>11</v>
      </c>
      <c r="CK15" s="100">
        <v>8395.1999999999989</v>
      </c>
      <c r="CL15" s="100">
        <v>9</v>
      </c>
      <c r="CM15" s="100">
        <v>6868.7999999999993</v>
      </c>
      <c r="CN15" s="100">
        <v>11</v>
      </c>
      <c r="CO15" s="100">
        <v>8395.1999999999989</v>
      </c>
      <c r="CP15" s="100">
        <v>8</v>
      </c>
      <c r="CQ15" s="100">
        <v>6105.5999999999995</v>
      </c>
      <c r="CR15" s="100">
        <v>10</v>
      </c>
      <c r="CS15" s="100">
        <v>7631.9999999999991</v>
      </c>
      <c r="CT15" s="100">
        <v>9</v>
      </c>
      <c r="CU15" s="100">
        <v>6868.7999999999993</v>
      </c>
    </row>
    <row r="16" spans="1:99">
      <c r="C16" s="99" t="s">
        <v>182</v>
      </c>
      <c r="D16" s="100">
        <v>9</v>
      </c>
      <c r="E16" s="100">
        <v>3067.2000000000003</v>
      </c>
      <c r="F16" s="100">
        <v>6</v>
      </c>
      <c r="G16" s="100">
        <v>2044.8000000000002</v>
      </c>
      <c r="H16" s="100">
        <v>8</v>
      </c>
      <c r="I16" s="100">
        <v>2726.4</v>
      </c>
      <c r="J16" s="100">
        <v>6</v>
      </c>
      <c r="K16" s="100">
        <v>2044.8000000000002</v>
      </c>
      <c r="L16" s="100">
        <v>9</v>
      </c>
      <c r="M16" s="100">
        <v>3067.2000000000003</v>
      </c>
      <c r="N16" s="100">
        <v>10.237221149938721</v>
      </c>
      <c r="O16" s="100">
        <v>3488.844967899116</v>
      </c>
      <c r="P16" s="100">
        <v>8</v>
      </c>
      <c r="Q16" s="100">
        <v>2726.4</v>
      </c>
      <c r="R16" s="100">
        <v>11</v>
      </c>
      <c r="S16" s="100">
        <v>3748.8</v>
      </c>
      <c r="T16" s="100">
        <v>10</v>
      </c>
      <c r="U16" s="100">
        <v>3408</v>
      </c>
      <c r="V16" s="100">
        <v>6</v>
      </c>
      <c r="W16" s="100">
        <v>2044.8000000000002</v>
      </c>
      <c r="X16" s="100">
        <v>7</v>
      </c>
      <c r="Y16" s="100">
        <v>2385.6</v>
      </c>
      <c r="Z16" s="100">
        <v>11</v>
      </c>
      <c r="AA16" s="100">
        <v>3748.8</v>
      </c>
      <c r="AB16" s="100">
        <v>10</v>
      </c>
      <c r="AC16" s="100">
        <v>3408</v>
      </c>
      <c r="AD16" s="100">
        <v>10</v>
      </c>
      <c r="AE16" s="100">
        <v>3408</v>
      </c>
      <c r="AF16" s="100">
        <v>6</v>
      </c>
      <c r="AG16" s="100">
        <v>2044.8000000000002</v>
      </c>
      <c r="AH16" s="100">
        <v>9</v>
      </c>
      <c r="AI16" s="100">
        <v>3067.2000000000003</v>
      </c>
      <c r="AJ16" s="100">
        <v>10</v>
      </c>
      <c r="AK16" s="100">
        <v>3408</v>
      </c>
      <c r="AL16" s="100">
        <v>8</v>
      </c>
      <c r="AM16" s="100">
        <v>2726.4</v>
      </c>
      <c r="AN16" s="100">
        <v>7</v>
      </c>
      <c r="AO16" s="100">
        <v>2385.6</v>
      </c>
      <c r="AP16" s="100">
        <v>6</v>
      </c>
      <c r="AQ16" s="100">
        <v>2044.8000000000002</v>
      </c>
      <c r="AR16" s="100">
        <v>10</v>
      </c>
      <c r="AS16" s="100">
        <v>3408</v>
      </c>
      <c r="AT16" s="100">
        <v>11</v>
      </c>
      <c r="AU16" s="100">
        <v>3748.8</v>
      </c>
      <c r="AV16" s="100">
        <v>13</v>
      </c>
      <c r="AW16" s="100">
        <v>4430.4000000000005</v>
      </c>
      <c r="AX16" s="100">
        <v>9</v>
      </c>
      <c r="AY16" s="100">
        <v>3067.2000000000003</v>
      </c>
      <c r="AZ16" s="100">
        <v>6</v>
      </c>
      <c r="BA16" s="100">
        <v>2044.8000000000002</v>
      </c>
      <c r="BB16" s="100">
        <v>12</v>
      </c>
      <c r="BC16" s="100">
        <v>4089.6000000000004</v>
      </c>
      <c r="BD16" s="100">
        <v>8</v>
      </c>
      <c r="BE16" s="100">
        <v>2726.4</v>
      </c>
      <c r="BF16" s="100">
        <v>10</v>
      </c>
      <c r="BG16" s="100">
        <v>3408</v>
      </c>
      <c r="BH16" s="100">
        <v>11</v>
      </c>
      <c r="BI16" s="100">
        <v>3748.8</v>
      </c>
      <c r="BJ16" s="100">
        <v>7.9214402618658406</v>
      </c>
      <c r="BK16" s="100">
        <v>2699.6268412438785</v>
      </c>
      <c r="BL16" s="100">
        <v>8.7194266139043446</v>
      </c>
      <c r="BM16" s="100">
        <v>2971.5805900186006</v>
      </c>
      <c r="BN16" s="100">
        <v>11</v>
      </c>
      <c r="BO16" s="100">
        <v>3748.8</v>
      </c>
      <c r="BP16" s="100">
        <v>7.8577777777777822</v>
      </c>
      <c r="BQ16" s="100">
        <v>2677.9306666666685</v>
      </c>
      <c r="BR16" s="100">
        <v>9</v>
      </c>
      <c r="BS16" s="100">
        <v>3067.2000000000003</v>
      </c>
      <c r="BT16" s="100">
        <v>7.0933333333333364</v>
      </c>
      <c r="BU16" s="100">
        <v>2417.4080000000013</v>
      </c>
      <c r="BV16" s="100">
        <v>10</v>
      </c>
      <c r="BW16" s="100">
        <v>3408</v>
      </c>
      <c r="BX16" s="100">
        <v>9</v>
      </c>
      <c r="BY16" s="100">
        <v>3067.2000000000003</v>
      </c>
      <c r="BZ16" s="100">
        <v>6.0034145058185615</v>
      </c>
      <c r="CA16" s="100">
        <v>2045.9636635829659</v>
      </c>
      <c r="CB16" s="100">
        <v>5.5883393651195279</v>
      </c>
      <c r="CC16" s="100">
        <v>1904.5060556327351</v>
      </c>
      <c r="CD16" s="100">
        <v>12</v>
      </c>
      <c r="CE16" s="100">
        <v>4089.6000000000004</v>
      </c>
      <c r="CF16" s="100">
        <v>7</v>
      </c>
      <c r="CG16" s="100">
        <v>2385.6</v>
      </c>
      <c r="CH16" s="100">
        <v>3.8739432941664274</v>
      </c>
      <c r="CI16" s="100">
        <v>1320.2398746519184</v>
      </c>
      <c r="CJ16" s="100">
        <v>11</v>
      </c>
      <c r="CK16" s="100">
        <v>3748.8</v>
      </c>
      <c r="CL16" s="100">
        <v>9</v>
      </c>
      <c r="CM16" s="100">
        <v>3067.2000000000003</v>
      </c>
      <c r="CN16" s="100">
        <v>11</v>
      </c>
      <c r="CO16" s="100">
        <v>3748.8</v>
      </c>
      <c r="CP16" s="100">
        <v>9</v>
      </c>
      <c r="CQ16" s="100">
        <v>3067.2000000000003</v>
      </c>
      <c r="CR16" s="100">
        <v>10</v>
      </c>
      <c r="CS16" s="100">
        <v>3408</v>
      </c>
      <c r="CT16" s="100">
        <v>9</v>
      </c>
      <c r="CU16" s="100">
        <v>3067.2000000000003</v>
      </c>
    </row>
    <row r="17" spans="2:99">
      <c r="C17" s="99" t="s">
        <v>183</v>
      </c>
      <c r="D17" s="100">
        <v>9</v>
      </c>
      <c r="E17" s="100">
        <v>3801.6</v>
      </c>
      <c r="F17" s="100">
        <v>6</v>
      </c>
      <c r="G17" s="100">
        <v>2534.3999999999996</v>
      </c>
      <c r="H17" s="100">
        <v>7</v>
      </c>
      <c r="I17" s="100">
        <v>2956.7999999999997</v>
      </c>
      <c r="J17" s="100">
        <v>6</v>
      </c>
      <c r="K17" s="100">
        <v>2534.3999999999996</v>
      </c>
      <c r="L17" s="100">
        <v>9</v>
      </c>
      <c r="M17" s="100">
        <v>3801.6</v>
      </c>
      <c r="N17" s="100">
        <v>10.237221149938721</v>
      </c>
      <c r="O17" s="100">
        <v>4324.2022137341155</v>
      </c>
      <c r="P17" s="100">
        <v>9</v>
      </c>
      <c r="Q17" s="100">
        <v>3801.6</v>
      </c>
      <c r="R17" s="100">
        <v>11</v>
      </c>
      <c r="S17" s="100">
        <v>4646.3999999999996</v>
      </c>
      <c r="T17" s="100">
        <v>11</v>
      </c>
      <c r="U17" s="100">
        <v>4646.3999999999996</v>
      </c>
      <c r="V17" s="100">
        <v>7</v>
      </c>
      <c r="W17" s="100">
        <v>2956.7999999999997</v>
      </c>
      <c r="X17" s="100">
        <v>7</v>
      </c>
      <c r="Y17" s="100">
        <v>2956.7999999999997</v>
      </c>
      <c r="Z17" s="100">
        <v>11</v>
      </c>
      <c r="AA17" s="100">
        <v>4646.3999999999996</v>
      </c>
      <c r="AB17" s="100">
        <v>9</v>
      </c>
      <c r="AC17" s="100">
        <v>3801.6</v>
      </c>
      <c r="AD17" s="100">
        <v>10</v>
      </c>
      <c r="AE17" s="100">
        <v>4224</v>
      </c>
      <c r="AF17" s="100">
        <v>7</v>
      </c>
      <c r="AG17" s="100">
        <v>2956.7999999999997</v>
      </c>
      <c r="AH17" s="100">
        <v>10</v>
      </c>
      <c r="AI17" s="100">
        <v>4224</v>
      </c>
      <c r="AJ17" s="100">
        <v>11</v>
      </c>
      <c r="AK17" s="100">
        <v>4646.3999999999996</v>
      </c>
      <c r="AL17" s="100">
        <v>9</v>
      </c>
      <c r="AM17" s="100">
        <v>3801.6</v>
      </c>
      <c r="AN17" s="100">
        <v>8</v>
      </c>
      <c r="AO17" s="100">
        <v>3379.2</v>
      </c>
      <c r="AP17" s="100">
        <v>6</v>
      </c>
      <c r="AQ17" s="100">
        <v>2534.3999999999996</v>
      </c>
      <c r="AR17" s="100">
        <v>10</v>
      </c>
      <c r="AS17" s="100">
        <v>4224</v>
      </c>
      <c r="AT17" s="100">
        <v>11</v>
      </c>
      <c r="AU17" s="100">
        <v>4646.3999999999996</v>
      </c>
      <c r="AV17" s="100">
        <v>13</v>
      </c>
      <c r="AW17" s="100">
        <v>5491.2</v>
      </c>
      <c r="AX17" s="100">
        <v>10</v>
      </c>
      <c r="AY17" s="100">
        <v>4224</v>
      </c>
      <c r="AZ17" s="100">
        <v>6</v>
      </c>
      <c r="BA17" s="100">
        <v>2534.3999999999996</v>
      </c>
      <c r="BB17" s="100">
        <v>12</v>
      </c>
      <c r="BC17" s="100">
        <v>5068.7999999999993</v>
      </c>
      <c r="BD17" s="100">
        <v>8</v>
      </c>
      <c r="BE17" s="100">
        <v>3379.2</v>
      </c>
      <c r="BF17" s="100">
        <v>9</v>
      </c>
      <c r="BG17" s="100">
        <v>3801.6</v>
      </c>
      <c r="BH17" s="100">
        <v>11</v>
      </c>
      <c r="BI17" s="100">
        <v>4646.3999999999996</v>
      </c>
      <c r="BJ17" s="100">
        <v>7.1292962356792566</v>
      </c>
      <c r="BK17" s="100">
        <v>3011.4147299509177</v>
      </c>
      <c r="BL17" s="100">
        <v>8.7194266139043446</v>
      </c>
      <c r="BM17" s="100">
        <v>3683.085801713195</v>
      </c>
      <c r="BN17" s="100">
        <v>12</v>
      </c>
      <c r="BO17" s="100">
        <v>5068.7999999999993</v>
      </c>
      <c r="BP17" s="100">
        <v>7.2029629629629657</v>
      </c>
      <c r="BQ17" s="100">
        <v>3042.5315555555567</v>
      </c>
      <c r="BR17" s="100">
        <v>8</v>
      </c>
      <c r="BS17" s="100">
        <v>3379.2</v>
      </c>
      <c r="BT17" s="100">
        <v>7.0933333333333364</v>
      </c>
      <c r="BU17" s="100">
        <v>2996.2240000000011</v>
      </c>
      <c r="BV17" s="100">
        <v>9</v>
      </c>
      <c r="BW17" s="100">
        <v>3801.6</v>
      </c>
      <c r="BX17" s="100">
        <v>9</v>
      </c>
      <c r="BY17" s="100">
        <v>3801.6</v>
      </c>
      <c r="BZ17" s="100">
        <v>6.0034145058185615</v>
      </c>
      <c r="CA17" s="100">
        <v>2535.8422872577603</v>
      </c>
      <c r="CB17" s="100">
        <v>4.8897969444795866</v>
      </c>
      <c r="CC17" s="100">
        <v>2065.4502293481773</v>
      </c>
      <c r="CD17" s="100">
        <v>11</v>
      </c>
      <c r="CE17" s="100">
        <v>4646.3999999999996</v>
      </c>
      <c r="CF17" s="100">
        <v>6</v>
      </c>
      <c r="CG17" s="100">
        <v>2534.3999999999996</v>
      </c>
      <c r="CH17" s="100">
        <v>4.1967719020136292</v>
      </c>
      <c r="CI17" s="100">
        <v>1772.7164514105568</v>
      </c>
      <c r="CJ17" s="100">
        <v>12</v>
      </c>
      <c r="CK17" s="100">
        <v>5068.7999999999993</v>
      </c>
      <c r="CL17" s="100">
        <v>10</v>
      </c>
      <c r="CM17" s="100">
        <v>4224</v>
      </c>
      <c r="CN17" s="100">
        <v>10</v>
      </c>
      <c r="CO17" s="100">
        <v>4224</v>
      </c>
      <c r="CP17" s="100">
        <v>9</v>
      </c>
      <c r="CQ17" s="100">
        <v>3801.6</v>
      </c>
      <c r="CR17" s="100">
        <v>10</v>
      </c>
      <c r="CS17" s="100">
        <v>4224</v>
      </c>
      <c r="CT17" s="100">
        <v>9</v>
      </c>
      <c r="CU17" s="100">
        <v>3801.6</v>
      </c>
    </row>
    <row r="18" spans="2:99">
      <c r="C18" s="99" t="s">
        <v>184</v>
      </c>
      <c r="D18" s="100">
        <v>9</v>
      </c>
      <c r="E18" s="100">
        <v>5875.2</v>
      </c>
      <c r="F18" s="100">
        <v>6</v>
      </c>
      <c r="G18" s="100">
        <v>3916.7999999999997</v>
      </c>
      <c r="H18" s="100">
        <v>7</v>
      </c>
      <c r="I18" s="100">
        <v>4569.5999999999995</v>
      </c>
      <c r="J18" s="100">
        <v>5</v>
      </c>
      <c r="K18" s="100">
        <v>3264</v>
      </c>
      <c r="L18" s="100">
        <v>10</v>
      </c>
      <c r="M18" s="100">
        <v>6528</v>
      </c>
      <c r="N18" s="100">
        <v>9.3065646817624739</v>
      </c>
      <c r="O18" s="100">
        <v>6075.3254242545427</v>
      </c>
      <c r="P18" s="100">
        <v>7</v>
      </c>
      <c r="Q18" s="100">
        <v>4569.5999999999995</v>
      </c>
      <c r="R18" s="100">
        <v>10</v>
      </c>
      <c r="S18" s="100">
        <v>6528</v>
      </c>
      <c r="T18" s="100">
        <v>11</v>
      </c>
      <c r="U18" s="100">
        <v>7180.7999999999993</v>
      </c>
      <c r="V18" s="100">
        <v>6</v>
      </c>
      <c r="W18" s="100">
        <v>3916.7999999999997</v>
      </c>
      <c r="X18" s="100">
        <v>6</v>
      </c>
      <c r="Y18" s="100">
        <v>3916.7999999999997</v>
      </c>
      <c r="Z18" s="100">
        <v>10</v>
      </c>
      <c r="AA18" s="100">
        <v>6528</v>
      </c>
      <c r="AB18" s="100">
        <v>10</v>
      </c>
      <c r="AC18" s="100">
        <v>6528</v>
      </c>
      <c r="AD18" s="100">
        <v>10</v>
      </c>
      <c r="AE18" s="100">
        <v>6528</v>
      </c>
      <c r="AF18" s="100">
        <v>6</v>
      </c>
      <c r="AG18" s="100">
        <v>3916.7999999999997</v>
      </c>
      <c r="AH18" s="100">
        <v>10</v>
      </c>
      <c r="AI18" s="100">
        <v>6528</v>
      </c>
      <c r="AJ18" s="100">
        <v>10</v>
      </c>
      <c r="AK18" s="100">
        <v>6528</v>
      </c>
      <c r="AL18" s="100">
        <v>8</v>
      </c>
      <c r="AM18" s="100">
        <v>5222.3999999999996</v>
      </c>
      <c r="AN18" s="100">
        <v>8</v>
      </c>
      <c r="AO18" s="100">
        <v>5222.3999999999996</v>
      </c>
      <c r="AP18" s="100">
        <v>7</v>
      </c>
      <c r="AQ18" s="100">
        <v>4569.5999999999995</v>
      </c>
      <c r="AR18" s="100">
        <v>10</v>
      </c>
      <c r="AS18" s="100">
        <v>6528</v>
      </c>
      <c r="AT18" s="100">
        <v>11</v>
      </c>
      <c r="AU18" s="100">
        <v>7180.7999999999993</v>
      </c>
      <c r="AV18" s="100">
        <v>12</v>
      </c>
      <c r="AW18" s="100">
        <v>7833.5999999999995</v>
      </c>
      <c r="AX18" s="100">
        <v>9</v>
      </c>
      <c r="AY18" s="100">
        <v>5875.2</v>
      </c>
      <c r="AZ18" s="100">
        <v>6</v>
      </c>
      <c r="BA18" s="100">
        <v>3916.7999999999997</v>
      </c>
      <c r="BB18" s="100">
        <v>13</v>
      </c>
      <c r="BC18" s="100">
        <v>8486.4</v>
      </c>
      <c r="BD18" s="100">
        <v>8</v>
      </c>
      <c r="BE18" s="100">
        <v>5222.3999999999996</v>
      </c>
      <c r="BF18" s="100">
        <v>8</v>
      </c>
      <c r="BG18" s="100">
        <v>5222.3999999999996</v>
      </c>
      <c r="BH18" s="100">
        <v>10</v>
      </c>
      <c r="BI18" s="100">
        <v>6528</v>
      </c>
      <c r="BJ18" s="100">
        <v>7.1292962356792566</v>
      </c>
      <c r="BK18" s="100">
        <v>4654.0045826514188</v>
      </c>
      <c r="BL18" s="100">
        <v>8.7194266139043446</v>
      </c>
      <c r="BM18" s="100">
        <v>5692.0416935567555</v>
      </c>
      <c r="BN18" s="100">
        <v>12</v>
      </c>
      <c r="BO18" s="100">
        <v>7833.5999999999995</v>
      </c>
      <c r="BP18" s="100">
        <v>7.2029629629629657</v>
      </c>
      <c r="BQ18" s="100">
        <v>4702.0942222222238</v>
      </c>
      <c r="BR18" s="100">
        <v>8</v>
      </c>
      <c r="BS18" s="100">
        <v>5222.3999999999996</v>
      </c>
      <c r="BT18" s="100">
        <v>7.0933333333333364</v>
      </c>
      <c r="BU18" s="100">
        <v>4630.5280000000021</v>
      </c>
      <c r="BV18" s="100">
        <v>8</v>
      </c>
      <c r="BW18" s="100">
        <v>5222.3999999999996</v>
      </c>
      <c r="BX18" s="100">
        <v>8</v>
      </c>
      <c r="BY18" s="100">
        <v>5222.3999999999996</v>
      </c>
      <c r="BZ18" s="100">
        <v>5.1457838621301955</v>
      </c>
      <c r="CA18" s="100">
        <v>3359.1677051985912</v>
      </c>
      <c r="CB18" s="100">
        <v>4.8897969444795866</v>
      </c>
      <c r="CC18" s="100">
        <v>3192.059445356274</v>
      </c>
      <c r="CD18" s="100">
        <v>10</v>
      </c>
      <c r="CE18" s="100">
        <v>6528</v>
      </c>
      <c r="CF18" s="100">
        <v>7</v>
      </c>
      <c r="CG18" s="100">
        <v>4569.5999999999995</v>
      </c>
      <c r="CH18" s="100">
        <v>4.1967719020136292</v>
      </c>
      <c r="CI18" s="100">
        <v>2739.6526976344971</v>
      </c>
      <c r="CJ18" s="100">
        <v>11</v>
      </c>
      <c r="CK18" s="100">
        <v>7180.7999999999993</v>
      </c>
      <c r="CL18" s="100">
        <v>10</v>
      </c>
      <c r="CM18" s="100">
        <v>6528</v>
      </c>
      <c r="CN18" s="100">
        <v>11</v>
      </c>
      <c r="CO18" s="100">
        <v>7180.7999999999993</v>
      </c>
      <c r="CP18" s="100">
        <v>10</v>
      </c>
      <c r="CQ18" s="100">
        <v>6528</v>
      </c>
      <c r="CR18" s="100">
        <v>9</v>
      </c>
      <c r="CS18" s="100">
        <v>5875.2</v>
      </c>
      <c r="CT18" s="100">
        <v>8</v>
      </c>
      <c r="CU18" s="100">
        <v>5222.3999999999996</v>
      </c>
    </row>
    <row r="19" spans="2:99">
      <c r="C19" s="99" t="s">
        <v>185</v>
      </c>
      <c r="D19" s="100">
        <v>8</v>
      </c>
      <c r="E19" s="100">
        <v>2640</v>
      </c>
      <c r="F19" s="100">
        <v>6</v>
      </c>
      <c r="G19" s="100">
        <v>1980</v>
      </c>
      <c r="H19" s="100">
        <v>8</v>
      </c>
      <c r="I19" s="100">
        <v>2640</v>
      </c>
      <c r="J19" s="100">
        <v>5</v>
      </c>
      <c r="K19" s="100">
        <v>1650</v>
      </c>
      <c r="L19" s="100">
        <v>10</v>
      </c>
      <c r="M19" s="100">
        <v>3300</v>
      </c>
      <c r="N19" s="100">
        <v>10.237221149938721</v>
      </c>
      <c r="O19" s="100">
        <v>3378.2829794797781</v>
      </c>
      <c r="P19" s="100">
        <v>8</v>
      </c>
      <c r="Q19" s="100">
        <v>2640</v>
      </c>
      <c r="R19" s="100">
        <v>12</v>
      </c>
      <c r="S19" s="100">
        <v>3960</v>
      </c>
      <c r="T19" s="100">
        <v>12</v>
      </c>
      <c r="U19" s="100">
        <v>3960</v>
      </c>
      <c r="V19" s="100">
        <v>7</v>
      </c>
      <c r="W19" s="100">
        <v>2310</v>
      </c>
      <c r="X19" s="100">
        <v>7</v>
      </c>
      <c r="Y19" s="100">
        <v>2310</v>
      </c>
      <c r="Z19" s="100">
        <v>10</v>
      </c>
      <c r="AA19" s="100">
        <v>3300</v>
      </c>
      <c r="AB19" s="100">
        <v>10</v>
      </c>
      <c r="AC19" s="100">
        <v>3300</v>
      </c>
      <c r="AD19" s="100">
        <v>12</v>
      </c>
      <c r="AE19" s="100">
        <v>3960</v>
      </c>
      <c r="AF19" s="100">
        <v>7</v>
      </c>
      <c r="AG19" s="100">
        <v>2310</v>
      </c>
      <c r="AH19" s="100">
        <v>10</v>
      </c>
      <c r="AI19" s="100">
        <v>3300</v>
      </c>
      <c r="AJ19" s="100">
        <v>10</v>
      </c>
      <c r="AK19" s="100">
        <v>3300</v>
      </c>
      <c r="AL19" s="100">
        <v>9</v>
      </c>
      <c r="AM19" s="100">
        <v>2970</v>
      </c>
      <c r="AN19" s="100">
        <v>8</v>
      </c>
      <c r="AO19" s="100">
        <v>2640</v>
      </c>
      <c r="AP19" s="100">
        <v>6</v>
      </c>
      <c r="AQ19" s="100">
        <v>1980</v>
      </c>
      <c r="AR19" s="100">
        <v>10</v>
      </c>
      <c r="AS19" s="100">
        <v>3300</v>
      </c>
      <c r="AT19" s="100">
        <v>11</v>
      </c>
      <c r="AU19" s="100">
        <v>3630</v>
      </c>
      <c r="AV19" s="100">
        <v>12</v>
      </c>
      <c r="AW19" s="100">
        <v>3960</v>
      </c>
      <c r="AX19" s="100">
        <v>10</v>
      </c>
      <c r="AY19" s="100">
        <v>3300</v>
      </c>
      <c r="AZ19" s="100">
        <v>6</v>
      </c>
      <c r="BA19" s="100">
        <v>1980</v>
      </c>
      <c r="BB19" s="100">
        <v>12</v>
      </c>
      <c r="BC19" s="100">
        <v>3960</v>
      </c>
      <c r="BD19" s="100">
        <v>9</v>
      </c>
      <c r="BE19" s="100">
        <v>2970</v>
      </c>
      <c r="BF19" s="100">
        <v>9</v>
      </c>
      <c r="BG19" s="100">
        <v>2970</v>
      </c>
      <c r="BH19" s="100">
        <v>12</v>
      </c>
      <c r="BI19" s="100">
        <v>3960</v>
      </c>
      <c r="BJ19" s="100">
        <v>7.9214402618658406</v>
      </c>
      <c r="BK19" s="100">
        <v>2614.0752864157275</v>
      </c>
      <c r="BL19" s="100">
        <v>8.7194266139043446</v>
      </c>
      <c r="BM19" s="100">
        <v>2877.4107825884339</v>
      </c>
      <c r="BN19" s="100">
        <v>13</v>
      </c>
      <c r="BO19" s="100">
        <v>4290</v>
      </c>
      <c r="BP19" s="100">
        <v>7.2029629629629657</v>
      </c>
      <c r="BQ19" s="100">
        <v>2376.9777777777786</v>
      </c>
      <c r="BR19" s="100">
        <v>8</v>
      </c>
      <c r="BS19" s="100">
        <v>2640</v>
      </c>
      <c r="BT19" s="100">
        <v>7.8814814814814849</v>
      </c>
      <c r="BU19" s="100">
        <v>2600.8888888888901</v>
      </c>
      <c r="BV19" s="100">
        <v>8</v>
      </c>
      <c r="BW19" s="100">
        <v>2640</v>
      </c>
      <c r="BX19" s="100">
        <v>9</v>
      </c>
      <c r="BY19" s="100">
        <v>2970</v>
      </c>
      <c r="BZ19" s="100">
        <v>5.1457838621301955</v>
      </c>
      <c r="CA19" s="100">
        <v>1698.1086745029645</v>
      </c>
      <c r="CB19" s="100">
        <v>4.8897969444795866</v>
      </c>
      <c r="CC19" s="100">
        <v>1613.6329916782636</v>
      </c>
      <c r="CD19" s="100">
        <v>11</v>
      </c>
      <c r="CE19" s="100">
        <v>3630</v>
      </c>
      <c r="CF19" s="100">
        <v>7</v>
      </c>
      <c r="CG19" s="100">
        <v>2310</v>
      </c>
      <c r="CH19" s="100">
        <v>3.8739432941664274</v>
      </c>
      <c r="CI19" s="100">
        <v>1278.4012870749211</v>
      </c>
      <c r="CJ19" s="100">
        <v>12</v>
      </c>
      <c r="CK19" s="100">
        <v>3960</v>
      </c>
      <c r="CL19" s="100">
        <v>9</v>
      </c>
      <c r="CM19" s="100">
        <v>2970</v>
      </c>
      <c r="CN19" s="100">
        <v>12</v>
      </c>
      <c r="CO19" s="100">
        <v>3960</v>
      </c>
      <c r="CP19" s="100">
        <v>8</v>
      </c>
      <c r="CQ19" s="100">
        <v>2640</v>
      </c>
      <c r="CR19" s="100">
        <v>10</v>
      </c>
      <c r="CS19" s="100">
        <v>3300</v>
      </c>
      <c r="CT19" s="100">
        <v>8</v>
      </c>
      <c r="CU19" s="100">
        <v>2640</v>
      </c>
    </row>
    <row r="20" spans="2:99">
      <c r="B20" s="99" t="s">
        <v>127</v>
      </c>
      <c r="C20" s="99" t="s">
        <v>186</v>
      </c>
      <c r="D20" s="100">
        <v>14</v>
      </c>
      <c r="E20" s="100">
        <v>4015.2000000000003</v>
      </c>
      <c r="F20" s="100">
        <v>11</v>
      </c>
      <c r="G20" s="100">
        <v>3154.8</v>
      </c>
      <c r="H20" s="100">
        <v>13</v>
      </c>
      <c r="I20" s="100">
        <v>3728.4</v>
      </c>
      <c r="J20" s="100">
        <v>15</v>
      </c>
      <c r="K20" s="100">
        <v>4302</v>
      </c>
      <c r="L20" s="100">
        <v>15</v>
      </c>
      <c r="M20" s="100">
        <v>4302</v>
      </c>
      <c r="N20" s="100">
        <v>20.474442299877442</v>
      </c>
      <c r="O20" s="100">
        <v>5872.070051604851</v>
      </c>
      <c r="P20" s="100">
        <v>17</v>
      </c>
      <c r="Q20" s="100">
        <v>4875.6000000000004</v>
      </c>
      <c r="R20" s="100">
        <v>21</v>
      </c>
      <c r="S20" s="100">
        <v>6022.8</v>
      </c>
      <c r="T20" s="100">
        <v>16</v>
      </c>
      <c r="U20" s="100">
        <v>4588.8</v>
      </c>
      <c r="V20" s="100">
        <v>16</v>
      </c>
      <c r="W20" s="100">
        <v>4588.8</v>
      </c>
      <c r="X20" s="100">
        <v>16</v>
      </c>
      <c r="Y20" s="100">
        <v>4588.8</v>
      </c>
      <c r="Z20" s="100">
        <v>16</v>
      </c>
      <c r="AA20" s="100">
        <v>4588.8</v>
      </c>
      <c r="AB20" s="100">
        <v>11</v>
      </c>
      <c r="AC20" s="100">
        <v>3154.8</v>
      </c>
      <c r="AD20" s="100">
        <v>20</v>
      </c>
      <c r="AE20" s="100">
        <v>5736</v>
      </c>
      <c r="AF20" s="100">
        <v>11</v>
      </c>
      <c r="AG20" s="100">
        <v>3154.8</v>
      </c>
      <c r="AH20" s="100">
        <v>13</v>
      </c>
      <c r="AI20" s="100">
        <v>3728.4</v>
      </c>
      <c r="AJ20" s="100">
        <v>13</v>
      </c>
      <c r="AK20" s="100">
        <v>3728.4</v>
      </c>
      <c r="AL20" s="100">
        <v>20</v>
      </c>
      <c r="AM20" s="100">
        <v>5736</v>
      </c>
      <c r="AN20" s="100">
        <v>16</v>
      </c>
      <c r="AO20" s="100">
        <v>4588.8</v>
      </c>
      <c r="AP20" s="100">
        <v>20</v>
      </c>
      <c r="AQ20" s="100">
        <v>5736</v>
      </c>
      <c r="AR20" s="100">
        <v>18</v>
      </c>
      <c r="AS20" s="100">
        <v>5162.4000000000005</v>
      </c>
      <c r="AT20" s="100">
        <v>19</v>
      </c>
      <c r="AU20" s="100">
        <v>5449.2</v>
      </c>
      <c r="AV20" s="100">
        <v>13</v>
      </c>
      <c r="AW20" s="100">
        <v>3728.4</v>
      </c>
      <c r="AX20" s="100">
        <v>15</v>
      </c>
      <c r="AY20" s="100">
        <v>4302</v>
      </c>
      <c r="AZ20" s="100">
        <v>14</v>
      </c>
      <c r="BA20" s="100">
        <v>4015.2000000000003</v>
      </c>
      <c r="BB20" s="100">
        <v>20</v>
      </c>
      <c r="BC20" s="100">
        <v>5736</v>
      </c>
      <c r="BD20" s="100">
        <v>12</v>
      </c>
      <c r="BE20" s="100">
        <v>3441.6000000000004</v>
      </c>
      <c r="BF20" s="100">
        <v>19</v>
      </c>
      <c r="BG20" s="100">
        <v>5449.2</v>
      </c>
      <c r="BH20" s="100">
        <v>18</v>
      </c>
      <c r="BI20" s="100">
        <v>5162.4000000000005</v>
      </c>
      <c r="BJ20" s="100">
        <v>10.297872340425592</v>
      </c>
      <c r="BK20" s="100">
        <v>2953.4297872340599</v>
      </c>
      <c r="BL20" s="100">
        <v>7.9928077294123154</v>
      </c>
      <c r="BM20" s="100">
        <v>2292.337256795452</v>
      </c>
      <c r="BN20" s="100">
        <v>21</v>
      </c>
      <c r="BO20" s="100">
        <v>6022.8</v>
      </c>
      <c r="BP20" s="100">
        <v>9.1674074074074117</v>
      </c>
      <c r="BQ20" s="100">
        <v>2629.2124444444457</v>
      </c>
      <c r="BR20" s="100">
        <v>19</v>
      </c>
      <c r="BS20" s="100">
        <v>5449.2</v>
      </c>
      <c r="BT20" s="100">
        <v>12.610370370370376</v>
      </c>
      <c r="BU20" s="100">
        <v>3616.6542222222238</v>
      </c>
      <c r="BV20" s="100">
        <v>21</v>
      </c>
      <c r="BW20" s="100">
        <v>6022.8</v>
      </c>
      <c r="BX20" s="100">
        <v>25</v>
      </c>
      <c r="BY20" s="100">
        <v>7170</v>
      </c>
      <c r="BZ20" s="100">
        <v>16.294982230078951</v>
      </c>
      <c r="CA20" s="100">
        <v>4673.4009035866429</v>
      </c>
      <c r="CB20" s="100">
        <v>11.875221150878998</v>
      </c>
      <c r="CC20" s="100">
        <v>3405.8134260720967</v>
      </c>
      <c r="CD20" s="100">
        <v>23</v>
      </c>
      <c r="CE20" s="100">
        <v>6596.4000000000005</v>
      </c>
      <c r="CF20" s="100">
        <v>12</v>
      </c>
      <c r="CG20" s="100">
        <v>3441.6000000000004</v>
      </c>
      <c r="CH20" s="100">
        <v>4.5196005098608314</v>
      </c>
      <c r="CI20" s="100">
        <v>1296.2214262280866</v>
      </c>
      <c r="CJ20" s="100">
        <v>22</v>
      </c>
      <c r="CK20" s="100">
        <v>6309.6</v>
      </c>
      <c r="CL20" s="100">
        <v>13</v>
      </c>
      <c r="CM20" s="100">
        <v>3728.4</v>
      </c>
      <c r="CN20" s="100">
        <v>18</v>
      </c>
      <c r="CO20" s="100">
        <v>5162.4000000000005</v>
      </c>
      <c r="CP20" s="100">
        <v>21</v>
      </c>
      <c r="CQ20" s="100">
        <v>6022.8</v>
      </c>
      <c r="CR20" s="100">
        <v>12</v>
      </c>
      <c r="CS20" s="100">
        <v>3441.6000000000004</v>
      </c>
      <c r="CT20" s="100">
        <v>20</v>
      </c>
      <c r="CU20" s="100">
        <v>5736</v>
      </c>
    </row>
    <row r="21" spans="2:99">
      <c r="C21" s="99" t="s">
        <v>187</v>
      </c>
      <c r="D21" s="100">
        <v>14</v>
      </c>
      <c r="E21" s="100">
        <v>873.6</v>
      </c>
      <c r="F21" s="100">
        <v>10</v>
      </c>
      <c r="G21" s="100">
        <v>624</v>
      </c>
      <c r="H21" s="100">
        <v>12</v>
      </c>
      <c r="I21" s="100">
        <v>748.8</v>
      </c>
      <c r="J21" s="100">
        <v>16</v>
      </c>
      <c r="K21" s="100">
        <v>998.4</v>
      </c>
      <c r="L21" s="100">
        <v>15</v>
      </c>
      <c r="M21" s="100">
        <v>936</v>
      </c>
      <c r="N21" s="100">
        <v>18.613129363524948</v>
      </c>
      <c r="O21" s="100">
        <v>1161.4592722839568</v>
      </c>
      <c r="P21" s="100">
        <v>16</v>
      </c>
      <c r="Q21" s="100">
        <v>998.4</v>
      </c>
      <c r="R21" s="100">
        <v>22</v>
      </c>
      <c r="S21" s="100">
        <v>1372.8</v>
      </c>
      <c r="T21" s="100">
        <v>18</v>
      </c>
      <c r="U21" s="100">
        <v>1123.2</v>
      </c>
      <c r="V21" s="100">
        <v>19</v>
      </c>
      <c r="W21" s="100">
        <v>1185.5999999999999</v>
      </c>
      <c r="X21" s="100">
        <v>14</v>
      </c>
      <c r="Y21" s="100">
        <v>873.6</v>
      </c>
      <c r="Z21" s="100">
        <v>14</v>
      </c>
      <c r="AA21" s="100">
        <v>873.6</v>
      </c>
      <c r="AB21" s="100">
        <v>12</v>
      </c>
      <c r="AC21" s="100">
        <v>748.8</v>
      </c>
      <c r="AD21" s="100">
        <v>17</v>
      </c>
      <c r="AE21" s="100">
        <v>1060.8</v>
      </c>
      <c r="AF21" s="100">
        <v>11</v>
      </c>
      <c r="AG21" s="100">
        <v>686.4</v>
      </c>
      <c r="AH21" s="100">
        <v>12</v>
      </c>
      <c r="AI21" s="100">
        <v>748.8</v>
      </c>
      <c r="AJ21" s="100">
        <v>16</v>
      </c>
      <c r="AK21" s="100">
        <v>998.4</v>
      </c>
      <c r="AL21" s="100">
        <v>20</v>
      </c>
      <c r="AM21" s="100">
        <v>1248</v>
      </c>
      <c r="AN21" s="100">
        <v>16</v>
      </c>
      <c r="AO21" s="100">
        <v>998.4</v>
      </c>
      <c r="AP21" s="100">
        <v>18</v>
      </c>
      <c r="AQ21" s="100">
        <v>1123.2</v>
      </c>
      <c r="AR21" s="100">
        <v>19</v>
      </c>
      <c r="AS21" s="100">
        <v>1185.5999999999999</v>
      </c>
      <c r="AT21" s="100">
        <v>19</v>
      </c>
      <c r="AU21" s="100">
        <v>1185.5999999999999</v>
      </c>
      <c r="AV21" s="100">
        <v>13</v>
      </c>
      <c r="AW21" s="100">
        <v>811.19999999999993</v>
      </c>
      <c r="AX21" s="100">
        <v>16</v>
      </c>
      <c r="AY21" s="100">
        <v>998.4</v>
      </c>
      <c r="AZ21" s="100">
        <v>13</v>
      </c>
      <c r="BA21" s="100">
        <v>811.19999999999993</v>
      </c>
      <c r="BB21" s="100">
        <v>21</v>
      </c>
      <c r="BC21" s="100">
        <v>1310.3999999999999</v>
      </c>
      <c r="BD21" s="100">
        <v>13</v>
      </c>
      <c r="BE21" s="100">
        <v>811.19999999999993</v>
      </c>
      <c r="BF21" s="100">
        <v>22</v>
      </c>
      <c r="BG21" s="100">
        <v>1372.8</v>
      </c>
      <c r="BH21" s="100">
        <v>17</v>
      </c>
      <c r="BI21" s="100">
        <v>1060.8</v>
      </c>
      <c r="BJ21" s="100">
        <v>10.297872340425592</v>
      </c>
      <c r="BK21" s="100">
        <v>642.58723404255693</v>
      </c>
      <c r="BL21" s="100">
        <v>9.4460454983963729</v>
      </c>
      <c r="BM21" s="100">
        <v>589.43323909993364</v>
      </c>
      <c r="BN21" s="100">
        <v>20</v>
      </c>
      <c r="BO21" s="100">
        <v>1248</v>
      </c>
      <c r="BP21" s="100">
        <v>8.5125925925925969</v>
      </c>
      <c r="BQ21" s="100">
        <v>531.18577777777807</v>
      </c>
      <c r="BR21" s="100">
        <v>21</v>
      </c>
      <c r="BS21" s="100">
        <v>1310.3999999999999</v>
      </c>
      <c r="BT21" s="100">
        <v>14.186666666666673</v>
      </c>
      <c r="BU21" s="100">
        <v>885.24800000000039</v>
      </c>
      <c r="BV21" s="100">
        <v>22</v>
      </c>
      <c r="BW21" s="100">
        <v>1372.8</v>
      </c>
      <c r="BX21" s="100">
        <v>25</v>
      </c>
      <c r="BY21" s="100">
        <v>1560</v>
      </c>
      <c r="BZ21" s="100">
        <v>16.294982230078951</v>
      </c>
      <c r="CA21" s="100">
        <v>1016.8068911569264</v>
      </c>
      <c r="CB21" s="100">
        <v>11.875221150878998</v>
      </c>
      <c r="CC21" s="100">
        <v>741.01379981484945</v>
      </c>
      <c r="CD21" s="100">
        <v>21</v>
      </c>
      <c r="CE21" s="100">
        <v>1310.3999999999999</v>
      </c>
      <c r="CF21" s="100">
        <v>11</v>
      </c>
      <c r="CG21" s="100">
        <v>686.4</v>
      </c>
      <c r="CH21" s="100">
        <v>4.5196005098608314</v>
      </c>
      <c r="CI21" s="100">
        <v>282.02307181531586</v>
      </c>
      <c r="CJ21" s="100">
        <v>21</v>
      </c>
      <c r="CK21" s="100">
        <v>1310.3999999999999</v>
      </c>
      <c r="CL21" s="100">
        <v>12</v>
      </c>
      <c r="CM21" s="100">
        <v>748.8</v>
      </c>
      <c r="CN21" s="100">
        <v>16</v>
      </c>
      <c r="CO21" s="100">
        <v>998.4</v>
      </c>
      <c r="CP21" s="100">
        <v>21</v>
      </c>
      <c r="CQ21" s="100">
        <v>1310.3999999999999</v>
      </c>
      <c r="CR21" s="100">
        <v>11</v>
      </c>
      <c r="CS21" s="100">
        <v>686.4</v>
      </c>
      <c r="CT21" s="100">
        <v>22</v>
      </c>
      <c r="CU21" s="100">
        <v>1372.8</v>
      </c>
    </row>
    <row r="22" spans="2:99">
      <c r="C22" s="99" t="s">
        <v>188</v>
      </c>
      <c r="D22" s="100">
        <v>14</v>
      </c>
      <c r="E22" s="100">
        <v>2620.7999999999997</v>
      </c>
      <c r="F22" s="100">
        <v>11</v>
      </c>
      <c r="G22" s="100">
        <v>2059.1999999999998</v>
      </c>
      <c r="H22" s="100">
        <v>14</v>
      </c>
      <c r="I22" s="100">
        <v>2620.7999999999997</v>
      </c>
      <c r="J22" s="100">
        <v>15</v>
      </c>
      <c r="K22" s="100">
        <v>2808</v>
      </c>
      <c r="L22" s="100">
        <v>14</v>
      </c>
      <c r="M22" s="100">
        <v>2620.7999999999997</v>
      </c>
      <c r="N22" s="100">
        <v>19.543785831701193</v>
      </c>
      <c r="O22" s="100">
        <v>3658.596707694463</v>
      </c>
      <c r="P22" s="100">
        <v>17</v>
      </c>
      <c r="Q22" s="100">
        <v>3182.3999999999996</v>
      </c>
      <c r="R22" s="100">
        <v>20</v>
      </c>
      <c r="S22" s="100">
        <v>3744</v>
      </c>
      <c r="T22" s="100">
        <v>18</v>
      </c>
      <c r="U22" s="100">
        <v>3369.6</v>
      </c>
      <c r="V22" s="100">
        <v>17</v>
      </c>
      <c r="W22" s="100">
        <v>3182.3999999999996</v>
      </c>
      <c r="X22" s="100">
        <v>16</v>
      </c>
      <c r="Y22" s="100">
        <v>2995.2</v>
      </c>
      <c r="Z22" s="100">
        <v>14</v>
      </c>
      <c r="AA22" s="100">
        <v>2620.7999999999997</v>
      </c>
      <c r="AB22" s="100">
        <v>12</v>
      </c>
      <c r="AC22" s="100">
        <v>2246.3999999999996</v>
      </c>
      <c r="AD22" s="100">
        <v>18</v>
      </c>
      <c r="AE22" s="100">
        <v>3369.6</v>
      </c>
      <c r="AF22" s="100">
        <v>12</v>
      </c>
      <c r="AG22" s="100">
        <v>2246.3999999999996</v>
      </c>
      <c r="AH22" s="100">
        <v>11</v>
      </c>
      <c r="AI22" s="100">
        <v>2059.1999999999998</v>
      </c>
      <c r="AJ22" s="100">
        <v>15</v>
      </c>
      <c r="AK22" s="100">
        <v>2808</v>
      </c>
      <c r="AL22" s="100">
        <v>20</v>
      </c>
      <c r="AM22" s="100">
        <v>3744</v>
      </c>
      <c r="AN22" s="100">
        <v>18</v>
      </c>
      <c r="AO22" s="100">
        <v>3369.6</v>
      </c>
      <c r="AP22" s="100">
        <v>19</v>
      </c>
      <c r="AQ22" s="100">
        <v>3556.7999999999997</v>
      </c>
      <c r="AR22" s="100">
        <v>17</v>
      </c>
      <c r="AS22" s="100">
        <v>3182.3999999999996</v>
      </c>
      <c r="AT22" s="100">
        <v>18</v>
      </c>
      <c r="AU22" s="100">
        <v>3369.6</v>
      </c>
      <c r="AV22" s="100">
        <v>12</v>
      </c>
      <c r="AW22" s="100">
        <v>2246.3999999999996</v>
      </c>
      <c r="AX22" s="100">
        <v>17</v>
      </c>
      <c r="AY22" s="100">
        <v>3182.3999999999996</v>
      </c>
      <c r="AZ22" s="100">
        <v>14</v>
      </c>
      <c r="BA22" s="100">
        <v>2620.7999999999997</v>
      </c>
      <c r="BB22" s="100">
        <v>25</v>
      </c>
      <c r="BC22" s="100">
        <v>4680</v>
      </c>
      <c r="BD22" s="100">
        <v>13</v>
      </c>
      <c r="BE22" s="100">
        <v>2433.6</v>
      </c>
      <c r="BF22" s="100">
        <v>22</v>
      </c>
      <c r="BG22" s="100">
        <v>4118.3999999999996</v>
      </c>
      <c r="BH22" s="100">
        <v>16</v>
      </c>
      <c r="BI22" s="100">
        <v>2995.2</v>
      </c>
      <c r="BJ22" s="100">
        <v>11.88216039279876</v>
      </c>
      <c r="BK22" s="100">
        <v>2224.3404255319278</v>
      </c>
      <c r="BL22" s="100">
        <v>7.9928077294123154</v>
      </c>
      <c r="BM22" s="100">
        <v>1496.2536069459854</v>
      </c>
      <c r="BN22" s="100">
        <v>20</v>
      </c>
      <c r="BO22" s="100">
        <v>3744</v>
      </c>
      <c r="BP22" s="100">
        <v>7.8577777777777822</v>
      </c>
      <c r="BQ22" s="100">
        <v>1470.9760000000008</v>
      </c>
      <c r="BR22" s="100">
        <v>19</v>
      </c>
      <c r="BS22" s="100">
        <v>3556.7999999999997</v>
      </c>
      <c r="BT22" s="100">
        <v>11.822222222222228</v>
      </c>
      <c r="BU22" s="100">
        <v>2213.1200000000008</v>
      </c>
      <c r="BV22" s="100">
        <v>22</v>
      </c>
      <c r="BW22" s="100">
        <v>4118.3999999999996</v>
      </c>
      <c r="BX22" s="100">
        <v>24</v>
      </c>
      <c r="BY22" s="100">
        <v>4492.7999999999993</v>
      </c>
      <c r="BZ22" s="100">
        <v>18.010243517455685</v>
      </c>
      <c r="CA22" s="100">
        <v>3371.5175864677039</v>
      </c>
      <c r="CB22" s="100">
        <v>11.176678730239056</v>
      </c>
      <c r="CC22" s="100">
        <v>2092.2742583007512</v>
      </c>
      <c r="CD22" s="100">
        <v>20</v>
      </c>
      <c r="CE22" s="100">
        <v>3744</v>
      </c>
      <c r="CF22" s="100">
        <v>12</v>
      </c>
      <c r="CG22" s="100">
        <v>2246.3999999999996</v>
      </c>
      <c r="CH22" s="100">
        <v>4.5196005098608314</v>
      </c>
      <c r="CI22" s="100">
        <v>846.06921544594763</v>
      </c>
      <c r="CJ22" s="100">
        <v>24</v>
      </c>
      <c r="CK22" s="100">
        <v>4492.7999999999993</v>
      </c>
      <c r="CL22" s="100">
        <v>14</v>
      </c>
      <c r="CM22" s="100">
        <v>2620.7999999999997</v>
      </c>
      <c r="CN22" s="100">
        <v>17</v>
      </c>
      <c r="CO22" s="100">
        <v>3182.3999999999996</v>
      </c>
      <c r="CP22" s="100">
        <v>19</v>
      </c>
      <c r="CQ22" s="100">
        <v>3556.7999999999997</v>
      </c>
      <c r="CR22" s="100">
        <v>11</v>
      </c>
      <c r="CS22" s="100">
        <v>2059.1999999999998</v>
      </c>
      <c r="CT22" s="100">
        <v>20</v>
      </c>
      <c r="CU22" s="100">
        <v>3744</v>
      </c>
    </row>
    <row r="23" spans="2:99">
      <c r="C23" s="99" t="s">
        <v>189</v>
      </c>
      <c r="D23" s="100">
        <v>15</v>
      </c>
      <c r="E23" s="100">
        <v>4410</v>
      </c>
      <c r="F23" s="100">
        <v>10</v>
      </c>
      <c r="G23" s="100">
        <v>2940</v>
      </c>
      <c r="H23" s="100">
        <v>13</v>
      </c>
      <c r="I23" s="100">
        <v>3822</v>
      </c>
      <c r="J23" s="100">
        <v>14</v>
      </c>
      <c r="K23" s="100">
        <v>4116</v>
      </c>
      <c r="L23" s="100">
        <v>16</v>
      </c>
      <c r="M23" s="100">
        <v>4704</v>
      </c>
      <c r="N23" s="100">
        <v>20.474442299877442</v>
      </c>
      <c r="O23" s="100">
        <v>6019.4860361639676</v>
      </c>
      <c r="P23" s="100">
        <v>14</v>
      </c>
      <c r="Q23" s="100">
        <v>4116</v>
      </c>
      <c r="R23" s="100">
        <v>22</v>
      </c>
      <c r="S23" s="100">
        <v>6468</v>
      </c>
      <c r="T23" s="100">
        <v>18</v>
      </c>
      <c r="U23" s="100">
        <v>5292</v>
      </c>
      <c r="V23" s="100">
        <v>18</v>
      </c>
      <c r="W23" s="100">
        <v>5292</v>
      </c>
      <c r="X23" s="100">
        <v>14</v>
      </c>
      <c r="Y23" s="100">
        <v>4116</v>
      </c>
      <c r="Z23" s="100">
        <v>15</v>
      </c>
      <c r="AA23" s="100">
        <v>4410</v>
      </c>
      <c r="AB23" s="100">
        <v>12</v>
      </c>
      <c r="AC23" s="100">
        <v>3528</v>
      </c>
      <c r="AD23" s="100">
        <v>20</v>
      </c>
      <c r="AE23" s="100">
        <v>5880</v>
      </c>
      <c r="AF23" s="100">
        <v>11</v>
      </c>
      <c r="AG23" s="100">
        <v>3234</v>
      </c>
      <c r="AH23" s="100">
        <v>13</v>
      </c>
      <c r="AI23" s="100">
        <v>3822</v>
      </c>
      <c r="AJ23" s="100">
        <v>13</v>
      </c>
      <c r="AK23" s="100">
        <v>3822</v>
      </c>
      <c r="AL23" s="100">
        <v>23</v>
      </c>
      <c r="AM23" s="100">
        <v>6762</v>
      </c>
      <c r="AN23" s="100">
        <v>17</v>
      </c>
      <c r="AO23" s="100">
        <v>4998</v>
      </c>
      <c r="AP23" s="100">
        <v>21</v>
      </c>
      <c r="AQ23" s="100">
        <v>6174</v>
      </c>
      <c r="AR23" s="100">
        <v>16</v>
      </c>
      <c r="AS23" s="100">
        <v>4704</v>
      </c>
      <c r="AT23" s="100">
        <v>19</v>
      </c>
      <c r="AU23" s="100">
        <v>5586</v>
      </c>
      <c r="AV23" s="100">
        <v>12</v>
      </c>
      <c r="AW23" s="100">
        <v>3528</v>
      </c>
      <c r="AX23" s="100">
        <v>16</v>
      </c>
      <c r="AY23" s="100">
        <v>4704</v>
      </c>
      <c r="AZ23" s="100">
        <v>13</v>
      </c>
      <c r="BA23" s="100">
        <v>3822</v>
      </c>
      <c r="BB23" s="100">
        <v>22</v>
      </c>
      <c r="BC23" s="100">
        <v>6468</v>
      </c>
      <c r="BD23" s="100">
        <v>12</v>
      </c>
      <c r="BE23" s="100">
        <v>3528</v>
      </c>
      <c r="BF23" s="100">
        <v>22</v>
      </c>
      <c r="BG23" s="100">
        <v>6468</v>
      </c>
      <c r="BH23" s="100">
        <v>18</v>
      </c>
      <c r="BI23" s="100">
        <v>5292</v>
      </c>
      <c r="BJ23" s="100">
        <v>10.297872340425592</v>
      </c>
      <c r="BK23" s="100">
        <v>3027.574468085124</v>
      </c>
      <c r="BL23" s="100">
        <v>8.7194266139043446</v>
      </c>
      <c r="BM23" s="100">
        <v>2563.5114244878773</v>
      </c>
      <c r="BN23" s="100">
        <v>19</v>
      </c>
      <c r="BO23" s="100">
        <v>5586</v>
      </c>
      <c r="BP23" s="100">
        <v>8.5125925925925969</v>
      </c>
      <c r="BQ23" s="100">
        <v>2502.7022222222236</v>
      </c>
      <c r="BR23" s="100">
        <v>18</v>
      </c>
      <c r="BS23" s="100">
        <v>5292</v>
      </c>
      <c r="BT23" s="100">
        <v>13.398518518518525</v>
      </c>
      <c r="BU23" s="100">
        <v>3939.1644444444464</v>
      </c>
      <c r="BV23" s="100">
        <v>21</v>
      </c>
      <c r="BW23" s="100">
        <v>6174</v>
      </c>
      <c r="BX23" s="100">
        <v>24</v>
      </c>
      <c r="BY23" s="100">
        <v>7056</v>
      </c>
      <c r="BZ23" s="100">
        <v>18.010243517455685</v>
      </c>
      <c r="CA23" s="100">
        <v>5295.0115941319709</v>
      </c>
      <c r="CB23" s="100">
        <v>11.875221150878998</v>
      </c>
      <c r="CC23" s="100">
        <v>3491.3150183584253</v>
      </c>
      <c r="CD23" s="100">
        <v>19</v>
      </c>
      <c r="CE23" s="100">
        <v>5586</v>
      </c>
      <c r="CF23" s="100">
        <v>12</v>
      </c>
      <c r="CG23" s="100">
        <v>3528</v>
      </c>
      <c r="CH23" s="100">
        <v>4.5196005098608314</v>
      </c>
      <c r="CI23" s="100">
        <v>1328.7625498990844</v>
      </c>
      <c r="CJ23" s="100">
        <v>22</v>
      </c>
      <c r="CK23" s="100">
        <v>6468</v>
      </c>
      <c r="CL23" s="100">
        <v>12</v>
      </c>
      <c r="CM23" s="100">
        <v>3528</v>
      </c>
      <c r="CN23" s="100">
        <v>17</v>
      </c>
      <c r="CO23" s="100">
        <v>4998</v>
      </c>
      <c r="CP23" s="100">
        <v>21</v>
      </c>
      <c r="CQ23" s="100">
        <v>6174</v>
      </c>
      <c r="CR23" s="100">
        <v>12</v>
      </c>
      <c r="CS23" s="100">
        <v>3528</v>
      </c>
      <c r="CT23" s="100">
        <v>22</v>
      </c>
      <c r="CU23" s="100">
        <v>6468</v>
      </c>
    </row>
    <row r="24" spans="2:99">
      <c r="C24" s="99" t="s">
        <v>190</v>
      </c>
      <c r="D24" s="100">
        <v>14</v>
      </c>
      <c r="E24" s="100">
        <v>5140.8</v>
      </c>
      <c r="F24" s="100">
        <v>11</v>
      </c>
      <c r="G24" s="100">
        <v>4039.2</v>
      </c>
      <c r="H24" s="100">
        <v>13</v>
      </c>
      <c r="I24" s="100">
        <v>4773.5999999999995</v>
      </c>
      <c r="J24" s="100">
        <v>15</v>
      </c>
      <c r="K24" s="100">
        <v>5508</v>
      </c>
      <c r="L24" s="100">
        <v>14</v>
      </c>
      <c r="M24" s="100">
        <v>5140.8</v>
      </c>
      <c r="N24" s="100">
        <v>18.613129363524948</v>
      </c>
      <c r="O24" s="100">
        <v>6834.7411022863607</v>
      </c>
      <c r="P24" s="100">
        <v>16</v>
      </c>
      <c r="Q24" s="100">
        <v>5875.2</v>
      </c>
      <c r="R24" s="100">
        <v>19</v>
      </c>
      <c r="S24" s="100">
        <v>6976.8</v>
      </c>
      <c r="T24" s="100">
        <v>17</v>
      </c>
      <c r="U24" s="100">
        <v>6242.4</v>
      </c>
      <c r="V24" s="100">
        <v>17</v>
      </c>
      <c r="W24" s="100">
        <v>6242.4</v>
      </c>
      <c r="X24" s="100">
        <v>15</v>
      </c>
      <c r="Y24" s="100">
        <v>5508</v>
      </c>
      <c r="Z24" s="100">
        <v>16</v>
      </c>
      <c r="AA24" s="100">
        <v>5875.2</v>
      </c>
      <c r="AB24" s="100">
        <v>11</v>
      </c>
      <c r="AC24" s="100">
        <v>4039.2</v>
      </c>
      <c r="AD24" s="100">
        <v>17</v>
      </c>
      <c r="AE24" s="100">
        <v>6242.4</v>
      </c>
      <c r="AF24" s="100">
        <v>11</v>
      </c>
      <c r="AG24" s="100">
        <v>4039.2</v>
      </c>
      <c r="AH24" s="100">
        <v>11</v>
      </c>
      <c r="AI24" s="100">
        <v>4039.2</v>
      </c>
      <c r="AJ24" s="100">
        <v>15</v>
      </c>
      <c r="AK24" s="100">
        <v>5508</v>
      </c>
      <c r="AL24" s="100">
        <v>20</v>
      </c>
      <c r="AM24" s="100">
        <v>7344</v>
      </c>
      <c r="AN24" s="100">
        <v>18</v>
      </c>
      <c r="AO24" s="100">
        <v>6609.5999999999995</v>
      </c>
      <c r="AP24" s="100">
        <v>19</v>
      </c>
      <c r="AQ24" s="100">
        <v>6976.8</v>
      </c>
      <c r="AR24" s="100">
        <v>17</v>
      </c>
      <c r="AS24" s="100">
        <v>6242.4</v>
      </c>
      <c r="AT24" s="100">
        <v>20</v>
      </c>
      <c r="AU24" s="100">
        <v>7344</v>
      </c>
      <c r="AV24" s="100">
        <v>14</v>
      </c>
      <c r="AW24" s="100">
        <v>5140.8</v>
      </c>
      <c r="AX24" s="100">
        <v>14</v>
      </c>
      <c r="AY24" s="100">
        <v>5140.8</v>
      </c>
      <c r="AZ24" s="100">
        <v>14</v>
      </c>
      <c r="BA24" s="100">
        <v>5140.8</v>
      </c>
      <c r="BB24" s="100">
        <v>23</v>
      </c>
      <c r="BC24" s="100">
        <v>8445.6</v>
      </c>
      <c r="BD24" s="100">
        <v>13</v>
      </c>
      <c r="BE24" s="100">
        <v>4773.5999999999995</v>
      </c>
      <c r="BF24" s="100">
        <v>22</v>
      </c>
      <c r="BG24" s="100">
        <v>8078.4</v>
      </c>
      <c r="BH24" s="100">
        <v>16</v>
      </c>
      <c r="BI24" s="100">
        <v>5875.2</v>
      </c>
      <c r="BJ24" s="100">
        <v>10.297872340425592</v>
      </c>
      <c r="BK24" s="100">
        <v>3781.378723404277</v>
      </c>
      <c r="BL24" s="100">
        <v>7.9928077294123154</v>
      </c>
      <c r="BM24" s="100">
        <v>2934.9589982402022</v>
      </c>
      <c r="BN24" s="100">
        <v>21</v>
      </c>
      <c r="BO24" s="100">
        <v>7711.2</v>
      </c>
      <c r="BP24" s="100">
        <v>9.1674074074074117</v>
      </c>
      <c r="BQ24" s="100">
        <v>3366.2720000000013</v>
      </c>
      <c r="BR24" s="100">
        <v>18</v>
      </c>
      <c r="BS24" s="100">
        <v>6609.5999999999995</v>
      </c>
      <c r="BT24" s="100">
        <v>12.610370370370376</v>
      </c>
      <c r="BU24" s="100">
        <v>4630.5280000000021</v>
      </c>
      <c r="BV24" s="100">
        <v>22</v>
      </c>
      <c r="BW24" s="100">
        <v>8078.4</v>
      </c>
      <c r="BX24" s="100">
        <v>22</v>
      </c>
      <c r="BY24" s="100">
        <v>8078.4</v>
      </c>
      <c r="BZ24" s="100">
        <v>18.010243517455685</v>
      </c>
      <c r="CA24" s="100">
        <v>6613.3614196097269</v>
      </c>
      <c r="CB24" s="100">
        <v>11.176678730239056</v>
      </c>
      <c r="CC24" s="100">
        <v>4104.0764297437809</v>
      </c>
      <c r="CD24" s="100">
        <v>20</v>
      </c>
      <c r="CE24" s="100">
        <v>7344</v>
      </c>
      <c r="CF24" s="100">
        <v>11</v>
      </c>
      <c r="CG24" s="100">
        <v>4039.2</v>
      </c>
      <c r="CH24" s="100">
        <v>4.1967719020136292</v>
      </c>
      <c r="CI24" s="100">
        <v>1541.0546424194047</v>
      </c>
      <c r="CJ24" s="100">
        <v>21</v>
      </c>
      <c r="CK24" s="100">
        <v>7711.2</v>
      </c>
      <c r="CL24" s="100">
        <v>12</v>
      </c>
      <c r="CM24" s="100">
        <v>4406.3999999999996</v>
      </c>
      <c r="CN24" s="100">
        <v>17</v>
      </c>
      <c r="CO24" s="100">
        <v>6242.4</v>
      </c>
      <c r="CP24" s="100">
        <v>21</v>
      </c>
      <c r="CQ24" s="100">
        <v>7711.2</v>
      </c>
      <c r="CR24" s="100">
        <v>13</v>
      </c>
      <c r="CS24" s="100">
        <v>4773.5999999999995</v>
      </c>
      <c r="CT24" s="100">
        <v>21</v>
      </c>
      <c r="CU24" s="100">
        <v>7711.2</v>
      </c>
    </row>
    <row r="25" spans="2:99">
      <c r="C25" s="99" t="s">
        <v>191</v>
      </c>
      <c r="D25" s="100">
        <v>14</v>
      </c>
      <c r="E25" s="100">
        <v>7425.5999999999995</v>
      </c>
      <c r="F25" s="100">
        <v>10</v>
      </c>
      <c r="G25" s="100">
        <v>5304</v>
      </c>
      <c r="H25" s="100">
        <v>13</v>
      </c>
      <c r="I25" s="100">
        <v>6895.2</v>
      </c>
      <c r="J25" s="100">
        <v>16</v>
      </c>
      <c r="K25" s="100">
        <v>8486.4</v>
      </c>
      <c r="L25" s="100">
        <v>15</v>
      </c>
      <c r="M25" s="100">
        <v>7956</v>
      </c>
      <c r="N25" s="100">
        <v>19.543785831701193</v>
      </c>
      <c r="O25" s="100">
        <v>10366.024005134312</v>
      </c>
      <c r="P25" s="100">
        <v>17</v>
      </c>
      <c r="Q25" s="100">
        <v>9016.7999999999993</v>
      </c>
      <c r="R25" s="100">
        <v>19</v>
      </c>
      <c r="S25" s="100">
        <v>10077.6</v>
      </c>
      <c r="T25" s="100">
        <v>18</v>
      </c>
      <c r="U25" s="100">
        <v>9547.1999999999989</v>
      </c>
      <c r="V25" s="100">
        <v>19</v>
      </c>
      <c r="W25" s="100">
        <v>10077.6</v>
      </c>
      <c r="X25" s="100">
        <v>16</v>
      </c>
      <c r="Y25" s="100">
        <v>8486.4</v>
      </c>
      <c r="Z25" s="100">
        <v>15</v>
      </c>
      <c r="AA25" s="100">
        <v>7956</v>
      </c>
      <c r="AB25" s="100">
        <v>12</v>
      </c>
      <c r="AC25" s="100">
        <v>6364.7999999999993</v>
      </c>
      <c r="AD25" s="100">
        <v>19</v>
      </c>
      <c r="AE25" s="100">
        <v>10077.6</v>
      </c>
      <c r="AF25" s="100">
        <v>12</v>
      </c>
      <c r="AG25" s="100">
        <v>6364.7999999999993</v>
      </c>
      <c r="AH25" s="100">
        <v>12</v>
      </c>
      <c r="AI25" s="100">
        <v>6364.7999999999993</v>
      </c>
      <c r="AJ25" s="100">
        <v>15</v>
      </c>
      <c r="AK25" s="100">
        <v>7956</v>
      </c>
      <c r="AL25" s="100">
        <v>20</v>
      </c>
      <c r="AM25" s="100">
        <v>10608</v>
      </c>
      <c r="AN25" s="100">
        <v>17</v>
      </c>
      <c r="AO25" s="100">
        <v>9016.7999999999993</v>
      </c>
      <c r="AP25" s="100">
        <v>19</v>
      </c>
      <c r="AQ25" s="100">
        <v>10077.6</v>
      </c>
      <c r="AR25" s="100">
        <v>17</v>
      </c>
      <c r="AS25" s="100">
        <v>9016.7999999999993</v>
      </c>
      <c r="AT25" s="100">
        <v>18</v>
      </c>
      <c r="AU25" s="100">
        <v>9547.1999999999989</v>
      </c>
      <c r="AV25" s="100">
        <v>14</v>
      </c>
      <c r="AW25" s="100">
        <v>7425.5999999999995</v>
      </c>
      <c r="AX25" s="100">
        <v>15</v>
      </c>
      <c r="AY25" s="100">
        <v>7956</v>
      </c>
      <c r="AZ25" s="100">
        <v>15</v>
      </c>
      <c r="BA25" s="100">
        <v>7956</v>
      </c>
      <c r="BB25" s="100">
        <v>23</v>
      </c>
      <c r="BC25" s="100">
        <v>12199.199999999999</v>
      </c>
      <c r="BD25" s="100">
        <v>12</v>
      </c>
      <c r="BE25" s="100">
        <v>6364.7999999999993</v>
      </c>
      <c r="BF25" s="100">
        <v>21</v>
      </c>
      <c r="BG25" s="100">
        <v>11138.4</v>
      </c>
      <c r="BH25" s="100">
        <v>17</v>
      </c>
      <c r="BI25" s="100">
        <v>9016.7999999999993</v>
      </c>
      <c r="BJ25" s="100">
        <v>11.88216039279876</v>
      </c>
      <c r="BK25" s="100">
        <v>6302.2978723404622</v>
      </c>
      <c r="BL25" s="100">
        <v>8.7194266139043446</v>
      </c>
      <c r="BM25" s="100">
        <v>4624.7838760148643</v>
      </c>
      <c r="BN25" s="100">
        <v>19</v>
      </c>
      <c r="BO25" s="100">
        <v>10077.6</v>
      </c>
      <c r="BP25" s="100">
        <v>9.1674074074074117</v>
      </c>
      <c r="BQ25" s="100">
        <v>4862.3928888888913</v>
      </c>
      <c r="BR25" s="100">
        <v>18</v>
      </c>
      <c r="BS25" s="100">
        <v>9547.1999999999989</v>
      </c>
      <c r="BT25" s="100">
        <v>12.610370370370376</v>
      </c>
      <c r="BU25" s="100">
        <v>6688.5404444444466</v>
      </c>
      <c r="BV25" s="100">
        <v>23</v>
      </c>
      <c r="BW25" s="100">
        <v>12199.199999999999</v>
      </c>
      <c r="BX25" s="100">
        <v>25</v>
      </c>
      <c r="BY25" s="100">
        <v>13260</v>
      </c>
      <c r="BZ25" s="100">
        <v>15.437351586390585</v>
      </c>
      <c r="CA25" s="100">
        <v>8187.9712814215663</v>
      </c>
      <c r="CB25" s="100">
        <v>11.176678730239056</v>
      </c>
      <c r="CC25" s="100">
        <v>5928.1103985187947</v>
      </c>
      <c r="CD25" s="100">
        <v>21</v>
      </c>
      <c r="CE25" s="100">
        <v>11138.4</v>
      </c>
      <c r="CF25" s="100">
        <v>12</v>
      </c>
      <c r="CG25" s="100">
        <v>6364.7999999999993</v>
      </c>
      <c r="CH25" s="100">
        <v>4.1967719020136292</v>
      </c>
      <c r="CI25" s="100">
        <v>2225.9678168280288</v>
      </c>
      <c r="CJ25" s="100">
        <v>23</v>
      </c>
      <c r="CK25" s="100">
        <v>12199.199999999999</v>
      </c>
      <c r="CL25" s="100">
        <v>12</v>
      </c>
      <c r="CM25" s="100">
        <v>6364.7999999999993</v>
      </c>
      <c r="CN25" s="100">
        <v>16</v>
      </c>
      <c r="CO25" s="100">
        <v>8486.4</v>
      </c>
      <c r="CP25" s="100">
        <v>21</v>
      </c>
      <c r="CQ25" s="100">
        <v>11138.4</v>
      </c>
      <c r="CR25" s="100">
        <v>12</v>
      </c>
      <c r="CS25" s="100">
        <v>6364.7999999999993</v>
      </c>
      <c r="CT25" s="100">
        <v>21</v>
      </c>
      <c r="CU25" s="100">
        <v>11138.4</v>
      </c>
    </row>
    <row r="26" spans="2:99">
      <c r="C26" s="99" t="s">
        <v>192</v>
      </c>
      <c r="D26" s="100">
        <v>16</v>
      </c>
      <c r="E26" s="100">
        <v>7776</v>
      </c>
      <c r="F26" s="100">
        <v>10</v>
      </c>
      <c r="G26" s="100">
        <v>4860</v>
      </c>
      <c r="H26" s="100">
        <v>12</v>
      </c>
      <c r="I26" s="100">
        <v>5832</v>
      </c>
      <c r="J26" s="100">
        <v>15</v>
      </c>
      <c r="K26" s="100">
        <v>7290</v>
      </c>
      <c r="L26" s="100">
        <v>14</v>
      </c>
      <c r="M26" s="100">
        <v>6804</v>
      </c>
      <c r="N26" s="100">
        <v>18.613129363524948</v>
      </c>
      <c r="O26" s="100">
        <v>9045.9808706731237</v>
      </c>
      <c r="P26" s="100">
        <v>15</v>
      </c>
      <c r="Q26" s="100">
        <v>7290</v>
      </c>
      <c r="R26" s="100">
        <v>19</v>
      </c>
      <c r="S26" s="100">
        <v>9234</v>
      </c>
      <c r="T26" s="100">
        <v>18</v>
      </c>
      <c r="U26" s="100">
        <v>8748</v>
      </c>
      <c r="V26" s="100">
        <v>17</v>
      </c>
      <c r="W26" s="100">
        <v>8262</v>
      </c>
      <c r="X26" s="100">
        <v>14</v>
      </c>
      <c r="Y26" s="100">
        <v>6804</v>
      </c>
      <c r="Z26" s="100">
        <v>14</v>
      </c>
      <c r="AA26" s="100">
        <v>6804</v>
      </c>
      <c r="AB26" s="100">
        <v>11</v>
      </c>
      <c r="AC26" s="100">
        <v>5346</v>
      </c>
      <c r="AD26" s="100">
        <v>17</v>
      </c>
      <c r="AE26" s="100">
        <v>8262</v>
      </c>
      <c r="AF26" s="100">
        <v>10</v>
      </c>
      <c r="AG26" s="100">
        <v>4860</v>
      </c>
      <c r="AH26" s="100">
        <v>12</v>
      </c>
      <c r="AI26" s="100">
        <v>5832</v>
      </c>
      <c r="AJ26" s="100">
        <v>14</v>
      </c>
      <c r="AK26" s="100">
        <v>6804</v>
      </c>
      <c r="AL26" s="100">
        <v>22</v>
      </c>
      <c r="AM26" s="100">
        <v>10692</v>
      </c>
      <c r="AN26" s="100">
        <v>15</v>
      </c>
      <c r="AO26" s="100">
        <v>7290</v>
      </c>
      <c r="AP26" s="100">
        <v>21</v>
      </c>
      <c r="AQ26" s="100">
        <v>10206</v>
      </c>
      <c r="AR26" s="100">
        <v>19</v>
      </c>
      <c r="AS26" s="100">
        <v>9234</v>
      </c>
      <c r="AT26" s="100">
        <v>20</v>
      </c>
      <c r="AU26" s="100">
        <v>9720</v>
      </c>
      <c r="AV26" s="100">
        <v>12</v>
      </c>
      <c r="AW26" s="100">
        <v>5832</v>
      </c>
      <c r="AX26" s="100">
        <v>15</v>
      </c>
      <c r="AY26" s="100">
        <v>7290</v>
      </c>
      <c r="AZ26" s="100">
        <v>14</v>
      </c>
      <c r="BA26" s="100">
        <v>6804</v>
      </c>
      <c r="BB26" s="100">
        <v>24</v>
      </c>
      <c r="BC26" s="100">
        <v>11664</v>
      </c>
      <c r="BD26" s="100">
        <v>12</v>
      </c>
      <c r="BE26" s="100">
        <v>5832</v>
      </c>
      <c r="BF26" s="100">
        <v>21</v>
      </c>
      <c r="BG26" s="100">
        <v>10206</v>
      </c>
      <c r="BH26" s="100">
        <v>16</v>
      </c>
      <c r="BI26" s="100">
        <v>7776</v>
      </c>
      <c r="BJ26" s="100">
        <v>10.297872340425592</v>
      </c>
      <c r="BK26" s="100">
        <v>5004.7659574468371</v>
      </c>
      <c r="BL26" s="100">
        <v>8.7194266139043446</v>
      </c>
      <c r="BM26" s="100">
        <v>4237.6413343575114</v>
      </c>
      <c r="BN26" s="100">
        <v>18</v>
      </c>
      <c r="BO26" s="100">
        <v>8748</v>
      </c>
      <c r="BP26" s="100">
        <v>9.1674074074074117</v>
      </c>
      <c r="BQ26" s="100">
        <v>4455.3600000000024</v>
      </c>
      <c r="BR26" s="100">
        <v>19</v>
      </c>
      <c r="BS26" s="100">
        <v>9234</v>
      </c>
      <c r="BT26" s="100">
        <v>11.034074074074079</v>
      </c>
      <c r="BU26" s="100">
        <v>5362.5600000000022</v>
      </c>
      <c r="BV26" s="100">
        <v>23</v>
      </c>
      <c r="BW26" s="100">
        <v>11178</v>
      </c>
      <c r="BX26" s="100">
        <v>24</v>
      </c>
      <c r="BY26" s="100">
        <v>11664</v>
      </c>
      <c r="BZ26" s="100">
        <v>16.294982230078951</v>
      </c>
      <c r="CA26" s="100">
        <v>7919.3613638183697</v>
      </c>
      <c r="CB26" s="100">
        <v>10.478136309599115</v>
      </c>
      <c r="CC26" s="100">
        <v>5092.3742464651705</v>
      </c>
      <c r="CD26" s="100">
        <v>20</v>
      </c>
      <c r="CE26" s="100">
        <v>9720</v>
      </c>
      <c r="CF26" s="100">
        <v>12</v>
      </c>
      <c r="CG26" s="100">
        <v>5832</v>
      </c>
      <c r="CH26" s="100">
        <v>4.1967719020136292</v>
      </c>
      <c r="CI26" s="100">
        <v>2039.6311443786237</v>
      </c>
      <c r="CJ26" s="100">
        <v>22</v>
      </c>
      <c r="CK26" s="100">
        <v>10692</v>
      </c>
      <c r="CL26" s="100">
        <v>12</v>
      </c>
      <c r="CM26" s="100">
        <v>5832</v>
      </c>
      <c r="CN26" s="100">
        <v>18</v>
      </c>
      <c r="CO26" s="100">
        <v>8748</v>
      </c>
      <c r="CP26" s="100">
        <v>20</v>
      </c>
      <c r="CQ26" s="100">
        <v>9720</v>
      </c>
      <c r="CR26" s="100">
        <v>11</v>
      </c>
      <c r="CS26" s="100">
        <v>5346</v>
      </c>
      <c r="CT26" s="100">
        <v>22</v>
      </c>
      <c r="CU26" s="100">
        <v>10692</v>
      </c>
    </row>
    <row r="27" spans="2:99">
      <c r="C27" s="99" t="s">
        <v>193</v>
      </c>
      <c r="D27" s="100">
        <v>16</v>
      </c>
      <c r="E27" s="100">
        <v>6835.2</v>
      </c>
      <c r="F27" s="100">
        <v>10</v>
      </c>
      <c r="G27" s="100">
        <v>4272</v>
      </c>
      <c r="H27" s="100">
        <v>12</v>
      </c>
      <c r="I27" s="100">
        <v>5126.3999999999996</v>
      </c>
      <c r="J27" s="100">
        <v>14</v>
      </c>
      <c r="K27" s="100">
        <v>5980.8</v>
      </c>
      <c r="L27" s="100">
        <v>15</v>
      </c>
      <c r="M27" s="100">
        <v>6408</v>
      </c>
      <c r="N27" s="100">
        <v>16.751816427172454</v>
      </c>
      <c r="O27" s="100">
        <v>7156.3759776880725</v>
      </c>
      <c r="P27" s="100">
        <v>15</v>
      </c>
      <c r="Q27" s="100">
        <v>6408</v>
      </c>
      <c r="R27" s="100">
        <v>21</v>
      </c>
      <c r="S27" s="100">
        <v>8971.1999999999989</v>
      </c>
      <c r="T27" s="100">
        <v>17</v>
      </c>
      <c r="U27" s="100">
        <v>7262.4</v>
      </c>
      <c r="V27" s="100">
        <v>17</v>
      </c>
      <c r="W27" s="100">
        <v>7262.4</v>
      </c>
      <c r="X27" s="100">
        <v>13</v>
      </c>
      <c r="Y27" s="100">
        <v>5553.5999999999995</v>
      </c>
      <c r="Z27" s="100">
        <v>16</v>
      </c>
      <c r="AA27" s="100">
        <v>6835.2</v>
      </c>
      <c r="AB27" s="100">
        <v>12</v>
      </c>
      <c r="AC27" s="100">
        <v>5126.3999999999996</v>
      </c>
      <c r="AD27" s="100">
        <v>17</v>
      </c>
      <c r="AE27" s="100">
        <v>7262.4</v>
      </c>
      <c r="AF27" s="100">
        <v>10</v>
      </c>
      <c r="AG27" s="100">
        <v>4272</v>
      </c>
      <c r="AH27" s="100">
        <v>12</v>
      </c>
      <c r="AI27" s="100">
        <v>5126.3999999999996</v>
      </c>
      <c r="AJ27" s="100">
        <v>15</v>
      </c>
      <c r="AK27" s="100">
        <v>6408</v>
      </c>
      <c r="AL27" s="100">
        <v>20</v>
      </c>
      <c r="AM27" s="100">
        <v>8544</v>
      </c>
      <c r="AN27" s="100">
        <v>18</v>
      </c>
      <c r="AO27" s="100">
        <v>7689.5999999999995</v>
      </c>
      <c r="AP27" s="100">
        <v>21</v>
      </c>
      <c r="AQ27" s="100">
        <v>8971.1999999999989</v>
      </c>
      <c r="AR27" s="100">
        <v>18</v>
      </c>
      <c r="AS27" s="100">
        <v>7689.5999999999995</v>
      </c>
      <c r="AT27" s="100">
        <v>18</v>
      </c>
      <c r="AU27" s="100">
        <v>7689.5999999999995</v>
      </c>
      <c r="AV27" s="100">
        <v>13</v>
      </c>
      <c r="AW27" s="100">
        <v>5553.5999999999995</v>
      </c>
      <c r="AX27" s="100">
        <v>16</v>
      </c>
      <c r="AY27" s="100">
        <v>6835.2</v>
      </c>
      <c r="AZ27" s="100">
        <v>15</v>
      </c>
      <c r="BA27" s="100">
        <v>6408</v>
      </c>
      <c r="BB27" s="100">
        <v>22</v>
      </c>
      <c r="BC27" s="100">
        <v>9398.4</v>
      </c>
      <c r="BD27" s="100">
        <v>12</v>
      </c>
      <c r="BE27" s="100">
        <v>5126.3999999999996</v>
      </c>
      <c r="BF27" s="100">
        <v>20</v>
      </c>
      <c r="BG27" s="100">
        <v>8544</v>
      </c>
      <c r="BH27" s="100">
        <v>18</v>
      </c>
      <c r="BI27" s="100">
        <v>7689.5999999999995</v>
      </c>
      <c r="BJ27" s="100">
        <v>11.090016366612176</v>
      </c>
      <c r="BK27" s="100">
        <v>4737.6549918167211</v>
      </c>
      <c r="BL27" s="100">
        <v>8.7194266139043446</v>
      </c>
      <c r="BM27" s="100">
        <v>3724.9390494599361</v>
      </c>
      <c r="BN27" s="100">
        <v>20</v>
      </c>
      <c r="BO27" s="100">
        <v>8544</v>
      </c>
      <c r="BP27" s="100">
        <v>7.8577777777777822</v>
      </c>
      <c r="BQ27" s="100">
        <v>3356.8426666666683</v>
      </c>
      <c r="BR27" s="100">
        <v>20</v>
      </c>
      <c r="BS27" s="100">
        <v>8544</v>
      </c>
      <c r="BT27" s="100">
        <v>11.822222222222228</v>
      </c>
      <c r="BU27" s="100">
        <v>5050.4533333333356</v>
      </c>
      <c r="BV27" s="100">
        <v>20</v>
      </c>
      <c r="BW27" s="100">
        <v>8544</v>
      </c>
      <c r="BX27" s="100">
        <v>24</v>
      </c>
      <c r="BY27" s="100">
        <v>10252.799999999999</v>
      </c>
      <c r="BZ27" s="100">
        <v>18.010243517455685</v>
      </c>
      <c r="CA27" s="100">
        <v>7693.9760306570679</v>
      </c>
      <c r="CB27" s="100">
        <v>11.176678730239056</v>
      </c>
      <c r="CC27" s="100">
        <v>4774.6771535581247</v>
      </c>
      <c r="CD27" s="100">
        <v>22</v>
      </c>
      <c r="CE27" s="100">
        <v>9398.4</v>
      </c>
      <c r="CF27" s="100">
        <v>11</v>
      </c>
      <c r="CG27" s="100">
        <v>4699.2</v>
      </c>
      <c r="CH27" s="100">
        <v>4.5196005098608314</v>
      </c>
      <c r="CI27" s="100">
        <v>1930.7733378125472</v>
      </c>
      <c r="CJ27" s="100">
        <v>24</v>
      </c>
      <c r="CK27" s="100">
        <v>10252.799999999999</v>
      </c>
      <c r="CL27" s="100">
        <v>13</v>
      </c>
      <c r="CM27" s="100">
        <v>5553.5999999999995</v>
      </c>
      <c r="CN27" s="100">
        <v>15</v>
      </c>
      <c r="CO27" s="100">
        <v>6408</v>
      </c>
      <c r="CP27" s="100">
        <v>19</v>
      </c>
      <c r="CQ27" s="100">
        <v>8116.8</v>
      </c>
      <c r="CR27" s="100">
        <v>13</v>
      </c>
      <c r="CS27" s="100">
        <v>5553.5999999999995</v>
      </c>
      <c r="CT27" s="100">
        <v>19</v>
      </c>
      <c r="CU27" s="100">
        <v>8116.8</v>
      </c>
    </row>
    <row r="28" spans="2:99">
      <c r="C28" s="99" t="s">
        <v>194</v>
      </c>
      <c r="D28" s="100">
        <v>15</v>
      </c>
      <c r="E28" s="100">
        <v>11070</v>
      </c>
      <c r="F28" s="100">
        <v>11</v>
      </c>
      <c r="G28" s="100">
        <v>8118</v>
      </c>
      <c r="H28" s="100">
        <v>12</v>
      </c>
      <c r="I28" s="100">
        <v>8856</v>
      </c>
      <c r="J28" s="100">
        <v>16</v>
      </c>
      <c r="K28" s="100">
        <v>11808</v>
      </c>
      <c r="L28" s="100">
        <v>14</v>
      </c>
      <c r="M28" s="100">
        <v>10332</v>
      </c>
      <c r="N28" s="100">
        <v>18.613129363524948</v>
      </c>
      <c r="O28" s="100">
        <v>13736.489470281411</v>
      </c>
      <c r="P28" s="100">
        <v>14</v>
      </c>
      <c r="Q28" s="100">
        <v>10332</v>
      </c>
      <c r="R28" s="100">
        <v>19</v>
      </c>
      <c r="S28" s="100">
        <v>14022</v>
      </c>
      <c r="T28" s="100">
        <v>16</v>
      </c>
      <c r="U28" s="100">
        <v>11808</v>
      </c>
      <c r="V28" s="100">
        <v>18</v>
      </c>
      <c r="W28" s="100">
        <v>13284</v>
      </c>
      <c r="X28" s="100">
        <v>13</v>
      </c>
      <c r="Y28" s="100">
        <v>9594</v>
      </c>
      <c r="Z28" s="100">
        <v>16</v>
      </c>
      <c r="AA28" s="100">
        <v>11808</v>
      </c>
      <c r="AB28" s="100">
        <v>12</v>
      </c>
      <c r="AC28" s="100">
        <v>8856</v>
      </c>
      <c r="AD28" s="100">
        <v>16</v>
      </c>
      <c r="AE28" s="100">
        <v>11808</v>
      </c>
      <c r="AF28" s="100">
        <v>11</v>
      </c>
      <c r="AG28" s="100">
        <v>8118</v>
      </c>
      <c r="AH28" s="100">
        <v>11</v>
      </c>
      <c r="AI28" s="100">
        <v>8118</v>
      </c>
      <c r="AJ28" s="100">
        <v>14</v>
      </c>
      <c r="AK28" s="100">
        <v>10332</v>
      </c>
      <c r="AL28" s="100">
        <v>20</v>
      </c>
      <c r="AM28" s="100">
        <v>14760</v>
      </c>
      <c r="AN28" s="100">
        <v>17</v>
      </c>
      <c r="AO28" s="100">
        <v>12546</v>
      </c>
      <c r="AP28" s="100">
        <v>20</v>
      </c>
      <c r="AQ28" s="100">
        <v>14760</v>
      </c>
      <c r="AR28" s="100">
        <v>18</v>
      </c>
      <c r="AS28" s="100">
        <v>13284</v>
      </c>
      <c r="AT28" s="100">
        <v>18</v>
      </c>
      <c r="AU28" s="100">
        <v>13284</v>
      </c>
      <c r="AV28" s="100">
        <v>12</v>
      </c>
      <c r="AW28" s="100">
        <v>8856</v>
      </c>
      <c r="AX28" s="100">
        <v>16</v>
      </c>
      <c r="AY28" s="100">
        <v>11808</v>
      </c>
      <c r="AZ28" s="100">
        <v>15</v>
      </c>
      <c r="BA28" s="100">
        <v>11070</v>
      </c>
      <c r="BB28" s="100">
        <v>20</v>
      </c>
      <c r="BC28" s="100">
        <v>14760</v>
      </c>
      <c r="BD28" s="100">
        <v>11</v>
      </c>
      <c r="BE28" s="100">
        <v>8118</v>
      </c>
      <c r="BF28" s="100">
        <v>19</v>
      </c>
      <c r="BG28" s="100">
        <v>14022</v>
      </c>
      <c r="BH28" s="100">
        <v>17</v>
      </c>
      <c r="BI28" s="100">
        <v>12546</v>
      </c>
      <c r="BJ28" s="100">
        <v>10.297872340425592</v>
      </c>
      <c r="BK28" s="100">
        <v>7599.8297872340863</v>
      </c>
      <c r="BL28" s="100">
        <v>8.7194266139043446</v>
      </c>
      <c r="BM28" s="100">
        <v>6434.9368410614061</v>
      </c>
      <c r="BN28" s="100">
        <v>21</v>
      </c>
      <c r="BO28" s="100">
        <v>15498</v>
      </c>
      <c r="BP28" s="100">
        <v>7.8577777777777822</v>
      </c>
      <c r="BQ28" s="100">
        <v>5799.0400000000036</v>
      </c>
      <c r="BR28" s="100">
        <v>18</v>
      </c>
      <c r="BS28" s="100">
        <v>13284</v>
      </c>
      <c r="BT28" s="100">
        <v>13.398518518518525</v>
      </c>
      <c r="BU28" s="100">
        <v>9888.106666666672</v>
      </c>
      <c r="BV28" s="100">
        <v>21</v>
      </c>
      <c r="BW28" s="100">
        <v>15498</v>
      </c>
      <c r="BX28" s="100">
        <v>20</v>
      </c>
      <c r="BY28" s="100">
        <v>14760</v>
      </c>
      <c r="BZ28" s="100">
        <v>18.010243517455685</v>
      </c>
      <c r="CA28" s="100">
        <v>13291.559715882295</v>
      </c>
      <c r="CB28" s="100">
        <v>11.875221150878998</v>
      </c>
      <c r="CC28" s="100">
        <v>8763.9132093487005</v>
      </c>
      <c r="CD28" s="100">
        <v>21</v>
      </c>
      <c r="CE28" s="100">
        <v>15498</v>
      </c>
      <c r="CF28" s="100">
        <v>13</v>
      </c>
      <c r="CG28" s="100">
        <v>9594</v>
      </c>
      <c r="CH28" s="100">
        <v>4.5196005098608314</v>
      </c>
      <c r="CI28" s="100">
        <v>3335.4651762772937</v>
      </c>
      <c r="CJ28" s="100">
        <v>22</v>
      </c>
      <c r="CK28" s="100">
        <v>16236</v>
      </c>
      <c r="CL28" s="100">
        <v>13</v>
      </c>
      <c r="CM28" s="100">
        <v>9594</v>
      </c>
      <c r="CN28" s="100">
        <v>16</v>
      </c>
      <c r="CO28" s="100">
        <v>11808</v>
      </c>
      <c r="CP28" s="100">
        <v>19</v>
      </c>
      <c r="CQ28" s="100">
        <v>14022</v>
      </c>
      <c r="CR28" s="100">
        <v>12</v>
      </c>
      <c r="CS28" s="100">
        <v>8856</v>
      </c>
      <c r="CT28" s="100">
        <v>18</v>
      </c>
      <c r="CU28" s="100">
        <v>13284</v>
      </c>
    </row>
    <row r="29" spans="2:99">
      <c r="C29" s="99" t="s">
        <v>195</v>
      </c>
      <c r="D29" s="100">
        <v>14</v>
      </c>
      <c r="E29" s="100">
        <v>4737.5999999999995</v>
      </c>
      <c r="F29" s="100">
        <v>11</v>
      </c>
      <c r="G29" s="100">
        <v>3722.3999999999996</v>
      </c>
      <c r="H29" s="100">
        <v>13</v>
      </c>
      <c r="I29" s="100">
        <v>4399.2</v>
      </c>
      <c r="J29" s="100">
        <v>16</v>
      </c>
      <c r="K29" s="100">
        <v>5414.4</v>
      </c>
      <c r="L29" s="100">
        <v>15</v>
      </c>
      <c r="M29" s="100">
        <v>5076</v>
      </c>
      <c r="N29" s="100">
        <v>19.543785831701193</v>
      </c>
      <c r="O29" s="100">
        <v>6613.6171254476831</v>
      </c>
      <c r="P29" s="100">
        <v>16</v>
      </c>
      <c r="Q29" s="100">
        <v>5414.4</v>
      </c>
      <c r="R29" s="100">
        <v>22</v>
      </c>
      <c r="S29" s="100">
        <v>7444.7999999999993</v>
      </c>
      <c r="T29" s="100">
        <v>17</v>
      </c>
      <c r="U29" s="100">
        <v>5752.7999999999993</v>
      </c>
      <c r="V29" s="100">
        <v>19</v>
      </c>
      <c r="W29" s="100">
        <v>6429.5999999999995</v>
      </c>
      <c r="X29" s="100">
        <v>15</v>
      </c>
      <c r="Y29" s="100">
        <v>5076</v>
      </c>
      <c r="Z29" s="100">
        <v>14</v>
      </c>
      <c r="AA29" s="100">
        <v>4737.5999999999995</v>
      </c>
      <c r="AB29" s="100">
        <v>12</v>
      </c>
      <c r="AC29" s="100">
        <v>4060.7999999999997</v>
      </c>
      <c r="AD29" s="100">
        <v>17</v>
      </c>
      <c r="AE29" s="100">
        <v>5752.7999999999993</v>
      </c>
      <c r="AF29" s="100">
        <v>12</v>
      </c>
      <c r="AG29" s="100">
        <v>4060.7999999999997</v>
      </c>
      <c r="AH29" s="100">
        <v>12</v>
      </c>
      <c r="AI29" s="100">
        <v>4060.7999999999997</v>
      </c>
      <c r="AJ29" s="100">
        <v>16</v>
      </c>
      <c r="AK29" s="100">
        <v>5414.4</v>
      </c>
      <c r="AL29" s="100">
        <v>21</v>
      </c>
      <c r="AM29" s="100">
        <v>7106.4</v>
      </c>
      <c r="AN29" s="100">
        <v>17</v>
      </c>
      <c r="AO29" s="100">
        <v>5752.7999999999993</v>
      </c>
      <c r="AP29" s="100">
        <v>21</v>
      </c>
      <c r="AQ29" s="100">
        <v>7106.4</v>
      </c>
      <c r="AR29" s="100">
        <v>19</v>
      </c>
      <c r="AS29" s="100">
        <v>6429.5999999999995</v>
      </c>
      <c r="AT29" s="100">
        <v>19</v>
      </c>
      <c r="AU29" s="100">
        <v>6429.5999999999995</v>
      </c>
      <c r="AV29" s="100">
        <v>13</v>
      </c>
      <c r="AW29" s="100">
        <v>4399.2</v>
      </c>
      <c r="AX29" s="100">
        <v>17</v>
      </c>
      <c r="AY29" s="100">
        <v>5752.7999999999993</v>
      </c>
      <c r="AZ29" s="100">
        <v>15</v>
      </c>
      <c r="BA29" s="100">
        <v>5076</v>
      </c>
      <c r="BB29" s="100">
        <v>25</v>
      </c>
      <c r="BC29" s="100">
        <v>8460</v>
      </c>
      <c r="BD29" s="100">
        <v>13</v>
      </c>
      <c r="BE29" s="100">
        <v>4399.2</v>
      </c>
      <c r="BF29" s="100">
        <v>23</v>
      </c>
      <c r="BG29" s="100">
        <v>7783.2</v>
      </c>
      <c r="BH29" s="100">
        <v>16</v>
      </c>
      <c r="BI29" s="100">
        <v>5414.4</v>
      </c>
      <c r="BJ29" s="100">
        <v>11.090016366612176</v>
      </c>
      <c r="BK29" s="100">
        <v>3752.86153846156</v>
      </c>
      <c r="BL29" s="100">
        <v>7.9928077294123154</v>
      </c>
      <c r="BM29" s="100">
        <v>2704.7661356331273</v>
      </c>
      <c r="BN29" s="100">
        <v>19</v>
      </c>
      <c r="BO29" s="100">
        <v>6429.5999999999995</v>
      </c>
      <c r="BP29" s="100">
        <v>8.5125925925925969</v>
      </c>
      <c r="BQ29" s="100">
        <v>2880.6613333333348</v>
      </c>
      <c r="BR29" s="100">
        <v>19</v>
      </c>
      <c r="BS29" s="100">
        <v>6429.5999999999995</v>
      </c>
      <c r="BT29" s="100">
        <v>13.398518518518525</v>
      </c>
      <c r="BU29" s="100">
        <v>4534.0586666666686</v>
      </c>
      <c r="BV29" s="100">
        <v>20</v>
      </c>
      <c r="BW29" s="100">
        <v>6768</v>
      </c>
      <c r="BX29" s="100">
        <v>21</v>
      </c>
      <c r="BY29" s="100">
        <v>7106.4</v>
      </c>
      <c r="BZ29" s="100">
        <v>15.437351586390585</v>
      </c>
      <c r="CA29" s="100">
        <v>5223.9997768345738</v>
      </c>
      <c r="CB29" s="100">
        <v>11.875221150878998</v>
      </c>
      <c r="CC29" s="100">
        <v>4018.5748374574528</v>
      </c>
      <c r="CD29" s="100">
        <v>22</v>
      </c>
      <c r="CE29" s="100">
        <v>7444.7999999999993</v>
      </c>
      <c r="CF29" s="100">
        <v>11</v>
      </c>
      <c r="CG29" s="100">
        <v>3722.3999999999996</v>
      </c>
      <c r="CH29" s="100">
        <v>4.1967719020136292</v>
      </c>
      <c r="CI29" s="100">
        <v>1420.1876116414121</v>
      </c>
      <c r="CJ29" s="100">
        <v>22</v>
      </c>
      <c r="CK29" s="100">
        <v>7444.7999999999993</v>
      </c>
      <c r="CL29" s="100">
        <v>12</v>
      </c>
      <c r="CM29" s="100">
        <v>4060.7999999999997</v>
      </c>
      <c r="CN29" s="100">
        <v>16</v>
      </c>
      <c r="CO29" s="100">
        <v>5414.4</v>
      </c>
      <c r="CP29" s="100">
        <v>22</v>
      </c>
      <c r="CQ29" s="100">
        <v>7444.7999999999993</v>
      </c>
      <c r="CR29" s="100">
        <v>11</v>
      </c>
      <c r="CS29" s="100">
        <v>3722.3999999999996</v>
      </c>
      <c r="CT29" s="100">
        <v>20</v>
      </c>
      <c r="CU29" s="100">
        <v>6768</v>
      </c>
    </row>
    <row r="30" spans="2:99">
      <c r="C30" s="99" t="s">
        <v>196</v>
      </c>
      <c r="D30" s="100">
        <v>15</v>
      </c>
      <c r="E30" s="100">
        <v>2088</v>
      </c>
      <c r="F30" s="100">
        <v>11</v>
      </c>
      <c r="G30" s="100">
        <v>1531.1999999999998</v>
      </c>
      <c r="H30" s="100">
        <v>13</v>
      </c>
      <c r="I30" s="100">
        <v>1809.6</v>
      </c>
      <c r="J30" s="100">
        <v>15</v>
      </c>
      <c r="K30" s="100">
        <v>2088</v>
      </c>
      <c r="L30" s="100">
        <v>16</v>
      </c>
      <c r="M30" s="100">
        <v>2227.1999999999998</v>
      </c>
      <c r="N30" s="100">
        <v>19.543785831701193</v>
      </c>
      <c r="O30" s="100">
        <v>2720.4949877728059</v>
      </c>
      <c r="P30" s="100">
        <v>15</v>
      </c>
      <c r="Q30" s="100">
        <v>2088</v>
      </c>
      <c r="R30" s="100">
        <v>19</v>
      </c>
      <c r="S30" s="100">
        <v>2644.7999999999997</v>
      </c>
      <c r="T30" s="100">
        <v>18</v>
      </c>
      <c r="U30" s="100">
        <v>2505.6</v>
      </c>
      <c r="V30" s="100">
        <v>19</v>
      </c>
      <c r="W30" s="100">
        <v>2644.7999999999997</v>
      </c>
      <c r="X30" s="100">
        <v>15</v>
      </c>
      <c r="Y30" s="100">
        <v>2088</v>
      </c>
      <c r="Z30" s="100">
        <v>16</v>
      </c>
      <c r="AA30" s="100">
        <v>2227.1999999999998</v>
      </c>
      <c r="AB30" s="100">
        <v>12</v>
      </c>
      <c r="AC30" s="100">
        <v>1670.3999999999999</v>
      </c>
      <c r="AD30" s="100">
        <v>19</v>
      </c>
      <c r="AE30" s="100">
        <v>2644.7999999999997</v>
      </c>
      <c r="AF30" s="100">
        <v>11</v>
      </c>
      <c r="AG30" s="100">
        <v>1531.1999999999998</v>
      </c>
      <c r="AH30" s="100">
        <v>12</v>
      </c>
      <c r="AI30" s="100">
        <v>1670.3999999999999</v>
      </c>
      <c r="AJ30" s="100">
        <v>14</v>
      </c>
      <c r="AK30" s="100">
        <v>1948.7999999999997</v>
      </c>
      <c r="AL30" s="100">
        <v>22</v>
      </c>
      <c r="AM30" s="100">
        <v>3062.3999999999996</v>
      </c>
      <c r="AN30" s="100">
        <v>16</v>
      </c>
      <c r="AO30" s="100">
        <v>2227.1999999999998</v>
      </c>
      <c r="AP30" s="100">
        <v>19</v>
      </c>
      <c r="AQ30" s="100">
        <v>2644.7999999999997</v>
      </c>
      <c r="AR30" s="100">
        <v>17</v>
      </c>
      <c r="AS30" s="100">
        <v>2366.3999999999996</v>
      </c>
      <c r="AT30" s="100">
        <v>18</v>
      </c>
      <c r="AU30" s="100">
        <v>2505.6</v>
      </c>
      <c r="AV30" s="100">
        <v>13</v>
      </c>
      <c r="AW30" s="100">
        <v>1809.6</v>
      </c>
      <c r="AX30" s="100">
        <v>15</v>
      </c>
      <c r="AY30" s="100">
        <v>2088</v>
      </c>
      <c r="AZ30" s="100">
        <v>16</v>
      </c>
      <c r="BA30" s="100">
        <v>2227.1999999999998</v>
      </c>
      <c r="BB30" s="100">
        <v>24</v>
      </c>
      <c r="BC30" s="100">
        <v>3340.7999999999997</v>
      </c>
      <c r="BD30" s="100">
        <v>12</v>
      </c>
      <c r="BE30" s="100">
        <v>1670.3999999999999</v>
      </c>
      <c r="BF30" s="100">
        <v>23</v>
      </c>
      <c r="BG30" s="100">
        <v>3201.6</v>
      </c>
      <c r="BH30" s="100">
        <v>18</v>
      </c>
      <c r="BI30" s="100">
        <v>2505.6</v>
      </c>
      <c r="BJ30" s="100">
        <v>11.88216039279876</v>
      </c>
      <c r="BK30" s="100">
        <v>1653.9967266775873</v>
      </c>
      <c r="BL30" s="100">
        <v>8.7194266139043446</v>
      </c>
      <c r="BM30" s="100">
        <v>1213.7441846554846</v>
      </c>
      <c r="BN30" s="100">
        <v>20</v>
      </c>
      <c r="BO30" s="100">
        <v>2784</v>
      </c>
      <c r="BP30" s="100">
        <v>9.1674074074074117</v>
      </c>
      <c r="BQ30" s="100">
        <v>1276.1031111111115</v>
      </c>
      <c r="BR30" s="100">
        <v>21</v>
      </c>
      <c r="BS30" s="100">
        <v>2923.2</v>
      </c>
      <c r="BT30" s="100">
        <v>12.610370370370376</v>
      </c>
      <c r="BU30" s="100">
        <v>1755.3635555555561</v>
      </c>
      <c r="BV30" s="100">
        <v>23</v>
      </c>
      <c r="BW30" s="100">
        <v>3201.6</v>
      </c>
      <c r="BX30" s="100">
        <v>23</v>
      </c>
      <c r="BY30" s="100">
        <v>3201.6</v>
      </c>
      <c r="BZ30" s="100">
        <v>15.437351586390585</v>
      </c>
      <c r="CA30" s="100">
        <v>2148.8793408255692</v>
      </c>
      <c r="CB30" s="100">
        <v>11.176678730239056</v>
      </c>
      <c r="CC30" s="100">
        <v>1555.7936792492765</v>
      </c>
      <c r="CD30" s="100">
        <v>23</v>
      </c>
      <c r="CE30" s="100">
        <v>3201.6</v>
      </c>
      <c r="CF30" s="100">
        <v>13</v>
      </c>
      <c r="CG30" s="100">
        <v>1809.6</v>
      </c>
      <c r="CH30" s="100">
        <v>4.1967719020136292</v>
      </c>
      <c r="CI30" s="100">
        <v>584.19064876029711</v>
      </c>
      <c r="CJ30" s="100">
        <v>25</v>
      </c>
      <c r="CK30" s="100">
        <v>3479.9999999999995</v>
      </c>
      <c r="CL30" s="100">
        <v>12</v>
      </c>
      <c r="CM30" s="100">
        <v>1670.3999999999999</v>
      </c>
      <c r="CN30" s="100">
        <v>16</v>
      </c>
      <c r="CO30" s="100">
        <v>2227.1999999999998</v>
      </c>
      <c r="CP30" s="100">
        <v>20</v>
      </c>
      <c r="CQ30" s="100">
        <v>2784</v>
      </c>
      <c r="CR30" s="100">
        <v>12</v>
      </c>
      <c r="CS30" s="100">
        <v>1670.3999999999999</v>
      </c>
      <c r="CT30" s="100">
        <v>19</v>
      </c>
      <c r="CU30" s="100">
        <v>2644.7999999999997</v>
      </c>
    </row>
    <row r="31" spans="2:99">
      <c r="C31" s="99" t="s">
        <v>197</v>
      </c>
      <c r="D31" s="100">
        <v>14</v>
      </c>
      <c r="E31" s="100">
        <v>4771.2</v>
      </c>
      <c r="F31" s="100">
        <v>11</v>
      </c>
      <c r="G31" s="100">
        <v>3748.8</v>
      </c>
      <c r="H31" s="100">
        <v>14</v>
      </c>
      <c r="I31" s="100">
        <v>4771.2</v>
      </c>
      <c r="J31" s="100">
        <v>15</v>
      </c>
      <c r="K31" s="100">
        <v>5112</v>
      </c>
      <c r="L31" s="100">
        <v>15</v>
      </c>
      <c r="M31" s="100">
        <v>5112</v>
      </c>
      <c r="N31" s="100">
        <v>19.543785831701193</v>
      </c>
      <c r="O31" s="100">
        <v>6660.5222114437665</v>
      </c>
      <c r="P31" s="100">
        <v>15</v>
      </c>
      <c r="Q31" s="100">
        <v>5112</v>
      </c>
      <c r="R31" s="100">
        <v>21</v>
      </c>
      <c r="S31" s="100">
        <v>7156.8</v>
      </c>
      <c r="T31" s="100">
        <v>17</v>
      </c>
      <c r="U31" s="100">
        <v>5793.6</v>
      </c>
      <c r="V31" s="100">
        <v>18</v>
      </c>
      <c r="W31" s="100">
        <v>6134.4000000000005</v>
      </c>
      <c r="X31" s="100">
        <v>15</v>
      </c>
      <c r="Y31" s="100">
        <v>5112</v>
      </c>
      <c r="Z31" s="100">
        <v>17</v>
      </c>
      <c r="AA31" s="100">
        <v>5793.6</v>
      </c>
      <c r="AB31" s="100">
        <v>11</v>
      </c>
      <c r="AC31" s="100">
        <v>3748.8</v>
      </c>
      <c r="AD31" s="100">
        <v>18</v>
      </c>
      <c r="AE31" s="100">
        <v>6134.4000000000005</v>
      </c>
      <c r="AF31" s="100">
        <v>11</v>
      </c>
      <c r="AG31" s="100">
        <v>3748.8</v>
      </c>
      <c r="AH31" s="100">
        <v>11</v>
      </c>
      <c r="AI31" s="100">
        <v>3748.8</v>
      </c>
      <c r="AJ31" s="100">
        <v>15</v>
      </c>
      <c r="AK31" s="100">
        <v>5112</v>
      </c>
      <c r="AL31" s="100">
        <v>23</v>
      </c>
      <c r="AM31" s="100">
        <v>7838.4000000000005</v>
      </c>
      <c r="AN31" s="100">
        <v>15</v>
      </c>
      <c r="AO31" s="100">
        <v>5112</v>
      </c>
      <c r="AP31" s="100">
        <v>19</v>
      </c>
      <c r="AQ31" s="100">
        <v>6475.2</v>
      </c>
      <c r="AR31" s="100">
        <v>19</v>
      </c>
      <c r="AS31" s="100">
        <v>6475.2</v>
      </c>
      <c r="AT31" s="100">
        <v>20</v>
      </c>
      <c r="AU31" s="100">
        <v>6816</v>
      </c>
      <c r="AV31" s="100">
        <v>13</v>
      </c>
      <c r="AW31" s="100">
        <v>4430.4000000000005</v>
      </c>
      <c r="AX31" s="100">
        <v>15</v>
      </c>
      <c r="AY31" s="100">
        <v>5112</v>
      </c>
      <c r="AZ31" s="100">
        <v>13</v>
      </c>
      <c r="BA31" s="100">
        <v>4430.4000000000005</v>
      </c>
      <c r="BB31" s="100">
        <v>21</v>
      </c>
      <c r="BC31" s="100">
        <v>7156.8</v>
      </c>
      <c r="BD31" s="100">
        <v>13</v>
      </c>
      <c r="BE31" s="100">
        <v>4430.4000000000005</v>
      </c>
      <c r="BF31" s="100">
        <v>22</v>
      </c>
      <c r="BG31" s="100">
        <v>7497.6</v>
      </c>
      <c r="BH31" s="100">
        <v>17</v>
      </c>
      <c r="BI31" s="100">
        <v>5793.6</v>
      </c>
      <c r="BJ31" s="100">
        <v>11.090016366612176</v>
      </c>
      <c r="BK31" s="100">
        <v>3779.4775777414297</v>
      </c>
      <c r="BL31" s="100">
        <v>8.7194266139043446</v>
      </c>
      <c r="BM31" s="100">
        <v>2971.5805900186006</v>
      </c>
      <c r="BN31" s="100">
        <v>19</v>
      </c>
      <c r="BO31" s="100">
        <v>6475.2</v>
      </c>
      <c r="BP31" s="100">
        <v>7.8577777777777822</v>
      </c>
      <c r="BQ31" s="100">
        <v>2677.9306666666685</v>
      </c>
      <c r="BR31" s="100">
        <v>20</v>
      </c>
      <c r="BS31" s="100">
        <v>6816</v>
      </c>
      <c r="BT31" s="100">
        <v>11.822222222222228</v>
      </c>
      <c r="BU31" s="100">
        <v>4029.0133333333356</v>
      </c>
      <c r="BV31" s="100">
        <v>24</v>
      </c>
      <c r="BW31" s="100">
        <v>8179.2000000000007</v>
      </c>
      <c r="BX31" s="100">
        <v>23</v>
      </c>
      <c r="BY31" s="100">
        <v>7838.4000000000005</v>
      </c>
      <c r="BZ31" s="100">
        <v>18.010243517455685</v>
      </c>
      <c r="CA31" s="100">
        <v>6137.8909907488978</v>
      </c>
      <c r="CB31" s="100">
        <v>11.176678730239056</v>
      </c>
      <c r="CC31" s="100">
        <v>3809.0121112654701</v>
      </c>
      <c r="CD31" s="100">
        <v>23</v>
      </c>
      <c r="CE31" s="100">
        <v>7838.4000000000005</v>
      </c>
      <c r="CF31" s="100">
        <v>12</v>
      </c>
      <c r="CG31" s="100">
        <v>4089.6000000000004</v>
      </c>
      <c r="CH31" s="100">
        <v>4.1967719020136292</v>
      </c>
      <c r="CI31" s="100">
        <v>1430.2598642062449</v>
      </c>
      <c r="CJ31" s="100">
        <v>21</v>
      </c>
      <c r="CK31" s="100">
        <v>7156.8</v>
      </c>
      <c r="CL31" s="100">
        <v>12</v>
      </c>
      <c r="CM31" s="100">
        <v>4089.6000000000004</v>
      </c>
      <c r="CN31" s="100">
        <v>17</v>
      </c>
      <c r="CO31" s="100">
        <v>5793.6</v>
      </c>
      <c r="CP31" s="100">
        <v>19</v>
      </c>
      <c r="CQ31" s="100">
        <v>6475.2</v>
      </c>
      <c r="CR31" s="100">
        <v>13</v>
      </c>
      <c r="CS31" s="100">
        <v>4430.4000000000005</v>
      </c>
      <c r="CT31" s="100">
        <v>22</v>
      </c>
      <c r="CU31" s="100">
        <v>7497.6</v>
      </c>
    </row>
    <row r="32" spans="2:99">
      <c r="C32" s="99" t="s">
        <v>198</v>
      </c>
      <c r="D32" s="100">
        <v>14</v>
      </c>
      <c r="E32" s="100">
        <v>11760</v>
      </c>
      <c r="F32" s="100">
        <v>10</v>
      </c>
      <c r="G32" s="100">
        <v>8400</v>
      </c>
      <c r="H32" s="100">
        <v>11</v>
      </c>
      <c r="I32" s="100">
        <v>9240</v>
      </c>
      <c r="J32" s="100">
        <v>16</v>
      </c>
      <c r="K32" s="100">
        <v>13440</v>
      </c>
      <c r="L32" s="100">
        <v>15</v>
      </c>
      <c r="M32" s="100">
        <v>12600</v>
      </c>
      <c r="N32" s="100">
        <v>16.751816427172454</v>
      </c>
      <c r="O32" s="100">
        <v>14071.525798824861</v>
      </c>
      <c r="P32" s="100">
        <v>15</v>
      </c>
      <c r="Q32" s="100">
        <v>12600</v>
      </c>
      <c r="R32" s="100">
        <v>19</v>
      </c>
      <c r="S32" s="100">
        <v>15960</v>
      </c>
      <c r="T32" s="100">
        <v>17</v>
      </c>
      <c r="U32" s="100">
        <v>14280</v>
      </c>
      <c r="V32" s="100">
        <v>18</v>
      </c>
      <c r="W32" s="100">
        <v>15120</v>
      </c>
      <c r="X32" s="100">
        <v>15</v>
      </c>
      <c r="Y32" s="100">
        <v>12600</v>
      </c>
      <c r="Z32" s="100">
        <v>15</v>
      </c>
      <c r="AA32" s="100">
        <v>12600</v>
      </c>
      <c r="AB32" s="100">
        <v>11</v>
      </c>
      <c r="AC32" s="100">
        <v>9240</v>
      </c>
      <c r="AD32" s="100">
        <v>18</v>
      </c>
      <c r="AE32" s="100">
        <v>15120</v>
      </c>
      <c r="AF32" s="100">
        <v>12</v>
      </c>
      <c r="AG32" s="100">
        <v>10080</v>
      </c>
      <c r="AH32" s="100">
        <v>11</v>
      </c>
      <c r="AI32" s="100">
        <v>9240</v>
      </c>
      <c r="AJ32" s="100">
        <v>14</v>
      </c>
      <c r="AK32" s="100">
        <v>11760</v>
      </c>
      <c r="AL32" s="100">
        <v>19</v>
      </c>
      <c r="AM32" s="100">
        <v>15960</v>
      </c>
      <c r="AN32" s="100">
        <v>16</v>
      </c>
      <c r="AO32" s="100">
        <v>13440</v>
      </c>
      <c r="AP32" s="100">
        <v>18</v>
      </c>
      <c r="AQ32" s="100">
        <v>15120</v>
      </c>
      <c r="AR32" s="100">
        <v>18</v>
      </c>
      <c r="AS32" s="100">
        <v>15120</v>
      </c>
      <c r="AT32" s="100">
        <v>20</v>
      </c>
      <c r="AU32" s="100">
        <v>16800</v>
      </c>
      <c r="AV32" s="100">
        <v>12</v>
      </c>
      <c r="AW32" s="100">
        <v>10080</v>
      </c>
      <c r="AX32" s="100">
        <v>16</v>
      </c>
      <c r="AY32" s="100">
        <v>13440</v>
      </c>
      <c r="AZ32" s="100">
        <v>14</v>
      </c>
      <c r="BA32" s="100">
        <v>11760</v>
      </c>
      <c r="BB32" s="100">
        <v>20</v>
      </c>
      <c r="BC32" s="100">
        <v>16800</v>
      </c>
      <c r="BD32" s="100">
        <v>11</v>
      </c>
      <c r="BE32" s="100">
        <v>9240</v>
      </c>
      <c r="BF32" s="100">
        <v>21</v>
      </c>
      <c r="BG32" s="100">
        <v>17640</v>
      </c>
      <c r="BH32" s="100">
        <v>16</v>
      </c>
      <c r="BI32" s="100">
        <v>13440</v>
      </c>
      <c r="BJ32" s="100">
        <v>10.297872340425592</v>
      </c>
      <c r="BK32" s="100">
        <v>8650.2127659574962</v>
      </c>
      <c r="BL32" s="100">
        <v>8.7194266139043446</v>
      </c>
      <c r="BM32" s="100">
        <v>7324.3183556796494</v>
      </c>
      <c r="BN32" s="100">
        <v>19</v>
      </c>
      <c r="BO32" s="100">
        <v>15960</v>
      </c>
      <c r="BP32" s="100">
        <v>7.8577777777777822</v>
      </c>
      <c r="BQ32" s="100">
        <v>6600.5333333333374</v>
      </c>
      <c r="BR32" s="100">
        <v>20</v>
      </c>
      <c r="BS32" s="100">
        <v>16800</v>
      </c>
      <c r="BT32" s="100">
        <v>13.398518518518525</v>
      </c>
      <c r="BU32" s="100">
        <v>11254.755555555561</v>
      </c>
      <c r="BV32" s="100">
        <v>24</v>
      </c>
      <c r="BW32" s="100">
        <v>20160</v>
      </c>
      <c r="BX32" s="100">
        <v>22</v>
      </c>
      <c r="BY32" s="100">
        <v>18480</v>
      </c>
      <c r="BZ32" s="100">
        <v>14.57972094270222</v>
      </c>
      <c r="CA32" s="100">
        <v>12246.965591869865</v>
      </c>
      <c r="CB32" s="100">
        <v>11.875221150878998</v>
      </c>
      <c r="CC32" s="100">
        <v>9975.1857667383574</v>
      </c>
      <c r="CD32" s="100">
        <v>19</v>
      </c>
      <c r="CE32" s="100">
        <v>15960</v>
      </c>
      <c r="CF32" s="100">
        <v>13</v>
      </c>
      <c r="CG32" s="100">
        <v>10920</v>
      </c>
      <c r="CH32" s="100">
        <v>4.1967719020136292</v>
      </c>
      <c r="CI32" s="100">
        <v>3525.2883976914486</v>
      </c>
      <c r="CJ32" s="100">
        <v>22</v>
      </c>
      <c r="CK32" s="100">
        <v>18480</v>
      </c>
      <c r="CL32" s="100">
        <v>13</v>
      </c>
      <c r="CM32" s="100">
        <v>10920</v>
      </c>
      <c r="CN32" s="100">
        <v>16</v>
      </c>
      <c r="CO32" s="100">
        <v>13440</v>
      </c>
      <c r="CP32" s="100">
        <v>19</v>
      </c>
      <c r="CQ32" s="100">
        <v>15960</v>
      </c>
      <c r="CR32" s="100">
        <v>12</v>
      </c>
      <c r="CS32" s="100">
        <v>10080</v>
      </c>
      <c r="CT32" s="100">
        <v>20</v>
      </c>
      <c r="CU32" s="100">
        <v>16800</v>
      </c>
    </row>
    <row r="33" spans="2:99">
      <c r="C33" s="99" t="s">
        <v>199</v>
      </c>
      <c r="D33" s="100">
        <v>15</v>
      </c>
      <c r="E33" s="100">
        <v>7110</v>
      </c>
      <c r="F33" s="100">
        <v>11</v>
      </c>
      <c r="G33" s="100">
        <v>5214</v>
      </c>
      <c r="H33" s="100">
        <v>13</v>
      </c>
      <c r="I33" s="100">
        <v>6162</v>
      </c>
      <c r="J33" s="100">
        <v>16</v>
      </c>
      <c r="K33" s="100">
        <v>7584</v>
      </c>
      <c r="L33" s="100">
        <v>16</v>
      </c>
      <c r="M33" s="100">
        <v>7584</v>
      </c>
      <c r="N33" s="100">
        <v>18.613129363524948</v>
      </c>
      <c r="O33" s="100">
        <v>8822.6233183108252</v>
      </c>
      <c r="P33" s="100">
        <v>16</v>
      </c>
      <c r="Q33" s="100">
        <v>7584</v>
      </c>
      <c r="R33" s="100">
        <v>20</v>
      </c>
      <c r="S33" s="100">
        <v>9480</v>
      </c>
      <c r="T33" s="100">
        <v>16</v>
      </c>
      <c r="U33" s="100">
        <v>7584</v>
      </c>
      <c r="V33" s="100">
        <v>16</v>
      </c>
      <c r="W33" s="100">
        <v>7584</v>
      </c>
      <c r="X33" s="100">
        <v>14</v>
      </c>
      <c r="Y33" s="100">
        <v>6636</v>
      </c>
      <c r="Z33" s="100">
        <v>16</v>
      </c>
      <c r="AA33" s="100">
        <v>7584</v>
      </c>
      <c r="AB33" s="100">
        <v>12</v>
      </c>
      <c r="AC33" s="100">
        <v>5688</v>
      </c>
      <c r="AD33" s="100">
        <v>17</v>
      </c>
      <c r="AE33" s="100">
        <v>8058</v>
      </c>
      <c r="AF33" s="100">
        <v>12</v>
      </c>
      <c r="AG33" s="100">
        <v>5688</v>
      </c>
      <c r="AH33" s="100">
        <v>11</v>
      </c>
      <c r="AI33" s="100">
        <v>5214</v>
      </c>
      <c r="AJ33" s="100">
        <v>14</v>
      </c>
      <c r="AK33" s="100">
        <v>6636</v>
      </c>
      <c r="AL33" s="100">
        <v>20</v>
      </c>
      <c r="AM33" s="100">
        <v>9480</v>
      </c>
      <c r="AN33" s="100">
        <v>17</v>
      </c>
      <c r="AO33" s="100">
        <v>8058</v>
      </c>
      <c r="AP33" s="100">
        <v>21</v>
      </c>
      <c r="AQ33" s="100">
        <v>9954</v>
      </c>
      <c r="AR33" s="100">
        <v>19</v>
      </c>
      <c r="AS33" s="100">
        <v>9006</v>
      </c>
      <c r="AT33" s="100">
        <v>18</v>
      </c>
      <c r="AU33" s="100">
        <v>8532</v>
      </c>
      <c r="AV33" s="100">
        <v>13</v>
      </c>
      <c r="AW33" s="100">
        <v>6162</v>
      </c>
      <c r="AX33" s="100">
        <v>17</v>
      </c>
      <c r="AY33" s="100">
        <v>8058</v>
      </c>
      <c r="AZ33" s="100">
        <v>14</v>
      </c>
      <c r="BA33" s="100">
        <v>6636</v>
      </c>
      <c r="BB33" s="100">
        <v>24</v>
      </c>
      <c r="BC33" s="100">
        <v>11376</v>
      </c>
      <c r="BD33" s="100">
        <v>12</v>
      </c>
      <c r="BE33" s="100">
        <v>5688</v>
      </c>
      <c r="BF33" s="100">
        <v>23</v>
      </c>
      <c r="BG33" s="100">
        <v>10902</v>
      </c>
      <c r="BH33" s="100">
        <v>17</v>
      </c>
      <c r="BI33" s="100">
        <v>8058</v>
      </c>
      <c r="BJ33" s="100">
        <v>10.297872340425592</v>
      </c>
      <c r="BK33" s="100">
        <v>4881.1914893617304</v>
      </c>
      <c r="BL33" s="100">
        <v>7.9928077294123154</v>
      </c>
      <c r="BM33" s="100">
        <v>3788.5908637414377</v>
      </c>
      <c r="BN33" s="100">
        <v>18</v>
      </c>
      <c r="BO33" s="100">
        <v>8532</v>
      </c>
      <c r="BP33" s="100">
        <v>9.1674074074074117</v>
      </c>
      <c r="BQ33" s="100">
        <v>4345.3511111111129</v>
      </c>
      <c r="BR33" s="100">
        <v>19</v>
      </c>
      <c r="BS33" s="100">
        <v>9006</v>
      </c>
      <c r="BT33" s="100">
        <v>13.398518518518525</v>
      </c>
      <c r="BU33" s="100">
        <v>6350.8977777777809</v>
      </c>
      <c r="BV33" s="100">
        <v>24</v>
      </c>
      <c r="BW33" s="100">
        <v>11376</v>
      </c>
      <c r="BX33" s="100">
        <v>22</v>
      </c>
      <c r="BY33" s="100">
        <v>10428</v>
      </c>
      <c r="BZ33" s="100">
        <v>18.010243517455685</v>
      </c>
      <c r="CA33" s="100">
        <v>8536.8554272739948</v>
      </c>
      <c r="CB33" s="100">
        <v>11.875221150878998</v>
      </c>
      <c r="CC33" s="100">
        <v>5628.8548255166452</v>
      </c>
      <c r="CD33" s="100">
        <v>23</v>
      </c>
      <c r="CE33" s="100">
        <v>10902</v>
      </c>
      <c r="CF33" s="100">
        <v>11</v>
      </c>
      <c r="CG33" s="100">
        <v>5214</v>
      </c>
      <c r="CH33" s="100">
        <v>4.1967719020136292</v>
      </c>
      <c r="CI33" s="100">
        <v>1989.2698815544602</v>
      </c>
      <c r="CJ33" s="100">
        <v>23</v>
      </c>
      <c r="CK33" s="100">
        <v>10902</v>
      </c>
      <c r="CL33" s="100">
        <v>12</v>
      </c>
      <c r="CM33" s="100">
        <v>5688</v>
      </c>
      <c r="CN33" s="100">
        <v>18</v>
      </c>
      <c r="CO33" s="100">
        <v>8532</v>
      </c>
      <c r="CP33" s="100">
        <v>20</v>
      </c>
      <c r="CQ33" s="100">
        <v>9480</v>
      </c>
      <c r="CR33" s="100">
        <v>12</v>
      </c>
      <c r="CS33" s="100">
        <v>5688</v>
      </c>
      <c r="CT33" s="100">
        <v>20</v>
      </c>
      <c r="CU33" s="100">
        <v>9480</v>
      </c>
    </row>
    <row r="34" spans="2:99">
      <c r="C34" s="99" t="s">
        <v>200</v>
      </c>
      <c r="D34" s="100">
        <v>14</v>
      </c>
      <c r="E34" s="100">
        <v>7677.5999999999995</v>
      </c>
      <c r="F34" s="100">
        <v>11</v>
      </c>
      <c r="G34" s="100">
        <v>6032.4</v>
      </c>
      <c r="H34" s="100">
        <v>13</v>
      </c>
      <c r="I34" s="100">
        <v>7129.2</v>
      </c>
      <c r="J34" s="100">
        <v>15</v>
      </c>
      <c r="K34" s="100">
        <v>8226</v>
      </c>
      <c r="L34" s="100">
        <v>16</v>
      </c>
      <c r="M34" s="100">
        <v>8774.4</v>
      </c>
      <c r="N34" s="100">
        <v>18.613129363524948</v>
      </c>
      <c r="O34" s="100">
        <v>10207.440142957081</v>
      </c>
      <c r="P34" s="100">
        <v>15</v>
      </c>
      <c r="Q34" s="100">
        <v>8226</v>
      </c>
      <c r="R34" s="100">
        <v>21</v>
      </c>
      <c r="S34" s="100">
        <v>11516.4</v>
      </c>
      <c r="T34" s="100">
        <v>17</v>
      </c>
      <c r="U34" s="100">
        <v>9322.7999999999993</v>
      </c>
      <c r="V34" s="100">
        <v>18</v>
      </c>
      <c r="W34" s="100">
        <v>9871.1999999999989</v>
      </c>
      <c r="X34" s="100">
        <v>16</v>
      </c>
      <c r="Y34" s="100">
        <v>8774.4</v>
      </c>
      <c r="Z34" s="100">
        <v>15</v>
      </c>
      <c r="AA34" s="100">
        <v>8226</v>
      </c>
      <c r="AB34" s="100">
        <v>12</v>
      </c>
      <c r="AC34" s="100">
        <v>6580.7999999999993</v>
      </c>
      <c r="AD34" s="100">
        <v>17</v>
      </c>
      <c r="AE34" s="100">
        <v>9322.7999999999993</v>
      </c>
      <c r="AF34" s="100">
        <v>11</v>
      </c>
      <c r="AG34" s="100">
        <v>6032.4</v>
      </c>
      <c r="AH34" s="100">
        <v>11</v>
      </c>
      <c r="AI34" s="100">
        <v>6032.4</v>
      </c>
      <c r="AJ34" s="100">
        <v>14</v>
      </c>
      <c r="AK34" s="100">
        <v>7677.5999999999995</v>
      </c>
      <c r="AL34" s="100">
        <v>20</v>
      </c>
      <c r="AM34" s="100">
        <v>10968</v>
      </c>
      <c r="AN34" s="100">
        <v>16</v>
      </c>
      <c r="AO34" s="100">
        <v>8774.4</v>
      </c>
      <c r="AP34" s="100">
        <v>21</v>
      </c>
      <c r="AQ34" s="100">
        <v>11516.4</v>
      </c>
      <c r="AR34" s="100">
        <v>16</v>
      </c>
      <c r="AS34" s="100">
        <v>8774.4</v>
      </c>
      <c r="AT34" s="100">
        <v>19</v>
      </c>
      <c r="AU34" s="100">
        <v>10419.6</v>
      </c>
      <c r="AV34" s="100">
        <v>12</v>
      </c>
      <c r="AW34" s="100">
        <v>6580.7999999999993</v>
      </c>
      <c r="AX34" s="100">
        <v>16</v>
      </c>
      <c r="AY34" s="100">
        <v>8774.4</v>
      </c>
      <c r="AZ34" s="100">
        <v>15</v>
      </c>
      <c r="BA34" s="100">
        <v>8226</v>
      </c>
      <c r="BB34" s="100">
        <v>20</v>
      </c>
      <c r="BC34" s="100">
        <v>10968</v>
      </c>
      <c r="BD34" s="100">
        <v>12</v>
      </c>
      <c r="BE34" s="100">
        <v>6580.7999999999993</v>
      </c>
      <c r="BF34" s="100">
        <v>21</v>
      </c>
      <c r="BG34" s="100">
        <v>11516.4</v>
      </c>
      <c r="BH34" s="100">
        <v>15</v>
      </c>
      <c r="BI34" s="100">
        <v>8226</v>
      </c>
      <c r="BJ34" s="100">
        <v>11.88216039279876</v>
      </c>
      <c r="BK34" s="100">
        <v>6516.1767594108396</v>
      </c>
      <c r="BL34" s="100">
        <v>8.7194266139043446</v>
      </c>
      <c r="BM34" s="100">
        <v>4781.7335550651424</v>
      </c>
      <c r="BN34" s="100">
        <v>21</v>
      </c>
      <c r="BO34" s="100">
        <v>11516.4</v>
      </c>
      <c r="BP34" s="100">
        <v>9.1674074074074117</v>
      </c>
      <c r="BQ34" s="100">
        <v>5027.4062222222246</v>
      </c>
      <c r="BR34" s="100">
        <v>18</v>
      </c>
      <c r="BS34" s="100">
        <v>9871.1999999999989</v>
      </c>
      <c r="BT34" s="100">
        <v>13.398518518518525</v>
      </c>
      <c r="BU34" s="100">
        <v>7347.7475555555593</v>
      </c>
      <c r="BV34" s="100">
        <v>23</v>
      </c>
      <c r="BW34" s="100">
        <v>12613.199999999999</v>
      </c>
      <c r="BX34" s="100">
        <v>21</v>
      </c>
      <c r="BY34" s="100">
        <v>11516.4</v>
      </c>
      <c r="BZ34" s="100">
        <v>15.437351586390585</v>
      </c>
      <c r="CA34" s="100">
        <v>8465.8436099765968</v>
      </c>
      <c r="CB34" s="100">
        <v>11.875221150878998</v>
      </c>
      <c r="CC34" s="100">
        <v>6512.3712791420421</v>
      </c>
      <c r="CD34" s="100">
        <v>19</v>
      </c>
      <c r="CE34" s="100">
        <v>10419.6</v>
      </c>
      <c r="CF34" s="100">
        <v>11</v>
      </c>
      <c r="CG34" s="100">
        <v>6032.4</v>
      </c>
      <c r="CH34" s="100">
        <v>4.1967719020136292</v>
      </c>
      <c r="CI34" s="100">
        <v>2301.5097110642741</v>
      </c>
      <c r="CJ34" s="100">
        <v>20</v>
      </c>
      <c r="CK34" s="100">
        <v>10968</v>
      </c>
      <c r="CL34" s="100">
        <v>12</v>
      </c>
      <c r="CM34" s="100">
        <v>6580.7999999999993</v>
      </c>
      <c r="CN34" s="100">
        <v>17</v>
      </c>
      <c r="CO34" s="100">
        <v>9322.7999999999993</v>
      </c>
      <c r="CP34" s="100">
        <v>19</v>
      </c>
      <c r="CQ34" s="100">
        <v>10419.6</v>
      </c>
      <c r="CR34" s="100">
        <v>12</v>
      </c>
      <c r="CS34" s="100">
        <v>6580.7999999999993</v>
      </c>
      <c r="CT34" s="100">
        <v>22</v>
      </c>
      <c r="CU34" s="100">
        <v>12064.8</v>
      </c>
    </row>
    <row r="35" spans="2:99">
      <c r="C35" s="99" t="s">
        <v>201</v>
      </c>
      <c r="D35" s="100">
        <v>15</v>
      </c>
      <c r="E35" s="100">
        <v>7541.9999999999982</v>
      </c>
      <c r="F35" s="100">
        <v>11</v>
      </c>
      <c r="G35" s="100">
        <v>5530.7999999999993</v>
      </c>
      <c r="H35" s="100">
        <v>14</v>
      </c>
      <c r="I35" s="100">
        <v>7039.1999999999989</v>
      </c>
      <c r="J35" s="100">
        <v>16</v>
      </c>
      <c r="K35" s="100">
        <v>8044.7999999999984</v>
      </c>
      <c r="L35" s="100">
        <v>16</v>
      </c>
      <c r="M35" s="100">
        <v>8044.7999999999984</v>
      </c>
      <c r="N35" s="100">
        <v>18.613129363524948</v>
      </c>
      <c r="O35" s="100">
        <v>9358.681443980342</v>
      </c>
      <c r="P35" s="100">
        <v>15</v>
      </c>
      <c r="Q35" s="100">
        <v>7541.9999999999982</v>
      </c>
      <c r="R35" s="100">
        <v>19</v>
      </c>
      <c r="S35" s="100">
        <v>9553.1999999999989</v>
      </c>
      <c r="T35" s="100">
        <v>17</v>
      </c>
      <c r="U35" s="100">
        <v>8547.5999999999985</v>
      </c>
      <c r="V35" s="100">
        <v>16</v>
      </c>
      <c r="W35" s="100">
        <v>8044.7999999999984</v>
      </c>
      <c r="X35" s="100">
        <v>16</v>
      </c>
      <c r="Y35" s="100">
        <v>8044.7999999999984</v>
      </c>
      <c r="Z35" s="100">
        <v>16</v>
      </c>
      <c r="AA35" s="100">
        <v>8044.7999999999984</v>
      </c>
      <c r="AB35" s="100">
        <v>11</v>
      </c>
      <c r="AC35" s="100">
        <v>5530.7999999999993</v>
      </c>
      <c r="AD35" s="100">
        <v>20</v>
      </c>
      <c r="AE35" s="100">
        <v>10055.999999999998</v>
      </c>
      <c r="AF35" s="100">
        <v>12</v>
      </c>
      <c r="AG35" s="100">
        <v>6033.5999999999985</v>
      </c>
      <c r="AH35" s="100">
        <v>11</v>
      </c>
      <c r="AI35" s="100">
        <v>5530.7999999999993</v>
      </c>
      <c r="AJ35" s="100">
        <v>15</v>
      </c>
      <c r="AK35" s="100">
        <v>7541.9999999999982</v>
      </c>
      <c r="AL35" s="100">
        <v>20</v>
      </c>
      <c r="AM35" s="100">
        <v>10055.999999999998</v>
      </c>
      <c r="AN35" s="100">
        <v>16</v>
      </c>
      <c r="AO35" s="100">
        <v>8044.7999999999984</v>
      </c>
      <c r="AP35" s="100">
        <v>18</v>
      </c>
      <c r="AQ35" s="100">
        <v>9050.3999999999978</v>
      </c>
      <c r="AR35" s="100">
        <v>18</v>
      </c>
      <c r="AS35" s="100">
        <v>9050.3999999999978</v>
      </c>
      <c r="AT35" s="100">
        <v>21</v>
      </c>
      <c r="AU35" s="100">
        <v>10558.799999999997</v>
      </c>
      <c r="AV35" s="100">
        <v>14</v>
      </c>
      <c r="AW35" s="100">
        <v>7039.1999999999989</v>
      </c>
      <c r="AX35" s="100">
        <v>17</v>
      </c>
      <c r="AY35" s="100">
        <v>8547.5999999999985</v>
      </c>
      <c r="AZ35" s="100">
        <v>13</v>
      </c>
      <c r="BA35" s="100">
        <v>6536.3999999999987</v>
      </c>
      <c r="BB35" s="100">
        <v>22</v>
      </c>
      <c r="BC35" s="100">
        <v>11061.599999999999</v>
      </c>
      <c r="BD35" s="100">
        <v>12</v>
      </c>
      <c r="BE35" s="100">
        <v>6033.5999999999985</v>
      </c>
      <c r="BF35" s="100">
        <v>21</v>
      </c>
      <c r="BG35" s="100">
        <v>10558.799999999997</v>
      </c>
      <c r="BH35" s="100">
        <v>17</v>
      </c>
      <c r="BI35" s="100">
        <v>8547.5999999999985</v>
      </c>
      <c r="BJ35" s="100">
        <v>11.88216039279876</v>
      </c>
      <c r="BK35" s="100">
        <v>5974.3502454992149</v>
      </c>
      <c r="BL35" s="100">
        <v>9.4460454983963729</v>
      </c>
      <c r="BM35" s="100">
        <v>4749.4716765936955</v>
      </c>
      <c r="BN35" s="100">
        <v>21</v>
      </c>
      <c r="BO35" s="100">
        <v>10558.799999999997</v>
      </c>
      <c r="BP35" s="100">
        <v>8.5125925925925969</v>
      </c>
      <c r="BQ35" s="100">
        <v>4280.1315555555566</v>
      </c>
      <c r="BR35" s="100">
        <v>19</v>
      </c>
      <c r="BS35" s="100">
        <v>9553.1999999999989</v>
      </c>
      <c r="BT35" s="100">
        <v>11.034074074074079</v>
      </c>
      <c r="BU35" s="100">
        <v>5547.9324444444455</v>
      </c>
      <c r="BV35" s="100">
        <v>22</v>
      </c>
      <c r="BW35" s="100">
        <v>11061.599999999999</v>
      </c>
      <c r="BX35" s="100">
        <v>22</v>
      </c>
      <c r="BY35" s="100">
        <v>11061.599999999999</v>
      </c>
      <c r="BZ35" s="100">
        <v>15.437351586390585</v>
      </c>
      <c r="CA35" s="100">
        <v>7761.9003776371846</v>
      </c>
      <c r="CB35" s="100">
        <v>11.875221150878998</v>
      </c>
      <c r="CC35" s="100">
        <v>5970.8611946619594</v>
      </c>
      <c r="CD35" s="100">
        <v>19</v>
      </c>
      <c r="CE35" s="100">
        <v>9553.1999999999989</v>
      </c>
      <c r="CF35" s="100">
        <v>13</v>
      </c>
      <c r="CG35" s="100">
        <v>6536.3999999999987</v>
      </c>
      <c r="CH35" s="100">
        <v>3.8739432941664274</v>
      </c>
      <c r="CI35" s="100">
        <v>1947.8186883068793</v>
      </c>
      <c r="CJ35" s="100">
        <v>24</v>
      </c>
      <c r="CK35" s="100">
        <v>12067.199999999997</v>
      </c>
      <c r="CL35" s="100">
        <v>13</v>
      </c>
      <c r="CM35" s="100">
        <v>6536.3999999999987</v>
      </c>
      <c r="CN35" s="100">
        <v>15</v>
      </c>
      <c r="CO35" s="100">
        <v>7541.9999999999982</v>
      </c>
      <c r="CP35" s="100">
        <v>21</v>
      </c>
      <c r="CQ35" s="100">
        <v>10558.799999999997</v>
      </c>
      <c r="CR35" s="100">
        <v>11</v>
      </c>
      <c r="CS35" s="100">
        <v>5530.7999999999993</v>
      </c>
      <c r="CT35" s="100">
        <v>22</v>
      </c>
      <c r="CU35" s="100">
        <v>11061.599999999999</v>
      </c>
    </row>
    <row r="36" spans="2:99">
      <c r="C36" s="99" t="s">
        <v>202</v>
      </c>
      <c r="D36" s="100">
        <v>14</v>
      </c>
      <c r="E36" s="100">
        <v>10651.199999999999</v>
      </c>
      <c r="F36" s="100">
        <v>11</v>
      </c>
      <c r="G36" s="100">
        <v>8368.7999999999993</v>
      </c>
      <c r="H36" s="100">
        <v>13</v>
      </c>
      <c r="I36" s="100">
        <v>9890.4</v>
      </c>
      <c r="J36" s="100">
        <v>15</v>
      </c>
      <c r="K36" s="100">
        <v>11412</v>
      </c>
      <c r="L36" s="100">
        <v>16</v>
      </c>
      <c r="M36" s="100">
        <v>12172.8</v>
      </c>
      <c r="N36" s="100">
        <v>19.543785831701193</v>
      </c>
      <c r="O36" s="100">
        <v>14868.912260758267</v>
      </c>
      <c r="P36" s="100">
        <v>15</v>
      </c>
      <c r="Q36" s="100">
        <v>11412</v>
      </c>
      <c r="R36" s="100">
        <v>20</v>
      </c>
      <c r="S36" s="100">
        <v>15216</v>
      </c>
      <c r="T36" s="100">
        <v>17</v>
      </c>
      <c r="U36" s="100">
        <v>12933.599999999999</v>
      </c>
      <c r="V36" s="100">
        <v>19</v>
      </c>
      <c r="W36" s="100">
        <v>14455.199999999999</v>
      </c>
      <c r="X36" s="100">
        <v>14</v>
      </c>
      <c r="Y36" s="100">
        <v>10651.199999999999</v>
      </c>
      <c r="Z36" s="100">
        <v>15</v>
      </c>
      <c r="AA36" s="100">
        <v>11412</v>
      </c>
      <c r="AB36" s="100">
        <v>12</v>
      </c>
      <c r="AC36" s="100">
        <v>9129.5999999999985</v>
      </c>
      <c r="AD36" s="100">
        <v>19</v>
      </c>
      <c r="AE36" s="100">
        <v>14455.199999999999</v>
      </c>
      <c r="AF36" s="100">
        <v>11</v>
      </c>
      <c r="AG36" s="100">
        <v>8368.7999999999993</v>
      </c>
      <c r="AH36" s="100">
        <v>13</v>
      </c>
      <c r="AI36" s="100">
        <v>9890.4</v>
      </c>
      <c r="AJ36" s="100">
        <v>14</v>
      </c>
      <c r="AK36" s="100">
        <v>10651.199999999999</v>
      </c>
      <c r="AL36" s="100">
        <v>23</v>
      </c>
      <c r="AM36" s="100">
        <v>17498.399999999998</v>
      </c>
      <c r="AN36" s="100">
        <v>15</v>
      </c>
      <c r="AO36" s="100">
        <v>11412</v>
      </c>
      <c r="AP36" s="100">
        <v>19</v>
      </c>
      <c r="AQ36" s="100">
        <v>14455.199999999999</v>
      </c>
      <c r="AR36" s="100">
        <v>17</v>
      </c>
      <c r="AS36" s="100">
        <v>12933.599999999999</v>
      </c>
      <c r="AT36" s="100">
        <v>20</v>
      </c>
      <c r="AU36" s="100">
        <v>15216</v>
      </c>
      <c r="AV36" s="100">
        <v>12</v>
      </c>
      <c r="AW36" s="100">
        <v>9129.5999999999985</v>
      </c>
      <c r="AX36" s="100">
        <v>16</v>
      </c>
      <c r="AY36" s="100">
        <v>12172.8</v>
      </c>
      <c r="AZ36" s="100">
        <v>13</v>
      </c>
      <c r="BA36" s="100">
        <v>9890.4</v>
      </c>
      <c r="BB36" s="100">
        <v>24</v>
      </c>
      <c r="BC36" s="100">
        <v>18259.199999999997</v>
      </c>
      <c r="BD36" s="100">
        <v>12</v>
      </c>
      <c r="BE36" s="100">
        <v>9129.5999999999985</v>
      </c>
      <c r="BF36" s="100">
        <v>22</v>
      </c>
      <c r="BG36" s="100">
        <v>16737.599999999999</v>
      </c>
      <c r="BH36" s="100">
        <v>16</v>
      </c>
      <c r="BI36" s="100">
        <v>12172.8</v>
      </c>
      <c r="BJ36" s="100">
        <v>9.5057283142390077</v>
      </c>
      <c r="BK36" s="100">
        <v>7231.9581014730365</v>
      </c>
      <c r="BL36" s="100">
        <v>7.9928077294123154</v>
      </c>
      <c r="BM36" s="100">
        <v>6080.9281205368889</v>
      </c>
      <c r="BN36" s="100">
        <v>18</v>
      </c>
      <c r="BO36" s="100">
        <v>13694.4</v>
      </c>
      <c r="BP36" s="100">
        <v>7.2029629629629657</v>
      </c>
      <c r="BQ36" s="100">
        <v>5480.0142222222239</v>
      </c>
      <c r="BR36" s="100">
        <v>18</v>
      </c>
      <c r="BS36" s="100">
        <v>13694.4</v>
      </c>
      <c r="BT36" s="100">
        <v>11.034074074074079</v>
      </c>
      <c r="BU36" s="100">
        <v>8394.7235555555581</v>
      </c>
      <c r="BV36" s="100">
        <v>24</v>
      </c>
      <c r="BW36" s="100">
        <v>18259.199999999997</v>
      </c>
      <c r="BX36" s="100">
        <v>22</v>
      </c>
      <c r="BY36" s="100">
        <v>16737.599999999999</v>
      </c>
      <c r="BZ36" s="100">
        <v>14.57972094270222</v>
      </c>
      <c r="CA36" s="100">
        <v>11092.251693207849</v>
      </c>
      <c r="CB36" s="100">
        <v>11.875221150878998</v>
      </c>
      <c r="CC36" s="100">
        <v>9034.6682515887405</v>
      </c>
      <c r="CD36" s="100">
        <v>22</v>
      </c>
      <c r="CE36" s="100">
        <v>16737.599999999999</v>
      </c>
      <c r="CF36" s="100">
        <v>12</v>
      </c>
      <c r="CG36" s="100">
        <v>9129.5999999999985</v>
      </c>
      <c r="CH36" s="100">
        <v>3.8739432941664274</v>
      </c>
      <c r="CI36" s="100">
        <v>2947.2960582018177</v>
      </c>
      <c r="CJ36" s="100">
        <v>23</v>
      </c>
      <c r="CK36" s="100">
        <v>17498.399999999998</v>
      </c>
      <c r="CL36" s="100">
        <v>12</v>
      </c>
      <c r="CM36" s="100">
        <v>9129.5999999999985</v>
      </c>
      <c r="CN36" s="100">
        <v>18</v>
      </c>
      <c r="CO36" s="100">
        <v>13694.4</v>
      </c>
      <c r="CP36" s="100">
        <v>19</v>
      </c>
      <c r="CQ36" s="100">
        <v>14455.199999999999</v>
      </c>
      <c r="CR36" s="100">
        <v>12</v>
      </c>
      <c r="CS36" s="100">
        <v>9129.5999999999985</v>
      </c>
      <c r="CT36" s="100">
        <v>19</v>
      </c>
      <c r="CU36" s="100">
        <v>14455.199999999999</v>
      </c>
    </row>
    <row r="37" spans="2:99">
      <c r="B37" s="99" t="s">
        <v>128</v>
      </c>
      <c r="C37" s="99" t="s">
        <v>203</v>
      </c>
      <c r="D37" s="100">
        <v>11</v>
      </c>
      <c r="E37" s="100">
        <v>9464.4</v>
      </c>
      <c r="F37" s="100">
        <v>13</v>
      </c>
      <c r="G37" s="100">
        <v>11185.199999999999</v>
      </c>
      <c r="H37" s="100">
        <v>13</v>
      </c>
      <c r="I37" s="100">
        <v>11185.199999999999</v>
      </c>
      <c r="J37" s="100">
        <v>7</v>
      </c>
      <c r="K37" s="100">
        <v>6022.8</v>
      </c>
      <c r="L37" s="100">
        <v>12</v>
      </c>
      <c r="M37" s="100">
        <v>10324.799999999999</v>
      </c>
      <c r="N37" s="100">
        <v>8.3759082135862268</v>
      </c>
      <c r="O37" s="100">
        <v>7206.6314269695895</v>
      </c>
      <c r="P37" s="100">
        <v>10</v>
      </c>
      <c r="Q37" s="100">
        <v>8604</v>
      </c>
      <c r="R37" s="100">
        <v>14</v>
      </c>
      <c r="S37" s="100">
        <v>12045.6</v>
      </c>
      <c r="T37" s="100">
        <v>8</v>
      </c>
      <c r="U37" s="100">
        <v>6883.2</v>
      </c>
      <c r="V37" s="100">
        <v>12</v>
      </c>
      <c r="W37" s="100">
        <v>10324.799999999999</v>
      </c>
      <c r="X37" s="100">
        <v>13</v>
      </c>
      <c r="Y37" s="100">
        <v>11185.199999999999</v>
      </c>
      <c r="Z37" s="100">
        <v>14</v>
      </c>
      <c r="AA37" s="100">
        <v>12045.6</v>
      </c>
      <c r="AB37" s="100">
        <v>7</v>
      </c>
      <c r="AC37" s="100">
        <v>6022.8</v>
      </c>
      <c r="AD37" s="100">
        <v>8</v>
      </c>
      <c r="AE37" s="100">
        <v>6883.2</v>
      </c>
      <c r="AF37" s="100">
        <v>11</v>
      </c>
      <c r="AG37" s="100">
        <v>9464.4</v>
      </c>
      <c r="AH37" s="100">
        <v>9</v>
      </c>
      <c r="AI37" s="100">
        <v>7743.5999999999995</v>
      </c>
      <c r="AJ37" s="100">
        <v>8</v>
      </c>
      <c r="AK37" s="100">
        <v>6883.2</v>
      </c>
      <c r="AL37" s="100">
        <v>10</v>
      </c>
      <c r="AM37" s="100">
        <v>8604</v>
      </c>
      <c r="AN37" s="100">
        <v>12</v>
      </c>
      <c r="AO37" s="100">
        <v>10324.799999999999</v>
      </c>
      <c r="AP37" s="100">
        <v>11</v>
      </c>
      <c r="AQ37" s="100">
        <v>9464.4</v>
      </c>
      <c r="AR37" s="100">
        <v>9</v>
      </c>
      <c r="AS37" s="100">
        <v>7743.5999999999995</v>
      </c>
      <c r="AT37" s="100">
        <v>9</v>
      </c>
      <c r="AU37" s="100">
        <v>7743.5999999999995</v>
      </c>
      <c r="AV37" s="100">
        <v>10</v>
      </c>
      <c r="AW37" s="100">
        <v>8604</v>
      </c>
      <c r="AX37" s="100">
        <v>8</v>
      </c>
      <c r="AY37" s="100">
        <v>6883.2</v>
      </c>
      <c r="AZ37" s="100">
        <v>14</v>
      </c>
      <c r="BA37" s="100">
        <v>12045.6</v>
      </c>
      <c r="BB37" s="100">
        <v>10</v>
      </c>
      <c r="BC37" s="100">
        <v>8604</v>
      </c>
      <c r="BD37" s="100">
        <v>12</v>
      </c>
      <c r="BE37" s="100">
        <v>10324.799999999999</v>
      </c>
      <c r="BF37" s="100">
        <v>7</v>
      </c>
      <c r="BG37" s="100">
        <v>6022.8</v>
      </c>
      <c r="BH37" s="100">
        <v>11</v>
      </c>
      <c r="BI37" s="100">
        <v>9464.4</v>
      </c>
      <c r="BJ37" s="100">
        <v>6.3371522094926727</v>
      </c>
      <c r="BK37" s="100">
        <v>5452.4857610474955</v>
      </c>
      <c r="BL37" s="100">
        <v>9.4460454983963729</v>
      </c>
      <c r="BM37" s="100">
        <v>8127.3775468202393</v>
      </c>
      <c r="BN37" s="100">
        <v>15</v>
      </c>
      <c r="BO37" s="100">
        <v>12906</v>
      </c>
      <c r="BP37" s="100">
        <v>7.8577777777777822</v>
      </c>
      <c r="BQ37" s="100">
        <v>6760.832000000004</v>
      </c>
      <c r="BR37" s="100">
        <v>14</v>
      </c>
      <c r="BS37" s="100">
        <v>12045.6</v>
      </c>
      <c r="BT37" s="100">
        <v>5.5170370370370394</v>
      </c>
      <c r="BU37" s="100">
        <v>4746.8586666666688</v>
      </c>
      <c r="BV37" s="100">
        <v>11</v>
      </c>
      <c r="BW37" s="100">
        <v>9464.4</v>
      </c>
      <c r="BX37" s="100">
        <v>12</v>
      </c>
      <c r="BY37" s="100">
        <v>10324.799999999999</v>
      </c>
      <c r="BZ37" s="100">
        <v>11.149198367948758</v>
      </c>
      <c r="CA37" s="100">
        <v>9592.7702757831103</v>
      </c>
      <c r="CB37" s="100">
        <v>8.3825090476792905</v>
      </c>
      <c r="CC37" s="100">
        <v>7212.3107846232615</v>
      </c>
      <c r="CD37" s="100">
        <v>7</v>
      </c>
      <c r="CE37" s="100">
        <v>6022.8</v>
      </c>
      <c r="CF37" s="100">
        <v>8</v>
      </c>
      <c r="CG37" s="100">
        <v>6883.2</v>
      </c>
      <c r="CH37" s="100">
        <v>4.5196005098608314</v>
      </c>
      <c r="CI37" s="100">
        <v>3888.6642786842594</v>
      </c>
      <c r="CJ37" s="100">
        <v>12</v>
      </c>
      <c r="CK37" s="100">
        <v>10324.799999999999</v>
      </c>
      <c r="CL37" s="100">
        <v>8</v>
      </c>
      <c r="CM37" s="100">
        <v>6883.2</v>
      </c>
      <c r="CN37" s="100">
        <v>8</v>
      </c>
      <c r="CO37" s="100">
        <v>6883.2</v>
      </c>
      <c r="CP37" s="100">
        <v>12</v>
      </c>
      <c r="CQ37" s="100">
        <v>10324.799999999999</v>
      </c>
      <c r="CR37" s="100">
        <v>10</v>
      </c>
      <c r="CS37" s="100">
        <v>8604</v>
      </c>
      <c r="CT37" s="100">
        <v>10</v>
      </c>
      <c r="CU37" s="100">
        <v>8604</v>
      </c>
    </row>
    <row r="38" spans="2:99">
      <c r="C38" s="99" t="s">
        <v>204</v>
      </c>
      <c r="D38" s="100">
        <v>10</v>
      </c>
      <c r="E38" s="100">
        <v>12420</v>
      </c>
      <c r="F38" s="100">
        <v>13</v>
      </c>
      <c r="G38" s="100">
        <v>16146</v>
      </c>
      <c r="H38" s="100">
        <v>12</v>
      </c>
      <c r="I38" s="100">
        <v>14904</v>
      </c>
      <c r="J38" s="100">
        <v>7</v>
      </c>
      <c r="K38" s="100">
        <v>8694</v>
      </c>
      <c r="L38" s="100">
        <v>11</v>
      </c>
      <c r="M38" s="100">
        <v>13662</v>
      </c>
      <c r="N38" s="100">
        <v>7.445251745409978</v>
      </c>
      <c r="O38" s="100">
        <v>9247.0026677991918</v>
      </c>
      <c r="P38" s="100">
        <v>11</v>
      </c>
      <c r="Q38" s="100">
        <v>13662</v>
      </c>
      <c r="R38" s="100">
        <v>14</v>
      </c>
      <c r="S38" s="100">
        <v>17388</v>
      </c>
      <c r="T38" s="100">
        <v>7</v>
      </c>
      <c r="U38" s="100">
        <v>8694</v>
      </c>
      <c r="V38" s="100">
        <v>11</v>
      </c>
      <c r="W38" s="100">
        <v>13662</v>
      </c>
      <c r="X38" s="100">
        <v>12</v>
      </c>
      <c r="Y38" s="100">
        <v>14904</v>
      </c>
      <c r="Z38" s="100">
        <v>13</v>
      </c>
      <c r="AA38" s="100">
        <v>16146</v>
      </c>
      <c r="AB38" s="100">
        <v>8</v>
      </c>
      <c r="AC38" s="100">
        <v>9936</v>
      </c>
      <c r="AD38" s="100">
        <v>9</v>
      </c>
      <c r="AE38" s="100">
        <v>11178</v>
      </c>
      <c r="AF38" s="100">
        <v>10</v>
      </c>
      <c r="AG38" s="100">
        <v>12420</v>
      </c>
      <c r="AH38" s="100">
        <v>9</v>
      </c>
      <c r="AI38" s="100">
        <v>11178</v>
      </c>
      <c r="AJ38" s="100">
        <v>7</v>
      </c>
      <c r="AK38" s="100">
        <v>8694</v>
      </c>
      <c r="AL38" s="100">
        <v>11</v>
      </c>
      <c r="AM38" s="100">
        <v>13662</v>
      </c>
      <c r="AN38" s="100">
        <v>11</v>
      </c>
      <c r="AO38" s="100">
        <v>13662</v>
      </c>
      <c r="AP38" s="100">
        <v>11</v>
      </c>
      <c r="AQ38" s="100">
        <v>13662</v>
      </c>
      <c r="AR38" s="100">
        <v>10</v>
      </c>
      <c r="AS38" s="100">
        <v>12420</v>
      </c>
      <c r="AT38" s="100">
        <v>8</v>
      </c>
      <c r="AU38" s="100">
        <v>9936</v>
      </c>
      <c r="AV38" s="100">
        <v>11</v>
      </c>
      <c r="AW38" s="100">
        <v>13662</v>
      </c>
      <c r="AX38" s="100">
        <v>10</v>
      </c>
      <c r="AY38" s="100">
        <v>12420</v>
      </c>
      <c r="AZ38" s="100">
        <v>14</v>
      </c>
      <c r="BA38" s="100">
        <v>17388</v>
      </c>
      <c r="BB38" s="100">
        <v>9</v>
      </c>
      <c r="BC38" s="100">
        <v>11178</v>
      </c>
      <c r="BD38" s="100">
        <v>10</v>
      </c>
      <c r="BE38" s="100">
        <v>12420</v>
      </c>
      <c r="BF38" s="100">
        <v>7</v>
      </c>
      <c r="BG38" s="100">
        <v>8694</v>
      </c>
      <c r="BH38" s="100">
        <v>11</v>
      </c>
      <c r="BI38" s="100">
        <v>13662</v>
      </c>
      <c r="BJ38" s="100">
        <v>6.3371522094926727</v>
      </c>
      <c r="BK38" s="100">
        <v>7870.7430441898996</v>
      </c>
      <c r="BL38" s="100">
        <v>8.7194266139043446</v>
      </c>
      <c r="BM38" s="100">
        <v>10829.527854469196</v>
      </c>
      <c r="BN38" s="100">
        <v>16</v>
      </c>
      <c r="BO38" s="100">
        <v>19872</v>
      </c>
      <c r="BP38" s="100">
        <v>7.2029629629629657</v>
      </c>
      <c r="BQ38" s="100">
        <v>8946.0800000000036</v>
      </c>
      <c r="BR38" s="100">
        <v>15</v>
      </c>
      <c r="BS38" s="100">
        <v>18630</v>
      </c>
      <c r="BT38" s="100">
        <v>5.5170370370370394</v>
      </c>
      <c r="BU38" s="100">
        <v>6852.1600000000026</v>
      </c>
      <c r="BV38" s="100">
        <v>10</v>
      </c>
      <c r="BW38" s="100">
        <v>12420</v>
      </c>
      <c r="BX38" s="100">
        <v>12</v>
      </c>
      <c r="BY38" s="100">
        <v>14904</v>
      </c>
      <c r="BZ38" s="100">
        <v>12.006829011637123</v>
      </c>
      <c r="CA38" s="100">
        <v>14912.481632453308</v>
      </c>
      <c r="CB38" s="100">
        <v>8.3825090476792905</v>
      </c>
      <c r="CC38" s="100">
        <v>10411.07623721768</v>
      </c>
      <c r="CD38" s="100">
        <v>7</v>
      </c>
      <c r="CE38" s="100">
        <v>8694</v>
      </c>
      <c r="CF38" s="100">
        <v>8</v>
      </c>
      <c r="CG38" s="100">
        <v>9936</v>
      </c>
      <c r="CH38" s="100">
        <v>4.1967719020136292</v>
      </c>
      <c r="CI38" s="100">
        <v>5212.3907023009278</v>
      </c>
      <c r="CJ38" s="100">
        <v>12</v>
      </c>
      <c r="CK38" s="100">
        <v>14904</v>
      </c>
      <c r="CL38" s="100">
        <v>7</v>
      </c>
      <c r="CM38" s="100">
        <v>8694</v>
      </c>
      <c r="CN38" s="100">
        <v>8</v>
      </c>
      <c r="CO38" s="100">
        <v>9936</v>
      </c>
      <c r="CP38" s="100">
        <v>12</v>
      </c>
      <c r="CQ38" s="100">
        <v>14904</v>
      </c>
      <c r="CR38" s="100">
        <v>10</v>
      </c>
      <c r="CS38" s="100">
        <v>12420</v>
      </c>
      <c r="CT38" s="100">
        <v>9</v>
      </c>
      <c r="CU38" s="100">
        <v>11178</v>
      </c>
    </row>
    <row r="39" spans="2:99">
      <c r="C39" s="99" t="s">
        <v>205</v>
      </c>
      <c r="D39" s="100">
        <v>10</v>
      </c>
      <c r="E39" s="100">
        <v>14232</v>
      </c>
      <c r="F39" s="100">
        <v>14</v>
      </c>
      <c r="G39" s="100">
        <v>19924.8</v>
      </c>
      <c r="H39" s="100">
        <v>12</v>
      </c>
      <c r="I39" s="100">
        <v>17078.400000000001</v>
      </c>
      <c r="J39" s="100">
        <v>8</v>
      </c>
      <c r="K39" s="100">
        <v>11385.6</v>
      </c>
      <c r="L39" s="100">
        <v>11</v>
      </c>
      <c r="M39" s="100">
        <v>15655.2</v>
      </c>
      <c r="N39" s="100">
        <v>8.3759082135862268</v>
      </c>
      <c r="O39" s="100">
        <v>11920.592569575918</v>
      </c>
      <c r="P39" s="100">
        <v>11</v>
      </c>
      <c r="Q39" s="100">
        <v>15655.2</v>
      </c>
      <c r="R39" s="100">
        <v>13</v>
      </c>
      <c r="S39" s="100">
        <v>18501.600000000002</v>
      </c>
      <c r="T39" s="100">
        <v>8</v>
      </c>
      <c r="U39" s="100">
        <v>11385.6</v>
      </c>
      <c r="V39" s="100">
        <v>11</v>
      </c>
      <c r="W39" s="100">
        <v>15655.2</v>
      </c>
      <c r="X39" s="100">
        <v>14</v>
      </c>
      <c r="Y39" s="100">
        <v>19924.8</v>
      </c>
      <c r="Z39" s="100">
        <v>12</v>
      </c>
      <c r="AA39" s="100">
        <v>17078.400000000001</v>
      </c>
      <c r="AB39" s="100">
        <v>8</v>
      </c>
      <c r="AC39" s="100">
        <v>11385.6</v>
      </c>
      <c r="AD39" s="100">
        <v>8</v>
      </c>
      <c r="AE39" s="100">
        <v>11385.6</v>
      </c>
      <c r="AF39" s="100">
        <v>10</v>
      </c>
      <c r="AG39" s="100">
        <v>14232</v>
      </c>
      <c r="AH39" s="100">
        <v>8</v>
      </c>
      <c r="AI39" s="100">
        <v>11385.6</v>
      </c>
      <c r="AJ39" s="100">
        <v>8</v>
      </c>
      <c r="AK39" s="100">
        <v>11385.6</v>
      </c>
      <c r="AL39" s="100">
        <v>11</v>
      </c>
      <c r="AM39" s="100">
        <v>15655.2</v>
      </c>
      <c r="AN39" s="100">
        <v>12</v>
      </c>
      <c r="AO39" s="100">
        <v>17078.400000000001</v>
      </c>
      <c r="AP39" s="100">
        <v>12</v>
      </c>
      <c r="AQ39" s="100">
        <v>17078.400000000001</v>
      </c>
      <c r="AR39" s="100">
        <v>10</v>
      </c>
      <c r="AS39" s="100">
        <v>14232</v>
      </c>
      <c r="AT39" s="100">
        <v>8</v>
      </c>
      <c r="AU39" s="100">
        <v>11385.6</v>
      </c>
      <c r="AV39" s="100">
        <v>11</v>
      </c>
      <c r="AW39" s="100">
        <v>15655.2</v>
      </c>
      <c r="AX39" s="100">
        <v>9</v>
      </c>
      <c r="AY39" s="100">
        <v>12808.800000000001</v>
      </c>
      <c r="AZ39" s="100">
        <v>13</v>
      </c>
      <c r="BA39" s="100">
        <v>18501.600000000002</v>
      </c>
      <c r="BB39" s="100">
        <v>9</v>
      </c>
      <c r="BC39" s="100">
        <v>12808.800000000001</v>
      </c>
      <c r="BD39" s="100">
        <v>11</v>
      </c>
      <c r="BE39" s="100">
        <v>15655.2</v>
      </c>
      <c r="BF39" s="100">
        <v>8</v>
      </c>
      <c r="BG39" s="100">
        <v>11385.6</v>
      </c>
      <c r="BH39" s="100">
        <v>11</v>
      </c>
      <c r="BI39" s="100">
        <v>15655.2</v>
      </c>
      <c r="BJ39" s="100">
        <v>6.3371522094926727</v>
      </c>
      <c r="BK39" s="100">
        <v>9019.0350245499721</v>
      </c>
      <c r="BL39" s="100">
        <v>8.7194266139043446</v>
      </c>
      <c r="BM39" s="100">
        <v>12409.487956908664</v>
      </c>
      <c r="BN39" s="100">
        <v>15</v>
      </c>
      <c r="BO39" s="100">
        <v>21348</v>
      </c>
      <c r="BP39" s="100">
        <v>7.8577777777777822</v>
      </c>
      <c r="BQ39" s="100">
        <v>11183.189333333339</v>
      </c>
      <c r="BR39" s="100">
        <v>14</v>
      </c>
      <c r="BS39" s="100">
        <v>19924.8</v>
      </c>
      <c r="BT39" s="100">
        <v>6.3051851851851879</v>
      </c>
      <c r="BU39" s="100">
        <v>8973.5395555555606</v>
      </c>
      <c r="BV39" s="100">
        <v>10</v>
      </c>
      <c r="BW39" s="100">
        <v>14232</v>
      </c>
      <c r="BX39" s="100">
        <v>12</v>
      </c>
      <c r="BY39" s="100">
        <v>17078.400000000001</v>
      </c>
      <c r="BZ39" s="100">
        <v>10.291567724260391</v>
      </c>
      <c r="CA39" s="100">
        <v>14646.959185167389</v>
      </c>
      <c r="CB39" s="100">
        <v>8.3825090476792905</v>
      </c>
      <c r="CC39" s="100">
        <v>11929.986876657167</v>
      </c>
      <c r="CD39" s="100">
        <v>8</v>
      </c>
      <c r="CE39" s="100">
        <v>11385.6</v>
      </c>
      <c r="CF39" s="100">
        <v>8</v>
      </c>
      <c r="CG39" s="100">
        <v>11385.6</v>
      </c>
      <c r="CH39" s="100">
        <v>4.1967719020136292</v>
      </c>
      <c r="CI39" s="100">
        <v>5972.8457709457971</v>
      </c>
      <c r="CJ39" s="100">
        <v>12</v>
      </c>
      <c r="CK39" s="100">
        <v>17078.400000000001</v>
      </c>
      <c r="CL39" s="100">
        <v>7</v>
      </c>
      <c r="CM39" s="100">
        <v>9962.4</v>
      </c>
      <c r="CN39" s="100">
        <v>9</v>
      </c>
      <c r="CO39" s="100">
        <v>12808.800000000001</v>
      </c>
      <c r="CP39" s="100">
        <v>11</v>
      </c>
      <c r="CQ39" s="100">
        <v>15655.2</v>
      </c>
      <c r="CR39" s="100">
        <v>10</v>
      </c>
      <c r="CS39" s="100">
        <v>14232</v>
      </c>
      <c r="CT39" s="100">
        <v>9</v>
      </c>
      <c r="CU39" s="100">
        <v>12808.800000000001</v>
      </c>
    </row>
    <row r="40" spans="2:99">
      <c r="C40" s="99" t="s">
        <v>206</v>
      </c>
      <c r="D40" s="100">
        <v>10</v>
      </c>
      <c r="E40" s="100">
        <v>7248</v>
      </c>
      <c r="F40" s="100">
        <v>13</v>
      </c>
      <c r="G40" s="100">
        <v>9422.4</v>
      </c>
      <c r="H40" s="100">
        <v>13</v>
      </c>
      <c r="I40" s="100">
        <v>9422.4</v>
      </c>
      <c r="J40" s="100">
        <v>8</v>
      </c>
      <c r="K40" s="100">
        <v>5798.4</v>
      </c>
      <c r="L40" s="100">
        <v>12</v>
      </c>
      <c r="M40" s="100">
        <v>8697.5999999999985</v>
      </c>
      <c r="N40" s="100">
        <v>7.445251745409978</v>
      </c>
      <c r="O40" s="100">
        <v>5396.3184650731519</v>
      </c>
      <c r="P40" s="100">
        <v>11</v>
      </c>
      <c r="Q40" s="100">
        <v>7972.7999999999993</v>
      </c>
      <c r="R40" s="100">
        <v>15</v>
      </c>
      <c r="S40" s="100">
        <v>10872</v>
      </c>
      <c r="T40" s="100">
        <v>8</v>
      </c>
      <c r="U40" s="100">
        <v>5798.4</v>
      </c>
      <c r="V40" s="100">
        <v>13</v>
      </c>
      <c r="W40" s="100">
        <v>9422.4</v>
      </c>
      <c r="X40" s="100">
        <v>14</v>
      </c>
      <c r="Y40" s="100">
        <v>10147.199999999999</v>
      </c>
      <c r="Z40" s="100">
        <v>14</v>
      </c>
      <c r="AA40" s="100">
        <v>10147.199999999999</v>
      </c>
      <c r="AB40" s="100">
        <v>9</v>
      </c>
      <c r="AC40" s="100">
        <v>6523.2</v>
      </c>
      <c r="AD40" s="100">
        <v>9</v>
      </c>
      <c r="AE40" s="100">
        <v>6523.2</v>
      </c>
      <c r="AF40" s="100">
        <v>11</v>
      </c>
      <c r="AG40" s="100">
        <v>7972.7999999999993</v>
      </c>
      <c r="AH40" s="100">
        <v>9</v>
      </c>
      <c r="AI40" s="100">
        <v>6523.2</v>
      </c>
      <c r="AJ40" s="100">
        <v>7</v>
      </c>
      <c r="AK40" s="100">
        <v>5073.5999999999995</v>
      </c>
      <c r="AL40" s="100">
        <v>10</v>
      </c>
      <c r="AM40" s="100">
        <v>7248</v>
      </c>
      <c r="AN40" s="100">
        <v>14</v>
      </c>
      <c r="AO40" s="100">
        <v>10147.199999999999</v>
      </c>
      <c r="AP40" s="100">
        <v>12</v>
      </c>
      <c r="AQ40" s="100">
        <v>8697.5999999999985</v>
      </c>
      <c r="AR40" s="100">
        <v>10</v>
      </c>
      <c r="AS40" s="100">
        <v>7248</v>
      </c>
      <c r="AT40" s="100">
        <v>9</v>
      </c>
      <c r="AU40" s="100">
        <v>6523.2</v>
      </c>
      <c r="AV40" s="100">
        <v>11</v>
      </c>
      <c r="AW40" s="100">
        <v>7972.7999999999993</v>
      </c>
      <c r="AX40" s="100">
        <v>9</v>
      </c>
      <c r="AY40" s="100">
        <v>6523.2</v>
      </c>
      <c r="AZ40" s="100">
        <v>13</v>
      </c>
      <c r="BA40" s="100">
        <v>9422.4</v>
      </c>
      <c r="BB40" s="100">
        <v>10</v>
      </c>
      <c r="BC40" s="100">
        <v>7248</v>
      </c>
      <c r="BD40" s="100">
        <v>12</v>
      </c>
      <c r="BE40" s="100">
        <v>8697.5999999999985</v>
      </c>
      <c r="BF40" s="100">
        <v>9</v>
      </c>
      <c r="BG40" s="100">
        <v>6523.2</v>
      </c>
      <c r="BH40" s="100">
        <v>11</v>
      </c>
      <c r="BI40" s="100">
        <v>7972.7999999999993</v>
      </c>
      <c r="BJ40" s="100">
        <v>6.3371522094926727</v>
      </c>
      <c r="BK40" s="100">
        <v>4593.1679214402884</v>
      </c>
      <c r="BL40" s="100">
        <v>10.172664382888401</v>
      </c>
      <c r="BM40" s="100">
        <v>7373.1471447175127</v>
      </c>
      <c r="BN40" s="100">
        <v>15</v>
      </c>
      <c r="BO40" s="100">
        <v>10872</v>
      </c>
      <c r="BP40" s="100">
        <v>7.2029629629629657</v>
      </c>
      <c r="BQ40" s="100">
        <v>5220.7075555555575</v>
      </c>
      <c r="BR40" s="100">
        <v>16</v>
      </c>
      <c r="BS40" s="100">
        <v>11596.8</v>
      </c>
      <c r="BT40" s="100">
        <v>7.0933333333333364</v>
      </c>
      <c r="BU40" s="100">
        <v>5141.2480000000023</v>
      </c>
      <c r="BV40" s="100">
        <v>12</v>
      </c>
      <c r="BW40" s="100">
        <v>8697.5999999999985</v>
      </c>
      <c r="BX40" s="100">
        <v>14</v>
      </c>
      <c r="BY40" s="100">
        <v>10147.199999999999</v>
      </c>
      <c r="BZ40" s="100">
        <v>10.291567724260391</v>
      </c>
      <c r="CA40" s="100">
        <v>7459.3282865439305</v>
      </c>
      <c r="CB40" s="100">
        <v>9.0810514683192327</v>
      </c>
      <c r="CC40" s="100">
        <v>6581.9461042377798</v>
      </c>
      <c r="CD40" s="100">
        <v>8</v>
      </c>
      <c r="CE40" s="100">
        <v>5798.4</v>
      </c>
      <c r="CF40" s="100">
        <v>8</v>
      </c>
      <c r="CG40" s="100">
        <v>5798.4</v>
      </c>
      <c r="CH40" s="100">
        <v>4.8424291177080336</v>
      </c>
      <c r="CI40" s="100">
        <v>3509.7926245147823</v>
      </c>
      <c r="CJ40" s="100">
        <v>14</v>
      </c>
      <c r="CK40" s="100">
        <v>10147.199999999999</v>
      </c>
      <c r="CL40" s="100">
        <v>9</v>
      </c>
      <c r="CM40" s="100">
        <v>6523.2</v>
      </c>
      <c r="CN40" s="100">
        <v>8</v>
      </c>
      <c r="CO40" s="100">
        <v>5798.4</v>
      </c>
      <c r="CP40" s="100">
        <v>12</v>
      </c>
      <c r="CQ40" s="100">
        <v>8697.5999999999985</v>
      </c>
      <c r="CR40" s="100">
        <v>10</v>
      </c>
      <c r="CS40" s="100">
        <v>7248</v>
      </c>
      <c r="CT40" s="100">
        <v>10</v>
      </c>
      <c r="CU40" s="100">
        <v>7248</v>
      </c>
    </row>
    <row r="41" spans="2:99">
      <c r="C41" s="99" t="s">
        <v>207</v>
      </c>
      <c r="D41" s="100">
        <v>11</v>
      </c>
      <c r="E41" s="100">
        <v>7260</v>
      </c>
      <c r="F41" s="100">
        <v>13</v>
      </c>
      <c r="G41" s="100">
        <v>8580</v>
      </c>
      <c r="H41" s="100">
        <v>14</v>
      </c>
      <c r="I41" s="100">
        <v>9240</v>
      </c>
      <c r="J41" s="100">
        <v>8</v>
      </c>
      <c r="K41" s="100">
        <v>5280</v>
      </c>
      <c r="L41" s="100">
        <v>13</v>
      </c>
      <c r="M41" s="100">
        <v>8580</v>
      </c>
      <c r="N41" s="100">
        <v>7.445251745409978</v>
      </c>
      <c r="O41" s="100">
        <v>4913.8661519705856</v>
      </c>
      <c r="P41" s="100">
        <v>10</v>
      </c>
      <c r="Q41" s="100">
        <v>6600</v>
      </c>
      <c r="R41" s="100">
        <v>15</v>
      </c>
      <c r="S41" s="100">
        <v>9900</v>
      </c>
      <c r="T41" s="100">
        <v>8</v>
      </c>
      <c r="U41" s="100">
        <v>5280</v>
      </c>
      <c r="V41" s="100">
        <v>13</v>
      </c>
      <c r="W41" s="100">
        <v>8580</v>
      </c>
      <c r="X41" s="100">
        <v>13</v>
      </c>
      <c r="Y41" s="100">
        <v>8580</v>
      </c>
      <c r="Z41" s="100">
        <v>14</v>
      </c>
      <c r="AA41" s="100">
        <v>9240</v>
      </c>
      <c r="AB41" s="100">
        <v>7</v>
      </c>
      <c r="AC41" s="100">
        <v>4620</v>
      </c>
      <c r="AD41" s="100">
        <v>8</v>
      </c>
      <c r="AE41" s="100">
        <v>5280</v>
      </c>
      <c r="AF41" s="100">
        <v>11</v>
      </c>
      <c r="AG41" s="100">
        <v>7260</v>
      </c>
      <c r="AH41" s="100">
        <v>10</v>
      </c>
      <c r="AI41" s="100">
        <v>6600</v>
      </c>
      <c r="AJ41" s="100">
        <v>8</v>
      </c>
      <c r="AK41" s="100">
        <v>5280</v>
      </c>
      <c r="AL41" s="100">
        <v>11</v>
      </c>
      <c r="AM41" s="100">
        <v>7260</v>
      </c>
      <c r="AN41" s="100">
        <v>14</v>
      </c>
      <c r="AO41" s="100">
        <v>9240</v>
      </c>
      <c r="AP41" s="100">
        <v>13</v>
      </c>
      <c r="AQ41" s="100">
        <v>8580</v>
      </c>
      <c r="AR41" s="100">
        <v>11</v>
      </c>
      <c r="AS41" s="100">
        <v>7260</v>
      </c>
      <c r="AT41" s="100">
        <v>8</v>
      </c>
      <c r="AU41" s="100">
        <v>5280</v>
      </c>
      <c r="AV41" s="100">
        <v>12</v>
      </c>
      <c r="AW41" s="100">
        <v>7920</v>
      </c>
      <c r="AX41" s="100">
        <v>9</v>
      </c>
      <c r="AY41" s="100">
        <v>5940</v>
      </c>
      <c r="AZ41" s="100">
        <v>15</v>
      </c>
      <c r="BA41" s="100">
        <v>9900</v>
      </c>
      <c r="BB41" s="100">
        <v>9</v>
      </c>
      <c r="BC41" s="100">
        <v>5940</v>
      </c>
      <c r="BD41" s="100">
        <v>12</v>
      </c>
      <c r="BE41" s="100">
        <v>7920</v>
      </c>
      <c r="BF41" s="100">
        <v>8</v>
      </c>
      <c r="BG41" s="100">
        <v>5280</v>
      </c>
      <c r="BH41" s="100">
        <v>12</v>
      </c>
      <c r="BI41" s="100">
        <v>7920</v>
      </c>
      <c r="BJ41" s="100">
        <v>6.3371522094926727</v>
      </c>
      <c r="BK41" s="100">
        <v>4182.5204582651641</v>
      </c>
      <c r="BL41" s="100">
        <v>10.172664382888401</v>
      </c>
      <c r="BM41" s="100">
        <v>6713.9584927063452</v>
      </c>
      <c r="BN41" s="100">
        <v>15</v>
      </c>
      <c r="BO41" s="100">
        <v>9900</v>
      </c>
      <c r="BP41" s="100">
        <v>7.2029629629629657</v>
      </c>
      <c r="BQ41" s="100">
        <v>4753.9555555555571</v>
      </c>
      <c r="BR41" s="100">
        <v>14</v>
      </c>
      <c r="BS41" s="100">
        <v>9240</v>
      </c>
      <c r="BT41" s="100">
        <v>6.3051851851851879</v>
      </c>
      <c r="BU41" s="100">
        <v>4161.4222222222243</v>
      </c>
      <c r="BV41" s="100">
        <v>11</v>
      </c>
      <c r="BW41" s="100">
        <v>7260</v>
      </c>
      <c r="BX41" s="100">
        <v>14</v>
      </c>
      <c r="BY41" s="100">
        <v>9240</v>
      </c>
      <c r="BZ41" s="100">
        <v>10.291567724260391</v>
      </c>
      <c r="CA41" s="100">
        <v>6792.434698011858</v>
      </c>
      <c r="CB41" s="100">
        <v>9.0810514683192327</v>
      </c>
      <c r="CC41" s="100">
        <v>5993.493969090694</v>
      </c>
      <c r="CD41" s="100">
        <v>8</v>
      </c>
      <c r="CE41" s="100">
        <v>5280</v>
      </c>
      <c r="CF41" s="100">
        <v>8</v>
      </c>
      <c r="CG41" s="100">
        <v>5280</v>
      </c>
      <c r="CH41" s="100">
        <v>4.8424291177080336</v>
      </c>
      <c r="CI41" s="100">
        <v>3196.0032176873024</v>
      </c>
      <c r="CJ41" s="100">
        <v>13</v>
      </c>
      <c r="CK41" s="100">
        <v>8580</v>
      </c>
      <c r="CL41" s="100">
        <v>9</v>
      </c>
      <c r="CM41" s="100">
        <v>5940</v>
      </c>
      <c r="CN41" s="100">
        <v>9</v>
      </c>
      <c r="CO41" s="100">
        <v>5940</v>
      </c>
      <c r="CP41" s="100">
        <v>12</v>
      </c>
      <c r="CQ41" s="100">
        <v>7920</v>
      </c>
      <c r="CR41" s="100">
        <v>11</v>
      </c>
      <c r="CS41" s="100">
        <v>7260</v>
      </c>
      <c r="CT41" s="100">
        <v>10</v>
      </c>
      <c r="CU41" s="100">
        <v>6600</v>
      </c>
    </row>
    <row r="42" spans="2:99">
      <c r="C42" s="99" t="s">
        <v>208</v>
      </c>
      <c r="D42" s="100">
        <v>11</v>
      </c>
      <c r="E42" s="100">
        <v>9306</v>
      </c>
      <c r="F42" s="100">
        <v>15</v>
      </c>
      <c r="G42" s="100">
        <v>12690</v>
      </c>
      <c r="H42" s="100">
        <v>12</v>
      </c>
      <c r="I42" s="100">
        <v>10152</v>
      </c>
      <c r="J42" s="100">
        <v>7</v>
      </c>
      <c r="K42" s="100">
        <v>5922</v>
      </c>
      <c r="L42" s="100">
        <v>13</v>
      </c>
      <c r="M42" s="100">
        <v>10998</v>
      </c>
      <c r="N42" s="100">
        <v>8.3759082135862268</v>
      </c>
      <c r="O42" s="100">
        <v>7086.0183486939477</v>
      </c>
      <c r="P42" s="100">
        <v>10</v>
      </c>
      <c r="Q42" s="100">
        <v>8460</v>
      </c>
      <c r="R42" s="100">
        <v>13</v>
      </c>
      <c r="S42" s="100">
        <v>10998</v>
      </c>
      <c r="T42" s="100">
        <v>7</v>
      </c>
      <c r="U42" s="100">
        <v>5922</v>
      </c>
      <c r="V42" s="100">
        <v>12</v>
      </c>
      <c r="W42" s="100">
        <v>10152</v>
      </c>
      <c r="X42" s="100">
        <v>13</v>
      </c>
      <c r="Y42" s="100">
        <v>10998</v>
      </c>
      <c r="Z42" s="100">
        <v>12</v>
      </c>
      <c r="AA42" s="100">
        <v>10152</v>
      </c>
      <c r="AB42" s="100">
        <v>9</v>
      </c>
      <c r="AC42" s="100">
        <v>7614</v>
      </c>
      <c r="AD42" s="100">
        <v>8</v>
      </c>
      <c r="AE42" s="100">
        <v>6768</v>
      </c>
      <c r="AF42" s="100">
        <v>10</v>
      </c>
      <c r="AG42" s="100">
        <v>8460</v>
      </c>
      <c r="AH42" s="100">
        <v>10</v>
      </c>
      <c r="AI42" s="100">
        <v>8460</v>
      </c>
      <c r="AJ42" s="100">
        <v>7</v>
      </c>
      <c r="AK42" s="100">
        <v>5922</v>
      </c>
      <c r="AL42" s="100">
        <v>11</v>
      </c>
      <c r="AM42" s="100">
        <v>9306</v>
      </c>
      <c r="AN42" s="100">
        <v>13</v>
      </c>
      <c r="AO42" s="100">
        <v>10998</v>
      </c>
      <c r="AP42" s="100">
        <v>12</v>
      </c>
      <c r="AQ42" s="100">
        <v>10152</v>
      </c>
      <c r="AR42" s="100">
        <v>11</v>
      </c>
      <c r="AS42" s="100">
        <v>9306</v>
      </c>
      <c r="AT42" s="100">
        <v>8</v>
      </c>
      <c r="AU42" s="100">
        <v>6768</v>
      </c>
      <c r="AV42" s="100">
        <v>11</v>
      </c>
      <c r="AW42" s="100">
        <v>9306</v>
      </c>
      <c r="AX42" s="100">
        <v>8</v>
      </c>
      <c r="AY42" s="100">
        <v>6768</v>
      </c>
      <c r="AZ42" s="100">
        <v>15</v>
      </c>
      <c r="BA42" s="100">
        <v>12690</v>
      </c>
      <c r="BB42" s="100">
        <v>9</v>
      </c>
      <c r="BC42" s="100">
        <v>7614</v>
      </c>
      <c r="BD42" s="100">
        <v>11</v>
      </c>
      <c r="BE42" s="100">
        <v>9306</v>
      </c>
      <c r="BF42" s="100">
        <v>8</v>
      </c>
      <c r="BG42" s="100">
        <v>6768</v>
      </c>
      <c r="BH42" s="100">
        <v>11</v>
      </c>
      <c r="BI42" s="100">
        <v>9306</v>
      </c>
      <c r="BJ42" s="100">
        <v>6.3371522094926727</v>
      </c>
      <c r="BK42" s="100">
        <v>5361.2307692308013</v>
      </c>
      <c r="BL42" s="100">
        <v>10.172664382888401</v>
      </c>
      <c r="BM42" s="100">
        <v>8606.0740679235878</v>
      </c>
      <c r="BN42" s="100">
        <v>15</v>
      </c>
      <c r="BO42" s="100">
        <v>12690</v>
      </c>
      <c r="BP42" s="100">
        <v>7.2029629629629657</v>
      </c>
      <c r="BQ42" s="100">
        <v>6093.7066666666688</v>
      </c>
      <c r="BR42" s="100">
        <v>15</v>
      </c>
      <c r="BS42" s="100">
        <v>12690</v>
      </c>
      <c r="BT42" s="100">
        <v>7.0933333333333364</v>
      </c>
      <c r="BU42" s="100">
        <v>6000.9600000000028</v>
      </c>
      <c r="BV42" s="100">
        <v>11</v>
      </c>
      <c r="BW42" s="100">
        <v>9306</v>
      </c>
      <c r="BX42" s="100">
        <v>12</v>
      </c>
      <c r="BY42" s="100">
        <v>10152</v>
      </c>
      <c r="BZ42" s="100">
        <v>10.291567724260391</v>
      </c>
      <c r="CA42" s="100">
        <v>8706.6662947242912</v>
      </c>
      <c r="CB42" s="100">
        <v>8.3825090476792905</v>
      </c>
      <c r="CC42" s="100">
        <v>7091.6026543366797</v>
      </c>
      <c r="CD42" s="100">
        <v>8</v>
      </c>
      <c r="CE42" s="100">
        <v>6768</v>
      </c>
      <c r="CF42" s="100">
        <v>8</v>
      </c>
      <c r="CG42" s="100">
        <v>6768</v>
      </c>
      <c r="CH42" s="100">
        <v>4.5196005098608314</v>
      </c>
      <c r="CI42" s="100">
        <v>3823.5820313422632</v>
      </c>
      <c r="CJ42" s="100">
        <v>12</v>
      </c>
      <c r="CK42" s="100">
        <v>10152</v>
      </c>
      <c r="CL42" s="100">
        <v>8</v>
      </c>
      <c r="CM42" s="100">
        <v>6768</v>
      </c>
      <c r="CN42" s="100">
        <v>8</v>
      </c>
      <c r="CO42" s="100">
        <v>6768</v>
      </c>
      <c r="CP42" s="100">
        <v>12</v>
      </c>
      <c r="CQ42" s="100">
        <v>10152</v>
      </c>
      <c r="CR42" s="100">
        <v>11</v>
      </c>
      <c r="CS42" s="100">
        <v>9306</v>
      </c>
      <c r="CT42" s="100">
        <v>11</v>
      </c>
      <c r="CU42" s="100">
        <v>9306</v>
      </c>
    </row>
    <row r="43" spans="2:99">
      <c r="C43" s="99" t="s">
        <v>209</v>
      </c>
      <c r="D43" s="100">
        <v>12</v>
      </c>
      <c r="E43" s="100">
        <v>12268.8</v>
      </c>
      <c r="F43" s="100">
        <v>14</v>
      </c>
      <c r="G43" s="100">
        <v>14313.6</v>
      </c>
      <c r="H43" s="100">
        <v>13</v>
      </c>
      <c r="I43" s="100">
        <v>13291.199999999999</v>
      </c>
      <c r="J43" s="100">
        <v>8</v>
      </c>
      <c r="K43" s="100">
        <v>8179.2</v>
      </c>
      <c r="L43" s="100">
        <v>13</v>
      </c>
      <c r="M43" s="100">
        <v>13291.199999999999</v>
      </c>
      <c r="N43" s="100">
        <v>7.445251745409978</v>
      </c>
      <c r="O43" s="100">
        <v>7612.0253845071611</v>
      </c>
      <c r="P43" s="100">
        <v>11</v>
      </c>
      <c r="Q43" s="100">
        <v>11246.4</v>
      </c>
      <c r="R43" s="100">
        <v>14</v>
      </c>
      <c r="S43" s="100">
        <v>14313.6</v>
      </c>
      <c r="T43" s="100">
        <v>7</v>
      </c>
      <c r="U43" s="100">
        <v>7156.8</v>
      </c>
      <c r="V43" s="100">
        <v>13</v>
      </c>
      <c r="W43" s="100">
        <v>13291.199999999999</v>
      </c>
      <c r="X43" s="100">
        <v>13</v>
      </c>
      <c r="Y43" s="100">
        <v>13291.199999999999</v>
      </c>
      <c r="Z43" s="100">
        <v>12</v>
      </c>
      <c r="AA43" s="100">
        <v>12268.8</v>
      </c>
      <c r="AB43" s="100">
        <v>8</v>
      </c>
      <c r="AC43" s="100">
        <v>8179.2</v>
      </c>
      <c r="AD43" s="100">
        <v>8</v>
      </c>
      <c r="AE43" s="100">
        <v>8179.2</v>
      </c>
      <c r="AF43" s="100">
        <v>11</v>
      </c>
      <c r="AG43" s="100">
        <v>11246.4</v>
      </c>
      <c r="AH43" s="100">
        <v>9</v>
      </c>
      <c r="AI43" s="100">
        <v>9201.6</v>
      </c>
      <c r="AJ43" s="100">
        <v>7</v>
      </c>
      <c r="AK43" s="100">
        <v>7156.8</v>
      </c>
      <c r="AL43" s="100">
        <v>11</v>
      </c>
      <c r="AM43" s="100">
        <v>11246.4</v>
      </c>
      <c r="AN43" s="100">
        <v>13</v>
      </c>
      <c r="AO43" s="100">
        <v>13291.199999999999</v>
      </c>
      <c r="AP43" s="100">
        <v>13</v>
      </c>
      <c r="AQ43" s="100">
        <v>13291.199999999999</v>
      </c>
      <c r="AR43" s="100">
        <v>10</v>
      </c>
      <c r="AS43" s="100">
        <v>10224</v>
      </c>
      <c r="AT43" s="100">
        <v>9</v>
      </c>
      <c r="AU43" s="100">
        <v>9201.6</v>
      </c>
      <c r="AV43" s="100">
        <v>10</v>
      </c>
      <c r="AW43" s="100">
        <v>10224</v>
      </c>
      <c r="AX43" s="100">
        <v>10</v>
      </c>
      <c r="AY43" s="100">
        <v>10224</v>
      </c>
      <c r="AZ43" s="100">
        <v>14</v>
      </c>
      <c r="BA43" s="100">
        <v>14313.6</v>
      </c>
      <c r="BB43" s="100">
        <v>9</v>
      </c>
      <c r="BC43" s="100">
        <v>9201.6</v>
      </c>
      <c r="BD43" s="100">
        <v>11</v>
      </c>
      <c r="BE43" s="100">
        <v>11246.4</v>
      </c>
      <c r="BF43" s="100">
        <v>7</v>
      </c>
      <c r="BG43" s="100">
        <v>7156.8</v>
      </c>
      <c r="BH43" s="100">
        <v>11</v>
      </c>
      <c r="BI43" s="100">
        <v>11246.4</v>
      </c>
      <c r="BJ43" s="100">
        <v>5.5450081833060878</v>
      </c>
      <c r="BK43" s="100">
        <v>5669.2163666121442</v>
      </c>
      <c r="BL43" s="100">
        <v>8.7194266139043446</v>
      </c>
      <c r="BM43" s="100">
        <v>8914.7417700558017</v>
      </c>
      <c r="BN43" s="100">
        <v>16</v>
      </c>
      <c r="BO43" s="100">
        <v>16358.4</v>
      </c>
      <c r="BP43" s="100">
        <v>7.8577777777777822</v>
      </c>
      <c r="BQ43" s="100">
        <v>8033.792000000004</v>
      </c>
      <c r="BR43" s="100">
        <v>14</v>
      </c>
      <c r="BS43" s="100">
        <v>14313.6</v>
      </c>
      <c r="BT43" s="100">
        <v>6.3051851851851879</v>
      </c>
      <c r="BU43" s="100">
        <v>6446.4213333333364</v>
      </c>
      <c r="BV43" s="100">
        <v>10</v>
      </c>
      <c r="BW43" s="100">
        <v>10224</v>
      </c>
      <c r="BX43" s="100">
        <v>13</v>
      </c>
      <c r="BY43" s="100">
        <v>13291.199999999999</v>
      </c>
      <c r="BZ43" s="100">
        <v>9.4339370805720257</v>
      </c>
      <c r="CA43" s="100">
        <v>9645.2572711768389</v>
      </c>
      <c r="CB43" s="100">
        <v>8.3825090476792905</v>
      </c>
      <c r="CC43" s="100">
        <v>8570.2772503473061</v>
      </c>
      <c r="CD43" s="100">
        <v>8</v>
      </c>
      <c r="CE43" s="100">
        <v>8179.2</v>
      </c>
      <c r="CF43" s="100">
        <v>8</v>
      </c>
      <c r="CG43" s="100">
        <v>8179.2</v>
      </c>
      <c r="CH43" s="100">
        <v>4.1967719020136292</v>
      </c>
      <c r="CI43" s="100">
        <v>4290.7795926187346</v>
      </c>
      <c r="CJ43" s="100">
        <v>13</v>
      </c>
      <c r="CK43" s="100">
        <v>13291.199999999999</v>
      </c>
      <c r="CL43" s="100">
        <v>8</v>
      </c>
      <c r="CM43" s="100">
        <v>8179.2</v>
      </c>
      <c r="CN43" s="100">
        <v>9</v>
      </c>
      <c r="CO43" s="100">
        <v>9201.6</v>
      </c>
      <c r="CP43" s="100">
        <v>12</v>
      </c>
      <c r="CQ43" s="100">
        <v>12268.8</v>
      </c>
      <c r="CR43" s="100">
        <v>10</v>
      </c>
      <c r="CS43" s="100">
        <v>10224</v>
      </c>
      <c r="CT43" s="100">
        <v>11</v>
      </c>
      <c r="CU43" s="100">
        <v>11246.4</v>
      </c>
    </row>
    <row r="44" spans="2:99">
      <c r="C44" s="99" t="s">
        <v>210</v>
      </c>
      <c r="D44" s="100">
        <v>11</v>
      </c>
      <c r="E44" s="100">
        <v>11246.4</v>
      </c>
      <c r="F44" s="100">
        <v>15</v>
      </c>
      <c r="G44" s="100">
        <v>15336</v>
      </c>
      <c r="H44" s="100">
        <v>13</v>
      </c>
      <c r="I44" s="100">
        <v>13291.199999999999</v>
      </c>
      <c r="J44" s="100">
        <v>9</v>
      </c>
      <c r="K44" s="100">
        <v>9201.6</v>
      </c>
      <c r="L44" s="100">
        <v>11</v>
      </c>
      <c r="M44" s="100">
        <v>11246.4</v>
      </c>
      <c r="N44" s="100">
        <v>7.445251745409978</v>
      </c>
      <c r="O44" s="100">
        <v>7612.0253845071611</v>
      </c>
      <c r="P44" s="100">
        <v>11</v>
      </c>
      <c r="Q44" s="100">
        <v>11246.4</v>
      </c>
      <c r="R44" s="100">
        <v>14</v>
      </c>
      <c r="S44" s="100">
        <v>14313.6</v>
      </c>
      <c r="T44" s="100">
        <v>7</v>
      </c>
      <c r="U44" s="100">
        <v>7156.8</v>
      </c>
      <c r="V44" s="100">
        <v>13</v>
      </c>
      <c r="W44" s="100">
        <v>13291.199999999999</v>
      </c>
      <c r="X44" s="100">
        <v>13</v>
      </c>
      <c r="Y44" s="100">
        <v>13291.199999999999</v>
      </c>
      <c r="Z44" s="100">
        <v>14</v>
      </c>
      <c r="AA44" s="100">
        <v>14313.6</v>
      </c>
      <c r="AB44" s="100">
        <v>8</v>
      </c>
      <c r="AC44" s="100">
        <v>8179.2</v>
      </c>
      <c r="AD44" s="100">
        <v>8</v>
      </c>
      <c r="AE44" s="100">
        <v>8179.2</v>
      </c>
      <c r="AF44" s="100">
        <v>10</v>
      </c>
      <c r="AG44" s="100">
        <v>10224</v>
      </c>
      <c r="AH44" s="100">
        <v>9</v>
      </c>
      <c r="AI44" s="100">
        <v>9201.6</v>
      </c>
      <c r="AJ44" s="100">
        <v>7</v>
      </c>
      <c r="AK44" s="100">
        <v>7156.8</v>
      </c>
      <c r="AL44" s="100">
        <v>11</v>
      </c>
      <c r="AM44" s="100">
        <v>11246.4</v>
      </c>
      <c r="AN44" s="100">
        <v>12</v>
      </c>
      <c r="AO44" s="100">
        <v>12268.8</v>
      </c>
      <c r="AP44" s="100">
        <v>13</v>
      </c>
      <c r="AQ44" s="100">
        <v>13291.199999999999</v>
      </c>
      <c r="AR44" s="100">
        <v>10</v>
      </c>
      <c r="AS44" s="100">
        <v>10224</v>
      </c>
      <c r="AT44" s="100">
        <v>8</v>
      </c>
      <c r="AU44" s="100">
        <v>8179.2</v>
      </c>
      <c r="AV44" s="100">
        <v>11</v>
      </c>
      <c r="AW44" s="100">
        <v>11246.4</v>
      </c>
      <c r="AX44" s="100">
        <v>9</v>
      </c>
      <c r="AY44" s="100">
        <v>9201.6</v>
      </c>
      <c r="AZ44" s="100">
        <v>14</v>
      </c>
      <c r="BA44" s="100">
        <v>14313.6</v>
      </c>
      <c r="BB44" s="100">
        <v>10</v>
      </c>
      <c r="BC44" s="100">
        <v>10224</v>
      </c>
      <c r="BD44" s="100">
        <v>12</v>
      </c>
      <c r="BE44" s="100">
        <v>12268.8</v>
      </c>
      <c r="BF44" s="100">
        <v>8</v>
      </c>
      <c r="BG44" s="100">
        <v>8179.2</v>
      </c>
      <c r="BH44" s="100">
        <v>10</v>
      </c>
      <c r="BI44" s="100">
        <v>10224</v>
      </c>
      <c r="BJ44" s="100">
        <v>5.5450081833060878</v>
      </c>
      <c r="BK44" s="100">
        <v>5669.2163666121442</v>
      </c>
      <c r="BL44" s="100">
        <v>8.7194266139043446</v>
      </c>
      <c r="BM44" s="100">
        <v>8914.7417700558017</v>
      </c>
      <c r="BN44" s="100">
        <v>15</v>
      </c>
      <c r="BO44" s="100">
        <v>15336</v>
      </c>
      <c r="BP44" s="100">
        <v>7.8577777777777822</v>
      </c>
      <c r="BQ44" s="100">
        <v>8033.792000000004</v>
      </c>
      <c r="BR44" s="100">
        <v>15</v>
      </c>
      <c r="BS44" s="100">
        <v>15336</v>
      </c>
      <c r="BT44" s="100">
        <v>5.5170370370370394</v>
      </c>
      <c r="BU44" s="100">
        <v>5640.618666666669</v>
      </c>
      <c r="BV44" s="100">
        <v>11</v>
      </c>
      <c r="BW44" s="100">
        <v>11246.4</v>
      </c>
      <c r="BX44" s="100">
        <v>14</v>
      </c>
      <c r="BY44" s="100">
        <v>14313.6</v>
      </c>
      <c r="BZ44" s="100">
        <v>11.149198367948758</v>
      </c>
      <c r="CA44" s="100">
        <v>11398.940411390809</v>
      </c>
      <c r="CB44" s="100">
        <v>9.0810514683192327</v>
      </c>
      <c r="CC44" s="100">
        <v>9284.4670212095825</v>
      </c>
      <c r="CD44" s="100">
        <v>8</v>
      </c>
      <c r="CE44" s="100">
        <v>8179.2</v>
      </c>
      <c r="CF44" s="100">
        <v>9</v>
      </c>
      <c r="CG44" s="100">
        <v>9201.6</v>
      </c>
      <c r="CH44" s="100">
        <v>4.8424291177080336</v>
      </c>
      <c r="CI44" s="100">
        <v>4950.8995299446933</v>
      </c>
      <c r="CJ44" s="100">
        <v>12</v>
      </c>
      <c r="CK44" s="100">
        <v>12268.8</v>
      </c>
      <c r="CL44" s="100">
        <v>8</v>
      </c>
      <c r="CM44" s="100">
        <v>8179.2</v>
      </c>
      <c r="CN44" s="100">
        <v>8</v>
      </c>
      <c r="CO44" s="100">
        <v>8179.2</v>
      </c>
      <c r="CP44" s="100">
        <v>13</v>
      </c>
      <c r="CQ44" s="100">
        <v>13291.199999999999</v>
      </c>
      <c r="CR44" s="100">
        <v>11</v>
      </c>
      <c r="CS44" s="100">
        <v>11246.4</v>
      </c>
      <c r="CT44" s="100">
        <v>10</v>
      </c>
      <c r="CU44" s="100">
        <v>10224</v>
      </c>
    </row>
    <row r="45" spans="2:99">
      <c r="C45" s="99" t="s">
        <v>211</v>
      </c>
      <c r="D45" s="100">
        <v>12</v>
      </c>
      <c r="E45" s="100">
        <v>14990.400000000001</v>
      </c>
      <c r="F45" s="100">
        <v>14</v>
      </c>
      <c r="G45" s="100">
        <v>17488.8</v>
      </c>
      <c r="H45" s="100">
        <v>13</v>
      </c>
      <c r="I45" s="100">
        <v>16239.6</v>
      </c>
      <c r="J45" s="100">
        <v>9</v>
      </c>
      <c r="K45" s="100">
        <v>11242.800000000001</v>
      </c>
      <c r="L45" s="100">
        <v>12</v>
      </c>
      <c r="M45" s="100">
        <v>14990.400000000001</v>
      </c>
      <c r="N45" s="100">
        <v>8.3759082135862268</v>
      </c>
      <c r="O45" s="100">
        <v>10463.184540411916</v>
      </c>
      <c r="P45" s="100">
        <v>12</v>
      </c>
      <c r="Q45" s="100">
        <v>14990.400000000001</v>
      </c>
      <c r="R45" s="100">
        <v>14</v>
      </c>
      <c r="S45" s="100">
        <v>17488.8</v>
      </c>
      <c r="T45" s="100">
        <v>7</v>
      </c>
      <c r="U45" s="100">
        <v>8744.4</v>
      </c>
      <c r="V45" s="100">
        <v>12</v>
      </c>
      <c r="W45" s="100">
        <v>14990.400000000001</v>
      </c>
      <c r="X45" s="100">
        <v>13</v>
      </c>
      <c r="Y45" s="100">
        <v>16239.6</v>
      </c>
      <c r="Z45" s="100">
        <v>13</v>
      </c>
      <c r="AA45" s="100">
        <v>16239.6</v>
      </c>
      <c r="AB45" s="100">
        <v>9</v>
      </c>
      <c r="AC45" s="100">
        <v>11242.800000000001</v>
      </c>
      <c r="AD45" s="100">
        <v>8</v>
      </c>
      <c r="AE45" s="100">
        <v>9993.6</v>
      </c>
      <c r="AF45" s="100">
        <v>11</v>
      </c>
      <c r="AG45" s="100">
        <v>13741.2</v>
      </c>
      <c r="AH45" s="100">
        <v>8</v>
      </c>
      <c r="AI45" s="100">
        <v>9993.6</v>
      </c>
      <c r="AJ45" s="100">
        <v>7</v>
      </c>
      <c r="AK45" s="100">
        <v>8744.4</v>
      </c>
      <c r="AL45" s="100">
        <v>11</v>
      </c>
      <c r="AM45" s="100">
        <v>13741.2</v>
      </c>
      <c r="AN45" s="100">
        <v>11</v>
      </c>
      <c r="AO45" s="100">
        <v>13741.2</v>
      </c>
      <c r="AP45" s="100">
        <v>11</v>
      </c>
      <c r="AQ45" s="100">
        <v>13741.2</v>
      </c>
      <c r="AR45" s="100">
        <v>10</v>
      </c>
      <c r="AS45" s="100">
        <v>12492</v>
      </c>
      <c r="AT45" s="100">
        <v>9</v>
      </c>
      <c r="AU45" s="100">
        <v>11242.800000000001</v>
      </c>
      <c r="AV45" s="100">
        <v>11</v>
      </c>
      <c r="AW45" s="100">
        <v>13741.2</v>
      </c>
      <c r="AX45" s="100">
        <v>9</v>
      </c>
      <c r="AY45" s="100">
        <v>11242.800000000001</v>
      </c>
      <c r="AZ45" s="100">
        <v>12</v>
      </c>
      <c r="BA45" s="100">
        <v>14990.400000000001</v>
      </c>
      <c r="BB45" s="100">
        <v>9</v>
      </c>
      <c r="BC45" s="100">
        <v>11242.800000000001</v>
      </c>
      <c r="BD45" s="100">
        <v>12</v>
      </c>
      <c r="BE45" s="100">
        <v>14990.400000000001</v>
      </c>
      <c r="BF45" s="100">
        <v>7</v>
      </c>
      <c r="BG45" s="100">
        <v>8744.4</v>
      </c>
      <c r="BH45" s="100">
        <v>10</v>
      </c>
      <c r="BI45" s="100">
        <v>12492</v>
      </c>
      <c r="BJ45" s="100">
        <v>6.3371522094926727</v>
      </c>
      <c r="BK45" s="100">
        <v>7916.3705400982471</v>
      </c>
      <c r="BL45" s="100">
        <v>8.7194266139043446</v>
      </c>
      <c r="BM45" s="100">
        <v>10892.307726089308</v>
      </c>
      <c r="BN45" s="100">
        <v>14</v>
      </c>
      <c r="BO45" s="100">
        <v>17488.8</v>
      </c>
      <c r="BP45" s="100">
        <v>8.5125925925925969</v>
      </c>
      <c r="BQ45" s="100">
        <v>10633.930666666673</v>
      </c>
      <c r="BR45" s="100">
        <v>14</v>
      </c>
      <c r="BS45" s="100">
        <v>17488.8</v>
      </c>
      <c r="BT45" s="100">
        <v>7.0933333333333364</v>
      </c>
      <c r="BU45" s="100">
        <v>8860.9920000000038</v>
      </c>
      <c r="BV45" s="100">
        <v>12</v>
      </c>
      <c r="BW45" s="100">
        <v>14990.400000000001</v>
      </c>
      <c r="BX45" s="100">
        <v>13</v>
      </c>
      <c r="BY45" s="100">
        <v>16239.6</v>
      </c>
      <c r="BZ45" s="100">
        <v>11.149198367948758</v>
      </c>
      <c r="CA45" s="100">
        <v>13927.578601241588</v>
      </c>
      <c r="CB45" s="100">
        <v>9.0810514683192327</v>
      </c>
      <c r="CC45" s="100">
        <v>11344.049494224386</v>
      </c>
      <c r="CD45" s="100">
        <v>7</v>
      </c>
      <c r="CE45" s="100">
        <v>8744.4</v>
      </c>
      <c r="CF45" s="100">
        <v>9</v>
      </c>
      <c r="CG45" s="100">
        <v>11242.800000000001</v>
      </c>
      <c r="CH45" s="100">
        <v>4.1967719020136292</v>
      </c>
      <c r="CI45" s="100">
        <v>5242.6074599954254</v>
      </c>
      <c r="CJ45" s="100">
        <v>12</v>
      </c>
      <c r="CK45" s="100">
        <v>14990.400000000001</v>
      </c>
      <c r="CL45" s="100">
        <v>8</v>
      </c>
      <c r="CM45" s="100">
        <v>9993.6</v>
      </c>
      <c r="CN45" s="100">
        <v>8</v>
      </c>
      <c r="CO45" s="100">
        <v>9993.6</v>
      </c>
      <c r="CP45" s="100">
        <v>13</v>
      </c>
      <c r="CQ45" s="100">
        <v>16239.6</v>
      </c>
      <c r="CR45" s="100">
        <v>10</v>
      </c>
      <c r="CS45" s="100">
        <v>12492</v>
      </c>
      <c r="CT45" s="100">
        <v>10</v>
      </c>
      <c r="CU45" s="100">
        <v>12492</v>
      </c>
    </row>
    <row r="46" spans="2:99">
      <c r="C46" s="99" t="s">
        <v>212</v>
      </c>
      <c r="D46" s="100">
        <v>11</v>
      </c>
      <c r="E46" s="100">
        <v>13332</v>
      </c>
      <c r="F46" s="100">
        <v>13</v>
      </c>
      <c r="G46" s="100">
        <v>15756</v>
      </c>
      <c r="H46" s="100">
        <v>14</v>
      </c>
      <c r="I46" s="100">
        <v>16968</v>
      </c>
      <c r="J46" s="100">
        <v>8</v>
      </c>
      <c r="K46" s="100">
        <v>9696</v>
      </c>
      <c r="L46" s="100">
        <v>11</v>
      </c>
      <c r="M46" s="100">
        <v>13332</v>
      </c>
      <c r="N46" s="100">
        <v>8.3759082135862268</v>
      </c>
      <c r="O46" s="100">
        <v>10151.600754866507</v>
      </c>
      <c r="P46" s="100">
        <v>12</v>
      </c>
      <c r="Q46" s="100">
        <v>14544</v>
      </c>
      <c r="R46" s="100">
        <v>14</v>
      </c>
      <c r="S46" s="100">
        <v>16968</v>
      </c>
      <c r="T46" s="100">
        <v>7</v>
      </c>
      <c r="U46" s="100">
        <v>8484</v>
      </c>
      <c r="V46" s="100">
        <v>11</v>
      </c>
      <c r="W46" s="100">
        <v>13332</v>
      </c>
      <c r="X46" s="100">
        <v>13</v>
      </c>
      <c r="Y46" s="100">
        <v>15756</v>
      </c>
      <c r="Z46" s="100">
        <v>14</v>
      </c>
      <c r="AA46" s="100">
        <v>16968</v>
      </c>
      <c r="AB46" s="100">
        <v>8</v>
      </c>
      <c r="AC46" s="100">
        <v>9696</v>
      </c>
      <c r="AD46" s="100">
        <v>8</v>
      </c>
      <c r="AE46" s="100">
        <v>9696</v>
      </c>
      <c r="AF46" s="100">
        <v>10</v>
      </c>
      <c r="AG46" s="100">
        <v>12120</v>
      </c>
      <c r="AH46" s="100">
        <v>9</v>
      </c>
      <c r="AI46" s="100">
        <v>10908</v>
      </c>
      <c r="AJ46" s="100">
        <v>8</v>
      </c>
      <c r="AK46" s="100">
        <v>9696</v>
      </c>
      <c r="AL46" s="100">
        <v>10</v>
      </c>
      <c r="AM46" s="100">
        <v>12120</v>
      </c>
      <c r="AN46" s="100">
        <v>13</v>
      </c>
      <c r="AO46" s="100">
        <v>15756</v>
      </c>
      <c r="AP46" s="100">
        <v>12</v>
      </c>
      <c r="AQ46" s="100">
        <v>14544</v>
      </c>
      <c r="AR46" s="100">
        <v>10</v>
      </c>
      <c r="AS46" s="100">
        <v>12120</v>
      </c>
      <c r="AT46" s="100">
        <v>8</v>
      </c>
      <c r="AU46" s="100">
        <v>9696</v>
      </c>
      <c r="AV46" s="100">
        <v>10</v>
      </c>
      <c r="AW46" s="100">
        <v>12120</v>
      </c>
      <c r="AX46" s="100">
        <v>10</v>
      </c>
      <c r="AY46" s="100">
        <v>12120</v>
      </c>
      <c r="AZ46" s="100">
        <v>15</v>
      </c>
      <c r="BA46" s="100">
        <v>18180</v>
      </c>
      <c r="BB46" s="100">
        <v>9</v>
      </c>
      <c r="BC46" s="100">
        <v>10908</v>
      </c>
      <c r="BD46" s="100">
        <v>11</v>
      </c>
      <c r="BE46" s="100">
        <v>13332</v>
      </c>
      <c r="BF46" s="100">
        <v>8</v>
      </c>
      <c r="BG46" s="100">
        <v>9696</v>
      </c>
      <c r="BH46" s="100">
        <v>12</v>
      </c>
      <c r="BI46" s="100">
        <v>14544</v>
      </c>
      <c r="BJ46" s="100">
        <v>6.3371522094926727</v>
      </c>
      <c r="BK46" s="100">
        <v>7680.6284779051193</v>
      </c>
      <c r="BL46" s="100">
        <v>10.172664382888401</v>
      </c>
      <c r="BM46" s="100">
        <v>12329.269232060742</v>
      </c>
      <c r="BN46" s="100">
        <v>14</v>
      </c>
      <c r="BO46" s="100">
        <v>16968</v>
      </c>
      <c r="BP46" s="100">
        <v>7.2029629629629657</v>
      </c>
      <c r="BQ46" s="100">
        <v>8729.9911111111142</v>
      </c>
      <c r="BR46" s="100">
        <v>15</v>
      </c>
      <c r="BS46" s="100">
        <v>18180</v>
      </c>
      <c r="BT46" s="100">
        <v>6.3051851851851879</v>
      </c>
      <c r="BU46" s="100">
        <v>7641.8844444444476</v>
      </c>
      <c r="BV46" s="100">
        <v>12</v>
      </c>
      <c r="BW46" s="100">
        <v>14544</v>
      </c>
      <c r="BX46" s="100">
        <v>12</v>
      </c>
      <c r="BY46" s="100">
        <v>14544</v>
      </c>
      <c r="BZ46" s="100">
        <v>11.149198367948758</v>
      </c>
      <c r="CA46" s="100">
        <v>13512.828421953895</v>
      </c>
      <c r="CB46" s="100">
        <v>8.3825090476792905</v>
      </c>
      <c r="CC46" s="100">
        <v>10159.6009657873</v>
      </c>
      <c r="CD46" s="100">
        <v>8</v>
      </c>
      <c r="CE46" s="100">
        <v>9696</v>
      </c>
      <c r="CF46" s="100">
        <v>8</v>
      </c>
      <c r="CG46" s="100">
        <v>9696</v>
      </c>
      <c r="CH46" s="100">
        <v>4.1967719020136292</v>
      </c>
      <c r="CI46" s="100">
        <v>5086.4875452405186</v>
      </c>
      <c r="CJ46" s="100">
        <v>13</v>
      </c>
      <c r="CK46" s="100">
        <v>15756</v>
      </c>
      <c r="CL46" s="100">
        <v>8</v>
      </c>
      <c r="CM46" s="100">
        <v>9696</v>
      </c>
      <c r="CN46" s="100">
        <v>8</v>
      </c>
      <c r="CO46" s="100">
        <v>9696</v>
      </c>
      <c r="CP46" s="100">
        <v>11</v>
      </c>
      <c r="CQ46" s="100">
        <v>13332</v>
      </c>
      <c r="CR46" s="100">
        <v>11</v>
      </c>
      <c r="CS46" s="100">
        <v>13332</v>
      </c>
      <c r="CT46" s="100">
        <v>10</v>
      </c>
      <c r="CU46" s="100">
        <v>12120</v>
      </c>
    </row>
    <row r="47" spans="2:99">
      <c r="C47" s="99" t="s">
        <v>213</v>
      </c>
      <c r="D47" s="100">
        <v>10</v>
      </c>
      <c r="E47" s="100">
        <v>15276</v>
      </c>
      <c r="F47" s="100">
        <v>14</v>
      </c>
      <c r="G47" s="100">
        <v>21386.399999999998</v>
      </c>
      <c r="H47" s="100">
        <v>14</v>
      </c>
      <c r="I47" s="100">
        <v>21386.399999999998</v>
      </c>
      <c r="J47" s="100">
        <v>7</v>
      </c>
      <c r="K47" s="100">
        <v>10693.199999999999</v>
      </c>
      <c r="L47" s="100">
        <v>11</v>
      </c>
      <c r="M47" s="100">
        <v>16803.599999999999</v>
      </c>
      <c r="N47" s="100">
        <v>7.445251745409978</v>
      </c>
      <c r="O47" s="100">
        <v>11373.366566288281</v>
      </c>
      <c r="P47" s="100">
        <v>10</v>
      </c>
      <c r="Q47" s="100">
        <v>15276</v>
      </c>
      <c r="R47" s="100">
        <v>13</v>
      </c>
      <c r="S47" s="100">
        <v>19858.8</v>
      </c>
      <c r="T47" s="100">
        <v>7</v>
      </c>
      <c r="U47" s="100">
        <v>10693.199999999999</v>
      </c>
      <c r="V47" s="100">
        <v>12</v>
      </c>
      <c r="W47" s="100">
        <v>18331.199999999997</v>
      </c>
      <c r="X47" s="100">
        <v>11</v>
      </c>
      <c r="Y47" s="100">
        <v>16803.599999999999</v>
      </c>
      <c r="Z47" s="100">
        <v>13</v>
      </c>
      <c r="AA47" s="100">
        <v>19858.8</v>
      </c>
      <c r="AB47" s="100">
        <v>7</v>
      </c>
      <c r="AC47" s="100">
        <v>10693.199999999999</v>
      </c>
      <c r="AD47" s="100">
        <v>8</v>
      </c>
      <c r="AE47" s="100">
        <v>12220.8</v>
      </c>
      <c r="AF47" s="100">
        <v>10</v>
      </c>
      <c r="AG47" s="100">
        <v>15276</v>
      </c>
      <c r="AH47" s="100">
        <v>8</v>
      </c>
      <c r="AI47" s="100">
        <v>12220.8</v>
      </c>
      <c r="AJ47" s="100">
        <v>8</v>
      </c>
      <c r="AK47" s="100">
        <v>12220.8</v>
      </c>
      <c r="AL47" s="100">
        <v>11</v>
      </c>
      <c r="AM47" s="100">
        <v>16803.599999999999</v>
      </c>
      <c r="AN47" s="100">
        <v>11</v>
      </c>
      <c r="AO47" s="100">
        <v>16803.599999999999</v>
      </c>
      <c r="AP47" s="100">
        <v>11</v>
      </c>
      <c r="AQ47" s="100">
        <v>16803.599999999999</v>
      </c>
      <c r="AR47" s="100">
        <v>10</v>
      </c>
      <c r="AS47" s="100">
        <v>15276</v>
      </c>
      <c r="AT47" s="100">
        <v>7</v>
      </c>
      <c r="AU47" s="100">
        <v>10693.199999999999</v>
      </c>
      <c r="AV47" s="100">
        <v>10</v>
      </c>
      <c r="AW47" s="100">
        <v>15276</v>
      </c>
      <c r="AX47" s="100">
        <v>9</v>
      </c>
      <c r="AY47" s="100">
        <v>13748.4</v>
      </c>
      <c r="AZ47" s="100">
        <v>13</v>
      </c>
      <c r="BA47" s="100">
        <v>19858.8</v>
      </c>
      <c r="BB47" s="100">
        <v>9</v>
      </c>
      <c r="BC47" s="100">
        <v>13748.4</v>
      </c>
      <c r="BD47" s="100">
        <v>10</v>
      </c>
      <c r="BE47" s="100">
        <v>15276</v>
      </c>
      <c r="BF47" s="100">
        <v>8</v>
      </c>
      <c r="BG47" s="100">
        <v>12220.8</v>
      </c>
      <c r="BH47" s="100">
        <v>11</v>
      </c>
      <c r="BI47" s="100">
        <v>16803.599999999999</v>
      </c>
      <c r="BJ47" s="100">
        <v>6.3371522094926727</v>
      </c>
      <c r="BK47" s="100">
        <v>9680.6337152210053</v>
      </c>
      <c r="BL47" s="100">
        <v>7.9928077294123154</v>
      </c>
      <c r="BM47" s="100">
        <v>12209.813087450253</v>
      </c>
      <c r="BN47" s="100">
        <v>13</v>
      </c>
      <c r="BO47" s="100">
        <v>19858.8</v>
      </c>
      <c r="BP47" s="100">
        <v>7.2029629629629657</v>
      </c>
      <c r="BQ47" s="100">
        <v>11003.246222222226</v>
      </c>
      <c r="BR47" s="100">
        <v>14</v>
      </c>
      <c r="BS47" s="100">
        <v>21386.399999999998</v>
      </c>
      <c r="BT47" s="100">
        <v>6.3051851851851879</v>
      </c>
      <c r="BU47" s="100">
        <v>9631.8008888888926</v>
      </c>
      <c r="BV47" s="100">
        <v>10</v>
      </c>
      <c r="BW47" s="100">
        <v>15276</v>
      </c>
      <c r="BX47" s="100">
        <v>13</v>
      </c>
      <c r="BY47" s="100">
        <v>19858.8</v>
      </c>
      <c r="BZ47" s="100">
        <v>10.291567724260391</v>
      </c>
      <c r="CA47" s="100">
        <v>15721.398855580172</v>
      </c>
      <c r="CB47" s="100">
        <v>8.3825090476792905</v>
      </c>
      <c r="CC47" s="100">
        <v>12805.120821234883</v>
      </c>
      <c r="CD47" s="100">
        <v>8</v>
      </c>
      <c r="CE47" s="100">
        <v>12220.8</v>
      </c>
      <c r="CF47" s="100">
        <v>8</v>
      </c>
      <c r="CG47" s="100">
        <v>12220.8</v>
      </c>
      <c r="CH47" s="100">
        <v>4.5196005098608314</v>
      </c>
      <c r="CI47" s="100">
        <v>6904.1417388634054</v>
      </c>
      <c r="CJ47" s="100">
        <v>14</v>
      </c>
      <c r="CK47" s="100">
        <v>21386.399999999998</v>
      </c>
      <c r="CL47" s="100">
        <v>7</v>
      </c>
      <c r="CM47" s="100">
        <v>10693.199999999999</v>
      </c>
      <c r="CN47" s="100">
        <v>8</v>
      </c>
      <c r="CO47" s="100">
        <v>12220.8</v>
      </c>
      <c r="CP47" s="100">
        <v>13</v>
      </c>
      <c r="CQ47" s="100">
        <v>19858.8</v>
      </c>
      <c r="CR47" s="100">
        <v>10</v>
      </c>
      <c r="CS47" s="100">
        <v>15276</v>
      </c>
      <c r="CT47" s="100">
        <v>9</v>
      </c>
      <c r="CU47" s="100">
        <v>13748.4</v>
      </c>
    </row>
    <row r="48" spans="2:99">
      <c r="C48" s="99" t="s">
        <v>214</v>
      </c>
      <c r="D48" s="100">
        <v>11</v>
      </c>
      <c r="E48" s="100">
        <v>9543.6</v>
      </c>
      <c r="F48" s="100">
        <v>14</v>
      </c>
      <c r="G48" s="100">
        <v>12146.4</v>
      </c>
      <c r="H48" s="100">
        <v>12</v>
      </c>
      <c r="I48" s="100">
        <v>10411.200000000001</v>
      </c>
      <c r="J48" s="100">
        <v>8</v>
      </c>
      <c r="K48" s="100">
        <v>6940.8</v>
      </c>
      <c r="L48" s="100">
        <v>12</v>
      </c>
      <c r="M48" s="100">
        <v>10411.200000000001</v>
      </c>
      <c r="N48" s="100">
        <v>7.445251745409978</v>
      </c>
      <c r="O48" s="100">
        <v>6459.5004143176975</v>
      </c>
      <c r="P48" s="100">
        <v>11</v>
      </c>
      <c r="Q48" s="100">
        <v>9543.6</v>
      </c>
      <c r="R48" s="100">
        <v>14</v>
      </c>
      <c r="S48" s="100">
        <v>12146.4</v>
      </c>
      <c r="T48" s="100">
        <v>7</v>
      </c>
      <c r="U48" s="100">
        <v>6073.2</v>
      </c>
      <c r="V48" s="100">
        <v>13</v>
      </c>
      <c r="W48" s="100">
        <v>11278.800000000001</v>
      </c>
      <c r="X48" s="100">
        <v>13</v>
      </c>
      <c r="Y48" s="100">
        <v>11278.800000000001</v>
      </c>
      <c r="Z48" s="100">
        <v>12</v>
      </c>
      <c r="AA48" s="100">
        <v>10411.200000000001</v>
      </c>
      <c r="AB48" s="100">
        <v>8</v>
      </c>
      <c r="AC48" s="100">
        <v>6940.8</v>
      </c>
      <c r="AD48" s="100">
        <v>9</v>
      </c>
      <c r="AE48" s="100">
        <v>7808.4000000000005</v>
      </c>
      <c r="AF48" s="100">
        <v>10</v>
      </c>
      <c r="AG48" s="100">
        <v>8676</v>
      </c>
      <c r="AH48" s="100">
        <v>10</v>
      </c>
      <c r="AI48" s="100">
        <v>8676</v>
      </c>
      <c r="AJ48" s="100">
        <v>7</v>
      </c>
      <c r="AK48" s="100">
        <v>6073.2</v>
      </c>
      <c r="AL48" s="100">
        <v>11</v>
      </c>
      <c r="AM48" s="100">
        <v>9543.6</v>
      </c>
      <c r="AN48" s="100">
        <v>12</v>
      </c>
      <c r="AO48" s="100">
        <v>10411.200000000001</v>
      </c>
      <c r="AP48" s="100">
        <v>12</v>
      </c>
      <c r="AQ48" s="100">
        <v>10411.200000000001</v>
      </c>
      <c r="AR48" s="100">
        <v>11</v>
      </c>
      <c r="AS48" s="100">
        <v>9543.6</v>
      </c>
      <c r="AT48" s="100">
        <v>8</v>
      </c>
      <c r="AU48" s="100">
        <v>6940.8</v>
      </c>
      <c r="AV48" s="100">
        <v>10</v>
      </c>
      <c r="AW48" s="100">
        <v>8676</v>
      </c>
      <c r="AX48" s="100">
        <v>9</v>
      </c>
      <c r="AY48" s="100">
        <v>7808.4000000000005</v>
      </c>
      <c r="AZ48" s="100">
        <v>15</v>
      </c>
      <c r="BA48" s="100">
        <v>13014</v>
      </c>
      <c r="BB48" s="100">
        <v>9</v>
      </c>
      <c r="BC48" s="100">
        <v>7808.4000000000005</v>
      </c>
      <c r="BD48" s="100">
        <v>11</v>
      </c>
      <c r="BE48" s="100">
        <v>9543.6</v>
      </c>
      <c r="BF48" s="100">
        <v>7</v>
      </c>
      <c r="BG48" s="100">
        <v>6073.2</v>
      </c>
      <c r="BH48" s="100">
        <v>10</v>
      </c>
      <c r="BI48" s="100">
        <v>8676</v>
      </c>
      <c r="BJ48" s="100">
        <v>7.1292962356792566</v>
      </c>
      <c r="BK48" s="100">
        <v>6185.377414075323</v>
      </c>
      <c r="BL48" s="100">
        <v>9.4460454983963729</v>
      </c>
      <c r="BM48" s="100">
        <v>8195.389074408693</v>
      </c>
      <c r="BN48" s="100">
        <v>15</v>
      </c>
      <c r="BO48" s="100">
        <v>13014</v>
      </c>
      <c r="BP48" s="100">
        <v>7.2029629629629657</v>
      </c>
      <c r="BQ48" s="100">
        <v>6249.2906666666695</v>
      </c>
      <c r="BR48" s="100">
        <v>14</v>
      </c>
      <c r="BS48" s="100">
        <v>12146.4</v>
      </c>
      <c r="BT48" s="100">
        <v>7.0933333333333364</v>
      </c>
      <c r="BU48" s="100">
        <v>6154.1760000000031</v>
      </c>
      <c r="BV48" s="100">
        <v>11</v>
      </c>
      <c r="BW48" s="100">
        <v>9543.6</v>
      </c>
      <c r="BX48" s="100">
        <v>12</v>
      </c>
      <c r="BY48" s="100">
        <v>10411.200000000001</v>
      </c>
      <c r="BZ48" s="100">
        <v>10.291567724260391</v>
      </c>
      <c r="CA48" s="100">
        <v>8928.9641575683145</v>
      </c>
      <c r="CB48" s="100">
        <v>8.3825090476792905</v>
      </c>
      <c r="CC48" s="100">
        <v>7272.6648497665528</v>
      </c>
      <c r="CD48" s="100">
        <v>8</v>
      </c>
      <c r="CE48" s="100">
        <v>6940.8</v>
      </c>
      <c r="CF48" s="100">
        <v>9</v>
      </c>
      <c r="CG48" s="100">
        <v>7808.4000000000005</v>
      </c>
      <c r="CH48" s="100">
        <v>4.8424291177080336</v>
      </c>
      <c r="CI48" s="100">
        <v>4201.2915025234897</v>
      </c>
      <c r="CJ48" s="100">
        <v>14</v>
      </c>
      <c r="CK48" s="100">
        <v>12146.4</v>
      </c>
      <c r="CL48" s="100">
        <v>8</v>
      </c>
      <c r="CM48" s="100">
        <v>6940.8</v>
      </c>
      <c r="CN48" s="100">
        <v>9</v>
      </c>
      <c r="CO48" s="100">
        <v>7808.4000000000005</v>
      </c>
      <c r="CP48" s="100">
        <v>12</v>
      </c>
      <c r="CQ48" s="100">
        <v>10411.200000000001</v>
      </c>
      <c r="CR48" s="100">
        <v>10</v>
      </c>
      <c r="CS48" s="100">
        <v>8676</v>
      </c>
      <c r="CT48" s="100">
        <v>10</v>
      </c>
      <c r="CU48" s="100">
        <v>8676</v>
      </c>
    </row>
    <row r="49" spans="2:99">
      <c r="B49" s="99" t="s">
        <v>129</v>
      </c>
      <c r="C49" s="99" t="s">
        <v>215</v>
      </c>
      <c r="D49" s="100">
        <v>9</v>
      </c>
      <c r="E49" s="100">
        <v>8866.7999999999993</v>
      </c>
      <c r="F49" s="100">
        <v>8</v>
      </c>
      <c r="G49" s="100">
        <v>7881.5999999999995</v>
      </c>
      <c r="H49" s="100">
        <v>10</v>
      </c>
      <c r="I49" s="100">
        <v>9852</v>
      </c>
      <c r="J49" s="100">
        <v>6</v>
      </c>
      <c r="K49" s="100">
        <v>5911.2</v>
      </c>
      <c r="L49" s="100">
        <v>4.8468184330122437</v>
      </c>
      <c r="M49" s="100">
        <v>4775.0855202036619</v>
      </c>
      <c r="N49" s="100">
        <v>6</v>
      </c>
      <c r="O49" s="100">
        <v>5911.2</v>
      </c>
      <c r="P49" s="100">
        <v>6</v>
      </c>
      <c r="Q49" s="100">
        <v>5911.2</v>
      </c>
      <c r="R49" s="100">
        <v>10</v>
      </c>
      <c r="S49" s="100">
        <v>9852</v>
      </c>
      <c r="T49" s="100">
        <v>8</v>
      </c>
      <c r="U49" s="100">
        <v>7881.5999999999995</v>
      </c>
      <c r="V49" s="100">
        <v>9</v>
      </c>
      <c r="W49" s="100">
        <v>8866.7999999999993</v>
      </c>
      <c r="X49" s="100">
        <v>3.4684958481272443</v>
      </c>
      <c r="Y49" s="100">
        <v>3417.1621095749611</v>
      </c>
      <c r="Z49" s="100">
        <v>6</v>
      </c>
      <c r="AA49" s="100">
        <v>5911.2</v>
      </c>
      <c r="AB49" s="100">
        <v>2.9875160847553293</v>
      </c>
      <c r="AC49" s="100">
        <v>2943.3008467009504</v>
      </c>
      <c r="AD49" s="100">
        <v>0</v>
      </c>
      <c r="AE49" s="100">
        <v>0</v>
      </c>
      <c r="AF49" s="100">
        <v>10</v>
      </c>
      <c r="AG49" s="100">
        <v>9852</v>
      </c>
      <c r="AH49" s="100">
        <v>9</v>
      </c>
      <c r="AI49" s="100">
        <v>8866.7999999999993</v>
      </c>
      <c r="AJ49" s="100">
        <v>9</v>
      </c>
      <c r="AK49" s="100">
        <v>8866.7999999999993</v>
      </c>
      <c r="AL49" s="100">
        <v>6</v>
      </c>
      <c r="AM49" s="100">
        <v>5911.2</v>
      </c>
      <c r="AN49" s="100">
        <v>9</v>
      </c>
      <c r="AO49" s="100">
        <v>8866.7999999999993</v>
      </c>
      <c r="AP49" s="100">
        <v>6.1079170025399963</v>
      </c>
      <c r="AQ49" s="100">
        <v>6017.5198309024036</v>
      </c>
      <c r="AR49" s="100">
        <v>9</v>
      </c>
      <c r="AS49" s="100">
        <v>8866.7999999999993</v>
      </c>
      <c r="AT49" s="100">
        <v>7.0103092783505181</v>
      </c>
      <c r="AU49" s="100">
        <v>6906.5567010309296</v>
      </c>
      <c r="AV49" s="100">
        <v>11</v>
      </c>
      <c r="AW49" s="100">
        <v>10837.199999999999</v>
      </c>
      <c r="AX49" s="100">
        <v>9.4146341463414664</v>
      </c>
      <c r="AY49" s="100">
        <v>9275.2975609756122</v>
      </c>
      <c r="AZ49" s="100">
        <v>10</v>
      </c>
      <c r="BA49" s="100">
        <v>9852</v>
      </c>
      <c r="BB49" s="100">
        <v>5.2530039236426225</v>
      </c>
      <c r="BC49" s="100">
        <v>5175.2594655727116</v>
      </c>
      <c r="BD49" s="100">
        <v>5.3807640616500114</v>
      </c>
      <c r="BE49" s="100">
        <v>5301.1287535375905</v>
      </c>
      <c r="BF49" s="100">
        <v>3.7609105494516908</v>
      </c>
      <c r="BG49" s="100">
        <v>3705.2490733198056</v>
      </c>
      <c r="BH49" s="100">
        <v>3.3960560061233678</v>
      </c>
      <c r="BI49" s="100">
        <v>3345.7943772327417</v>
      </c>
      <c r="BJ49" s="100">
        <v>3.9742813692762673</v>
      </c>
      <c r="BK49" s="100">
        <v>3915.4620050109784</v>
      </c>
      <c r="BL49" s="100">
        <v>5.1824605220387134</v>
      </c>
      <c r="BM49" s="100">
        <v>5105.7601063125403</v>
      </c>
      <c r="BN49" s="100">
        <v>4.7186508930550382</v>
      </c>
      <c r="BO49" s="100">
        <v>4648.814859837823</v>
      </c>
      <c r="BP49" s="100">
        <v>9</v>
      </c>
      <c r="BQ49" s="100">
        <v>8866.7999999999993</v>
      </c>
      <c r="BR49" s="100">
        <v>6.797867780005542</v>
      </c>
      <c r="BS49" s="100">
        <v>6697.2593368614598</v>
      </c>
      <c r="BT49" s="100">
        <v>9</v>
      </c>
      <c r="BU49" s="100">
        <v>8866.7999999999993</v>
      </c>
      <c r="BV49" s="100">
        <v>3.2381323490155967</v>
      </c>
      <c r="BW49" s="100">
        <v>3190.2079902501655</v>
      </c>
      <c r="BX49" s="100">
        <v>8</v>
      </c>
      <c r="BY49" s="100">
        <v>7881.5999999999995</v>
      </c>
      <c r="BZ49" s="100">
        <v>5</v>
      </c>
      <c r="CA49" s="100">
        <v>4926</v>
      </c>
      <c r="CB49" s="100">
        <v>6</v>
      </c>
      <c r="CC49" s="100">
        <v>5911.2</v>
      </c>
      <c r="CD49" s="100">
        <v>8</v>
      </c>
      <c r="CE49" s="100">
        <v>7881.5999999999995</v>
      </c>
      <c r="CF49" s="100">
        <v>8</v>
      </c>
      <c r="CG49" s="100">
        <v>7881.5999999999995</v>
      </c>
      <c r="CH49" s="100">
        <v>7</v>
      </c>
      <c r="CI49" s="100">
        <v>6896.4</v>
      </c>
      <c r="CJ49" s="100">
        <v>6.7434421067121386</v>
      </c>
      <c r="CK49" s="100">
        <v>6643.6391635327982</v>
      </c>
      <c r="CL49" s="100">
        <v>7</v>
      </c>
      <c r="CM49" s="100">
        <v>6896.4</v>
      </c>
      <c r="CN49" s="100">
        <v>7.5849056603773617</v>
      </c>
      <c r="CO49" s="100">
        <v>7472.6490566037764</v>
      </c>
      <c r="CP49" s="100">
        <v>8</v>
      </c>
      <c r="CQ49" s="100">
        <v>7881.5999999999995</v>
      </c>
      <c r="CR49" s="100">
        <v>10</v>
      </c>
      <c r="CS49" s="100">
        <v>9852</v>
      </c>
      <c r="CT49" s="100">
        <v>7</v>
      </c>
      <c r="CU49" s="100">
        <v>6896.4</v>
      </c>
    </row>
    <row r="50" spans="2:99">
      <c r="C50" s="99" t="s">
        <v>216</v>
      </c>
      <c r="D50" s="100">
        <v>8</v>
      </c>
      <c r="E50" s="100">
        <v>2256</v>
      </c>
      <c r="F50" s="100">
        <v>10</v>
      </c>
      <c r="G50" s="100">
        <v>2820</v>
      </c>
      <c r="H50" s="100">
        <v>11</v>
      </c>
      <c r="I50" s="100">
        <v>3102</v>
      </c>
      <c r="J50" s="100">
        <v>6</v>
      </c>
      <c r="K50" s="100">
        <v>1692</v>
      </c>
      <c r="L50" s="100">
        <v>7</v>
      </c>
      <c r="M50" s="100">
        <v>1974</v>
      </c>
      <c r="N50" s="100">
        <v>5.583938809057484</v>
      </c>
      <c r="O50" s="100">
        <v>1574.6707441542105</v>
      </c>
      <c r="P50" s="100">
        <v>7</v>
      </c>
      <c r="Q50" s="100">
        <v>1974</v>
      </c>
      <c r="R50" s="100">
        <v>11</v>
      </c>
      <c r="S50" s="100">
        <v>3102</v>
      </c>
      <c r="T50" s="100">
        <v>9</v>
      </c>
      <c r="U50" s="100">
        <v>2538</v>
      </c>
      <c r="V50" s="100">
        <v>11</v>
      </c>
      <c r="W50" s="100">
        <v>3102</v>
      </c>
      <c r="X50" s="100">
        <v>7</v>
      </c>
      <c r="Y50" s="100">
        <v>1974</v>
      </c>
      <c r="Z50" s="100">
        <v>5</v>
      </c>
      <c r="AA50" s="100">
        <v>1410</v>
      </c>
      <c r="AB50" s="100">
        <v>11</v>
      </c>
      <c r="AC50" s="100">
        <v>3102</v>
      </c>
      <c r="AD50" s="100">
        <v>7</v>
      </c>
      <c r="AE50" s="100">
        <v>1974</v>
      </c>
      <c r="AF50" s="100">
        <v>10</v>
      </c>
      <c r="AG50" s="100">
        <v>2820</v>
      </c>
      <c r="AH50" s="100">
        <v>9</v>
      </c>
      <c r="AI50" s="100">
        <v>2538</v>
      </c>
      <c r="AJ50" s="100">
        <v>8</v>
      </c>
      <c r="AK50" s="100">
        <v>2256</v>
      </c>
      <c r="AL50" s="100">
        <v>7</v>
      </c>
      <c r="AM50" s="100">
        <v>1974</v>
      </c>
      <c r="AN50" s="100">
        <v>9</v>
      </c>
      <c r="AO50" s="100">
        <v>2538</v>
      </c>
      <c r="AP50" s="100">
        <v>8</v>
      </c>
      <c r="AQ50" s="100">
        <v>2256</v>
      </c>
      <c r="AR50" s="100">
        <v>9</v>
      </c>
      <c r="AS50" s="100">
        <v>2538</v>
      </c>
      <c r="AT50" s="100">
        <v>9</v>
      </c>
      <c r="AU50" s="100">
        <v>2538</v>
      </c>
      <c r="AV50" s="100">
        <v>10</v>
      </c>
      <c r="AW50" s="100">
        <v>2820</v>
      </c>
      <c r="AX50" s="100">
        <v>10</v>
      </c>
      <c r="AY50" s="100">
        <v>2820</v>
      </c>
      <c r="AZ50" s="100">
        <v>10</v>
      </c>
      <c r="BA50" s="100">
        <v>2820</v>
      </c>
      <c r="BB50" s="100">
        <v>10</v>
      </c>
      <c r="BC50" s="100">
        <v>2820</v>
      </c>
      <c r="BD50" s="100">
        <v>6</v>
      </c>
      <c r="BE50" s="100">
        <v>1692</v>
      </c>
      <c r="BF50" s="100">
        <v>9</v>
      </c>
      <c r="BG50" s="100">
        <v>2538</v>
      </c>
      <c r="BH50" s="100">
        <v>10</v>
      </c>
      <c r="BI50" s="100">
        <v>2820</v>
      </c>
      <c r="BJ50" s="100">
        <v>7.1292962356792566</v>
      </c>
      <c r="BK50" s="100">
        <v>2010.4615384615504</v>
      </c>
      <c r="BL50" s="100">
        <v>4.3597133069521723</v>
      </c>
      <c r="BM50" s="100">
        <v>1229.4391525605126</v>
      </c>
      <c r="BN50" s="100">
        <v>11</v>
      </c>
      <c r="BO50" s="100">
        <v>3102</v>
      </c>
      <c r="BP50" s="100">
        <v>6.5481481481481518</v>
      </c>
      <c r="BQ50" s="100">
        <v>1846.5777777777789</v>
      </c>
      <c r="BR50" s="100">
        <v>9</v>
      </c>
      <c r="BS50" s="100">
        <v>2538</v>
      </c>
      <c r="BT50" s="100">
        <v>8.6696296296296325</v>
      </c>
      <c r="BU50" s="100">
        <v>2444.8355555555563</v>
      </c>
      <c r="BV50" s="100">
        <v>7</v>
      </c>
      <c r="BW50" s="100">
        <v>1974</v>
      </c>
      <c r="BX50" s="100">
        <v>9</v>
      </c>
      <c r="BY50" s="100">
        <v>2538</v>
      </c>
      <c r="BZ50" s="100">
        <v>5.1457838621301955</v>
      </c>
      <c r="CA50" s="100">
        <v>1451.1110491207151</v>
      </c>
      <c r="CB50" s="100">
        <v>4.1912545238396453</v>
      </c>
      <c r="CC50" s="100">
        <v>1181.93377572278</v>
      </c>
      <c r="CD50" s="100">
        <v>8</v>
      </c>
      <c r="CE50" s="100">
        <v>2256</v>
      </c>
      <c r="CF50" s="100">
        <v>7</v>
      </c>
      <c r="CG50" s="100">
        <v>1974</v>
      </c>
      <c r="CH50" s="100">
        <v>2.2598002549304157</v>
      </c>
      <c r="CI50" s="100">
        <v>637.26367189037728</v>
      </c>
      <c r="CJ50" s="100">
        <v>8</v>
      </c>
      <c r="CK50" s="100">
        <v>2256</v>
      </c>
      <c r="CL50" s="100">
        <v>6</v>
      </c>
      <c r="CM50" s="100">
        <v>1692</v>
      </c>
      <c r="CN50" s="100">
        <v>11</v>
      </c>
      <c r="CO50" s="100">
        <v>3102</v>
      </c>
      <c r="CP50" s="100">
        <v>8</v>
      </c>
      <c r="CQ50" s="100">
        <v>2256</v>
      </c>
      <c r="CR50" s="100">
        <v>11</v>
      </c>
      <c r="CS50" s="100">
        <v>3102</v>
      </c>
      <c r="CT50" s="100">
        <v>7</v>
      </c>
      <c r="CU50" s="100">
        <v>1974</v>
      </c>
    </row>
    <row r="51" spans="2:99">
      <c r="C51" s="99" t="s">
        <v>217</v>
      </c>
      <c r="D51" s="100">
        <v>8</v>
      </c>
      <c r="E51" s="100">
        <v>6835.2</v>
      </c>
      <c r="F51" s="100">
        <v>9</v>
      </c>
      <c r="G51" s="100">
        <v>7689.5999999999995</v>
      </c>
      <c r="H51" s="100">
        <v>9</v>
      </c>
      <c r="I51" s="100">
        <v>7689.5999999999995</v>
      </c>
      <c r="J51" s="100">
        <v>6</v>
      </c>
      <c r="K51" s="100">
        <v>5126.3999999999996</v>
      </c>
      <c r="L51" s="100">
        <v>7</v>
      </c>
      <c r="M51" s="100">
        <v>5980.8</v>
      </c>
      <c r="N51" s="100">
        <v>5.583938809057484</v>
      </c>
      <c r="O51" s="100">
        <v>4770.9173184587144</v>
      </c>
      <c r="P51" s="100">
        <v>7</v>
      </c>
      <c r="Q51" s="100">
        <v>5980.8</v>
      </c>
      <c r="R51" s="100">
        <v>9</v>
      </c>
      <c r="S51" s="100">
        <v>7689.5999999999995</v>
      </c>
      <c r="T51" s="100">
        <v>8</v>
      </c>
      <c r="U51" s="100">
        <v>6835.2</v>
      </c>
      <c r="V51" s="100">
        <v>10</v>
      </c>
      <c r="W51" s="100">
        <v>8544</v>
      </c>
      <c r="X51" s="100">
        <v>7</v>
      </c>
      <c r="Y51" s="100">
        <v>5980.8</v>
      </c>
      <c r="Z51" s="100">
        <v>6</v>
      </c>
      <c r="AA51" s="100">
        <v>5126.3999999999996</v>
      </c>
      <c r="AB51" s="100">
        <v>10</v>
      </c>
      <c r="AC51" s="100">
        <v>8544</v>
      </c>
      <c r="AD51" s="100">
        <v>6</v>
      </c>
      <c r="AE51" s="100">
        <v>5126.3999999999996</v>
      </c>
      <c r="AF51" s="100">
        <v>10</v>
      </c>
      <c r="AG51" s="100">
        <v>8544</v>
      </c>
      <c r="AH51" s="100">
        <v>10</v>
      </c>
      <c r="AI51" s="100">
        <v>8544</v>
      </c>
      <c r="AJ51" s="100">
        <v>9</v>
      </c>
      <c r="AK51" s="100">
        <v>7689.5999999999995</v>
      </c>
      <c r="AL51" s="100">
        <v>6</v>
      </c>
      <c r="AM51" s="100">
        <v>5126.3999999999996</v>
      </c>
      <c r="AN51" s="100">
        <v>9</v>
      </c>
      <c r="AO51" s="100">
        <v>7689.5999999999995</v>
      </c>
      <c r="AP51" s="100">
        <v>7</v>
      </c>
      <c r="AQ51" s="100">
        <v>5980.8</v>
      </c>
      <c r="AR51" s="100">
        <v>8</v>
      </c>
      <c r="AS51" s="100">
        <v>6835.2</v>
      </c>
      <c r="AT51" s="100">
        <v>10</v>
      </c>
      <c r="AU51" s="100">
        <v>8544</v>
      </c>
      <c r="AV51" s="100">
        <v>11</v>
      </c>
      <c r="AW51" s="100">
        <v>9398.4</v>
      </c>
      <c r="AX51" s="100">
        <v>11</v>
      </c>
      <c r="AY51" s="100">
        <v>9398.4</v>
      </c>
      <c r="AZ51" s="100">
        <v>10</v>
      </c>
      <c r="BA51" s="100">
        <v>8544</v>
      </c>
      <c r="BB51" s="100">
        <v>10</v>
      </c>
      <c r="BC51" s="100">
        <v>8544</v>
      </c>
      <c r="BD51" s="100">
        <v>6</v>
      </c>
      <c r="BE51" s="100">
        <v>5126.3999999999996</v>
      </c>
      <c r="BF51" s="100">
        <v>8</v>
      </c>
      <c r="BG51" s="100">
        <v>6835.2</v>
      </c>
      <c r="BH51" s="100">
        <v>10</v>
      </c>
      <c r="BI51" s="100">
        <v>8544</v>
      </c>
      <c r="BJ51" s="100">
        <v>6.3371522094926727</v>
      </c>
      <c r="BK51" s="100">
        <v>5414.4628477905389</v>
      </c>
      <c r="BL51" s="100">
        <v>3.6330944224601431</v>
      </c>
      <c r="BM51" s="100">
        <v>3104.1158745499461</v>
      </c>
      <c r="BN51" s="100">
        <v>9</v>
      </c>
      <c r="BO51" s="100">
        <v>7689.5999999999995</v>
      </c>
      <c r="BP51" s="100">
        <v>5.8933333333333371</v>
      </c>
      <c r="BQ51" s="100">
        <v>5035.2640000000029</v>
      </c>
      <c r="BR51" s="100">
        <v>9</v>
      </c>
      <c r="BS51" s="100">
        <v>7689.5999999999995</v>
      </c>
      <c r="BT51" s="100">
        <v>8.6696296296296325</v>
      </c>
      <c r="BU51" s="100">
        <v>7407.3315555555582</v>
      </c>
      <c r="BV51" s="100">
        <v>7</v>
      </c>
      <c r="BW51" s="100">
        <v>5980.8</v>
      </c>
      <c r="BX51" s="100">
        <v>8</v>
      </c>
      <c r="BY51" s="100">
        <v>6835.2</v>
      </c>
      <c r="BZ51" s="100">
        <v>5.1457838621301955</v>
      </c>
      <c r="CA51" s="100">
        <v>4396.5577318040387</v>
      </c>
      <c r="CB51" s="100">
        <v>4.8897969444795866</v>
      </c>
      <c r="CC51" s="100">
        <v>4177.8425093633587</v>
      </c>
      <c r="CD51" s="100">
        <v>9</v>
      </c>
      <c r="CE51" s="100">
        <v>7689.5999999999995</v>
      </c>
      <c r="CF51" s="100">
        <v>8</v>
      </c>
      <c r="CG51" s="100">
        <v>6835.2</v>
      </c>
      <c r="CH51" s="100">
        <v>2.2598002549304157</v>
      </c>
      <c r="CI51" s="100">
        <v>1930.7733378125472</v>
      </c>
      <c r="CJ51" s="100">
        <v>8</v>
      </c>
      <c r="CK51" s="100">
        <v>6835.2</v>
      </c>
      <c r="CL51" s="100">
        <v>7</v>
      </c>
      <c r="CM51" s="100">
        <v>5980.8</v>
      </c>
      <c r="CN51" s="100">
        <v>10</v>
      </c>
      <c r="CO51" s="100">
        <v>8544</v>
      </c>
      <c r="CP51" s="100">
        <v>7</v>
      </c>
      <c r="CQ51" s="100">
        <v>5980.8</v>
      </c>
      <c r="CR51" s="100">
        <v>11</v>
      </c>
      <c r="CS51" s="100">
        <v>9398.4</v>
      </c>
      <c r="CT51" s="100">
        <v>6</v>
      </c>
      <c r="CU51" s="100">
        <v>5126.3999999999996</v>
      </c>
    </row>
    <row r="52" spans="2:99">
      <c r="C52" s="99" t="s">
        <v>218</v>
      </c>
      <c r="D52" s="100">
        <v>8</v>
      </c>
      <c r="E52" s="100">
        <v>4320</v>
      </c>
      <c r="F52" s="100">
        <v>10</v>
      </c>
      <c r="G52" s="100">
        <v>5400</v>
      </c>
      <c r="H52" s="100">
        <v>10</v>
      </c>
      <c r="I52" s="100">
        <v>5400</v>
      </c>
      <c r="J52" s="100">
        <v>7</v>
      </c>
      <c r="K52" s="100">
        <v>3780</v>
      </c>
      <c r="L52" s="100">
        <v>7</v>
      </c>
      <c r="M52" s="100">
        <v>3780</v>
      </c>
      <c r="N52" s="100">
        <v>5.583938809057484</v>
      </c>
      <c r="O52" s="100">
        <v>3015.3269568910414</v>
      </c>
      <c r="P52" s="100">
        <v>6</v>
      </c>
      <c r="Q52" s="100">
        <v>3240</v>
      </c>
      <c r="R52" s="100">
        <v>10</v>
      </c>
      <c r="S52" s="100">
        <v>5400</v>
      </c>
      <c r="T52" s="100">
        <v>8</v>
      </c>
      <c r="U52" s="100">
        <v>4320</v>
      </c>
      <c r="V52" s="100">
        <v>10</v>
      </c>
      <c r="W52" s="100">
        <v>5400</v>
      </c>
      <c r="X52" s="100">
        <v>7</v>
      </c>
      <c r="Y52" s="100">
        <v>3780</v>
      </c>
      <c r="Z52" s="100">
        <v>6</v>
      </c>
      <c r="AA52" s="100">
        <v>3240</v>
      </c>
      <c r="AB52" s="100">
        <v>11</v>
      </c>
      <c r="AC52" s="100">
        <v>5940</v>
      </c>
      <c r="AD52" s="100">
        <v>6</v>
      </c>
      <c r="AE52" s="100">
        <v>3240</v>
      </c>
      <c r="AF52" s="100">
        <v>11</v>
      </c>
      <c r="AG52" s="100">
        <v>5940</v>
      </c>
      <c r="AH52" s="100">
        <v>10</v>
      </c>
      <c r="AI52" s="100">
        <v>5400</v>
      </c>
      <c r="AJ52" s="100">
        <v>9</v>
      </c>
      <c r="AK52" s="100">
        <v>4860</v>
      </c>
      <c r="AL52" s="100">
        <v>6</v>
      </c>
      <c r="AM52" s="100">
        <v>3240</v>
      </c>
      <c r="AN52" s="100">
        <v>8</v>
      </c>
      <c r="AO52" s="100">
        <v>4320</v>
      </c>
      <c r="AP52" s="100">
        <v>7</v>
      </c>
      <c r="AQ52" s="100">
        <v>3780</v>
      </c>
      <c r="AR52" s="100">
        <v>8</v>
      </c>
      <c r="AS52" s="100">
        <v>4320</v>
      </c>
      <c r="AT52" s="100">
        <v>10</v>
      </c>
      <c r="AU52" s="100">
        <v>5400</v>
      </c>
      <c r="AV52" s="100">
        <v>10</v>
      </c>
      <c r="AW52" s="100">
        <v>5400</v>
      </c>
      <c r="AX52" s="100">
        <v>10</v>
      </c>
      <c r="AY52" s="100">
        <v>5400</v>
      </c>
      <c r="AZ52" s="100">
        <v>9</v>
      </c>
      <c r="BA52" s="100">
        <v>4860</v>
      </c>
      <c r="BB52" s="100">
        <v>10</v>
      </c>
      <c r="BC52" s="100">
        <v>5400</v>
      </c>
      <c r="BD52" s="100">
        <v>5</v>
      </c>
      <c r="BE52" s="100">
        <v>2700</v>
      </c>
      <c r="BF52" s="100">
        <v>9</v>
      </c>
      <c r="BG52" s="100">
        <v>4860</v>
      </c>
      <c r="BH52" s="100">
        <v>11</v>
      </c>
      <c r="BI52" s="100">
        <v>5940</v>
      </c>
      <c r="BJ52" s="100">
        <v>6.3371522094926727</v>
      </c>
      <c r="BK52" s="100">
        <v>3422.0621931260434</v>
      </c>
      <c r="BL52" s="100">
        <v>4.3597133069521723</v>
      </c>
      <c r="BM52" s="100">
        <v>2354.2451857541732</v>
      </c>
      <c r="BN52" s="100">
        <v>10</v>
      </c>
      <c r="BO52" s="100">
        <v>5400</v>
      </c>
      <c r="BP52" s="100">
        <v>5.8933333333333371</v>
      </c>
      <c r="BQ52" s="100">
        <v>3182.4000000000019</v>
      </c>
      <c r="BR52" s="100">
        <v>8</v>
      </c>
      <c r="BS52" s="100">
        <v>4320</v>
      </c>
      <c r="BT52" s="100">
        <v>7.0933333333333364</v>
      </c>
      <c r="BU52" s="100">
        <v>3830.4000000000015</v>
      </c>
      <c r="BV52" s="100">
        <v>7</v>
      </c>
      <c r="BW52" s="100">
        <v>3780</v>
      </c>
      <c r="BX52" s="100">
        <v>8</v>
      </c>
      <c r="BY52" s="100">
        <v>4320</v>
      </c>
      <c r="BZ52" s="100">
        <v>5.1457838621301955</v>
      </c>
      <c r="CA52" s="100">
        <v>2778.7232855503057</v>
      </c>
      <c r="CB52" s="100">
        <v>4.1912545238396453</v>
      </c>
      <c r="CC52" s="100">
        <v>2263.2774428734083</v>
      </c>
      <c r="CD52" s="100">
        <v>9</v>
      </c>
      <c r="CE52" s="100">
        <v>4860</v>
      </c>
      <c r="CF52" s="100">
        <v>8</v>
      </c>
      <c r="CG52" s="100">
        <v>4320</v>
      </c>
      <c r="CH52" s="100">
        <v>2.2598002549304157</v>
      </c>
      <c r="CI52" s="100">
        <v>1220.2921376624245</v>
      </c>
      <c r="CJ52" s="100">
        <v>8</v>
      </c>
      <c r="CK52" s="100">
        <v>4320</v>
      </c>
      <c r="CL52" s="100">
        <v>7</v>
      </c>
      <c r="CM52" s="100">
        <v>3780</v>
      </c>
      <c r="CN52" s="100">
        <v>10</v>
      </c>
      <c r="CO52" s="100">
        <v>5400</v>
      </c>
      <c r="CP52" s="100">
        <v>7</v>
      </c>
      <c r="CQ52" s="100">
        <v>3780</v>
      </c>
      <c r="CR52" s="100">
        <v>10</v>
      </c>
      <c r="CS52" s="100">
        <v>5400</v>
      </c>
      <c r="CT52" s="100">
        <v>7</v>
      </c>
      <c r="CU52" s="100">
        <v>3780</v>
      </c>
    </row>
    <row r="53" spans="2:99">
      <c r="C53" s="99" t="s">
        <v>219</v>
      </c>
      <c r="D53" s="100">
        <v>8</v>
      </c>
      <c r="E53" s="100">
        <v>3254.4</v>
      </c>
      <c r="F53" s="100">
        <v>10</v>
      </c>
      <c r="G53" s="100">
        <v>4068</v>
      </c>
      <c r="H53" s="100">
        <v>11</v>
      </c>
      <c r="I53" s="100">
        <v>4474.8</v>
      </c>
      <c r="J53" s="100">
        <v>6</v>
      </c>
      <c r="K53" s="100">
        <v>2440.8000000000002</v>
      </c>
      <c r="L53" s="100">
        <v>8</v>
      </c>
      <c r="M53" s="100">
        <v>3254.4</v>
      </c>
      <c r="N53" s="100">
        <v>6.5145952772337319</v>
      </c>
      <c r="O53" s="100">
        <v>2650.137358778682</v>
      </c>
      <c r="P53" s="100">
        <v>7</v>
      </c>
      <c r="Q53" s="100">
        <v>2847.6</v>
      </c>
      <c r="R53" s="100">
        <v>11</v>
      </c>
      <c r="S53" s="100">
        <v>4474.8</v>
      </c>
      <c r="T53" s="100">
        <v>8</v>
      </c>
      <c r="U53" s="100">
        <v>3254.4</v>
      </c>
      <c r="V53" s="100">
        <v>11</v>
      </c>
      <c r="W53" s="100">
        <v>4474.8</v>
      </c>
      <c r="X53" s="100">
        <v>8</v>
      </c>
      <c r="Y53" s="100">
        <v>3254.4</v>
      </c>
      <c r="Z53" s="100">
        <v>6</v>
      </c>
      <c r="AA53" s="100">
        <v>2440.8000000000002</v>
      </c>
      <c r="AB53" s="100">
        <v>11</v>
      </c>
      <c r="AC53" s="100">
        <v>4474.8</v>
      </c>
      <c r="AD53" s="100">
        <v>7</v>
      </c>
      <c r="AE53" s="100">
        <v>2847.6</v>
      </c>
      <c r="AF53" s="100">
        <v>10</v>
      </c>
      <c r="AG53" s="100">
        <v>4068</v>
      </c>
      <c r="AH53" s="100">
        <v>9</v>
      </c>
      <c r="AI53" s="100">
        <v>3661.2000000000003</v>
      </c>
      <c r="AJ53" s="100">
        <v>9</v>
      </c>
      <c r="AK53" s="100">
        <v>3661.2000000000003</v>
      </c>
      <c r="AL53" s="100">
        <v>6</v>
      </c>
      <c r="AM53" s="100">
        <v>2440.8000000000002</v>
      </c>
      <c r="AN53" s="100">
        <v>10</v>
      </c>
      <c r="AO53" s="100">
        <v>4068</v>
      </c>
      <c r="AP53" s="100">
        <v>7</v>
      </c>
      <c r="AQ53" s="100">
        <v>2847.6</v>
      </c>
      <c r="AR53" s="100">
        <v>9</v>
      </c>
      <c r="AS53" s="100">
        <v>3661.2000000000003</v>
      </c>
      <c r="AT53" s="100">
        <v>10</v>
      </c>
      <c r="AU53" s="100">
        <v>4068</v>
      </c>
      <c r="AV53" s="100">
        <v>11</v>
      </c>
      <c r="AW53" s="100">
        <v>4474.8</v>
      </c>
      <c r="AX53" s="100">
        <v>10</v>
      </c>
      <c r="AY53" s="100">
        <v>4068</v>
      </c>
      <c r="AZ53" s="100">
        <v>10</v>
      </c>
      <c r="BA53" s="100">
        <v>4068</v>
      </c>
      <c r="BB53" s="100">
        <v>11</v>
      </c>
      <c r="BC53" s="100">
        <v>4474.8</v>
      </c>
      <c r="BD53" s="100">
        <v>6</v>
      </c>
      <c r="BE53" s="100">
        <v>2440.8000000000002</v>
      </c>
      <c r="BF53" s="100">
        <v>9</v>
      </c>
      <c r="BG53" s="100">
        <v>3661.2000000000003</v>
      </c>
      <c r="BH53" s="100">
        <v>10</v>
      </c>
      <c r="BI53" s="100">
        <v>4068</v>
      </c>
      <c r="BJ53" s="100">
        <v>7.1292962356792566</v>
      </c>
      <c r="BK53" s="100">
        <v>2900.1977086743218</v>
      </c>
      <c r="BL53" s="100">
        <v>4.3597133069521723</v>
      </c>
      <c r="BM53" s="100">
        <v>1773.5313732681439</v>
      </c>
      <c r="BN53" s="100">
        <v>9</v>
      </c>
      <c r="BO53" s="100">
        <v>3661.2000000000003</v>
      </c>
      <c r="BP53" s="100">
        <v>5.8933333333333371</v>
      </c>
      <c r="BQ53" s="100">
        <v>2397.4080000000017</v>
      </c>
      <c r="BR53" s="100">
        <v>8</v>
      </c>
      <c r="BS53" s="100">
        <v>3254.4</v>
      </c>
      <c r="BT53" s="100">
        <v>7.8814814814814849</v>
      </c>
      <c r="BU53" s="100">
        <v>3206.1866666666683</v>
      </c>
      <c r="BV53" s="100">
        <v>7</v>
      </c>
      <c r="BW53" s="100">
        <v>2847.6</v>
      </c>
      <c r="BX53" s="100">
        <v>9</v>
      </c>
      <c r="BY53" s="100">
        <v>3661.2000000000003</v>
      </c>
      <c r="BZ53" s="100">
        <v>4.2881532184418294</v>
      </c>
      <c r="CA53" s="100">
        <v>1744.4207292621363</v>
      </c>
      <c r="CB53" s="100">
        <v>4.1912545238396453</v>
      </c>
      <c r="CC53" s="100">
        <v>1705.0023402979677</v>
      </c>
      <c r="CD53" s="100">
        <v>9</v>
      </c>
      <c r="CE53" s="100">
        <v>3661.2000000000003</v>
      </c>
      <c r="CF53" s="100">
        <v>7</v>
      </c>
      <c r="CG53" s="100">
        <v>2847.6</v>
      </c>
      <c r="CH53" s="100">
        <v>2.5826288627776179</v>
      </c>
      <c r="CI53" s="100">
        <v>1050.6134213779351</v>
      </c>
      <c r="CJ53" s="100">
        <v>8</v>
      </c>
      <c r="CK53" s="100">
        <v>3254.4</v>
      </c>
      <c r="CL53" s="100">
        <v>6</v>
      </c>
      <c r="CM53" s="100">
        <v>2440.8000000000002</v>
      </c>
      <c r="CN53" s="100">
        <v>10</v>
      </c>
      <c r="CO53" s="100">
        <v>4068</v>
      </c>
      <c r="CP53" s="100">
        <v>8</v>
      </c>
      <c r="CQ53" s="100">
        <v>3254.4</v>
      </c>
      <c r="CR53" s="100">
        <v>11</v>
      </c>
      <c r="CS53" s="100">
        <v>4474.8</v>
      </c>
      <c r="CT53" s="100">
        <v>7</v>
      </c>
      <c r="CU53" s="100">
        <v>2847.6</v>
      </c>
    </row>
    <row r="54" spans="2:99">
      <c r="C54" s="99" t="s">
        <v>220</v>
      </c>
      <c r="D54" s="100">
        <v>8</v>
      </c>
      <c r="E54" s="100">
        <v>2678.4</v>
      </c>
      <c r="F54" s="100">
        <v>10</v>
      </c>
      <c r="G54" s="100">
        <v>3348</v>
      </c>
      <c r="H54" s="100">
        <v>11</v>
      </c>
      <c r="I54" s="100">
        <v>3682.8</v>
      </c>
      <c r="J54" s="100">
        <v>6</v>
      </c>
      <c r="K54" s="100">
        <v>2008.8000000000002</v>
      </c>
      <c r="L54" s="100">
        <v>7</v>
      </c>
      <c r="M54" s="100">
        <v>2343.6</v>
      </c>
      <c r="N54" s="100">
        <v>5.583938809057484</v>
      </c>
      <c r="O54" s="100">
        <v>1869.5027132724456</v>
      </c>
      <c r="P54" s="100">
        <v>7</v>
      </c>
      <c r="Q54" s="100">
        <v>2343.6</v>
      </c>
      <c r="R54" s="100">
        <v>11</v>
      </c>
      <c r="S54" s="100">
        <v>3682.8</v>
      </c>
      <c r="T54" s="100">
        <v>9</v>
      </c>
      <c r="U54" s="100">
        <v>3013.2000000000003</v>
      </c>
      <c r="V54" s="100">
        <v>10</v>
      </c>
      <c r="W54" s="100">
        <v>3348</v>
      </c>
      <c r="X54" s="100">
        <v>7</v>
      </c>
      <c r="Y54" s="100">
        <v>2343.6</v>
      </c>
      <c r="Z54" s="100">
        <v>5</v>
      </c>
      <c r="AA54" s="100">
        <v>1674</v>
      </c>
      <c r="AB54" s="100">
        <v>10</v>
      </c>
      <c r="AC54" s="100">
        <v>3348</v>
      </c>
      <c r="AD54" s="100">
        <v>6</v>
      </c>
      <c r="AE54" s="100">
        <v>2008.8000000000002</v>
      </c>
      <c r="AF54" s="100">
        <v>11</v>
      </c>
      <c r="AG54" s="100">
        <v>3682.8</v>
      </c>
      <c r="AH54" s="100">
        <v>9</v>
      </c>
      <c r="AI54" s="100">
        <v>3013.2000000000003</v>
      </c>
      <c r="AJ54" s="100">
        <v>10</v>
      </c>
      <c r="AK54" s="100">
        <v>3348</v>
      </c>
      <c r="AL54" s="100">
        <v>6</v>
      </c>
      <c r="AM54" s="100">
        <v>2008.8000000000002</v>
      </c>
      <c r="AN54" s="100">
        <v>10</v>
      </c>
      <c r="AO54" s="100">
        <v>3348</v>
      </c>
      <c r="AP54" s="100">
        <v>7</v>
      </c>
      <c r="AQ54" s="100">
        <v>2343.6</v>
      </c>
      <c r="AR54" s="100">
        <v>8</v>
      </c>
      <c r="AS54" s="100">
        <v>2678.4</v>
      </c>
      <c r="AT54" s="100">
        <v>10</v>
      </c>
      <c r="AU54" s="100">
        <v>3348</v>
      </c>
      <c r="AV54" s="100">
        <v>11</v>
      </c>
      <c r="AW54" s="100">
        <v>3682.8</v>
      </c>
      <c r="AX54" s="100">
        <v>11</v>
      </c>
      <c r="AY54" s="100">
        <v>3682.8</v>
      </c>
      <c r="AZ54" s="100">
        <v>11</v>
      </c>
      <c r="BA54" s="100">
        <v>3682.8</v>
      </c>
      <c r="BB54" s="100">
        <v>11</v>
      </c>
      <c r="BC54" s="100">
        <v>3682.8</v>
      </c>
      <c r="BD54" s="100">
        <v>6</v>
      </c>
      <c r="BE54" s="100">
        <v>2008.8000000000002</v>
      </c>
      <c r="BF54" s="100">
        <v>9</v>
      </c>
      <c r="BG54" s="100">
        <v>3013.2000000000003</v>
      </c>
      <c r="BH54" s="100">
        <v>10</v>
      </c>
      <c r="BI54" s="100">
        <v>3348</v>
      </c>
      <c r="BJ54" s="100">
        <v>6.3371522094926727</v>
      </c>
      <c r="BK54" s="100">
        <v>2121.6785597381468</v>
      </c>
      <c r="BL54" s="100">
        <v>4.3597133069521723</v>
      </c>
      <c r="BM54" s="100">
        <v>1459.6320151675873</v>
      </c>
      <c r="BN54" s="100">
        <v>9</v>
      </c>
      <c r="BO54" s="100">
        <v>3013.2000000000003</v>
      </c>
      <c r="BP54" s="100">
        <v>5.8933333333333371</v>
      </c>
      <c r="BQ54" s="100">
        <v>1973.0880000000013</v>
      </c>
      <c r="BR54" s="100">
        <v>9</v>
      </c>
      <c r="BS54" s="100">
        <v>3013.2000000000003</v>
      </c>
      <c r="BT54" s="100">
        <v>7.8814814814814849</v>
      </c>
      <c r="BU54" s="100">
        <v>2638.7200000000012</v>
      </c>
      <c r="BV54" s="100">
        <v>6</v>
      </c>
      <c r="BW54" s="100">
        <v>2008.8000000000002</v>
      </c>
      <c r="BX54" s="100">
        <v>9</v>
      </c>
      <c r="BY54" s="100">
        <v>3013.2000000000003</v>
      </c>
      <c r="BZ54" s="100">
        <v>5.1457838621301955</v>
      </c>
      <c r="CA54" s="100">
        <v>1722.8084370411896</v>
      </c>
      <c r="CB54" s="100">
        <v>4.8897969444795866</v>
      </c>
      <c r="CC54" s="100">
        <v>1637.1040170117656</v>
      </c>
      <c r="CD54" s="100">
        <v>8</v>
      </c>
      <c r="CE54" s="100">
        <v>2678.4</v>
      </c>
      <c r="CF54" s="100">
        <v>7</v>
      </c>
      <c r="CG54" s="100">
        <v>2343.6</v>
      </c>
      <c r="CH54" s="100">
        <v>2.2598002549304157</v>
      </c>
      <c r="CI54" s="100">
        <v>756.58112535070325</v>
      </c>
      <c r="CJ54" s="100">
        <v>8</v>
      </c>
      <c r="CK54" s="100">
        <v>2678.4</v>
      </c>
      <c r="CL54" s="100">
        <v>7</v>
      </c>
      <c r="CM54" s="100">
        <v>2343.6</v>
      </c>
      <c r="CN54" s="100">
        <v>11</v>
      </c>
      <c r="CO54" s="100">
        <v>3682.8</v>
      </c>
      <c r="CP54" s="100">
        <v>9</v>
      </c>
      <c r="CQ54" s="100">
        <v>3013.2000000000003</v>
      </c>
      <c r="CR54" s="100">
        <v>10</v>
      </c>
      <c r="CS54" s="100">
        <v>3348</v>
      </c>
      <c r="CT54" s="100">
        <v>6</v>
      </c>
      <c r="CU54" s="100">
        <v>2008.8000000000002</v>
      </c>
    </row>
    <row r="55" spans="2:99">
      <c r="C55" s="99" t="s">
        <v>221</v>
      </c>
      <c r="D55" s="100">
        <v>8</v>
      </c>
      <c r="E55" s="100">
        <v>5308.8</v>
      </c>
      <c r="F55" s="100">
        <v>8</v>
      </c>
      <c r="G55" s="100">
        <v>5308.8</v>
      </c>
      <c r="H55" s="100">
        <v>10</v>
      </c>
      <c r="I55" s="100">
        <v>6636</v>
      </c>
      <c r="J55" s="100">
        <v>7</v>
      </c>
      <c r="K55" s="100">
        <v>4645.2</v>
      </c>
      <c r="L55" s="100">
        <v>7</v>
      </c>
      <c r="M55" s="100">
        <v>4645.2</v>
      </c>
      <c r="N55" s="100">
        <v>5.583938809057484</v>
      </c>
      <c r="O55" s="100">
        <v>3705.5017936905465</v>
      </c>
      <c r="P55" s="100">
        <v>7</v>
      </c>
      <c r="Q55" s="100">
        <v>4645.2</v>
      </c>
      <c r="R55" s="100">
        <v>10</v>
      </c>
      <c r="S55" s="100">
        <v>6636</v>
      </c>
      <c r="T55" s="100">
        <v>7</v>
      </c>
      <c r="U55" s="100">
        <v>4645.2</v>
      </c>
      <c r="V55" s="100">
        <v>10</v>
      </c>
      <c r="W55" s="100">
        <v>6636</v>
      </c>
      <c r="X55" s="100">
        <v>7</v>
      </c>
      <c r="Y55" s="100">
        <v>4645.2</v>
      </c>
      <c r="Z55" s="100">
        <v>5</v>
      </c>
      <c r="AA55" s="100">
        <v>3318</v>
      </c>
      <c r="AB55" s="100">
        <v>9</v>
      </c>
      <c r="AC55" s="100">
        <v>5972.4000000000005</v>
      </c>
      <c r="AD55" s="100">
        <v>7</v>
      </c>
      <c r="AE55" s="100">
        <v>4645.2</v>
      </c>
      <c r="AF55" s="100">
        <v>9</v>
      </c>
      <c r="AG55" s="100">
        <v>5972.4000000000005</v>
      </c>
      <c r="AH55" s="100">
        <v>9</v>
      </c>
      <c r="AI55" s="100">
        <v>5972.4000000000005</v>
      </c>
      <c r="AJ55" s="100">
        <v>9</v>
      </c>
      <c r="AK55" s="100">
        <v>5972.4000000000005</v>
      </c>
      <c r="AL55" s="100">
        <v>6</v>
      </c>
      <c r="AM55" s="100">
        <v>3981.6000000000004</v>
      </c>
      <c r="AN55" s="100">
        <v>9</v>
      </c>
      <c r="AO55" s="100">
        <v>5972.4000000000005</v>
      </c>
      <c r="AP55" s="100">
        <v>8</v>
      </c>
      <c r="AQ55" s="100">
        <v>5308.8</v>
      </c>
      <c r="AR55" s="100">
        <v>9</v>
      </c>
      <c r="AS55" s="100">
        <v>5972.4000000000005</v>
      </c>
      <c r="AT55" s="100">
        <v>8</v>
      </c>
      <c r="AU55" s="100">
        <v>5308.8</v>
      </c>
      <c r="AV55" s="100">
        <v>10</v>
      </c>
      <c r="AW55" s="100">
        <v>6636</v>
      </c>
      <c r="AX55" s="100">
        <v>11</v>
      </c>
      <c r="AY55" s="100">
        <v>7299.6</v>
      </c>
      <c r="AZ55" s="100">
        <v>10</v>
      </c>
      <c r="BA55" s="100">
        <v>6636</v>
      </c>
      <c r="BB55" s="100">
        <v>11</v>
      </c>
      <c r="BC55" s="100">
        <v>7299.6</v>
      </c>
      <c r="BD55" s="100">
        <v>6</v>
      </c>
      <c r="BE55" s="100">
        <v>3981.6000000000004</v>
      </c>
      <c r="BF55" s="100">
        <v>9</v>
      </c>
      <c r="BG55" s="100">
        <v>5972.4000000000005</v>
      </c>
      <c r="BH55" s="100">
        <v>11</v>
      </c>
      <c r="BI55" s="100">
        <v>7299.6</v>
      </c>
      <c r="BJ55" s="100">
        <v>5.5450081833060878</v>
      </c>
      <c r="BK55" s="100">
        <v>3679.6674304419198</v>
      </c>
      <c r="BL55" s="100">
        <v>4.3597133069521723</v>
      </c>
      <c r="BM55" s="100">
        <v>2893.1057504934615</v>
      </c>
      <c r="BN55" s="100">
        <v>11</v>
      </c>
      <c r="BO55" s="100">
        <v>7299.6</v>
      </c>
      <c r="BP55" s="100">
        <v>5.8933333333333371</v>
      </c>
      <c r="BQ55" s="100">
        <v>3910.8160000000025</v>
      </c>
      <c r="BR55" s="100">
        <v>9</v>
      </c>
      <c r="BS55" s="100">
        <v>5972.4000000000005</v>
      </c>
      <c r="BT55" s="100">
        <v>8.6696296296296325</v>
      </c>
      <c r="BU55" s="100">
        <v>5753.166222222224</v>
      </c>
      <c r="BV55" s="100">
        <v>7</v>
      </c>
      <c r="BW55" s="100">
        <v>4645.2</v>
      </c>
      <c r="BX55" s="100">
        <v>8</v>
      </c>
      <c r="BY55" s="100">
        <v>5308.8</v>
      </c>
      <c r="BZ55" s="100">
        <v>5.1457838621301955</v>
      </c>
      <c r="CA55" s="100">
        <v>3414.7421709095979</v>
      </c>
      <c r="CB55" s="100">
        <v>4.8897969444795866</v>
      </c>
      <c r="CC55" s="100">
        <v>3244.8692523566538</v>
      </c>
      <c r="CD55" s="100">
        <v>8</v>
      </c>
      <c r="CE55" s="100">
        <v>5308.8</v>
      </c>
      <c r="CF55" s="100">
        <v>7</v>
      </c>
      <c r="CG55" s="100">
        <v>4645.2</v>
      </c>
      <c r="CH55" s="100">
        <v>2.2598002549304157</v>
      </c>
      <c r="CI55" s="100">
        <v>1499.603449171824</v>
      </c>
      <c r="CJ55" s="100">
        <v>8</v>
      </c>
      <c r="CK55" s="100">
        <v>5308.8</v>
      </c>
      <c r="CL55" s="100">
        <v>7</v>
      </c>
      <c r="CM55" s="100">
        <v>4645.2</v>
      </c>
      <c r="CN55" s="100">
        <v>10</v>
      </c>
      <c r="CO55" s="100">
        <v>6636</v>
      </c>
      <c r="CP55" s="100">
        <v>8</v>
      </c>
      <c r="CQ55" s="100">
        <v>5308.8</v>
      </c>
      <c r="CR55" s="100">
        <v>10</v>
      </c>
      <c r="CS55" s="100">
        <v>6636</v>
      </c>
      <c r="CT55" s="100">
        <v>7</v>
      </c>
      <c r="CU55" s="100">
        <v>4645.2</v>
      </c>
    </row>
    <row r="56" spans="2:99">
      <c r="C56" s="99" t="s">
        <v>222</v>
      </c>
      <c r="D56" s="100">
        <v>8.9963831826417771</v>
      </c>
      <c r="E56" s="100">
        <v>8830.8497320811675</v>
      </c>
      <c r="F56" s="100">
        <v>0.61814377551522737</v>
      </c>
      <c r="G56" s="100">
        <v>606.76993004574717</v>
      </c>
      <c r="H56" s="100">
        <v>9.6779535590011552</v>
      </c>
      <c r="I56" s="100">
        <v>9499.8792135155327</v>
      </c>
      <c r="J56" s="100">
        <v>5.3968253968253954</v>
      </c>
      <c r="K56" s="100">
        <v>5297.5238095238074</v>
      </c>
      <c r="L56" s="100">
        <v>6.2962962962962958</v>
      </c>
      <c r="M56" s="100">
        <v>6180.4444444444434</v>
      </c>
      <c r="N56" s="100">
        <v>6</v>
      </c>
      <c r="O56" s="100">
        <v>5889.5999999999995</v>
      </c>
      <c r="P56" s="100">
        <v>5.8404255319148923</v>
      </c>
      <c r="Q56" s="100">
        <v>5732.9617021276581</v>
      </c>
      <c r="R56" s="100">
        <v>10.624999999999998</v>
      </c>
      <c r="S56" s="100">
        <v>10429.499999999998</v>
      </c>
      <c r="T56" s="100">
        <v>7.1204188481675397</v>
      </c>
      <c r="U56" s="100">
        <v>6989.4031413612565</v>
      </c>
      <c r="V56" s="100">
        <v>0</v>
      </c>
      <c r="W56" s="100">
        <v>0</v>
      </c>
      <c r="X56" s="100">
        <v>5.8048780487804876</v>
      </c>
      <c r="Y56" s="100">
        <v>5698.0682926829259</v>
      </c>
      <c r="Z56" s="100">
        <v>5</v>
      </c>
      <c r="AA56" s="100">
        <v>4908</v>
      </c>
      <c r="AB56" s="100">
        <v>0.15789473684210525</v>
      </c>
      <c r="AC56" s="100">
        <v>154.98947368421051</v>
      </c>
      <c r="AD56" s="100">
        <v>0</v>
      </c>
      <c r="AE56" s="100">
        <v>0</v>
      </c>
      <c r="AF56" s="100">
        <v>9.3034825870646749</v>
      </c>
      <c r="AG56" s="100">
        <v>9132.2985074626849</v>
      </c>
      <c r="AH56" s="100">
        <v>6.9863013698630132</v>
      </c>
      <c r="AI56" s="100">
        <v>6857.7534246575333</v>
      </c>
      <c r="AJ56" s="100">
        <v>7.6884422110552757</v>
      </c>
      <c r="AK56" s="100">
        <v>7546.9748743718583</v>
      </c>
      <c r="AL56" s="100">
        <v>0.33151275089513016</v>
      </c>
      <c r="AM56" s="100">
        <v>325.41291627865974</v>
      </c>
      <c r="AN56" s="100">
        <v>9</v>
      </c>
      <c r="AO56" s="100">
        <v>8834.4</v>
      </c>
      <c r="AP56" s="100">
        <v>5.6388888888888875</v>
      </c>
      <c r="AQ56" s="100">
        <v>5535.1333333333314</v>
      </c>
      <c r="AR56" s="100">
        <v>8</v>
      </c>
      <c r="AS56" s="100">
        <v>7852.7999999999993</v>
      </c>
      <c r="AT56" s="100">
        <v>6.8681318681318668</v>
      </c>
      <c r="AU56" s="100">
        <v>6741.7582417582398</v>
      </c>
      <c r="AV56" s="100">
        <v>10</v>
      </c>
      <c r="AW56" s="100">
        <v>9816</v>
      </c>
      <c r="AX56" s="100">
        <v>10</v>
      </c>
      <c r="AY56" s="100">
        <v>9816</v>
      </c>
      <c r="AZ56" s="100">
        <v>9</v>
      </c>
      <c r="BA56" s="100">
        <v>8834.4</v>
      </c>
      <c r="BB56" s="100">
        <v>8.0956578433913471</v>
      </c>
      <c r="BC56" s="100">
        <v>7946.6977390729453</v>
      </c>
      <c r="BD56" s="100">
        <v>3.7032050188379529E-22</v>
      </c>
      <c r="BE56" s="100">
        <v>3.6350660464913342E-19</v>
      </c>
      <c r="BF56" s="100">
        <v>5.6458699467529446E-22</v>
      </c>
      <c r="BG56" s="100">
        <v>5.5419859397326898E-19</v>
      </c>
      <c r="BH56" s="100">
        <v>6.1135751494425381E-22</v>
      </c>
      <c r="BI56" s="100">
        <v>6.0010853666927953E-19</v>
      </c>
      <c r="BJ56" s="100">
        <v>5.4023226157165432E-22</v>
      </c>
      <c r="BK56" s="100">
        <v>5.3029198795873579E-19</v>
      </c>
      <c r="BL56" s="100">
        <v>4.7752808988764039</v>
      </c>
      <c r="BM56" s="100">
        <v>4687.4157303370775</v>
      </c>
      <c r="BN56" s="100">
        <v>9.4444444444444446</v>
      </c>
      <c r="BO56" s="100">
        <v>9270.6666666666661</v>
      </c>
      <c r="BP56" s="100">
        <v>9</v>
      </c>
      <c r="BQ56" s="100">
        <v>8834.4</v>
      </c>
      <c r="BR56" s="100">
        <v>6.9041095890410942</v>
      </c>
      <c r="BS56" s="100">
        <v>6777.0739726027377</v>
      </c>
      <c r="BT56" s="100">
        <v>8.7793427230046941</v>
      </c>
      <c r="BU56" s="100">
        <v>8617.8028169014069</v>
      </c>
      <c r="BV56" s="100">
        <v>6.5384615384615392</v>
      </c>
      <c r="BW56" s="100">
        <v>6418.1538461538466</v>
      </c>
      <c r="BX56" s="100">
        <v>7.683615819209038</v>
      </c>
      <c r="BY56" s="100">
        <v>7542.2372881355914</v>
      </c>
      <c r="BZ56" s="100">
        <v>5</v>
      </c>
      <c r="CA56" s="100">
        <v>4908</v>
      </c>
      <c r="CB56" s="100">
        <v>4.9363636363636356</v>
      </c>
      <c r="CC56" s="100">
        <v>4845.5345454545441</v>
      </c>
      <c r="CD56" s="100">
        <v>6.1538461538461542</v>
      </c>
      <c r="CE56" s="100">
        <v>6040.6153846153848</v>
      </c>
      <c r="CF56" s="100">
        <v>5.4545454545454541</v>
      </c>
      <c r="CG56" s="100">
        <v>5354.1818181818171</v>
      </c>
      <c r="CH56" s="100">
        <v>0.86010831149672307</v>
      </c>
      <c r="CI56" s="100">
        <v>844.28231856518323</v>
      </c>
      <c r="CJ56" s="100">
        <v>8</v>
      </c>
      <c r="CK56" s="100">
        <v>7852.7999999999993</v>
      </c>
      <c r="CL56" s="100">
        <v>7</v>
      </c>
      <c r="CM56" s="100">
        <v>6871.1999999999989</v>
      </c>
      <c r="CN56" s="100">
        <v>11</v>
      </c>
      <c r="CO56" s="100">
        <v>10797.599999999999</v>
      </c>
      <c r="CP56" s="100">
        <v>2.6157894736842082</v>
      </c>
      <c r="CQ56" s="100">
        <v>2567.6589473684185</v>
      </c>
      <c r="CR56" s="100">
        <v>11</v>
      </c>
      <c r="CS56" s="100">
        <v>10797.599999999999</v>
      </c>
      <c r="CT56" s="100">
        <v>3.3901345291479816</v>
      </c>
      <c r="CU56" s="100">
        <v>3327.7560538116586</v>
      </c>
    </row>
    <row r="57" spans="2:99">
      <c r="C57" s="99" t="s">
        <v>223</v>
      </c>
      <c r="D57" s="100">
        <v>8</v>
      </c>
      <c r="E57" s="100">
        <v>11289.6</v>
      </c>
      <c r="F57" s="100">
        <v>10</v>
      </c>
      <c r="G57" s="100">
        <v>14112</v>
      </c>
      <c r="H57" s="100">
        <v>9</v>
      </c>
      <c r="I57" s="100">
        <v>12700.800000000001</v>
      </c>
      <c r="J57" s="100">
        <v>7</v>
      </c>
      <c r="K57" s="100">
        <v>9878.4</v>
      </c>
      <c r="L57" s="100">
        <v>6</v>
      </c>
      <c r="M57" s="100">
        <v>8467.2000000000007</v>
      </c>
      <c r="N57" s="100">
        <v>5.583938809057484</v>
      </c>
      <c r="O57" s="100">
        <v>7880.0544473419213</v>
      </c>
      <c r="P57" s="100">
        <v>6</v>
      </c>
      <c r="Q57" s="100">
        <v>8467.2000000000007</v>
      </c>
      <c r="R57" s="100">
        <v>10</v>
      </c>
      <c r="S57" s="100">
        <v>14112</v>
      </c>
      <c r="T57" s="100">
        <v>8</v>
      </c>
      <c r="U57" s="100">
        <v>11289.6</v>
      </c>
      <c r="V57" s="100">
        <v>9</v>
      </c>
      <c r="W57" s="100">
        <v>12700.800000000001</v>
      </c>
      <c r="X57" s="100">
        <v>7</v>
      </c>
      <c r="Y57" s="100">
        <v>9878.4</v>
      </c>
      <c r="Z57" s="100">
        <v>6</v>
      </c>
      <c r="AA57" s="100">
        <v>8467.2000000000007</v>
      </c>
      <c r="AB57" s="100">
        <v>9</v>
      </c>
      <c r="AC57" s="100">
        <v>12700.800000000001</v>
      </c>
      <c r="AD57" s="100">
        <v>6</v>
      </c>
      <c r="AE57" s="100">
        <v>8467.2000000000007</v>
      </c>
      <c r="AF57" s="100">
        <v>11</v>
      </c>
      <c r="AG57" s="100">
        <v>15523.2</v>
      </c>
      <c r="AH57" s="100">
        <v>9</v>
      </c>
      <c r="AI57" s="100">
        <v>12700.800000000001</v>
      </c>
      <c r="AJ57" s="100">
        <v>9</v>
      </c>
      <c r="AK57" s="100">
        <v>12700.800000000001</v>
      </c>
      <c r="AL57" s="100">
        <v>6</v>
      </c>
      <c r="AM57" s="100">
        <v>8467.2000000000007</v>
      </c>
      <c r="AN57" s="100">
        <v>10</v>
      </c>
      <c r="AO57" s="100">
        <v>14112</v>
      </c>
      <c r="AP57" s="100">
        <v>7</v>
      </c>
      <c r="AQ57" s="100">
        <v>9878.4</v>
      </c>
      <c r="AR57" s="100">
        <v>9</v>
      </c>
      <c r="AS57" s="100">
        <v>12700.800000000001</v>
      </c>
      <c r="AT57" s="100">
        <v>10</v>
      </c>
      <c r="AU57" s="100">
        <v>14112</v>
      </c>
      <c r="AV57" s="100">
        <v>11</v>
      </c>
      <c r="AW57" s="100">
        <v>15523.2</v>
      </c>
      <c r="AX57" s="100">
        <v>9</v>
      </c>
      <c r="AY57" s="100">
        <v>12700.800000000001</v>
      </c>
      <c r="AZ57" s="100">
        <v>9</v>
      </c>
      <c r="BA57" s="100">
        <v>12700.800000000001</v>
      </c>
      <c r="BB57" s="100">
        <v>10</v>
      </c>
      <c r="BC57" s="100">
        <v>14112</v>
      </c>
      <c r="BD57" s="100">
        <v>5</v>
      </c>
      <c r="BE57" s="100">
        <v>7056</v>
      </c>
      <c r="BF57" s="100">
        <v>9</v>
      </c>
      <c r="BG57" s="100">
        <v>12700.800000000001</v>
      </c>
      <c r="BH57" s="100">
        <v>10</v>
      </c>
      <c r="BI57" s="100">
        <v>14112</v>
      </c>
      <c r="BJ57" s="100">
        <v>6.3371522094926727</v>
      </c>
      <c r="BK57" s="100">
        <v>8942.9891980360608</v>
      </c>
      <c r="BL57" s="100">
        <v>4.3597133069521723</v>
      </c>
      <c r="BM57" s="100">
        <v>6152.4274187709061</v>
      </c>
      <c r="BN57" s="100">
        <v>10</v>
      </c>
      <c r="BO57" s="100">
        <v>14112</v>
      </c>
      <c r="BP57" s="100">
        <v>5.8933333333333371</v>
      </c>
      <c r="BQ57" s="100">
        <v>8316.6720000000059</v>
      </c>
      <c r="BR57" s="100">
        <v>8</v>
      </c>
      <c r="BS57" s="100">
        <v>11289.6</v>
      </c>
      <c r="BT57" s="100">
        <v>7.0933333333333364</v>
      </c>
      <c r="BU57" s="100">
        <v>10010.112000000005</v>
      </c>
      <c r="BV57" s="100">
        <v>6</v>
      </c>
      <c r="BW57" s="100">
        <v>8467.2000000000007</v>
      </c>
      <c r="BX57" s="100">
        <v>8</v>
      </c>
      <c r="BY57" s="100">
        <v>11289.6</v>
      </c>
      <c r="BZ57" s="100">
        <v>5.1457838621301955</v>
      </c>
      <c r="CA57" s="100">
        <v>7261.7301862381319</v>
      </c>
      <c r="CB57" s="100">
        <v>4.8897969444795866</v>
      </c>
      <c r="CC57" s="100">
        <v>6900.4814480495925</v>
      </c>
      <c r="CD57" s="100">
        <v>7</v>
      </c>
      <c r="CE57" s="100">
        <v>9878.4</v>
      </c>
      <c r="CF57" s="100">
        <v>7</v>
      </c>
      <c r="CG57" s="100">
        <v>9878.4</v>
      </c>
      <c r="CH57" s="100">
        <v>2.2598002549304157</v>
      </c>
      <c r="CI57" s="100">
        <v>3189.0301197578028</v>
      </c>
      <c r="CJ57" s="100">
        <v>7</v>
      </c>
      <c r="CK57" s="100">
        <v>9878.4</v>
      </c>
      <c r="CL57" s="100">
        <v>7</v>
      </c>
      <c r="CM57" s="100">
        <v>9878.4</v>
      </c>
      <c r="CN57" s="100">
        <v>10</v>
      </c>
      <c r="CO57" s="100">
        <v>14112</v>
      </c>
      <c r="CP57" s="100">
        <v>8</v>
      </c>
      <c r="CQ57" s="100">
        <v>11289.6</v>
      </c>
      <c r="CR57" s="100">
        <v>10</v>
      </c>
      <c r="CS57" s="100">
        <v>14112</v>
      </c>
      <c r="CT57" s="100">
        <v>6</v>
      </c>
      <c r="CU57" s="100">
        <v>8467.2000000000007</v>
      </c>
    </row>
    <row r="58" spans="2:99">
      <c r="C58" s="99" t="s">
        <v>224</v>
      </c>
      <c r="D58" s="100">
        <v>8</v>
      </c>
      <c r="E58" s="100">
        <v>9417.6</v>
      </c>
      <c r="F58" s="100">
        <v>9</v>
      </c>
      <c r="G58" s="100">
        <v>10594.800000000001</v>
      </c>
      <c r="H58" s="100">
        <v>9</v>
      </c>
      <c r="I58" s="100">
        <v>10594.800000000001</v>
      </c>
      <c r="J58" s="100">
        <v>6</v>
      </c>
      <c r="K58" s="100">
        <v>7063.2000000000007</v>
      </c>
      <c r="L58" s="100">
        <v>4.8468184330122437</v>
      </c>
      <c r="M58" s="100">
        <v>5705.6746593420139</v>
      </c>
      <c r="N58" s="100">
        <v>6</v>
      </c>
      <c r="O58" s="100">
        <v>7063.2000000000007</v>
      </c>
      <c r="P58" s="100">
        <v>6</v>
      </c>
      <c r="Q58" s="100">
        <v>7063.2000000000007</v>
      </c>
      <c r="R58" s="100">
        <v>10</v>
      </c>
      <c r="S58" s="100">
        <v>11772</v>
      </c>
      <c r="T58" s="100">
        <v>7</v>
      </c>
      <c r="U58" s="100">
        <v>8240.4</v>
      </c>
      <c r="V58" s="100">
        <v>9</v>
      </c>
      <c r="W58" s="100">
        <v>10594.800000000001</v>
      </c>
      <c r="X58" s="100">
        <v>3.4684958481272443</v>
      </c>
      <c r="Y58" s="100">
        <v>4083.1133124153921</v>
      </c>
      <c r="Z58" s="100">
        <v>5</v>
      </c>
      <c r="AA58" s="100">
        <v>5886</v>
      </c>
      <c r="AB58" s="100">
        <v>2.9875160847553293</v>
      </c>
      <c r="AC58" s="100">
        <v>3516.9039349739737</v>
      </c>
      <c r="AD58" s="100">
        <v>0</v>
      </c>
      <c r="AE58" s="100">
        <v>0</v>
      </c>
      <c r="AF58" s="100">
        <v>10</v>
      </c>
      <c r="AG58" s="100">
        <v>11772</v>
      </c>
      <c r="AH58" s="100">
        <v>9</v>
      </c>
      <c r="AI58" s="100">
        <v>10594.800000000001</v>
      </c>
      <c r="AJ58" s="100">
        <v>9</v>
      </c>
      <c r="AK58" s="100">
        <v>10594.800000000001</v>
      </c>
      <c r="AL58" s="100">
        <v>5</v>
      </c>
      <c r="AM58" s="100">
        <v>5886</v>
      </c>
      <c r="AN58" s="100">
        <v>8</v>
      </c>
      <c r="AO58" s="100">
        <v>9417.6</v>
      </c>
      <c r="AP58" s="100">
        <v>6.1079170025399963</v>
      </c>
      <c r="AQ58" s="100">
        <v>7190.2398953900838</v>
      </c>
      <c r="AR58" s="100">
        <v>9</v>
      </c>
      <c r="AS58" s="100">
        <v>10594.800000000001</v>
      </c>
      <c r="AT58" s="100">
        <v>6.3092783505154664</v>
      </c>
      <c r="AU58" s="100">
        <v>7427.2824742268076</v>
      </c>
      <c r="AV58" s="100">
        <v>9</v>
      </c>
      <c r="AW58" s="100">
        <v>10594.800000000001</v>
      </c>
      <c r="AX58" s="100">
        <v>10.356097560975613</v>
      </c>
      <c r="AY58" s="100">
        <v>12191.198048780492</v>
      </c>
      <c r="AZ58" s="100">
        <v>9</v>
      </c>
      <c r="BA58" s="100">
        <v>10594.800000000001</v>
      </c>
      <c r="BB58" s="100">
        <v>5.778304316006885</v>
      </c>
      <c r="BC58" s="100">
        <v>6802.2198408033055</v>
      </c>
      <c r="BD58" s="100">
        <v>5.3807640616500114</v>
      </c>
      <c r="BE58" s="100">
        <v>6334.2354533743937</v>
      </c>
      <c r="BF58" s="100">
        <v>3.7609105494516908</v>
      </c>
      <c r="BG58" s="100">
        <v>4427.3438988145308</v>
      </c>
      <c r="BH58" s="100">
        <v>4.150735118595227</v>
      </c>
      <c r="BI58" s="100">
        <v>4886.2453816103016</v>
      </c>
      <c r="BJ58" s="100">
        <v>3.9742813692762673</v>
      </c>
      <c r="BK58" s="100">
        <v>4678.5240279120217</v>
      </c>
      <c r="BL58" s="100">
        <v>4.3187171016989279</v>
      </c>
      <c r="BM58" s="100">
        <v>5083.9937721199785</v>
      </c>
      <c r="BN58" s="100">
        <v>4.7186508930550382</v>
      </c>
      <c r="BO58" s="100">
        <v>5554.795831304391</v>
      </c>
      <c r="BP58" s="100">
        <v>8</v>
      </c>
      <c r="BQ58" s="100">
        <v>9417.6</v>
      </c>
      <c r="BR58" s="100">
        <v>6.0425491377827045</v>
      </c>
      <c r="BS58" s="100">
        <v>7113.2888449978</v>
      </c>
      <c r="BT58" s="100">
        <v>11</v>
      </c>
      <c r="BU58" s="100">
        <v>12949.2</v>
      </c>
      <c r="BV58" s="100">
        <v>3.2381323490155967</v>
      </c>
      <c r="BW58" s="100">
        <v>3811.9294012611604</v>
      </c>
      <c r="BX58" s="100">
        <v>8</v>
      </c>
      <c r="BY58" s="100">
        <v>9417.6</v>
      </c>
      <c r="BZ58" s="100">
        <v>5</v>
      </c>
      <c r="CA58" s="100">
        <v>5886</v>
      </c>
      <c r="CB58" s="100">
        <v>6</v>
      </c>
      <c r="CC58" s="100">
        <v>7063.2000000000007</v>
      </c>
      <c r="CD58" s="100">
        <v>8</v>
      </c>
      <c r="CE58" s="100">
        <v>9417.6</v>
      </c>
      <c r="CF58" s="100">
        <v>7</v>
      </c>
      <c r="CG58" s="100">
        <v>8240.4</v>
      </c>
      <c r="CH58" s="100">
        <v>7</v>
      </c>
      <c r="CI58" s="100">
        <v>8240.4</v>
      </c>
      <c r="CJ58" s="100">
        <v>7.7067909790995861</v>
      </c>
      <c r="CK58" s="100">
        <v>9072.4343405960335</v>
      </c>
      <c r="CL58" s="100">
        <v>7</v>
      </c>
      <c r="CM58" s="100">
        <v>8240.4</v>
      </c>
      <c r="CN58" s="100">
        <v>8.4276729559748471</v>
      </c>
      <c r="CO58" s="100">
        <v>9921.0566037735898</v>
      </c>
      <c r="CP58" s="100">
        <v>8</v>
      </c>
      <c r="CQ58" s="100">
        <v>9417.6</v>
      </c>
      <c r="CR58" s="100">
        <v>10</v>
      </c>
      <c r="CS58" s="100">
        <v>11772</v>
      </c>
      <c r="CT58" s="100">
        <v>7</v>
      </c>
      <c r="CU58" s="100">
        <v>8240.4</v>
      </c>
    </row>
    <row r="59" spans="2:99">
      <c r="C59" s="99" t="s">
        <v>225</v>
      </c>
      <c r="D59" s="100">
        <v>8</v>
      </c>
      <c r="E59" s="100">
        <v>2428.7999999999997</v>
      </c>
      <c r="F59" s="100">
        <v>9</v>
      </c>
      <c r="G59" s="100">
        <v>2732.3999999999996</v>
      </c>
      <c r="H59" s="100">
        <v>11</v>
      </c>
      <c r="I59" s="100">
        <v>3339.5999999999995</v>
      </c>
      <c r="J59" s="100">
        <v>6</v>
      </c>
      <c r="K59" s="100">
        <v>1821.6</v>
      </c>
      <c r="L59" s="100">
        <v>7</v>
      </c>
      <c r="M59" s="100">
        <v>2125.1999999999998</v>
      </c>
      <c r="N59" s="100">
        <v>5.583938809057484</v>
      </c>
      <c r="O59" s="100">
        <v>1695.2838224298519</v>
      </c>
      <c r="P59" s="100">
        <v>7</v>
      </c>
      <c r="Q59" s="100">
        <v>2125.1999999999998</v>
      </c>
      <c r="R59" s="100">
        <v>11</v>
      </c>
      <c r="S59" s="100">
        <v>3339.5999999999995</v>
      </c>
      <c r="T59" s="100">
        <v>8</v>
      </c>
      <c r="U59" s="100">
        <v>2428.7999999999997</v>
      </c>
      <c r="V59" s="100">
        <v>10</v>
      </c>
      <c r="W59" s="100">
        <v>3035.9999999999995</v>
      </c>
      <c r="X59" s="100">
        <v>7</v>
      </c>
      <c r="Y59" s="100">
        <v>2125.1999999999998</v>
      </c>
      <c r="Z59" s="100">
        <v>6</v>
      </c>
      <c r="AA59" s="100">
        <v>1821.6</v>
      </c>
      <c r="AB59" s="100">
        <v>11</v>
      </c>
      <c r="AC59" s="100">
        <v>3339.5999999999995</v>
      </c>
      <c r="AD59" s="100">
        <v>6</v>
      </c>
      <c r="AE59" s="100">
        <v>1821.6</v>
      </c>
      <c r="AF59" s="100">
        <v>11</v>
      </c>
      <c r="AG59" s="100">
        <v>3339.5999999999995</v>
      </c>
      <c r="AH59" s="100">
        <v>9</v>
      </c>
      <c r="AI59" s="100">
        <v>2732.3999999999996</v>
      </c>
      <c r="AJ59" s="100">
        <v>8</v>
      </c>
      <c r="AK59" s="100">
        <v>2428.7999999999997</v>
      </c>
      <c r="AL59" s="100">
        <v>6</v>
      </c>
      <c r="AM59" s="100">
        <v>1821.6</v>
      </c>
      <c r="AN59" s="100">
        <v>10</v>
      </c>
      <c r="AO59" s="100">
        <v>3035.9999999999995</v>
      </c>
      <c r="AP59" s="100">
        <v>7</v>
      </c>
      <c r="AQ59" s="100">
        <v>2125.1999999999998</v>
      </c>
      <c r="AR59" s="100">
        <v>9</v>
      </c>
      <c r="AS59" s="100">
        <v>2732.3999999999996</v>
      </c>
      <c r="AT59" s="100">
        <v>10</v>
      </c>
      <c r="AU59" s="100">
        <v>3035.9999999999995</v>
      </c>
      <c r="AV59" s="100">
        <v>10</v>
      </c>
      <c r="AW59" s="100">
        <v>3035.9999999999995</v>
      </c>
      <c r="AX59" s="100">
        <v>10</v>
      </c>
      <c r="AY59" s="100">
        <v>3035.9999999999995</v>
      </c>
      <c r="AZ59" s="100">
        <v>10</v>
      </c>
      <c r="BA59" s="100">
        <v>3035.9999999999995</v>
      </c>
      <c r="BB59" s="100">
        <v>11</v>
      </c>
      <c r="BC59" s="100">
        <v>3339.5999999999995</v>
      </c>
      <c r="BD59" s="100">
        <v>6</v>
      </c>
      <c r="BE59" s="100">
        <v>1821.6</v>
      </c>
      <c r="BF59" s="100">
        <v>8</v>
      </c>
      <c r="BG59" s="100">
        <v>2428.7999999999997</v>
      </c>
      <c r="BH59" s="100">
        <v>11</v>
      </c>
      <c r="BI59" s="100">
        <v>3339.5999999999995</v>
      </c>
      <c r="BJ59" s="100">
        <v>6.3371522094926727</v>
      </c>
      <c r="BK59" s="100">
        <v>1923.9594108019753</v>
      </c>
      <c r="BL59" s="100">
        <v>4.3597133069521723</v>
      </c>
      <c r="BM59" s="100">
        <v>1323.6089599906793</v>
      </c>
      <c r="BN59" s="100">
        <v>9</v>
      </c>
      <c r="BO59" s="100">
        <v>2732.3999999999996</v>
      </c>
      <c r="BP59" s="100">
        <v>5.8933333333333371</v>
      </c>
      <c r="BQ59" s="100">
        <v>1789.216000000001</v>
      </c>
      <c r="BR59" s="100">
        <v>8</v>
      </c>
      <c r="BS59" s="100">
        <v>2428.7999999999997</v>
      </c>
      <c r="BT59" s="100">
        <v>8.6696296296296325</v>
      </c>
      <c r="BU59" s="100">
        <v>2632.099555555556</v>
      </c>
      <c r="BV59" s="100">
        <v>7</v>
      </c>
      <c r="BW59" s="100">
        <v>2125.1999999999998</v>
      </c>
      <c r="BX59" s="100">
        <v>10</v>
      </c>
      <c r="BY59" s="100">
        <v>3035.9999999999995</v>
      </c>
      <c r="BZ59" s="100">
        <v>5.1457838621301955</v>
      </c>
      <c r="CA59" s="100">
        <v>1562.2599805427271</v>
      </c>
      <c r="CB59" s="100">
        <v>4.1912545238396453</v>
      </c>
      <c r="CC59" s="100">
        <v>1272.4648734377161</v>
      </c>
      <c r="CD59" s="100">
        <v>9</v>
      </c>
      <c r="CE59" s="100">
        <v>2732.3999999999996</v>
      </c>
      <c r="CF59" s="100">
        <v>8</v>
      </c>
      <c r="CG59" s="100">
        <v>2428.7999999999997</v>
      </c>
      <c r="CH59" s="100">
        <v>2.5826288627776179</v>
      </c>
      <c r="CI59" s="100">
        <v>784.08612273928475</v>
      </c>
      <c r="CJ59" s="100">
        <v>8</v>
      </c>
      <c r="CK59" s="100">
        <v>2428.7999999999997</v>
      </c>
      <c r="CL59" s="100">
        <v>7</v>
      </c>
      <c r="CM59" s="100">
        <v>2125.1999999999998</v>
      </c>
      <c r="CN59" s="100">
        <v>10</v>
      </c>
      <c r="CO59" s="100">
        <v>3035.9999999999995</v>
      </c>
      <c r="CP59" s="100">
        <v>8</v>
      </c>
      <c r="CQ59" s="100">
        <v>2428.7999999999997</v>
      </c>
      <c r="CR59" s="100">
        <v>11</v>
      </c>
      <c r="CS59" s="100">
        <v>3339.5999999999995</v>
      </c>
      <c r="CT59" s="100">
        <v>7</v>
      </c>
      <c r="CU59" s="100">
        <v>2125.1999999999998</v>
      </c>
    </row>
    <row r="60" spans="2:99">
      <c r="C60" s="99" t="s">
        <v>226</v>
      </c>
      <c r="D60" s="100">
        <v>9</v>
      </c>
      <c r="E60" s="100">
        <v>5864.4000000000005</v>
      </c>
      <c r="F60" s="100">
        <v>9</v>
      </c>
      <c r="G60" s="100">
        <v>5864.4000000000005</v>
      </c>
      <c r="H60" s="100">
        <v>9</v>
      </c>
      <c r="I60" s="100">
        <v>5864.4000000000005</v>
      </c>
      <c r="J60" s="100">
        <v>6</v>
      </c>
      <c r="K60" s="100">
        <v>3909.6000000000004</v>
      </c>
      <c r="L60" s="100">
        <v>7</v>
      </c>
      <c r="M60" s="100">
        <v>4561.2</v>
      </c>
      <c r="N60" s="100">
        <v>6.5145952772337319</v>
      </c>
      <c r="O60" s="100">
        <v>4244.9102826455</v>
      </c>
      <c r="P60" s="100">
        <v>6</v>
      </c>
      <c r="Q60" s="100">
        <v>3909.6000000000004</v>
      </c>
      <c r="R60" s="100">
        <v>10</v>
      </c>
      <c r="S60" s="100">
        <v>6516</v>
      </c>
      <c r="T60" s="100">
        <v>8</v>
      </c>
      <c r="U60" s="100">
        <v>5212.8</v>
      </c>
      <c r="V60" s="100">
        <v>10</v>
      </c>
      <c r="W60" s="100">
        <v>6516</v>
      </c>
      <c r="X60" s="100">
        <v>7</v>
      </c>
      <c r="Y60" s="100">
        <v>4561.2</v>
      </c>
      <c r="Z60" s="100">
        <v>6</v>
      </c>
      <c r="AA60" s="100">
        <v>3909.6000000000004</v>
      </c>
      <c r="AB60" s="100">
        <v>10</v>
      </c>
      <c r="AC60" s="100">
        <v>6516</v>
      </c>
      <c r="AD60" s="100">
        <v>6</v>
      </c>
      <c r="AE60" s="100">
        <v>3909.6000000000004</v>
      </c>
      <c r="AF60" s="100">
        <v>10</v>
      </c>
      <c r="AG60" s="100">
        <v>6516</v>
      </c>
      <c r="AH60" s="100">
        <v>8</v>
      </c>
      <c r="AI60" s="100">
        <v>5212.8</v>
      </c>
      <c r="AJ60" s="100">
        <v>9</v>
      </c>
      <c r="AK60" s="100">
        <v>5864.4000000000005</v>
      </c>
      <c r="AL60" s="100">
        <v>6</v>
      </c>
      <c r="AM60" s="100">
        <v>3909.6000000000004</v>
      </c>
      <c r="AN60" s="100">
        <v>9</v>
      </c>
      <c r="AO60" s="100">
        <v>5864.4000000000005</v>
      </c>
      <c r="AP60" s="100">
        <v>7</v>
      </c>
      <c r="AQ60" s="100">
        <v>4561.2</v>
      </c>
      <c r="AR60" s="100">
        <v>8</v>
      </c>
      <c r="AS60" s="100">
        <v>5212.8</v>
      </c>
      <c r="AT60" s="100">
        <v>10</v>
      </c>
      <c r="AU60" s="100">
        <v>6516</v>
      </c>
      <c r="AV60" s="100">
        <v>10</v>
      </c>
      <c r="AW60" s="100">
        <v>6516</v>
      </c>
      <c r="AX60" s="100">
        <v>10</v>
      </c>
      <c r="AY60" s="100">
        <v>6516</v>
      </c>
      <c r="AZ60" s="100">
        <v>10</v>
      </c>
      <c r="BA60" s="100">
        <v>6516</v>
      </c>
      <c r="BB60" s="100">
        <v>9</v>
      </c>
      <c r="BC60" s="100">
        <v>5864.4000000000005</v>
      </c>
      <c r="BD60" s="100">
        <v>5</v>
      </c>
      <c r="BE60" s="100">
        <v>3258</v>
      </c>
      <c r="BF60" s="100">
        <v>9</v>
      </c>
      <c r="BG60" s="100">
        <v>5864.4000000000005</v>
      </c>
      <c r="BH60" s="100">
        <v>9</v>
      </c>
      <c r="BI60" s="100">
        <v>5864.4000000000005</v>
      </c>
      <c r="BJ60" s="100">
        <v>6.3371522094926727</v>
      </c>
      <c r="BK60" s="100">
        <v>4129.2883797054255</v>
      </c>
      <c r="BL60" s="100">
        <v>3.6330944224601431</v>
      </c>
      <c r="BM60" s="100">
        <v>2367.3243256750293</v>
      </c>
      <c r="BN60" s="100">
        <v>10</v>
      </c>
      <c r="BO60" s="100">
        <v>6516</v>
      </c>
      <c r="BP60" s="100">
        <v>5.8933333333333371</v>
      </c>
      <c r="BQ60" s="100">
        <v>3840.0960000000027</v>
      </c>
      <c r="BR60" s="100">
        <v>9</v>
      </c>
      <c r="BS60" s="100">
        <v>5864.4000000000005</v>
      </c>
      <c r="BT60" s="100">
        <v>7.0933333333333364</v>
      </c>
      <c r="BU60" s="100">
        <v>4622.0160000000024</v>
      </c>
      <c r="BV60" s="100">
        <v>7</v>
      </c>
      <c r="BW60" s="100">
        <v>4561.2</v>
      </c>
      <c r="BX60" s="100">
        <v>8</v>
      </c>
      <c r="BY60" s="100">
        <v>5212.8</v>
      </c>
      <c r="BZ60" s="100">
        <v>5.1457838621301955</v>
      </c>
      <c r="CA60" s="100">
        <v>3352.9927645640355</v>
      </c>
      <c r="CB60" s="100">
        <v>4.8897969444795866</v>
      </c>
      <c r="CC60" s="100">
        <v>3186.1916890228986</v>
      </c>
      <c r="CD60" s="100">
        <v>8</v>
      </c>
      <c r="CE60" s="100">
        <v>5212.8</v>
      </c>
      <c r="CF60" s="100">
        <v>8</v>
      </c>
      <c r="CG60" s="100">
        <v>5212.8</v>
      </c>
      <c r="CH60" s="100">
        <v>2.5826288627776179</v>
      </c>
      <c r="CI60" s="100">
        <v>1682.8409669858959</v>
      </c>
      <c r="CJ60" s="100">
        <v>8</v>
      </c>
      <c r="CK60" s="100">
        <v>5212.8</v>
      </c>
      <c r="CL60" s="100">
        <v>7</v>
      </c>
      <c r="CM60" s="100">
        <v>4561.2</v>
      </c>
      <c r="CN60" s="100">
        <v>11</v>
      </c>
      <c r="CO60" s="100">
        <v>7167.6</v>
      </c>
      <c r="CP60" s="100">
        <v>8</v>
      </c>
      <c r="CQ60" s="100">
        <v>5212.8</v>
      </c>
      <c r="CR60" s="100">
        <v>11</v>
      </c>
      <c r="CS60" s="100">
        <v>7167.6</v>
      </c>
      <c r="CT60" s="100">
        <v>6</v>
      </c>
      <c r="CU60" s="100">
        <v>3909.6000000000004</v>
      </c>
    </row>
    <row r="61" spans="2:99">
      <c r="C61" s="99" t="s">
        <v>227</v>
      </c>
      <c r="D61" s="100">
        <v>8</v>
      </c>
      <c r="E61" s="100">
        <v>7612.7999999999993</v>
      </c>
      <c r="F61" s="100">
        <v>9</v>
      </c>
      <c r="G61" s="100">
        <v>8564.4</v>
      </c>
      <c r="H61" s="100">
        <v>11</v>
      </c>
      <c r="I61" s="100">
        <v>10467.599999999999</v>
      </c>
      <c r="J61" s="100">
        <v>7</v>
      </c>
      <c r="K61" s="100">
        <v>6661.1999999999989</v>
      </c>
      <c r="L61" s="100">
        <v>6</v>
      </c>
      <c r="M61" s="100">
        <v>5709.5999999999995</v>
      </c>
      <c r="N61" s="100">
        <v>5.583938809057484</v>
      </c>
      <c r="O61" s="100">
        <v>5313.676170699101</v>
      </c>
      <c r="P61" s="100">
        <v>6</v>
      </c>
      <c r="Q61" s="100">
        <v>5709.5999999999995</v>
      </c>
      <c r="R61" s="100">
        <v>10</v>
      </c>
      <c r="S61" s="100">
        <v>9516</v>
      </c>
      <c r="T61" s="100">
        <v>8</v>
      </c>
      <c r="U61" s="100">
        <v>7612.7999999999993</v>
      </c>
      <c r="V61" s="100">
        <v>9</v>
      </c>
      <c r="W61" s="100">
        <v>8564.4</v>
      </c>
      <c r="X61" s="100">
        <v>6</v>
      </c>
      <c r="Y61" s="100">
        <v>5709.5999999999995</v>
      </c>
      <c r="Z61" s="100">
        <v>6</v>
      </c>
      <c r="AA61" s="100">
        <v>5709.5999999999995</v>
      </c>
      <c r="AB61" s="100">
        <v>10</v>
      </c>
      <c r="AC61" s="100">
        <v>9516</v>
      </c>
      <c r="AD61" s="100">
        <v>7</v>
      </c>
      <c r="AE61" s="100">
        <v>6661.1999999999989</v>
      </c>
      <c r="AF61" s="100">
        <v>9</v>
      </c>
      <c r="AG61" s="100">
        <v>8564.4</v>
      </c>
      <c r="AH61" s="100">
        <v>10</v>
      </c>
      <c r="AI61" s="100">
        <v>9516</v>
      </c>
      <c r="AJ61" s="100">
        <v>8</v>
      </c>
      <c r="AK61" s="100">
        <v>7612.7999999999993</v>
      </c>
      <c r="AL61" s="100">
        <v>5</v>
      </c>
      <c r="AM61" s="100">
        <v>4758</v>
      </c>
      <c r="AN61" s="100">
        <v>9</v>
      </c>
      <c r="AO61" s="100">
        <v>8564.4</v>
      </c>
      <c r="AP61" s="100">
        <v>8</v>
      </c>
      <c r="AQ61" s="100">
        <v>7612.7999999999993</v>
      </c>
      <c r="AR61" s="100">
        <v>9</v>
      </c>
      <c r="AS61" s="100">
        <v>8564.4</v>
      </c>
      <c r="AT61" s="100">
        <v>10</v>
      </c>
      <c r="AU61" s="100">
        <v>9516</v>
      </c>
      <c r="AV61" s="100">
        <v>11</v>
      </c>
      <c r="AW61" s="100">
        <v>10467.599999999999</v>
      </c>
      <c r="AX61" s="100">
        <v>11</v>
      </c>
      <c r="AY61" s="100">
        <v>10467.599999999999</v>
      </c>
      <c r="AZ61" s="100">
        <v>11</v>
      </c>
      <c r="BA61" s="100">
        <v>10467.599999999999</v>
      </c>
      <c r="BB61" s="100">
        <v>10</v>
      </c>
      <c r="BC61" s="100">
        <v>9516</v>
      </c>
      <c r="BD61" s="100">
        <v>5</v>
      </c>
      <c r="BE61" s="100">
        <v>4758</v>
      </c>
      <c r="BF61" s="100">
        <v>8</v>
      </c>
      <c r="BG61" s="100">
        <v>7612.7999999999993</v>
      </c>
      <c r="BH61" s="100">
        <v>9</v>
      </c>
      <c r="BI61" s="100">
        <v>8564.4</v>
      </c>
      <c r="BJ61" s="100">
        <v>7.1292962356792566</v>
      </c>
      <c r="BK61" s="100">
        <v>6784.2382978723799</v>
      </c>
      <c r="BL61" s="100">
        <v>3.6330944224601431</v>
      </c>
      <c r="BM61" s="100">
        <v>3457.2526524130717</v>
      </c>
      <c r="BN61" s="100">
        <v>11</v>
      </c>
      <c r="BO61" s="100">
        <v>10467.599999999999</v>
      </c>
      <c r="BP61" s="100">
        <v>5.8933333333333371</v>
      </c>
      <c r="BQ61" s="100">
        <v>5608.0960000000032</v>
      </c>
      <c r="BR61" s="100">
        <v>8</v>
      </c>
      <c r="BS61" s="100">
        <v>7612.7999999999993</v>
      </c>
      <c r="BT61" s="100">
        <v>8.6696296296296325</v>
      </c>
      <c r="BU61" s="100">
        <v>8250.0195555555583</v>
      </c>
      <c r="BV61" s="100">
        <v>7</v>
      </c>
      <c r="BW61" s="100">
        <v>6661.1999999999989</v>
      </c>
      <c r="BX61" s="100">
        <v>8</v>
      </c>
      <c r="BY61" s="100">
        <v>7612.7999999999993</v>
      </c>
      <c r="BZ61" s="100">
        <v>5.1457838621301955</v>
      </c>
      <c r="CA61" s="100">
        <v>4896.7279232030933</v>
      </c>
      <c r="CB61" s="100">
        <v>4.1912545238396453</v>
      </c>
      <c r="CC61" s="100">
        <v>3988.3978048858062</v>
      </c>
      <c r="CD61" s="100">
        <v>8</v>
      </c>
      <c r="CE61" s="100">
        <v>7612.7999999999993</v>
      </c>
      <c r="CF61" s="100">
        <v>7</v>
      </c>
      <c r="CG61" s="100">
        <v>6661.1999999999989</v>
      </c>
      <c r="CH61" s="100">
        <v>1.9369716470832137</v>
      </c>
      <c r="CI61" s="100">
        <v>1843.2222193643859</v>
      </c>
      <c r="CJ61" s="100">
        <v>8</v>
      </c>
      <c r="CK61" s="100">
        <v>7612.7999999999993</v>
      </c>
      <c r="CL61" s="100">
        <v>6</v>
      </c>
      <c r="CM61" s="100">
        <v>5709.5999999999995</v>
      </c>
      <c r="CN61" s="100">
        <v>10</v>
      </c>
      <c r="CO61" s="100">
        <v>9516</v>
      </c>
      <c r="CP61" s="100">
        <v>8</v>
      </c>
      <c r="CQ61" s="100">
        <v>7612.7999999999993</v>
      </c>
      <c r="CR61" s="100">
        <v>11</v>
      </c>
      <c r="CS61" s="100">
        <v>10467.599999999999</v>
      </c>
      <c r="CT61" s="100">
        <v>7</v>
      </c>
      <c r="CU61" s="100">
        <v>6661.1999999999989</v>
      </c>
    </row>
    <row r="62" spans="2:99">
      <c r="C62" s="99" t="s">
        <v>228</v>
      </c>
      <c r="D62" s="100">
        <v>8.9963831826417771</v>
      </c>
      <c r="E62" s="100">
        <v>15016.762808465655</v>
      </c>
      <c r="F62" s="100">
        <v>0.61814377551522737</v>
      </c>
      <c r="G62" s="100">
        <v>1031.8055900900176</v>
      </c>
      <c r="H62" s="100">
        <v>8.7981395990919591</v>
      </c>
      <c r="I62" s="100">
        <v>14685.854618804298</v>
      </c>
      <c r="J62" s="100">
        <v>5.3968253968253954</v>
      </c>
      <c r="K62" s="100">
        <v>9008.3809523809505</v>
      </c>
      <c r="L62" s="100">
        <v>5.3968253968253963</v>
      </c>
      <c r="M62" s="100">
        <v>9008.3809523809523</v>
      </c>
      <c r="N62" s="100">
        <v>6</v>
      </c>
      <c r="O62" s="100">
        <v>10015.200000000001</v>
      </c>
      <c r="P62" s="100">
        <v>4.8670212765957439</v>
      </c>
      <c r="Q62" s="100">
        <v>8124.031914893616</v>
      </c>
      <c r="R62" s="100">
        <v>9.6590909090909065</v>
      </c>
      <c r="S62" s="100">
        <v>16122.954545454542</v>
      </c>
      <c r="T62" s="100">
        <v>6.2303664921465964</v>
      </c>
      <c r="U62" s="100">
        <v>10399.727748691099</v>
      </c>
      <c r="V62" s="100">
        <v>0</v>
      </c>
      <c r="W62" s="100">
        <v>0</v>
      </c>
      <c r="X62" s="100">
        <v>4.9756097560975601</v>
      </c>
      <c r="Y62" s="100">
        <v>8305.2878048780476</v>
      </c>
      <c r="Z62" s="100">
        <v>5</v>
      </c>
      <c r="AA62" s="100">
        <v>8346</v>
      </c>
      <c r="AB62" s="100">
        <v>0.14210526315789473</v>
      </c>
      <c r="AC62" s="100">
        <v>237.2021052631579</v>
      </c>
      <c r="AD62" s="100">
        <v>0</v>
      </c>
      <c r="AE62" s="100">
        <v>0</v>
      </c>
      <c r="AF62" s="100">
        <v>8.4577114427860689</v>
      </c>
      <c r="AG62" s="100">
        <v>14117.611940298506</v>
      </c>
      <c r="AH62" s="100">
        <v>6.9863013698630132</v>
      </c>
      <c r="AI62" s="100">
        <v>11661.534246575342</v>
      </c>
      <c r="AJ62" s="100">
        <v>7.6884422110552757</v>
      </c>
      <c r="AK62" s="100">
        <v>12833.547738693467</v>
      </c>
      <c r="AL62" s="100">
        <v>0.39781530107415619</v>
      </c>
      <c r="AM62" s="100">
        <v>664.03330055298159</v>
      </c>
      <c r="AN62" s="100">
        <v>8</v>
      </c>
      <c r="AO62" s="100">
        <v>13353.6</v>
      </c>
      <c r="AP62" s="100">
        <v>5.6388888888888875</v>
      </c>
      <c r="AQ62" s="100">
        <v>9412.4333333333307</v>
      </c>
      <c r="AR62" s="100">
        <v>8</v>
      </c>
      <c r="AS62" s="100">
        <v>13353.6</v>
      </c>
      <c r="AT62" s="100">
        <v>6.1813186813186798</v>
      </c>
      <c r="AU62" s="100">
        <v>10317.857142857141</v>
      </c>
      <c r="AV62" s="100">
        <v>10</v>
      </c>
      <c r="AW62" s="100">
        <v>16692</v>
      </c>
      <c r="AX62" s="100">
        <v>9</v>
      </c>
      <c r="AY62" s="100">
        <v>15022.800000000001</v>
      </c>
      <c r="AZ62" s="100">
        <v>9</v>
      </c>
      <c r="BA62" s="100">
        <v>15022.800000000001</v>
      </c>
      <c r="BB62" s="100">
        <v>8.9951753815459412</v>
      </c>
      <c r="BC62" s="100">
        <v>15014.746746876486</v>
      </c>
      <c r="BD62" s="100">
        <v>3.7032050188379529E-22</v>
      </c>
      <c r="BE62" s="100">
        <v>6.1813898174443115E-19</v>
      </c>
      <c r="BF62" s="100">
        <v>5.6458699467529446E-22</v>
      </c>
      <c r="BG62" s="100">
        <v>9.4240861151200147E-19</v>
      </c>
      <c r="BH62" s="100">
        <v>7.4721474048742136E-22</v>
      </c>
      <c r="BI62" s="100">
        <v>1.2472508448216038E-18</v>
      </c>
      <c r="BJ62" s="100">
        <v>5.4023226157165432E-22</v>
      </c>
      <c r="BK62" s="100">
        <v>9.0175569101540537E-19</v>
      </c>
      <c r="BL62" s="100">
        <v>4.7752808988764039</v>
      </c>
      <c r="BM62" s="100">
        <v>7970.8988764044934</v>
      </c>
      <c r="BN62" s="100">
        <v>7.7272727272727275</v>
      </c>
      <c r="BO62" s="100">
        <v>12898.363636363638</v>
      </c>
      <c r="BP62" s="100">
        <v>9</v>
      </c>
      <c r="BQ62" s="100">
        <v>15022.800000000001</v>
      </c>
      <c r="BR62" s="100">
        <v>6.9041095890410942</v>
      </c>
      <c r="BS62" s="100">
        <v>11524.339726027394</v>
      </c>
      <c r="BT62" s="100">
        <v>7.1830985915492942</v>
      </c>
      <c r="BU62" s="100">
        <v>11990.028169014082</v>
      </c>
      <c r="BV62" s="100">
        <v>5.6043956043956049</v>
      </c>
      <c r="BW62" s="100">
        <v>9354.8571428571431</v>
      </c>
      <c r="BX62" s="100">
        <v>6.7231638418079092</v>
      </c>
      <c r="BY62" s="100">
        <v>11222.305084745762</v>
      </c>
      <c r="BZ62" s="100">
        <v>5</v>
      </c>
      <c r="CA62" s="100">
        <v>8346</v>
      </c>
      <c r="CB62" s="100">
        <v>5.7590909090909079</v>
      </c>
      <c r="CC62" s="100">
        <v>9613.0745454545431</v>
      </c>
      <c r="CD62" s="100">
        <v>6.9230769230769234</v>
      </c>
      <c r="CE62" s="100">
        <v>11556</v>
      </c>
      <c r="CF62" s="100">
        <v>5.4545454545454541</v>
      </c>
      <c r="CG62" s="100">
        <v>9104.7272727272721</v>
      </c>
      <c r="CH62" s="100">
        <v>0.86010831149672307</v>
      </c>
      <c r="CI62" s="100">
        <v>1435.6927935503302</v>
      </c>
      <c r="CJ62" s="100">
        <v>7</v>
      </c>
      <c r="CK62" s="100">
        <v>11684.4</v>
      </c>
      <c r="CL62" s="100">
        <v>7</v>
      </c>
      <c r="CM62" s="100">
        <v>11684.4</v>
      </c>
      <c r="CN62" s="100">
        <v>10</v>
      </c>
      <c r="CO62" s="100">
        <v>16692</v>
      </c>
      <c r="CP62" s="100">
        <v>2.6157894736842082</v>
      </c>
      <c r="CQ62" s="100">
        <v>4366.2757894736806</v>
      </c>
      <c r="CR62" s="100">
        <v>9</v>
      </c>
      <c r="CS62" s="100">
        <v>15022.800000000001</v>
      </c>
      <c r="CT62" s="100">
        <v>3.3901345291479816</v>
      </c>
      <c r="CU62" s="100">
        <v>5658.812556053811</v>
      </c>
    </row>
    <row r="63" spans="2:99">
      <c r="C63" s="99" t="s">
        <v>229</v>
      </c>
      <c r="D63" s="100">
        <v>8</v>
      </c>
      <c r="E63" s="100">
        <v>6364.8</v>
      </c>
      <c r="F63" s="100">
        <v>10</v>
      </c>
      <c r="G63" s="100">
        <v>7956</v>
      </c>
      <c r="H63" s="100">
        <v>9</v>
      </c>
      <c r="I63" s="100">
        <v>7160.4000000000005</v>
      </c>
      <c r="J63" s="100">
        <v>6</v>
      </c>
      <c r="K63" s="100">
        <v>4773.6000000000004</v>
      </c>
      <c r="L63" s="100">
        <v>7</v>
      </c>
      <c r="M63" s="100">
        <v>5569.2</v>
      </c>
      <c r="N63" s="100">
        <v>5.583938809057484</v>
      </c>
      <c r="O63" s="100">
        <v>4442.5817164861346</v>
      </c>
      <c r="P63" s="100">
        <v>6</v>
      </c>
      <c r="Q63" s="100">
        <v>4773.6000000000004</v>
      </c>
      <c r="R63" s="100">
        <v>10</v>
      </c>
      <c r="S63" s="100">
        <v>7956</v>
      </c>
      <c r="T63" s="100">
        <v>7</v>
      </c>
      <c r="U63" s="100">
        <v>5569.2</v>
      </c>
      <c r="V63" s="100">
        <v>10</v>
      </c>
      <c r="W63" s="100">
        <v>7956</v>
      </c>
      <c r="X63" s="100">
        <v>7</v>
      </c>
      <c r="Y63" s="100">
        <v>5569.2</v>
      </c>
      <c r="Z63" s="100">
        <v>6</v>
      </c>
      <c r="AA63" s="100">
        <v>4773.6000000000004</v>
      </c>
      <c r="AB63" s="100">
        <v>10</v>
      </c>
      <c r="AC63" s="100">
        <v>7956</v>
      </c>
      <c r="AD63" s="100">
        <v>6</v>
      </c>
      <c r="AE63" s="100">
        <v>4773.6000000000004</v>
      </c>
      <c r="AF63" s="100">
        <v>10</v>
      </c>
      <c r="AG63" s="100">
        <v>7956</v>
      </c>
      <c r="AH63" s="100">
        <v>8</v>
      </c>
      <c r="AI63" s="100">
        <v>6364.8</v>
      </c>
      <c r="AJ63" s="100">
        <v>9</v>
      </c>
      <c r="AK63" s="100">
        <v>7160.4000000000005</v>
      </c>
      <c r="AL63" s="100">
        <v>6</v>
      </c>
      <c r="AM63" s="100">
        <v>4773.6000000000004</v>
      </c>
      <c r="AN63" s="100">
        <v>8</v>
      </c>
      <c r="AO63" s="100">
        <v>6364.8</v>
      </c>
      <c r="AP63" s="100">
        <v>7</v>
      </c>
      <c r="AQ63" s="100">
        <v>5569.2</v>
      </c>
      <c r="AR63" s="100">
        <v>8</v>
      </c>
      <c r="AS63" s="100">
        <v>6364.8</v>
      </c>
      <c r="AT63" s="100">
        <v>9</v>
      </c>
      <c r="AU63" s="100">
        <v>7160.4000000000005</v>
      </c>
      <c r="AV63" s="100">
        <v>11</v>
      </c>
      <c r="AW63" s="100">
        <v>8751.6</v>
      </c>
      <c r="AX63" s="100">
        <v>10</v>
      </c>
      <c r="AY63" s="100">
        <v>7956</v>
      </c>
      <c r="AZ63" s="100">
        <v>10</v>
      </c>
      <c r="BA63" s="100">
        <v>7956</v>
      </c>
      <c r="BB63" s="100">
        <v>10</v>
      </c>
      <c r="BC63" s="100">
        <v>7956</v>
      </c>
      <c r="BD63" s="100">
        <v>6</v>
      </c>
      <c r="BE63" s="100">
        <v>4773.6000000000004</v>
      </c>
      <c r="BF63" s="100">
        <v>8</v>
      </c>
      <c r="BG63" s="100">
        <v>6364.8</v>
      </c>
      <c r="BH63" s="100">
        <v>10</v>
      </c>
      <c r="BI63" s="100">
        <v>7956</v>
      </c>
      <c r="BJ63" s="100">
        <v>5.5450081833060878</v>
      </c>
      <c r="BK63" s="100">
        <v>4411.6085106383234</v>
      </c>
      <c r="BL63" s="100">
        <v>4.3597133069521723</v>
      </c>
      <c r="BM63" s="100">
        <v>3468.5879070111482</v>
      </c>
      <c r="BN63" s="100">
        <v>10</v>
      </c>
      <c r="BO63" s="100">
        <v>7956</v>
      </c>
      <c r="BP63" s="100">
        <v>5.2385185185185206</v>
      </c>
      <c r="BQ63" s="100">
        <v>4167.7653333333346</v>
      </c>
      <c r="BR63" s="100">
        <v>8</v>
      </c>
      <c r="BS63" s="100">
        <v>6364.8</v>
      </c>
      <c r="BT63" s="100">
        <v>7.8814814814814849</v>
      </c>
      <c r="BU63" s="100">
        <v>6270.5066666666698</v>
      </c>
      <c r="BV63" s="100">
        <v>6</v>
      </c>
      <c r="BW63" s="100">
        <v>4773.6000000000004</v>
      </c>
      <c r="BX63" s="100">
        <v>8</v>
      </c>
      <c r="BY63" s="100">
        <v>6364.8</v>
      </c>
      <c r="BZ63" s="100">
        <v>4.2881532184418294</v>
      </c>
      <c r="CA63" s="100">
        <v>3411.6547005923194</v>
      </c>
      <c r="CB63" s="100">
        <v>4.1912545238396453</v>
      </c>
      <c r="CC63" s="100">
        <v>3334.562099166822</v>
      </c>
      <c r="CD63" s="100">
        <v>8</v>
      </c>
      <c r="CE63" s="100">
        <v>6364.8</v>
      </c>
      <c r="CF63" s="100">
        <v>7</v>
      </c>
      <c r="CG63" s="100">
        <v>5569.2</v>
      </c>
      <c r="CH63" s="100">
        <v>2.5826288627776179</v>
      </c>
      <c r="CI63" s="100">
        <v>2054.7395232258727</v>
      </c>
      <c r="CJ63" s="100">
        <v>7</v>
      </c>
      <c r="CK63" s="100">
        <v>5569.2</v>
      </c>
      <c r="CL63" s="100">
        <v>6</v>
      </c>
      <c r="CM63" s="100">
        <v>4773.6000000000004</v>
      </c>
      <c r="CN63" s="100">
        <v>10</v>
      </c>
      <c r="CO63" s="100">
        <v>7956</v>
      </c>
      <c r="CP63" s="100">
        <v>8</v>
      </c>
      <c r="CQ63" s="100">
        <v>6364.8</v>
      </c>
      <c r="CR63" s="100">
        <v>11</v>
      </c>
      <c r="CS63" s="100">
        <v>8751.6</v>
      </c>
      <c r="CT63" s="100">
        <v>7</v>
      </c>
      <c r="CU63" s="100">
        <v>5569.2</v>
      </c>
    </row>
    <row r="64" spans="2:99">
      <c r="C64" s="99" t="s">
        <v>230</v>
      </c>
      <c r="D64" s="100">
        <v>8</v>
      </c>
      <c r="E64" s="100">
        <v>8073.5999999999985</v>
      </c>
      <c r="F64" s="100">
        <v>9</v>
      </c>
      <c r="G64" s="100">
        <v>9082.7999999999993</v>
      </c>
      <c r="H64" s="100">
        <v>11</v>
      </c>
      <c r="I64" s="100">
        <v>11101.199999999997</v>
      </c>
      <c r="J64" s="100">
        <v>7</v>
      </c>
      <c r="K64" s="100">
        <v>7064.3999999999987</v>
      </c>
      <c r="L64" s="100">
        <v>7</v>
      </c>
      <c r="M64" s="100">
        <v>7064.3999999999987</v>
      </c>
      <c r="N64" s="100">
        <v>5.583938809057484</v>
      </c>
      <c r="O64" s="100">
        <v>5635.3110461008118</v>
      </c>
      <c r="P64" s="100">
        <v>6</v>
      </c>
      <c r="Q64" s="100">
        <v>6055.1999999999989</v>
      </c>
      <c r="R64" s="100">
        <v>11</v>
      </c>
      <c r="S64" s="100">
        <v>11101.199999999997</v>
      </c>
      <c r="T64" s="100">
        <v>8</v>
      </c>
      <c r="U64" s="100">
        <v>8073.5999999999985</v>
      </c>
      <c r="V64" s="100">
        <v>11</v>
      </c>
      <c r="W64" s="100">
        <v>11101.199999999997</v>
      </c>
      <c r="X64" s="100">
        <v>7</v>
      </c>
      <c r="Y64" s="100">
        <v>7064.3999999999987</v>
      </c>
      <c r="Z64" s="100">
        <v>6</v>
      </c>
      <c r="AA64" s="100">
        <v>6055.1999999999989</v>
      </c>
      <c r="AB64" s="100">
        <v>10</v>
      </c>
      <c r="AC64" s="100">
        <v>10091.999999999998</v>
      </c>
      <c r="AD64" s="100">
        <v>7</v>
      </c>
      <c r="AE64" s="100">
        <v>7064.3999999999987</v>
      </c>
      <c r="AF64" s="100">
        <v>10</v>
      </c>
      <c r="AG64" s="100">
        <v>10091.999999999998</v>
      </c>
      <c r="AH64" s="100">
        <v>10</v>
      </c>
      <c r="AI64" s="100">
        <v>10091.999999999998</v>
      </c>
      <c r="AJ64" s="100">
        <v>9</v>
      </c>
      <c r="AK64" s="100">
        <v>9082.7999999999993</v>
      </c>
      <c r="AL64" s="100">
        <v>6</v>
      </c>
      <c r="AM64" s="100">
        <v>6055.1999999999989</v>
      </c>
      <c r="AN64" s="100">
        <v>8</v>
      </c>
      <c r="AO64" s="100">
        <v>8073.5999999999985</v>
      </c>
      <c r="AP64" s="100">
        <v>8</v>
      </c>
      <c r="AQ64" s="100">
        <v>8073.5999999999985</v>
      </c>
      <c r="AR64" s="100">
        <v>8</v>
      </c>
      <c r="AS64" s="100">
        <v>8073.5999999999985</v>
      </c>
      <c r="AT64" s="100">
        <v>9</v>
      </c>
      <c r="AU64" s="100">
        <v>9082.7999999999993</v>
      </c>
      <c r="AV64" s="100">
        <v>9</v>
      </c>
      <c r="AW64" s="100">
        <v>9082.7999999999993</v>
      </c>
      <c r="AX64" s="100">
        <v>11</v>
      </c>
      <c r="AY64" s="100">
        <v>11101.199999999997</v>
      </c>
      <c r="AZ64" s="100">
        <v>10</v>
      </c>
      <c r="BA64" s="100">
        <v>10091.999999999998</v>
      </c>
      <c r="BB64" s="100">
        <v>10</v>
      </c>
      <c r="BC64" s="100">
        <v>10091.999999999998</v>
      </c>
      <c r="BD64" s="100">
        <v>5</v>
      </c>
      <c r="BE64" s="100">
        <v>5045.9999999999991</v>
      </c>
      <c r="BF64" s="100">
        <v>8</v>
      </c>
      <c r="BG64" s="100">
        <v>8073.5999999999985</v>
      </c>
      <c r="BH64" s="100">
        <v>11</v>
      </c>
      <c r="BI64" s="100">
        <v>11101.199999999997</v>
      </c>
      <c r="BJ64" s="100">
        <v>7.1292962356792566</v>
      </c>
      <c r="BK64" s="100">
        <v>7194.8857610475043</v>
      </c>
      <c r="BL64" s="100">
        <v>4.3597133069521723</v>
      </c>
      <c r="BM64" s="100">
        <v>4399.8226693761317</v>
      </c>
      <c r="BN64" s="100">
        <v>11</v>
      </c>
      <c r="BO64" s="100">
        <v>11101.199999999997</v>
      </c>
      <c r="BP64" s="100">
        <v>5.8933333333333371</v>
      </c>
      <c r="BQ64" s="100">
        <v>5947.5520000000024</v>
      </c>
      <c r="BR64" s="100">
        <v>8</v>
      </c>
      <c r="BS64" s="100">
        <v>8073.5999999999985</v>
      </c>
      <c r="BT64" s="100">
        <v>8.6696296296296325</v>
      </c>
      <c r="BU64" s="100">
        <v>8749.3902222222241</v>
      </c>
      <c r="BV64" s="100">
        <v>7</v>
      </c>
      <c r="BW64" s="100">
        <v>7064.3999999999987</v>
      </c>
      <c r="BX64" s="100">
        <v>9</v>
      </c>
      <c r="BY64" s="100">
        <v>9082.7999999999993</v>
      </c>
      <c r="BZ64" s="100">
        <v>5.1457838621301955</v>
      </c>
      <c r="CA64" s="100">
        <v>5193.1250736617922</v>
      </c>
      <c r="CB64" s="100">
        <v>4.1912545238396453</v>
      </c>
      <c r="CC64" s="100">
        <v>4229.8140654589688</v>
      </c>
      <c r="CD64" s="100">
        <v>9</v>
      </c>
      <c r="CE64" s="100">
        <v>9082.7999999999993</v>
      </c>
      <c r="CF64" s="100">
        <v>7</v>
      </c>
      <c r="CG64" s="100">
        <v>7064.3999999999987</v>
      </c>
      <c r="CH64" s="100">
        <v>2.2598002549304157</v>
      </c>
      <c r="CI64" s="100">
        <v>2280.5904172757751</v>
      </c>
      <c r="CJ64" s="100">
        <v>7</v>
      </c>
      <c r="CK64" s="100">
        <v>7064.3999999999987</v>
      </c>
      <c r="CL64" s="100">
        <v>7</v>
      </c>
      <c r="CM64" s="100">
        <v>7064.3999999999987</v>
      </c>
      <c r="CN64" s="100">
        <v>10</v>
      </c>
      <c r="CO64" s="100">
        <v>10091.999999999998</v>
      </c>
      <c r="CP64" s="100">
        <v>8</v>
      </c>
      <c r="CQ64" s="100">
        <v>8073.5999999999985</v>
      </c>
      <c r="CR64" s="100">
        <v>11</v>
      </c>
      <c r="CS64" s="100">
        <v>11101.199999999997</v>
      </c>
      <c r="CT64" s="100">
        <v>6</v>
      </c>
      <c r="CU64" s="100">
        <v>6055.1999999999989</v>
      </c>
    </row>
    <row r="65" spans="2:99">
      <c r="C65" s="99" t="s">
        <v>231</v>
      </c>
      <c r="D65" s="100">
        <v>9</v>
      </c>
      <c r="E65" s="100">
        <v>9234</v>
      </c>
      <c r="F65" s="100">
        <v>9</v>
      </c>
      <c r="G65" s="100">
        <v>9234</v>
      </c>
      <c r="H65" s="100">
        <v>10</v>
      </c>
      <c r="I65" s="100">
        <v>10260</v>
      </c>
      <c r="J65" s="100">
        <v>6</v>
      </c>
      <c r="K65" s="100">
        <v>6156</v>
      </c>
      <c r="L65" s="100">
        <v>7</v>
      </c>
      <c r="M65" s="100">
        <v>7182</v>
      </c>
      <c r="N65" s="100">
        <v>5.583938809057484</v>
      </c>
      <c r="O65" s="100">
        <v>5729.1212180929788</v>
      </c>
      <c r="P65" s="100">
        <v>6</v>
      </c>
      <c r="Q65" s="100">
        <v>6156</v>
      </c>
      <c r="R65" s="100">
        <v>10</v>
      </c>
      <c r="S65" s="100">
        <v>10260</v>
      </c>
      <c r="T65" s="100">
        <v>8</v>
      </c>
      <c r="U65" s="100">
        <v>8208</v>
      </c>
      <c r="V65" s="100">
        <v>9</v>
      </c>
      <c r="W65" s="100">
        <v>9234</v>
      </c>
      <c r="X65" s="100">
        <v>6</v>
      </c>
      <c r="Y65" s="100">
        <v>6156</v>
      </c>
      <c r="Z65" s="100">
        <v>6</v>
      </c>
      <c r="AA65" s="100">
        <v>6156</v>
      </c>
      <c r="AB65" s="100">
        <v>9</v>
      </c>
      <c r="AC65" s="100">
        <v>9234</v>
      </c>
      <c r="AD65" s="100">
        <v>7</v>
      </c>
      <c r="AE65" s="100">
        <v>7182</v>
      </c>
      <c r="AF65" s="100">
        <v>10</v>
      </c>
      <c r="AG65" s="100">
        <v>10260</v>
      </c>
      <c r="AH65" s="100">
        <v>8</v>
      </c>
      <c r="AI65" s="100">
        <v>8208</v>
      </c>
      <c r="AJ65" s="100">
        <v>8</v>
      </c>
      <c r="AK65" s="100">
        <v>8208</v>
      </c>
      <c r="AL65" s="100">
        <v>6</v>
      </c>
      <c r="AM65" s="100">
        <v>6156</v>
      </c>
      <c r="AN65" s="100">
        <v>8</v>
      </c>
      <c r="AO65" s="100">
        <v>8208</v>
      </c>
      <c r="AP65" s="100">
        <v>7</v>
      </c>
      <c r="AQ65" s="100">
        <v>7182</v>
      </c>
      <c r="AR65" s="100">
        <v>9</v>
      </c>
      <c r="AS65" s="100">
        <v>9234</v>
      </c>
      <c r="AT65" s="100">
        <v>9</v>
      </c>
      <c r="AU65" s="100">
        <v>9234</v>
      </c>
      <c r="AV65" s="100">
        <v>11</v>
      </c>
      <c r="AW65" s="100">
        <v>11286</v>
      </c>
      <c r="AX65" s="100">
        <v>9</v>
      </c>
      <c r="AY65" s="100">
        <v>9234</v>
      </c>
      <c r="AZ65" s="100">
        <v>10</v>
      </c>
      <c r="BA65" s="100">
        <v>10260</v>
      </c>
      <c r="BB65" s="100">
        <v>10</v>
      </c>
      <c r="BC65" s="100">
        <v>10260</v>
      </c>
      <c r="BD65" s="100">
        <v>6</v>
      </c>
      <c r="BE65" s="100">
        <v>6156</v>
      </c>
      <c r="BF65" s="100">
        <v>8</v>
      </c>
      <c r="BG65" s="100">
        <v>8208</v>
      </c>
      <c r="BH65" s="100">
        <v>9</v>
      </c>
      <c r="BI65" s="100">
        <v>9234</v>
      </c>
      <c r="BJ65" s="100">
        <v>6.3371522094926727</v>
      </c>
      <c r="BK65" s="100">
        <v>6501.918166939482</v>
      </c>
      <c r="BL65" s="100">
        <v>3.6330944224601431</v>
      </c>
      <c r="BM65" s="100">
        <v>3727.5548774441068</v>
      </c>
      <c r="BN65" s="100">
        <v>9</v>
      </c>
      <c r="BO65" s="100">
        <v>9234</v>
      </c>
      <c r="BP65" s="100">
        <v>5.2385185185185206</v>
      </c>
      <c r="BQ65" s="100">
        <v>5374.7200000000021</v>
      </c>
      <c r="BR65" s="100">
        <v>8</v>
      </c>
      <c r="BS65" s="100">
        <v>8208</v>
      </c>
      <c r="BT65" s="100">
        <v>7.0933333333333364</v>
      </c>
      <c r="BU65" s="100">
        <v>7277.7600000000029</v>
      </c>
      <c r="BV65" s="100">
        <v>6</v>
      </c>
      <c r="BW65" s="100">
        <v>6156</v>
      </c>
      <c r="BX65" s="100">
        <v>8</v>
      </c>
      <c r="BY65" s="100">
        <v>8208</v>
      </c>
      <c r="BZ65" s="100">
        <v>4.2881532184418294</v>
      </c>
      <c r="CA65" s="100">
        <v>4399.6452021213172</v>
      </c>
      <c r="CB65" s="100">
        <v>4.1912545238396453</v>
      </c>
      <c r="CC65" s="100">
        <v>4300.2271414594761</v>
      </c>
      <c r="CD65" s="100">
        <v>9</v>
      </c>
      <c r="CE65" s="100">
        <v>9234</v>
      </c>
      <c r="CF65" s="100">
        <v>6</v>
      </c>
      <c r="CG65" s="100">
        <v>6156</v>
      </c>
      <c r="CH65" s="100">
        <v>1.9369716470832137</v>
      </c>
      <c r="CI65" s="100">
        <v>1987.3329099073771</v>
      </c>
      <c r="CJ65" s="100">
        <v>8</v>
      </c>
      <c r="CK65" s="100">
        <v>8208</v>
      </c>
      <c r="CL65" s="100">
        <v>6</v>
      </c>
      <c r="CM65" s="100">
        <v>6156</v>
      </c>
      <c r="CN65" s="100">
        <v>10</v>
      </c>
      <c r="CO65" s="100">
        <v>10260</v>
      </c>
      <c r="CP65" s="100">
        <v>7</v>
      </c>
      <c r="CQ65" s="100">
        <v>7182</v>
      </c>
      <c r="CR65" s="100">
        <v>11</v>
      </c>
      <c r="CS65" s="100">
        <v>11286</v>
      </c>
      <c r="CT65" s="100">
        <v>6</v>
      </c>
      <c r="CU65" s="100">
        <v>6156</v>
      </c>
    </row>
    <row r="66" spans="2:99">
      <c r="C66" s="99" t="s">
        <v>232</v>
      </c>
      <c r="D66" s="100">
        <v>8</v>
      </c>
      <c r="E66" s="100">
        <v>9523.1999999999989</v>
      </c>
      <c r="F66" s="100">
        <v>8</v>
      </c>
      <c r="G66" s="100">
        <v>9523.1999999999989</v>
      </c>
      <c r="H66" s="100">
        <v>10</v>
      </c>
      <c r="I66" s="100">
        <v>11903.999999999998</v>
      </c>
      <c r="J66" s="100">
        <v>7</v>
      </c>
      <c r="K66" s="100">
        <v>8332.7999999999993</v>
      </c>
      <c r="L66" s="100">
        <v>6</v>
      </c>
      <c r="M66" s="100">
        <v>7142.4</v>
      </c>
      <c r="N66" s="100">
        <v>5.583938809057484</v>
      </c>
      <c r="O66" s="100">
        <v>6647.1207583020278</v>
      </c>
      <c r="P66" s="100">
        <v>6</v>
      </c>
      <c r="Q66" s="100">
        <v>7142.4</v>
      </c>
      <c r="R66" s="100">
        <v>9</v>
      </c>
      <c r="S66" s="100">
        <v>10713.599999999999</v>
      </c>
      <c r="T66" s="100">
        <v>8</v>
      </c>
      <c r="U66" s="100">
        <v>9523.1999999999989</v>
      </c>
      <c r="V66" s="100">
        <v>9</v>
      </c>
      <c r="W66" s="100">
        <v>10713.599999999999</v>
      </c>
      <c r="X66" s="100">
        <v>6</v>
      </c>
      <c r="Y66" s="100">
        <v>7142.4</v>
      </c>
      <c r="Z66" s="100">
        <v>6</v>
      </c>
      <c r="AA66" s="100">
        <v>7142.4</v>
      </c>
      <c r="AB66" s="100">
        <v>10</v>
      </c>
      <c r="AC66" s="100">
        <v>11903.999999999998</v>
      </c>
      <c r="AD66" s="100">
        <v>6</v>
      </c>
      <c r="AE66" s="100">
        <v>7142.4</v>
      </c>
      <c r="AF66" s="100">
        <v>9</v>
      </c>
      <c r="AG66" s="100">
        <v>10713.599999999999</v>
      </c>
      <c r="AH66" s="100">
        <v>9</v>
      </c>
      <c r="AI66" s="100">
        <v>10713.599999999999</v>
      </c>
      <c r="AJ66" s="100">
        <v>8</v>
      </c>
      <c r="AK66" s="100">
        <v>9523.1999999999989</v>
      </c>
      <c r="AL66" s="100">
        <v>6</v>
      </c>
      <c r="AM66" s="100">
        <v>7142.4</v>
      </c>
      <c r="AN66" s="100">
        <v>9</v>
      </c>
      <c r="AO66" s="100">
        <v>10713.599999999999</v>
      </c>
      <c r="AP66" s="100">
        <v>7</v>
      </c>
      <c r="AQ66" s="100">
        <v>8332.7999999999993</v>
      </c>
      <c r="AR66" s="100">
        <v>9</v>
      </c>
      <c r="AS66" s="100">
        <v>10713.599999999999</v>
      </c>
      <c r="AT66" s="100">
        <v>9</v>
      </c>
      <c r="AU66" s="100">
        <v>10713.599999999999</v>
      </c>
      <c r="AV66" s="100">
        <v>10</v>
      </c>
      <c r="AW66" s="100">
        <v>11903.999999999998</v>
      </c>
      <c r="AX66" s="100">
        <v>11</v>
      </c>
      <c r="AY66" s="100">
        <v>13094.399999999998</v>
      </c>
      <c r="AZ66" s="100">
        <v>9</v>
      </c>
      <c r="BA66" s="100">
        <v>10713.599999999999</v>
      </c>
      <c r="BB66" s="100">
        <v>9</v>
      </c>
      <c r="BC66" s="100">
        <v>10713.599999999999</v>
      </c>
      <c r="BD66" s="100">
        <v>6</v>
      </c>
      <c r="BE66" s="100">
        <v>7142.4</v>
      </c>
      <c r="BF66" s="100">
        <v>8</v>
      </c>
      <c r="BG66" s="100">
        <v>9523.1999999999989</v>
      </c>
      <c r="BH66" s="100">
        <v>10</v>
      </c>
      <c r="BI66" s="100">
        <v>11903.999999999998</v>
      </c>
      <c r="BJ66" s="100">
        <v>5.5450081833060878</v>
      </c>
      <c r="BK66" s="100">
        <v>6600.7777414075663</v>
      </c>
      <c r="BL66" s="100">
        <v>4.3597133069521723</v>
      </c>
      <c r="BM66" s="100">
        <v>5189.8027205958651</v>
      </c>
      <c r="BN66" s="100">
        <v>11</v>
      </c>
      <c r="BO66" s="100">
        <v>13094.399999999998</v>
      </c>
      <c r="BP66" s="100">
        <v>5.2385185185185206</v>
      </c>
      <c r="BQ66" s="100">
        <v>6235.9324444444464</v>
      </c>
      <c r="BR66" s="100">
        <v>9</v>
      </c>
      <c r="BS66" s="100">
        <v>10713.599999999999</v>
      </c>
      <c r="BT66" s="100">
        <v>7.0933333333333364</v>
      </c>
      <c r="BU66" s="100">
        <v>8443.9040000000023</v>
      </c>
      <c r="BV66" s="100">
        <v>6</v>
      </c>
      <c r="BW66" s="100">
        <v>7142.4</v>
      </c>
      <c r="BX66" s="100">
        <v>8</v>
      </c>
      <c r="BY66" s="100">
        <v>9523.1999999999989</v>
      </c>
      <c r="BZ66" s="100">
        <v>5.1457838621301955</v>
      </c>
      <c r="CA66" s="100">
        <v>6125.5411094797837</v>
      </c>
      <c r="CB66" s="100">
        <v>4.8897969444795866</v>
      </c>
      <c r="CC66" s="100">
        <v>5820.8142827084994</v>
      </c>
      <c r="CD66" s="100">
        <v>8</v>
      </c>
      <c r="CE66" s="100">
        <v>9523.1999999999989</v>
      </c>
      <c r="CF66" s="100">
        <v>7</v>
      </c>
      <c r="CG66" s="100">
        <v>8332.7999999999993</v>
      </c>
      <c r="CH66" s="100">
        <v>2.2598002549304157</v>
      </c>
      <c r="CI66" s="100">
        <v>2690.0662234691667</v>
      </c>
      <c r="CJ66" s="100">
        <v>7</v>
      </c>
      <c r="CK66" s="100">
        <v>8332.7999999999993</v>
      </c>
      <c r="CL66" s="100">
        <v>6</v>
      </c>
      <c r="CM66" s="100">
        <v>7142.4</v>
      </c>
      <c r="CN66" s="100">
        <v>11</v>
      </c>
      <c r="CO66" s="100">
        <v>13094.399999999998</v>
      </c>
      <c r="CP66" s="100">
        <v>7</v>
      </c>
      <c r="CQ66" s="100">
        <v>8332.7999999999993</v>
      </c>
      <c r="CR66" s="100">
        <v>12</v>
      </c>
      <c r="CS66" s="100">
        <v>14284.8</v>
      </c>
      <c r="CT66" s="100">
        <v>6</v>
      </c>
      <c r="CU66" s="100">
        <v>7142.4</v>
      </c>
    </row>
    <row r="67" spans="2:99">
      <c r="C67" s="99" t="s">
        <v>233</v>
      </c>
      <c r="D67" s="100">
        <v>8</v>
      </c>
      <c r="E67" s="100">
        <v>8985.6</v>
      </c>
      <c r="F67" s="100">
        <v>9</v>
      </c>
      <c r="G67" s="100">
        <v>10108.800000000001</v>
      </c>
      <c r="H67" s="100">
        <v>10</v>
      </c>
      <c r="I67" s="100">
        <v>11232</v>
      </c>
      <c r="J67" s="100">
        <v>7</v>
      </c>
      <c r="K67" s="100">
        <v>7862.4000000000005</v>
      </c>
      <c r="L67" s="100">
        <v>6</v>
      </c>
      <c r="M67" s="100">
        <v>6739.2000000000007</v>
      </c>
      <c r="N67" s="100">
        <v>5.583938809057484</v>
      </c>
      <c r="O67" s="100">
        <v>6271.8800703333663</v>
      </c>
      <c r="P67" s="100">
        <v>6</v>
      </c>
      <c r="Q67" s="100">
        <v>6739.2000000000007</v>
      </c>
      <c r="R67" s="100">
        <v>10</v>
      </c>
      <c r="S67" s="100">
        <v>11232</v>
      </c>
      <c r="T67" s="100">
        <v>8</v>
      </c>
      <c r="U67" s="100">
        <v>8985.6</v>
      </c>
      <c r="V67" s="100">
        <v>11</v>
      </c>
      <c r="W67" s="100">
        <v>12355.2</v>
      </c>
      <c r="X67" s="100">
        <v>7</v>
      </c>
      <c r="Y67" s="100">
        <v>7862.4000000000005</v>
      </c>
      <c r="Z67" s="100">
        <v>6</v>
      </c>
      <c r="AA67" s="100">
        <v>6739.2000000000007</v>
      </c>
      <c r="AB67" s="100">
        <v>9</v>
      </c>
      <c r="AC67" s="100">
        <v>10108.800000000001</v>
      </c>
      <c r="AD67" s="100">
        <v>7</v>
      </c>
      <c r="AE67" s="100">
        <v>7862.4000000000005</v>
      </c>
      <c r="AF67" s="100">
        <v>10</v>
      </c>
      <c r="AG67" s="100">
        <v>11232</v>
      </c>
      <c r="AH67" s="100">
        <v>9</v>
      </c>
      <c r="AI67" s="100">
        <v>10108.800000000001</v>
      </c>
      <c r="AJ67" s="100">
        <v>8</v>
      </c>
      <c r="AK67" s="100">
        <v>8985.6</v>
      </c>
      <c r="AL67" s="100">
        <v>6</v>
      </c>
      <c r="AM67" s="100">
        <v>6739.2000000000007</v>
      </c>
      <c r="AN67" s="100">
        <v>8</v>
      </c>
      <c r="AO67" s="100">
        <v>8985.6</v>
      </c>
      <c r="AP67" s="100">
        <v>7</v>
      </c>
      <c r="AQ67" s="100">
        <v>7862.4000000000005</v>
      </c>
      <c r="AR67" s="100">
        <v>9</v>
      </c>
      <c r="AS67" s="100">
        <v>10108.800000000001</v>
      </c>
      <c r="AT67" s="100">
        <v>8</v>
      </c>
      <c r="AU67" s="100">
        <v>8985.6</v>
      </c>
      <c r="AV67" s="100">
        <v>10</v>
      </c>
      <c r="AW67" s="100">
        <v>11232</v>
      </c>
      <c r="AX67" s="100">
        <v>10</v>
      </c>
      <c r="AY67" s="100">
        <v>11232</v>
      </c>
      <c r="AZ67" s="100">
        <v>9</v>
      </c>
      <c r="BA67" s="100">
        <v>10108.800000000001</v>
      </c>
      <c r="BB67" s="100">
        <v>11</v>
      </c>
      <c r="BC67" s="100">
        <v>12355.2</v>
      </c>
      <c r="BD67" s="100">
        <v>5</v>
      </c>
      <c r="BE67" s="100">
        <v>5616</v>
      </c>
      <c r="BF67" s="100">
        <v>9</v>
      </c>
      <c r="BG67" s="100">
        <v>10108.800000000001</v>
      </c>
      <c r="BH67" s="100">
        <v>11</v>
      </c>
      <c r="BI67" s="100">
        <v>12355.2</v>
      </c>
      <c r="BJ67" s="100">
        <v>7.1292962356792566</v>
      </c>
      <c r="BK67" s="100">
        <v>8007.6255319149413</v>
      </c>
      <c r="BL67" s="100">
        <v>4.3597133069521723</v>
      </c>
      <c r="BM67" s="100">
        <v>4896.8299863686798</v>
      </c>
      <c r="BN67" s="100">
        <v>10</v>
      </c>
      <c r="BO67" s="100">
        <v>11232</v>
      </c>
      <c r="BP67" s="100">
        <v>5.2385185185185206</v>
      </c>
      <c r="BQ67" s="100">
        <v>5883.9040000000023</v>
      </c>
      <c r="BR67" s="100">
        <v>9</v>
      </c>
      <c r="BS67" s="100">
        <v>10108.800000000001</v>
      </c>
      <c r="BT67" s="100">
        <v>7.0933333333333364</v>
      </c>
      <c r="BU67" s="100">
        <v>7967.2320000000036</v>
      </c>
      <c r="BV67" s="100">
        <v>7</v>
      </c>
      <c r="BW67" s="100">
        <v>7862.4000000000005</v>
      </c>
      <c r="BX67" s="100">
        <v>9</v>
      </c>
      <c r="BY67" s="100">
        <v>10108.800000000001</v>
      </c>
      <c r="BZ67" s="100">
        <v>5.1457838621301955</v>
      </c>
      <c r="CA67" s="100">
        <v>5779.7444339446356</v>
      </c>
      <c r="CB67" s="100">
        <v>4.8897969444795866</v>
      </c>
      <c r="CC67" s="100">
        <v>5492.2199280394716</v>
      </c>
      <c r="CD67" s="100">
        <v>8</v>
      </c>
      <c r="CE67" s="100">
        <v>8985.6</v>
      </c>
      <c r="CF67" s="100">
        <v>7</v>
      </c>
      <c r="CG67" s="100">
        <v>7862.4000000000005</v>
      </c>
      <c r="CH67" s="100">
        <v>2.2598002549304157</v>
      </c>
      <c r="CI67" s="100">
        <v>2538.207646337843</v>
      </c>
      <c r="CJ67" s="100">
        <v>8</v>
      </c>
      <c r="CK67" s="100">
        <v>8985.6</v>
      </c>
      <c r="CL67" s="100">
        <v>7</v>
      </c>
      <c r="CM67" s="100">
        <v>7862.4000000000005</v>
      </c>
      <c r="CN67" s="100">
        <v>11</v>
      </c>
      <c r="CO67" s="100">
        <v>12355.2</v>
      </c>
      <c r="CP67" s="100">
        <v>8</v>
      </c>
      <c r="CQ67" s="100">
        <v>8985.6</v>
      </c>
      <c r="CR67" s="100">
        <v>11</v>
      </c>
      <c r="CS67" s="100">
        <v>12355.2</v>
      </c>
      <c r="CT67" s="100">
        <v>7</v>
      </c>
      <c r="CU67" s="100">
        <v>7862.4000000000005</v>
      </c>
    </row>
    <row r="68" spans="2:99">
      <c r="C68" s="99" t="s">
        <v>234</v>
      </c>
      <c r="D68" s="100">
        <v>8</v>
      </c>
      <c r="E68" s="100">
        <v>8265.6</v>
      </c>
      <c r="F68" s="100">
        <v>9</v>
      </c>
      <c r="G68" s="100">
        <v>9298.8000000000011</v>
      </c>
      <c r="H68" s="100">
        <v>10</v>
      </c>
      <c r="I68" s="100">
        <v>10332</v>
      </c>
      <c r="J68" s="100">
        <v>6</v>
      </c>
      <c r="K68" s="100">
        <v>6199.2000000000007</v>
      </c>
      <c r="L68" s="100">
        <v>7</v>
      </c>
      <c r="M68" s="100">
        <v>7232.4000000000005</v>
      </c>
      <c r="N68" s="100">
        <v>6.5145952772337319</v>
      </c>
      <c r="O68" s="100">
        <v>6730.8798404378922</v>
      </c>
      <c r="P68" s="100">
        <v>6</v>
      </c>
      <c r="Q68" s="100">
        <v>6199.2000000000007</v>
      </c>
      <c r="R68" s="100">
        <v>10</v>
      </c>
      <c r="S68" s="100">
        <v>10332</v>
      </c>
      <c r="T68" s="100">
        <v>8</v>
      </c>
      <c r="U68" s="100">
        <v>8265.6</v>
      </c>
      <c r="V68" s="100">
        <v>10</v>
      </c>
      <c r="W68" s="100">
        <v>10332</v>
      </c>
      <c r="X68" s="100">
        <v>7</v>
      </c>
      <c r="Y68" s="100">
        <v>7232.4000000000005</v>
      </c>
      <c r="Z68" s="100">
        <v>5</v>
      </c>
      <c r="AA68" s="100">
        <v>5166</v>
      </c>
      <c r="AB68" s="100">
        <v>10</v>
      </c>
      <c r="AC68" s="100">
        <v>10332</v>
      </c>
      <c r="AD68" s="100">
        <v>6</v>
      </c>
      <c r="AE68" s="100">
        <v>6199.2000000000007</v>
      </c>
      <c r="AF68" s="100">
        <v>10</v>
      </c>
      <c r="AG68" s="100">
        <v>10332</v>
      </c>
      <c r="AH68" s="100">
        <v>9</v>
      </c>
      <c r="AI68" s="100">
        <v>9298.8000000000011</v>
      </c>
      <c r="AJ68" s="100">
        <v>9</v>
      </c>
      <c r="AK68" s="100">
        <v>9298.8000000000011</v>
      </c>
      <c r="AL68" s="100">
        <v>6</v>
      </c>
      <c r="AM68" s="100">
        <v>6199.2000000000007</v>
      </c>
      <c r="AN68" s="100">
        <v>9</v>
      </c>
      <c r="AO68" s="100">
        <v>9298.8000000000011</v>
      </c>
      <c r="AP68" s="100">
        <v>8</v>
      </c>
      <c r="AQ68" s="100">
        <v>8265.6</v>
      </c>
      <c r="AR68" s="100">
        <v>8</v>
      </c>
      <c r="AS68" s="100">
        <v>8265.6</v>
      </c>
      <c r="AT68" s="100">
        <v>9</v>
      </c>
      <c r="AU68" s="100">
        <v>9298.8000000000011</v>
      </c>
      <c r="AV68" s="100">
        <v>10</v>
      </c>
      <c r="AW68" s="100">
        <v>10332</v>
      </c>
      <c r="AX68" s="100">
        <v>11</v>
      </c>
      <c r="AY68" s="100">
        <v>11365.2</v>
      </c>
      <c r="AZ68" s="100">
        <v>11</v>
      </c>
      <c r="BA68" s="100">
        <v>11365.2</v>
      </c>
      <c r="BB68" s="100">
        <v>11</v>
      </c>
      <c r="BC68" s="100">
        <v>11365.2</v>
      </c>
      <c r="BD68" s="100">
        <v>5</v>
      </c>
      <c r="BE68" s="100">
        <v>5166</v>
      </c>
      <c r="BF68" s="100">
        <v>8</v>
      </c>
      <c r="BG68" s="100">
        <v>8265.6</v>
      </c>
      <c r="BH68" s="100">
        <v>10</v>
      </c>
      <c r="BI68" s="100">
        <v>10332</v>
      </c>
      <c r="BJ68" s="100">
        <v>5.5450081833060878</v>
      </c>
      <c r="BK68" s="100">
        <v>5729.1024549918502</v>
      </c>
      <c r="BL68" s="100">
        <v>4.3597133069521723</v>
      </c>
      <c r="BM68" s="100">
        <v>4504.4557887429846</v>
      </c>
      <c r="BN68" s="100">
        <v>9</v>
      </c>
      <c r="BO68" s="100">
        <v>9298.8000000000011</v>
      </c>
      <c r="BP68" s="100">
        <v>5.2385185185185206</v>
      </c>
      <c r="BQ68" s="100">
        <v>5412.437333333336</v>
      </c>
      <c r="BR68" s="100">
        <v>8</v>
      </c>
      <c r="BS68" s="100">
        <v>8265.6</v>
      </c>
      <c r="BT68" s="100">
        <v>7.8814814814814849</v>
      </c>
      <c r="BU68" s="100">
        <v>8143.1466666666702</v>
      </c>
      <c r="BV68" s="100">
        <v>7</v>
      </c>
      <c r="BW68" s="100">
        <v>7232.4000000000005</v>
      </c>
      <c r="BX68" s="100">
        <v>9</v>
      </c>
      <c r="BY68" s="100">
        <v>9298.8000000000011</v>
      </c>
      <c r="BZ68" s="100">
        <v>5.1457838621301955</v>
      </c>
      <c r="CA68" s="100">
        <v>5316.6238863529179</v>
      </c>
      <c r="CB68" s="100">
        <v>4.1912545238396453</v>
      </c>
      <c r="CC68" s="100">
        <v>4330.4041740311213</v>
      </c>
      <c r="CD68" s="100">
        <v>7</v>
      </c>
      <c r="CE68" s="100">
        <v>7232.4000000000005</v>
      </c>
      <c r="CF68" s="100">
        <v>8</v>
      </c>
      <c r="CG68" s="100">
        <v>8265.6</v>
      </c>
      <c r="CH68" s="100">
        <v>2.2598002549304157</v>
      </c>
      <c r="CI68" s="100">
        <v>2334.8256233941056</v>
      </c>
      <c r="CJ68" s="100">
        <v>8</v>
      </c>
      <c r="CK68" s="100">
        <v>8265.6</v>
      </c>
      <c r="CL68" s="100">
        <v>7</v>
      </c>
      <c r="CM68" s="100">
        <v>7232.4000000000005</v>
      </c>
      <c r="CN68" s="100">
        <v>10</v>
      </c>
      <c r="CO68" s="100">
        <v>10332</v>
      </c>
      <c r="CP68" s="100">
        <v>7</v>
      </c>
      <c r="CQ68" s="100">
        <v>7232.4000000000005</v>
      </c>
      <c r="CR68" s="100">
        <v>10</v>
      </c>
      <c r="CS68" s="100">
        <v>10332</v>
      </c>
      <c r="CT68" s="100">
        <v>6</v>
      </c>
      <c r="CU68" s="100">
        <v>6199.2000000000007</v>
      </c>
    </row>
    <row r="69" spans="2:99">
      <c r="C69" s="99" t="s">
        <v>235</v>
      </c>
      <c r="D69" s="100">
        <v>8</v>
      </c>
      <c r="E69" s="100">
        <v>6067.2</v>
      </c>
      <c r="F69" s="100">
        <v>9</v>
      </c>
      <c r="G69" s="100">
        <v>6825.5999999999995</v>
      </c>
      <c r="H69" s="100">
        <v>10</v>
      </c>
      <c r="I69" s="100">
        <v>7584</v>
      </c>
      <c r="J69" s="100">
        <v>7</v>
      </c>
      <c r="K69" s="100">
        <v>5308.8</v>
      </c>
      <c r="L69" s="100">
        <v>6</v>
      </c>
      <c r="M69" s="100">
        <v>4550.3999999999996</v>
      </c>
      <c r="N69" s="100">
        <v>6.5145952772337319</v>
      </c>
      <c r="O69" s="100">
        <v>4940.6690582540623</v>
      </c>
      <c r="P69" s="100">
        <v>6</v>
      </c>
      <c r="Q69" s="100">
        <v>4550.3999999999996</v>
      </c>
      <c r="R69" s="100">
        <v>11</v>
      </c>
      <c r="S69" s="100">
        <v>8342.4</v>
      </c>
      <c r="T69" s="100">
        <v>8</v>
      </c>
      <c r="U69" s="100">
        <v>6067.2</v>
      </c>
      <c r="V69" s="100">
        <v>9</v>
      </c>
      <c r="W69" s="100">
        <v>6825.5999999999995</v>
      </c>
      <c r="X69" s="100">
        <v>7</v>
      </c>
      <c r="Y69" s="100">
        <v>5308.8</v>
      </c>
      <c r="Z69" s="100">
        <v>6</v>
      </c>
      <c r="AA69" s="100">
        <v>4550.3999999999996</v>
      </c>
      <c r="AB69" s="100">
        <v>11</v>
      </c>
      <c r="AC69" s="100">
        <v>8342.4</v>
      </c>
      <c r="AD69" s="100">
        <v>6</v>
      </c>
      <c r="AE69" s="100">
        <v>4550.3999999999996</v>
      </c>
      <c r="AF69" s="100">
        <v>11</v>
      </c>
      <c r="AG69" s="100">
        <v>8342.4</v>
      </c>
      <c r="AH69" s="100">
        <v>10</v>
      </c>
      <c r="AI69" s="100">
        <v>7584</v>
      </c>
      <c r="AJ69" s="100">
        <v>8</v>
      </c>
      <c r="AK69" s="100">
        <v>6067.2</v>
      </c>
      <c r="AL69" s="100">
        <v>6</v>
      </c>
      <c r="AM69" s="100">
        <v>4550.3999999999996</v>
      </c>
      <c r="AN69" s="100">
        <v>10</v>
      </c>
      <c r="AO69" s="100">
        <v>7584</v>
      </c>
      <c r="AP69" s="100">
        <v>8</v>
      </c>
      <c r="AQ69" s="100">
        <v>6067.2</v>
      </c>
      <c r="AR69" s="100">
        <v>8</v>
      </c>
      <c r="AS69" s="100">
        <v>6067.2</v>
      </c>
      <c r="AT69" s="100">
        <v>9</v>
      </c>
      <c r="AU69" s="100">
        <v>6825.5999999999995</v>
      </c>
      <c r="AV69" s="100">
        <v>11</v>
      </c>
      <c r="AW69" s="100">
        <v>8342.4</v>
      </c>
      <c r="AX69" s="100">
        <v>11</v>
      </c>
      <c r="AY69" s="100">
        <v>8342.4</v>
      </c>
      <c r="AZ69" s="100">
        <v>10</v>
      </c>
      <c r="BA69" s="100">
        <v>7584</v>
      </c>
      <c r="BB69" s="100">
        <v>11</v>
      </c>
      <c r="BC69" s="100">
        <v>8342.4</v>
      </c>
      <c r="BD69" s="100">
        <v>6</v>
      </c>
      <c r="BE69" s="100">
        <v>4550.3999999999996</v>
      </c>
      <c r="BF69" s="100">
        <v>9</v>
      </c>
      <c r="BG69" s="100">
        <v>6825.5999999999995</v>
      </c>
      <c r="BH69" s="100">
        <v>11</v>
      </c>
      <c r="BI69" s="100">
        <v>8342.4</v>
      </c>
      <c r="BJ69" s="100">
        <v>6.3371522094926727</v>
      </c>
      <c r="BK69" s="100">
        <v>4806.0962356792425</v>
      </c>
      <c r="BL69" s="100">
        <v>4.3597133069521723</v>
      </c>
      <c r="BM69" s="100">
        <v>3306.4065719925275</v>
      </c>
      <c r="BN69" s="100">
        <v>11</v>
      </c>
      <c r="BO69" s="100">
        <v>8342.4</v>
      </c>
      <c r="BP69" s="100">
        <v>5.8933333333333371</v>
      </c>
      <c r="BQ69" s="100">
        <v>4469.5040000000026</v>
      </c>
      <c r="BR69" s="100">
        <v>9</v>
      </c>
      <c r="BS69" s="100">
        <v>6825.5999999999995</v>
      </c>
      <c r="BT69" s="100">
        <v>7.0933333333333364</v>
      </c>
      <c r="BU69" s="100">
        <v>5379.5840000000026</v>
      </c>
      <c r="BV69" s="100">
        <v>7</v>
      </c>
      <c r="BW69" s="100">
        <v>5308.8</v>
      </c>
      <c r="BX69" s="100">
        <v>8</v>
      </c>
      <c r="BY69" s="100">
        <v>6067.2</v>
      </c>
      <c r="BZ69" s="100">
        <v>5.1457838621301955</v>
      </c>
      <c r="CA69" s="100">
        <v>3902.5624810395402</v>
      </c>
      <c r="CB69" s="100">
        <v>4.1912545238396453</v>
      </c>
      <c r="CC69" s="100">
        <v>3178.647430879987</v>
      </c>
      <c r="CD69" s="100">
        <v>8</v>
      </c>
      <c r="CE69" s="100">
        <v>6067.2</v>
      </c>
      <c r="CF69" s="100">
        <v>7</v>
      </c>
      <c r="CG69" s="100">
        <v>5308.8</v>
      </c>
      <c r="CH69" s="100">
        <v>2.2598002549304157</v>
      </c>
      <c r="CI69" s="100">
        <v>1713.8325133392273</v>
      </c>
      <c r="CJ69" s="100">
        <v>7</v>
      </c>
      <c r="CK69" s="100">
        <v>5308.8</v>
      </c>
      <c r="CL69" s="100">
        <v>6</v>
      </c>
      <c r="CM69" s="100">
        <v>4550.3999999999996</v>
      </c>
      <c r="CN69" s="100">
        <v>9</v>
      </c>
      <c r="CO69" s="100">
        <v>6825.5999999999995</v>
      </c>
      <c r="CP69" s="100">
        <v>8</v>
      </c>
      <c r="CQ69" s="100">
        <v>6067.2</v>
      </c>
      <c r="CR69" s="100">
        <v>10</v>
      </c>
      <c r="CS69" s="100">
        <v>7584</v>
      </c>
      <c r="CT69" s="100">
        <v>7</v>
      </c>
      <c r="CU69" s="100">
        <v>5308.8</v>
      </c>
    </row>
    <row r="70" spans="2:99">
      <c r="C70" s="99" t="s">
        <v>236</v>
      </c>
      <c r="D70" s="100">
        <v>8</v>
      </c>
      <c r="E70" s="100">
        <v>4281.5999999999995</v>
      </c>
      <c r="F70" s="100">
        <v>8</v>
      </c>
      <c r="G70" s="100">
        <v>4281.5999999999995</v>
      </c>
      <c r="H70" s="100">
        <v>11</v>
      </c>
      <c r="I70" s="100">
        <v>5887.1999999999989</v>
      </c>
      <c r="J70" s="100">
        <v>6</v>
      </c>
      <c r="K70" s="100">
        <v>3211.2</v>
      </c>
      <c r="L70" s="100">
        <v>7</v>
      </c>
      <c r="M70" s="100">
        <v>3746.3999999999996</v>
      </c>
      <c r="N70" s="100">
        <v>6.5145952772337319</v>
      </c>
      <c r="O70" s="100">
        <v>3486.6113923754929</v>
      </c>
      <c r="P70" s="100">
        <v>6</v>
      </c>
      <c r="Q70" s="100">
        <v>3211.2</v>
      </c>
      <c r="R70" s="100">
        <v>9</v>
      </c>
      <c r="S70" s="100">
        <v>4816.7999999999993</v>
      </c>
      <c r="T70" s="100">
        <v>9</v>
      </c>
      <c r="U70" s="100">
        <v>4816.7999999999993</v>
      </c>
      <c r="V70" s="100">
        <v>10</v>
      </c>
      <c r="W70" s="100">
        <v>5351.9999999999991</v>
      </c>
      <c r="X70" s="100">
        <v>8</v>
      </c>
      <c r="Y70" s="100">
        <v>4281.5999999999995</v>
      </c>
      <c r="Z70" s="100">
        <v>5</v>
      </c>
      <c r="AA70" s="100">
        <v>2675.9999999999995</v>
      </c>
      <c r="AB70" s="100">
        <v>10</v>
      </c>
      <c r="AC70" s="100">
        <v>5351.9999999999991</v>
      </c>
      <c r="AD70" s="100">
        <v>6</v>
      </c>
      <c r="AE70" s="100">
        <v>3211.2</v>
      </c>
      <c r="AF70" s="100">
        <v>10</v>
      </c>
      <c r="AG70" s="100">
        <v>5351.9999999999991</v>
      </c>
      <c r="AH70" s="100">
        <v>9</v>
      </c>
      <c r="AI70" s="100">
        <v>4816.7999999999993</v>
      </c>
      <c r="AJ70" s="100">
        <v>9</v>
      </c>
      <c r="AK70" s="100">
        <v>4816.7999999999993</v>
      </c>
      <c r="AL70" s="100">
        <v>7</v>
      </c>
      <c r="AM70" s="100">
        <v>3746.3999999999996</v>
      </c>
      <c r="AN70" s="100">
        <v>9</v>
      </c>
      <c r="AO70" s="100">
        <v>4816.7999999999993</v>
      </c>
      <c r="AP70" s="100">
        <v>7</v>
      </c>
      <c r="AQ70" s="100">
        <v>3746.3999999999996</v>
      </c>
      <c r="AR70" s="100">
        <v>9</v>
      </c>
      <c r="AS70" s="100">
        <v>4816.7999999999993</v>
      </c>
      <c r="AT70" s="100">
        <v>10</v>
      </c>
      <c r="AU70" s="100">
        <v>5351.9999999999991</v>
      </c>
      <c r="AV70" s="100">
        <v>10</v>
      </c>
      <c r="AW70" s="100">
        <v>5351.9999999999991</v>
      </c>
      <c r="AX70" s="100">
        <v>11</v>
      </c>
      <c r="AY70" s="100">
        <v>5887.1999999999989</v>
      </c>
      <c r="AZ70" s="100">
        <v>11</v>
      </c>
      <c r="BA70" s="100">
        <v>5887.1999999999989</v>
      </c>
      <c r="BB70" s="100">
        <v>10</v>
      </c>
      <c r="BC70" s="100">
        <v>5351.9999999999991</v>
      </c>
      <c r="BD70" s="100">
        <v>6</v>
      </c>
      <c r="BE70" s="100">
        <v>3211.2</v>
      </c>
      <c r="BF70" s="100">
        <v>9</v>
      </c>
      <c r="BG70" s="100">
        <v>4816.7999999999993</v>
      </c>
      <c r="BH70" s="100">
        <v>10</v>
      </c>
      <c r="BI70" s="100">
        <v>5351.9999999999991</v>
      </c>
      <c r="BJ70" s="100">
        <v>7.1292962356792566</v>
      </c>
      <c r="BK70" s="100">
        <v>3815.5993453355377</v>
      </c>
      <c r="BL70" s="100">
        <v>4.3597133069521723</v>
      </c>
      <c r="BM70" s="100">
        <v>2333.3185618808025</v>
      </c>
      <c r="BN70" s="100">
        <v>11</v>
      </c>
      <c r="BO70" s="100">
        <v>5887.1999999999989</v>
      </c>
      <c r="BP70" s="100">
        <v>5.2385185185185206</v>
      </c>
      <c r="BQ70" s="100">
        <v>2803.6551111111116</v>
      </c>
      <c r="BR70" s="100">
        <v>8</v>
      </c>
      <c r="BS70" s="100">
        <v>4281.5999999999995</v>
      </c>
      <c r="BT70" s="100">
        <v>7.8814814814814849</v>
      </c>
      <c r="BU70" s="100">
        <v>4218.1688888888903</v>
      </c>
      <c r="BV70" s="100">
        <v>7</v>
      </c>
      <c r="BW70" s="100">
        <v>3746.3999999999996</v>
      </c>
      <c r="BX70" s="100">
        <v>9</v>
      </c>
      <c r="BY70" s="100">
        <v>4816.7999999999993</v>
      </c>
      <c r="BZ70" s="100">
        <v>5.1457838621301955</v>
      </c>
      <c r="CA70" s="100">
        <v>2754.0235230120802</v>
      </c>
      <c r="CB70" s="100">
        <v>4.8897969444795866</v>
      </c>
      <c r="CC70" s="100">
        <v>2617.0193246854742</v>
      </c>
      <c r="CD70" s="100">
        <v>9</v>
      </c>
      <c r="CE70" s="100">
        <v>4816.7999999999993</v>
      </c>
      <c r="CF70" s="100">
        <v>7</v>
      </c>
      <c r="CG70" s="100">
        <v>3746.3999999999996</v>
      </c>
      <c r="CH70" s="100">
        <v>2.5826288627776179</v>
      </c>
      <c r="CI70" s="100">
        <v>1382.2229673585809</v>
      </c>
      <c r="CJ70" s="100">
        <v>9</v>
      </c>
      <c r="CK70" s="100">
        <v>4816.7999999999993</v>
      </c>
      <c r="CL70" s="100">
        <v>7</v>
      </c>
      <c r="CM70" s="100">
        <v>3746.3999999999996</v>
      </c>
      <c r="CN70" s="100">
        <v>11</v>
      </c>
      <c r="CO70" s="100">
        <v>5887.1999999999989</v>
      </c>
      <c r="CP70" s="100">
        <v>7</v>
      </c>
      <c r="CQ70" s="100">
        <v>3746.3999999999996</v>
      </c>
      <c r="CR70" s="100">
        <v>12</v>
      </c>
      <c r="CS70" s="100">
        <v>6422.4</v>
      </c>
      <c r="CT70" s="100">
        <v>7</v>
      </c>
      <c r="CU70" s="100">
        <v>3746.3999999999996</v>
      </c>
    </row>
    <row r="71" spans="2:99">
      <c r="B71" s="99" t="s">
        <v>130</v>
      </c>
      <c r="C71" s="99" t="s">
        <v>237</v>
      </c>
      <c r="D71" s="100">
        <v>8</v>
      </c>
      <c r="E71" s="100">
        <v>4512</v>
      </c>
      <c r="F71" s="100">
        <v>9</v>
      </c>
      <c r="G71" s="100">
        <v>5076</v>
      </c>
      <c r="H71" s="100">
        <v>10</v>
      </c>
      <c r="I71" s="100">
        <v>5640</v>
      </c>
      <c r="J71" s="100">
        <v>10</v>
      </c>
      <c r="K71" s="100">
        <v>5640</v>
      </c>
      <c r="L71" s="100">
        <v>6.9240263328746341</v>
      </c>
      <c r="M71" s="100">
        <v>3905.1508517412935</v>
      </c>
      <c r="N71" s="100">
        <v>9</v>
      </c>
      <c r="O71" s="100">
        <v>5076</v>
      </c>
      <c r="P71" s="100">
        <v>11</v>
      </c>
      <c r="Q71" s="100">
        <v>6204</v>
      </c>
      <c r="R71" s="100">
        <v>7</v>
      </c>
      <c r="S71" s="100">
        <v>3948</v>
      </c>
      <c r="T71" s="100">
        <v>9</v>
      </c>
      <c r="U71" s="100">
        <v>5076</v>
      </c>
      <c r="V71" s="100">
        <v>14</v>
      </c>
      <c r="W71" s="100">
        <v>7896</v>
      </c>
      <c r="X71" s="100">
        <v>6.9369916962544886</v>
      </c>
      <c r="Y71" s="100">
        <v>3912.4633166875315</v>
      </c>
      <c r="Z71" s="100">
        <v>11</v>
      </c>
      <c r="AA71" s="100">
        <v>6204</v>
      </c>
      <c r="AB71" s="100">
        <v>3.6514085480342917</v>
      </c>
      <c r="AC71" s="100">
        <v>2059.3944210913405</v>
      </c>
      <c r="AD71" s="100">
        <v>0</v>
      </c>
      <c r="AE71" s="100">
        <v>0</v>
      </c>
      <c r="AF71" s="100">
        <v>8</v>
      </c>
      <c r="AG71" s="100">
        <v>4512</v>
      </c>
      <c r="AH71" s="100">
        <v>10</v>
      </c>
      <c r="AI71" s="100">
        <v>5640</v>
      </c>
      <c r="AJ71" s="100">
        <v>14</v>
      </c>
      <c r="AK71" s="100">
        <v>7896</v>
      </c>
      <c r="AL71" s="100">
        <v>11</v>
      </c>
      <c r="AM71" s="100">
        <v>6204</v>
      </c>
      <c r="AN71" s="100">
        <v>8</v>
      </c>
      <c r="AO71" s="100">
        <v>4512</v>
      </c>
      <c r="AP71" s="100">
        <v>13.08839357687142</v>
      </c>
      <c r="AQ71" s="100">
        <v>7381.8539773554812</v>
      </c>
      <c r="AR71" s="100">
        <v>13</v>
      </c>
      <c r="AS71" s="100">
        <v>7332</v>
      </c>
      <c r="AT71" s="100">
        <v>7.0103092783505181</v>
      </c>
      <c r="AU71" s="100">
        <v>3953.8144329896922</v>
      </c>
      <c r="AV71" s="100">
        <v>9</v>
      </c>
      <c r="AW71" s="100">
        <v>5076</v>
      </c>
      <c r="AX71" s="100">
        <v>10.356097560975613</v>
      </c>
      <c r="AY71" s="100">
        <v>5840.8390243902459</v>
      </c>
      <c r="AZ71" s="100">
        <v>12</v>
      </c>
      <c r="BA71" s="100">
        <v>6768</v>
      </c>
      <c r="BB71" s="100">
        <v>4.7277035312783608</v>
      </c>
      <c r="BC71" s="100">
        <v>2666.4247916409954</v>
      </c>
      <c r="BD71" s="100">
        <v>7.1743520822000155</v>
      </c>
      <c r="BE71" s="100">
        <v>4046.3345743608088</v>
      </c>
      <c r="BF71" s="100">
        <v>6.1114796428589981</v>
      </c>
      <c r="BG71" s="100">
        <v>3446.8745185724752</v>
      </c>
      <c r="BH71" s="100">
        <v>3.7733955623592972</v>
      </c>
      <c r="BI71" s="100">
        <v>2128.1950971706437</v>
      </c>
      <c r="BJ71" s="100">
        <v>3.9742813692762673</v>
      </c>
      <c r="BK71" s="100">
        <v>2241.4946922718145</v>
      </c>
      <c r="BL71" s="100">
        <v>9.5011776237376413</v>
      </c>
      <c r="BM71" s="100">
        <v>5358.6641797880293</v>
      </c>
      <c r="BN71" s="100">
        <v>7.0779763395825572</v>
      </c>
      <c r="BO71" s="100">
        <v>3991.9786555245623</v>
      </c>
      <c r="BP71" s="100">
        <v>9</v>
      </c>
      <c r="BQ71" s="100">
        <v>5076</v>
      </c>
      <c r="BR71" s="100">
        <v>8.3085050644512179</v>
      </c>
      <c r="BS71" s="100">
        <v>4685.9968563504872</v>
      </c>
      <c r="BT71" s="100">
        <v>11</v>
      </c>
      <c r="BU71" s="100">
        <v>6204</v>
      </c>
      <c r="BV71" s="100">
        <v>6.9388550336048498</v>
      </c>
      <c r="BW71" s="100">
        <v>3913.5142389531352</v>
      </c>
      <c r="BX71" s="100">
        <v>10</v>
      </c>
      <c r="BY71" s="100">
        <v>5640</v>
      </c>
      <c r="BZ71" s="100">
        <v>12</v>
      </c>
      <c r="CA71" s="100">
        <v>6768</v>
      </c>
      <c r="CB71" s="100">
        <v>16</v>
      </c>
      <c r="CC71" s="100">
        <v>9024</v>
      </c>
      <c r="CD71" s="100">
        <v>11</v>
      </c>
      <c r="CE71" s="100">
        <v>6204</v>
      </c>
      <c r="CF71" s="100">
        <v>10</v>
      </c>
      <c r="CG71" s="100">
        <v>5640</v>
      </c>
      <c r="CH71" s="100">
        <v>12</v>
      </c>
      <c r="CI71" s="100">
        <v>6768</v>
      </c>
      <c r="CJ71" s="100">
        <v>11.56018646864938</v>
      </c>
      <c r="CK71" s="100">
        <v>6519.9451683182506</v>
      </c>
      <c r="CL71" s="100">
        <v>14</v>
      </c>
      <c r="CM71" s="100">
        <v>7896</v>
      </c>
      <c r="CN71" s="100">
        <v>7.5849056603773617</v>
      </c>
      <c r="CO71" s="100">
        <v>4277.8867924528322</v>
      </c>
      <c r="CP71" s="100">
        <v>9</v>
      </c>
      <c r="CQ71" s="100">
        <v>5076</v>
      </c>
      <c r="CR71" s="100">
        <v>10</v>
      </c>
      <c r="CS71" s="100">
        <v>5640</v>
      </c>
      <c r="CT71" s="100">
        <v>9</v>
      </c>
      <c r="CU71" s="100">
        <v>5076</v>
      </c>
    </row>
    <row r="72" spans="2:99">
      <c r="C72" s="99" t="s">
        <v>238</v>
      </c>
      <c r="D72" s="100">
        <v>8</v>
      </c>
      <c r="E72" s="100">
        <v>595.19999999999993</v>
      </c>
      <c r="F72" s="100">
        <v>9</v>
      </c>
      <c r="G72" s="100">
        <v>669.59999999999991</v>
      </c>
      <c r="H72" s="100">
        <v>10</v>
      </c>
      <c r="I72" s="100">
        <v>743.99999999999989</v>
      </c>
      <c r="J72" s="100">
        <v>11</v>
      </c>
      <c r="K72" s="100">
        <v>818.39999999999986</v>
      </c>
      <c r="L72" s="100">
        <v>6.9240263328746341</v>
      </c>
      <c r="M72" s="100">
        <v>515.14755916587274</v>
      </c>
      <c r="N72" s="100">
        <v>9</v>
      </c>
      <c r="O72" s="100">
        <v>669.59999999999991</v>
      </c>
      <c r="P72" s="100">
        <v>11</v>
      </c>
      <c r="Q72" s="100">
        <v>818.39999999999986</v>
      </c>
      <c r="R72" s="100">
        <v>8</v>
      </c>
      <c r="S72" s="100">
        <v>595.19999999999993</v>
      </c>
      <c r="T72" s="100">
        <v>9</v>
      </c>
      <c r="U72" s="100">
        <v>669.59999999999991</v>
      </c>
      <c r="V72" s="100">
        <v>14</v>
      </c>
      <c r="W72" s="100">
        <v>1041.5999999999999</v>
      </c>
      <c r="X72" s="100">
        <v>7.4324911031298084</v>
      </c>
      <c r="Y72" s="100">
        <v>552.97733807285772</v>
      </c>
      <c r="Z72" s="100">
        <v>11</v>
      </c>
      <c r="AA72" s="100">
        <v>818.39999999999986</v>
      </c>
      <c r="AB72" s="100">
        <v>4.3153010113132542</v>
      </c>
      <c r="AC72" s="100">
        <v>321.05839524170608</v>
      </c>
      <c r="AD72" s="100">
        <v>0</v>
      </c>
      <c r="AE72" s="100">
        <v>0</v>
      </c>
      <c r="AF72" s="100">
        <v>9</v>
      </c>
      <c r="AG72" s="100">
        <v>669.59999999999991</v>
      </c>
      <c r="AH72" s="100">
        <v>10</v>
      </c>
      <c r="AI72" s="100">
        <v>743.99999999999989</v>
      </c>
      <c r="AJ72" s="100">
        <v>14</v>
      </c>
      <c r="AK72" s="100">
        <v>1041.5999999999999</v>
      </c>
      <c r="AL72" s="100">
        <v>12</v>
      </c>
      <c r="AM72" s="100">
        <v>892.8</v>
      </c>
      <c r="AN72" s="100">
        <v>8</v>
      </c>
      <c r="AO72" s="100">
        <v>595.19999999999993</v>
      </c>
      <c r="AP72" s="100">
        <v>11.343274433288563</v>
      </c>
      <c r="AQ72" s="100">
        <v>843.93961783666896</v>
      </c>
      <c r="AR72" s="100">
        <v>12</v>
      </c>
      <c r="AS72" s="100">
        <v>892.8</v>
      </c>
      <c r="AT72" s="100">
        <v>7.7113402061855698</v>
      </c>
      <c r="AU72" s="100">
        <v>573.72371134020636</v>
      </c>
      <c r="AV72" s="100">
        <v>9</v>
      </c>
      <c r="AW72" s="100">
        <v>669.59999999999991</v>
      </c>
      <c r="AX72" s="100">
        <v>12.239024390243905</v>
      </c>
      <c r="AY72" s="100">
        <v>910.58341463414649</v>
      </c>
      <c r="AZ72" s="100">
        <v>11</v>
      </c>
      <c r="BA72" s="100">
        <v>818.39999999999986</v>
      </c>
      <c r="BB72" s="100">
        <v>4.2024031389140983</v>
      </c>
      <c r="BC72" s="100">
        <v>312.65879353520887</v>
      </c>
      <c r="BD72" s="100">
        <v>8.0711460924750167</v>
      </c>
      <c r="BE72" s="100">
        <v>600.49326928014113</v>
      </c>
      <c r="BF72" s="100">
        <v>6.581593461540459</v>
      </c>
      <c r="BG72" s="100">
        <v>489.67055353861008</v>
      </c>
      <c r="BH72" s="100">
        <v>3.7733955623592972</v>
      </c>
      <c r="BI72" s="100">
        <v>280.74062983953166</v>
      </c>
      <c r="BJ72" s="100">
        <v>3.9742813692762673</v>
      </c>
      <c r="BK72" s="100">
        <v>295.68653387415424</v>
      </c>
      <c r="BL72" s="100">
        <v>11.228664464417214</v>
      </c>
      <c r="BM72" s="100">
        <v>835.41263615264063</v>
      </c>
      <c r="BN72" s="100">
        <v>7.5498414288880618</v>
      </c>
      <c r="BO72" s="100">
        <v>561.70820230927177</v>
      </c>
      <c r="BP72" s="100">
        <v>9</v>
      </c>
      <c r="BQ72" s="100">
        <v>669.59999999999991</v>
      </c>
      <c r="BR72" s="100">
        <v>9.8191423488968947</v>
      </c>
      <c r="BS72" s="100">
        <v>730.54419075792885</v>
      </c>
      <c r="BT72" s="100">
        <v>9</v>
      </c>
      <c r="BU72" s="100">
        <v>669.59999999999991</v>
      </c>
      <c r="BV72" s="100">
        <v>6.9388550336048498</v>
      </c>
      <c r="BW72" s="100">
        <v>516.25081450020082</v>
      </c>
      <c r="BX72" s="100">
        <v>12</v>
      </c>
      <c r="BY72" s="100">
        <v>892.8</v>
      </c>
      <c r="BZ72" s="100">
        <v>15</v>
      </c>
      <c r="CA72" s="100">
        <v>1115.9999999999998</v>
      </c>
      <c r="CB72" s="100">
        <v>16</v>
      </c>
      <c r="CC72" s="100">
        <v>1190.3999999999999</v>
      </c>
      <c r="CD72" s="100">
        <v>12</v>
      </c>
      <c r="CE72" s="100">
        <v>892.8</v>
      </c>
      <c r="CF72" s="100">
        <v>12</v>
      </c>
      <c r="CG72" s="100">
        <v>892.8</v>
      </c>
      <c r="CH72" s="100">
        <v>11</v>
      </c>
      <c r="CI72" s="100">
        <v>818.39999999999986</v>
      </c>
      <c r="CJ72" s="100">
        <v>12.523535341036828</v>
      </c>
      <c r="CK72" s="100">
        <v>931.75102937313989</v>
      </c>
      <c r="CL72" s="100">
        <v>12</v>
      </c>
      <c r="CM72" s="100">
        <v>892.8</v>
      </c>
      <c r="CN72" s="100">
        <v>7.5849056603773617</v>
      </c>
      <c r="CO72" s="100">
        <v>564.31698113207563</v>
      </c>
      <c r="CP72" s="100">
        <v>10</v>
      </c>
      <c r="CQ72" s="100">
        <v>743.99999999999989</v>
      </c>
      <c r="CR72" s="100">
        <v>11</v>
      </c>
      <c r="CS72" s="100">
        <v>818.39999999999986</v>
      </c>
      <c r="CT72" s="100">
        <v>10</v>
      </c>
      <c r="CU72" s="100">
        <v>743.99999999999989</v>
      </c>
    </row>
    <row r="73" spans="2:99">
      <c r="C73" s="99" t="s">
        <v>239</v>
      </c>
      <c r="D73" s="100">
        <v>9</v>
      </c>
      <c r="E73" s="100">
        <v>5032.7999999999993</v>
      </c>
      <c r="F73" s="100">
        <v>10</v>
      </c>
      <c r="G73" s="100">
        <v>5591.9999999999991</v>
      </c>
      <c r="H73" s="100">
        <v>9</v>
      </c>
      <c r="I73" s="100">
        <v>5032.7999999999993</v>
      </c>
      <c r="J73" s="100">
        <v>10</v>
      </c>
      <c r="K73" s="100">
        <v>5591.9999999999991</v>
      </c>
      <c r="L73" s="100">
        <v>7.6164289661620979</v>
      </c>
      <c r="M73" s="100">
        <v>4259.1070778778449</v>
      </c>
      <c r="N73" s="100">
        <v>8</v>
      </c>
      <c r="O73" s="100">
        <v>4473.5999999999995</v>
      </c>
      <c r="P73" s="100">
        <v>12</v>
      </c>
      <c r="Q73" s="100">
        <v>6710.4</v>
      </c>
      <c r="R73" s="100">
        <v>8</v>
      </c>
      <c r="S73" s="100">
        <v>4473.5999999999995</v>
      </c>
      <c r="T73" s="100">
        <v>9</v>
      </c>
      <c r="U73" s="100">
        <v>5032.7999999999993</v>
      </c>
      <c r="V73" s="100">
        <v>13</v>
      </c>
      <c r="W73" s="100">
        <v>7269.5999999999995</v>
      </c>
      <c r="X73" s="100">
        <v>6.441492289379168</v>
      </c>
      <c r="Y73" s="100">
        <v>3602.0824882208303</v>
      </c>
      <c r="Z73" s="100">
        <v>10</v>
      </c>
      <c r="AA73" s="100">
        <v>5591.9999999999991</v>
      </c>
      <c r="AB73" s="100">
        <v>3.6514085480342917</v>
      </c>
      <c r="AC73" s="100">
        <v>2041.8676600607757</v>
      </c>
      <c r="AD73" s="100">
        <v>0</v>
      </c>
      <c r="AE73" s="100">
        <v>0</v>
      </c>
      <c r="AF73" s="100">
        <v>8</v>
      </c>
      <c r="AG73" s="100">
        <v>4473.5999999999995</v>
      </c>
      <c r="AH73" s="100">
        <v>9</v>
      </c>
      <c r="AI73" s="100">
        <v>5032.7999999999993</v>
      </c>
      <c r="AJ73" s="100">
        <v>14</v>
      </c>
      <c r="AK73" s="100">
        <v>7828.7999999999993</v>
      </c>
      <c r="AL73" s="100">
        <v>12</v>
      </c>
      <c r="AM73" s="100">
        <v>6710.4</v>
      </c>
      <c r="AN73" s="100">
        <v>9</v>
      </c>
      <c r="AO73" s="100">
        <v>5032.7999999999993</v>
      </c>
      <c r="AP73" s="100">
        <v>13.960953148662849</v>
      </c>
      <c r="AQ73" s="100">
        <v>7806.9650007322643</v>
      </c>
      <c r="AR73" s="100">
        <v>13</v>
      </c>
      <c r="AS73" s="100">
        <v>7269.5999999999995</v>
      </c>
      <c r="AT73" s="100">
        <v>7.7113402061855698</v>
      </c>
      <c r="AU73" s="100">
        <v>4312.1814432989704</v>
      </c>
      <c r="AV73" s="100">
        <v>9</v>
      </c>
      <c r="AW73" s="100">
        <v>5032.7999999999993</v>
      </c>
      <c r="AX73" s="100">
        <v>9.4146341463414664</v>
      </c>
      <c r="AY73" s="100">
        <v>5264.6634146341476</v>
      </c>
      <c r="AZ73" s="100">
        <v>11</v>
      </c>
      <c r="BA73" s="100">
        <v>6151.1999999999989</v>
      </c>
      <c r="BB73" s="100">
        <v>4.7277035312783608</v>
      </c>
      <c r="BC73" s="100">
        <v>2643.7318146908592</v>
      </c>
      <c r="BD73" s="100">
        <v>8.0711460924750167</v>
      </c>
      <c r="BE73" s="100">
        <v>4513.3848949120284</v>
      </c>
      <c r="BF73" s="100">
        <v>6.581593461540459</v>
      </c>
      <c r="BG73" s="100">
        <v>3680.4270636934243</v>
      </c>
      <c r="BH73" s="100">
        <v>3.7733955623592972</v>
      </c>
      <c r="BI73" s="100">
        <v>2110.0827984713187</v>
      </c>
      <c r="BJ73" s="100">
        <v>3.4774961981167336</v>
      </c>
      <c r="BK73" s="100">
        <v>1944.6158739868772</v>
      </c>
      <c r="BL73" s="100">
        <v>9.5011776237376413</v>
      </c>
      <c r="BM73" s="100">
        <v>5313.0585271940881</v>
      </c>
      <c r="BN73" s="100">
        <v>6.1342461609715491</v>
      </c>
      <c r="BO73" s="100">
        <v>3430.2704532152898</v>
      </c>
      <c r="BP73" s="100">
        <v>9</v>
      </c>
      <c r="BQ73" s="100">
        <v>5032.7999999999993</v>
      </c>
      <c r="BR73" s="100">
        <v>9.0638237066740572</v>
      </c>
      <c r="BS73" s="100">
        <v>5068.490216772132</v>
      </c>
      <c r="BT73" s="100">
        <v>10</v>
      </c>
      <c r="BU73" s="100">
        <v>5591.9999999999991</v>
      </c>
      <c r="BV73" s="100">
        <v>6.0136743624575368</v>
      </c>
      <c r="BW73" s="100">
        <v>3362.8467034862542</v>
      </c>
      <c r="BX73" s="100">
        <v>11</v>
      </c>
      <c r="BY73" s="100">
        <v>6151.1999999999989</v>
      </c>
      <c r="BZ73" s="100">
        <v>12</v>
      </c>
      <c r="CA73" s="100">
        <v>6710.4</v>
      </c>
      <c r="CB73" s="100">
        <v>15</v>
      </c>
      <c r="CC73" s="100">
        <v>8387.9999999999982</v>
      </c>
      <c r="CD73" s="100">
        <v>10</v>
      </c>
      <c r="CE73" s="100">
        <v>5591.9999999999991</v>
      </c>
      <c r="CF73" s="100">
        <v>10</v>
      </c>
      <c r="CG73" s="100">
        <v>5591.9999999999991</v>
      </c>
      <c r="CH73" s="100">
        <v>11</v>
      </c>
      <c r="CI73" s="100">
        <v>6151.1999999999989</v>
      </c>
      <c r="CJ73" s="100">
        <v>12.523535341036828</v>
      </c>
      <c r="CK73" s="100">
        <v>7003.1609627077933</v>
      </c>
      <c r="CL73" s="100">
        <v>12</v>
      </c>
      <c r="CM73" s="100">
        <v>6710.4</v>
      </c>
      <c r="CN73" s="100">
        <v>7.5849056603773617</v>
      </c>
      <c r="CO73" s="100">
        <v>4241.4792452830197</v>
      </c>
      <c r="CP73" s="100">
        <v>10</v>
      </c>
      <c r="CQ73" s="100">
        <v>5591.9999999999991</v>
      </c>
      <c r="CR73" s="100">
        <v>11</v>
      </c>
      <c r="CS73" s="100">
        <v>6151.1999999999989</v>
      </c>
      <c r="CT73" s="100">
        <v>9</v>
      </c>
      <c r="CU73" s="100">
        <v>5032.7999999999993</v>
      </c>
    </row>
    <row r="74" spans="2:99">
      <c r="C74" s="99" t="s">
        <v>240</v>
      </c>
      <c r="D74" s="100">
        <v>9</v>
      </c>
      <c r="E74" s="100">
        <v>3628.7999999999997</v>
      </c>
      <c r="F74" s="100">
        <v>9</v>
      </c>
      <c r="G74" s="100">
        <v>3628.7999999999997</v>
      </c>
      <c r="H74" s="100">
        <v>9</v>
      </c>
      <c r="I74" s="100">
        <v>3628.7999999999997</v>
      </c>
      <c r="J74" s="100">
        <v>9</v>
      </c>
      <c r="K74" s="100">
        <v>3628.7999999999997</v>
      </c>
      <c r="L74" s="100">
        <v>7.6164289661620979</v>
      </c>
      <c r="M74" s="100">
        <v>3070.9441591565578</v>
      </c>
      <c r="N74" s="100">
        <v>9</v>
      </c>
      <c r="O74" s="100">
        <v>3628.7999999999997</v>
      </c>
      <c r="P74" s="100">
        <v>12</v>
      </c>
      <c r="Q74" s="100">
        <v>4838.3999999999996</v>
      </c>
      <c r="R74" s="100">
        <v>7</v>
      </c>
      <c r="S74" s="100">
        <v>2822.4</v>
      </c>
      <c r="T74" s="100">
        <v>8</v>
      </c>
      <c r="U74" s="100">
        <v>3225.6</v>
      </c>
      <c r="V74" s="100">
        <v>13</v>
      </c>
      <c r="W74" s="100">
        <v>5241.5999999999995</v>
      </c>
      <c r="X74" s="100">
        <v>6.9369916962544886</v>
      </c>
      <c r="Y74" s="100">
        <v>2796.99505192981</v>
      </c>
      <c r="Z74" s="100">
        <v>10</v>
      </c>
      <c r="AA74" s="100">
        <v>4032</v>
      </c>
      <c r="AB74" s="100">
        <v>3.6514085480342917</v>
      </c>
      <c r="AC74" s="100">
        <v>1472.2479265674265</v>
      </c>
      <c r="AD74" s="100">
        <v>0</v>
      </c>
      <c r="AE74" s="100">
        <v>0</v>
      </c>
      <c r="AF74" s="100">
        <v>8</v>
      </c>
      <c r="AG74" s="100">
        <v>3225.6</v>
      </c>
      <c r="AH74" s="100">
        <v>10</v>
      </c>
      <c r="AI74" s="100">
        <v>4032</v>
      </c>
      <c r="AJ74" s="100">
        <v>14</v>
      </c>
      <c r="AK74" s="100">
        <v>5644.8</v>
      </c>
      <c r="AL74" s="100">
        <v>12</v>
      </c>
      <c r="AM74" s="100">
        <v>4838.3999999999996</v>
      </c>
      <c r="AN74" s="100">
        <v>8</v>
      </c>
      <c r="AO74" s="100">
        <v>3225.6</v>
      </c>
      <c r="AP74" s="100">
        <v>12.215834005079993</v>
      </c>
      <c r="AQ74" s="100">
        <v>4925.4242708482525</v>
      </c>
      <c r="AR74" s="100">
        <v>14</v>
      </c>
      <c r="AS74" s="100">
        <v>5644.8</v>
      </c>
      <c r="AT74" s="100">
        <v>7.0103092783505181</v>
      </c>
      <c r="AU74" s="100">
        <v>2826.5567010309287</v>
      </c>
      <c r="AV74" s="100">
        <v>9</v>
      </c>
      <c r="AW74" s="100">
        <v>3628.7999999999997</v>
      </c>
      <c r="AX74" s="100">
        <v>12.239024390243905</v>
      </c>
      <c r="AY74" s="100">
        <v>4934.7746341463426</v>
      </c>
      <c r="AZ74" s="100">
        <v>13</v>
      </c>
      <c r="BA74" s="100">
        <v>5241.5999999999995</v>
      </c>
      <c r="BB74" s="100">
        <v>4.7277035312783608</v>
      </c>
      <c r="BC74" s="100">
        <v>1906.210063811435</v>
      </c>
      <c r="BD74" s="100">
        <v>8.0711460924750167</v>
      </c>
      <c r="BE74" s="100">
        <v>3254.2861044859264</v>
      </c>
      <c r="BF74" s="100">
        <v>6.1114796428589981</v>
      </c>
      <c r="BG74" s="100">
        <v>2464.1485920007481</v>
      </c>
      <c r="BH74" s="100">
        <v>4.150735118595227</v>
      </c>
      <c r="BI74" s="100">
        <v>1673.5763998175955</v>
      </c>
      <c r="BJ74" s="100">
        <v>3.4774961981167336</v>
      </c>
      <c r="BK74" s="100">
        <v>1402.126467080667</v>
      </c>
      <c r="BL74" s="100">
        <v>10.364921044077427</v>
      </c>
      <c r="BM74" s="100">
        <v>4179.1361649720184</v>
      </c>
      <c r="BN74" s="100">
        <v>6.6061112502770536</v>
      </c>
      <c r="BO74" s="100">
        <v>2663.5840561117079</v>
      </c>
      <c r="BP74" s="100">
        <v>9</v>
      </c>
      <c r="BQ74" s="100">
        <v>3628.7999999999997</v>
      </c>
      <c r="BR74" s="100">
        <v>8.3085050644512179</v>
      </c>
      <c r="BS74" s="100">
        <v>3349.989241986731</v>
      </c>
      <c r="BT74" s="100">
        <v>10</v>
      </c>
      <c r="BU74" s="100">
        <v>4032</v>
      </c>
      <c r="BV74" s="100">
        <v>6.0136743624575368</v>
      </c>
      <c r="BW74" s="100">
        <v>2424.7135029428787</v>
      </c>
      <c r="BX74" s="100">
        <v>10</v>
      </c>
      <c r="BY74" s="100">
        <v>4032</v>
      </c>
      <c r="BZ74" s="100">
        <v>12</v>
      </c>
      <c r="CA74" s="100">
        <v>4838.3999999999996</v>
      </c>
      <c r="CB74" s="100">
        <v>14</v>
      </c>
      <c r="CC74" s="100">
        <v>5644.8</v>
      </c>
      <c r="CD74" s="100">
        <v>10</v>
      </c>
      <c r="CE74" s="100">
        <v>4032</v>
      </c>
      <c r="CF74" s="100">
        <v>11</v>
      </c>
      <c r="CG74" s="100">
        <v>4435.2</v>
      </c>
      <c r="CH74" s="100">
        <v>12</v>
      </c>
      <c r="CI74" s="100">
        <v>4838.3999999999996</v>
      </c>
      <c r="CJ74" s="100">
        <v>11.56018646864938</v>
      </c>
      <c r="CK74" s="100">
        <v>4661.0671841594303</v>
      </c>
      <c r="CL74" s="100">
        <v>12</v>
      </c>
      <c r="CM74" s="100">
        <v>4838.3999999999996</v>
      </c>
      <c r="CN74" s="100">
        <v>7.5849056603773617</v>
      </c>
      <c r="CO74" s="100">
        <v>3058.2339622641521</v>
      </c>
      <c r="CP74" s="100">
        <v>10</v>
      </c>
      <c r="CQ74" s="100">
        <v>4032</v>
      </c>
      <c r="CR74" s="100">
        <v>11</v>
      </c>
      <c r="CS74" s="100">
        <v>4435.2</v>
      </c>
      <c r="CT74" s="100">
        <v>10</v>
      </c>
      <c r="CU74" s="100">
        <v>4032</v>
      </c>
    </row>
    <row r="75" spans="2:99">
      <c r="C75" s="99" t="s">
        <v>241</v>
      </c>
      <c r="D75" s="100">
        <v>9</v>
      </c>
      <c r="E75" s="100">
        <v>5788.7999999999993</v>
      </c>
      <c r="F75" s="100">
        <v>9</v>
      </c>
      <c r="G75" s="100">
        <v>5788.7999999999993</v>
      </c>
      <c r="H75" s="100">
        <v>9</v>
      </c>
      <c r="I75" s="100">
        <v>5788.7999999999993</v>
      </c>
      <c r="J75" s="100">
        <v>11</v>
      </c>
      <c r="K75" s="100">
        <v>7075.1999999999989</v>
      </c>
      <c r="L75" s="100">
        <v>6.9240263328746341</v>
      </c>
      <c r="M75" s="100">
        <v>4453.5337373049642</v>
      </c>
      <c r="N75" s="100">
        <v>9</v>
      </c>
      <c r="O75" s="100">
        <v>5788.7999999999993</v>
      </c>
      <c r="P75" s="100">
        <v>12</v>
      </c>
      <c r="Q75" s="100">
        <v>7718.4</v>
      </c>
      <c r="R75" s="100">
        <v>7</v>
      </c>
      <c r="S75" s="100">
        <v>4502.3999999999996</v>
      </c>
      <c r="T75" s="100">
        <v>10</v>
      </c>
      <c r="U75" s="100">
        <v>6431.9999999999991</v>
      </c>
      <c r="V75" s="100">
        <v>13</v>
      </c>
      <c r="W75" s="100">
        <v>8361.5999999999985</v>
      </c>
      <c r="X75" s="100">
        <v>6.441492289379168</v>
      </c>
      <c r="Y75" s="100">
        <v>4143.1678405286802</v>
      </c>
      <c r="Z75" s="100">
        <v>10</v>
      </c>
      <c r="AA75" s="100">
        <v>6431.9999999999991</v>
      </c>
      <c r="AB75" s="100">
        <v>3.9833547796737725</v>
      </c>
      <c r="AC75" s="100">
        <v>2562.0937942861701</v>
      </c>
      <c r="AD75" s="100">
        <v>0</v>
      </c>
      <c r="AE75" s="100">
        <v>0</v>
      </c>
      <c r="AF75" s="100">
        <v>9</v>
      </c>
      <c r="AG75" s="100">
        <v>5788.7999999999993</v>
      </c>
      <c r="AH75" s="100">
        <v>8</v>
      </c>
      <c r="AI75" s="100">
        <v>5145.5999999999995</v>
      </c>
      <c r="AJ75" s="100">
        <v>13</v>
      </c>
      <c r="AK75" s="100">
        <v>8361.5999999999985</v>
      </c>
      <c r="AL75" s="100">
        <v>11</v>
      </c>
      <c r="AM75" s="100">
        <v>7075.1999999999989</v>
      </c>
      <c r="AN75" s="100">
        <v>9</v>
      </c>
      <c r="AO75" s="100">
        <v>5788.7999999999993</v>
      </c>
      <c r="AP75" s="100">
        <v>13.08839357687142</v>
      </c>
      <c r="AQ75" s="100">
        <v>8418.4547486436968</v>
      </c>
      <c r="AR75" s="100">
        <v>13</v>
      </c>
      <c r="AS75" s="100">
        <v>8361.5999999999985</v>
      </c>
      <c r="AT75" s="100">
        <v>7.0103092783505181</v>
      </c>
      <c r="AU75" s="100">
        <v>4509.0309278350524</v>
      </c>
      <c r="AV75" s="100">
        <v>9</v>
      </c>
      <c r="AW75" s="100">
        <v>5788.7999999999993</v>
      </c>
      <c r="AX75" s="100">
        <v>10.356097560975613</v>
      </c>
      <c r="AY75" s="100">
        <v>6661.0419512195131</v>
      </c>
      <c r="AZ75" s="100">
        <v>11</v>
      </c>
      <c r="BA75" s="100">
        <v>7075.1999999999989</v>
      </c>
      <c r="BB75" s="100">
        <v>4.2024031389140983</v>
      </c>
      <c r="BC75" s="100">
        <v>2702.9856989495479</v>
      </c>
      <c r="BD75" s="100">
        <v>8.0711460924750167</v>
      </c>
      <c r="BE75" s="100">
        <v>5191.3611666799297</v>
      </c>
      <c r="BF75" s="100">
        <v>6.1114796428589981</v>
      </c>
      <c r="BG75" s="100">
        <v>3930.903706286907</v>
      </c>
      <c r="BH75" s="100">
        <v>4.150735118595227</v>
      </c>
      <c r="BI75" s="100">
        <v>2669.7528282804496</v>
      </c>
      <c r="BJ75" s="100">
        <v>3.9742813692762673</v>
      </c>
      <c r="BK75" s="100">
        <v>2556.2577767184948</v>
      </c>
      <c r="BL75" s="100">
        <v>9.5011776237376413</v>
      </c>
      <c r="BM75" s="100">
        <v>6111.1574475880507</v>
      </c>
      <c r="BN75" s="100">
        <v>6.6061112502770536</v>
      </c>
      <c r="BO75" s="100">
        <v>4249.0507561782006</v>
      </c>
      <c r="BP75" s="100">
        <v>8</v>
      </c>
      <c r="BQ75" s="100">
        <v>5145.5999999999995</v>
      </c>
      <c r="BR75" s="100">
        <v>9.0638237066740572</v>
      </c>
      <c r="BS75" s="100">
        <v>5829.851408132753</v>
      </c>
      <c r="BT75" s="100">
        <v>11</v>
      </c>
      <c r="BU75" s="100">
        <v>7075.1999999999989</v>
      </c>
      <c r="BV75" s="100">
        <v>6.9388550336048498</v>
      </c>
      <c r="BW75" s="100">
        <v>4463.0715576146386</v>
      </c>
      <c r="BX75" s="100">
        <v>11</v>
      </c>
      <c r="BY75" s="100">
        <v>7075.1999999999989</v>
      </c>
      <c r="BZ75" s="100">
        <v>12</v>
      </c>
      <c r="CA75" s="100">
        <v>7718.4</v>
      </c>
      <c r="CB75" s="100">
        <v>15</v>
      </c>
      <c r="CC75" s="100">
        <v>9647.9999999999982</v>
      </c>
      <c r="CD75" s="100">
        <v>10</v>
      </c>
      <c r="CE75" s="100">
        <v>6431.9999999999991</v>
      </c>
      <c r="CF75" s="100">
        <v>11</v>
      </c>
      <c r="CG75" s="100">
        <v>7075.1999999999989</v>
      </c>
      <c r="CH75" s="100">
        <v>11</v>
      </c>
      <c r="CI75" s="100">
        <v>7075.1999999999989</v>
      </c>
      <c r="CJ75" s="100">
        <v>11.56018646864938</v>
      </c>
      <c r="CK75" s="100">
        <v>7435.511936635281</v>
      </c>
      <c r="CL75" s="100">
        <v>13</v>
      </c>
      <c r="CM75" s="100">
        <v>8361.5999999999985</v>
      </c>
      <c r="CN75" s="100">
        <v>8.4276729559748471</v>
      </c>
      <c r="CO75" s="100">
        <v>5420.6792452830214</v>
      </c>
      <c r="CP75" s="100">
        <v>9</v>
      </c>
      <c r="CQ75" s="100">
        <v>5788.7999999999993</v>
      </c>
      <c r="CR75" s="100">
        <v>9</v>
      </c>
      <c r="CS75" s="100">
        <v>5788.7999999999993</v>
      </c>
      <c r="CT75" s="100">
        <v>9</v>
      </c>
      <c r="CU75" s="100">
        <v>5788.7999999999993</v>
      </c>
    </row>
    <row r="76" spans="2:99">
      <c r="C76" s="99" t="s">
        <v>242</v>
      </c>
      <c r="D76" s="100">
        <v>8</v>
      </c>
      <c r="E76" s="100">
        <v>6230.4</v>
      </c>
      <c r="F76" s="100">
        <v>10</v>
      </c>
      <c r="G76" s="100">
        <v>7788</v>
      </c>
      <c r="H76" s="100">
        <v>10</v>
      </c>
      <c r="I76" s="100">
        <v>7788</v>
      </c>
      <c r="J76" s="100">
        <v>10</v>
      </c>
      <c r="K76" s="100">
        <v>7788</v>
      </c>
      <c r="L76" s="100">
        <v>6.2316236995871703</v>
      </c>
      <c r="M76" s="100">
        <v>4853.1885372384877</v>
      </c>
      <c r="N76" s="100">
        <v>9</v>
      </c>
      <c r="O76" s="100">
        <v>7009.2</v>
      </c>
      <c r="P76" s="100">
        <v>12</v>
      </c>
      <c r="Q76" s="100">
        <v>9345.5999999999985</v>
      </c>
      <c r="R76" s="100">
        <v>7</v>
      </c>
      <c r="S76" s="100">
        <v>5451.5999999999995</v>
      </c>
      <c r="T76" s="100">
        <v>9</v>
      </c>
      <c r="U76" s="100">
        <v>7009.2</v>
      </c>
      <c r="V76" s="100">
        <v>15</v>
      </c>
      <c r="W76" s="100">
        <v>11682</v>
      </c>
      <c r="X76" s="100">
        <v>7.4324911031298084</v>
      </c>
      <c r="Y76" s="100">
        <v>5788.4240711174943</v>
      </c>
      <c r="Z76" s="100">
        <v>12</v>
      </c>
      <c r="AA76" s="100">
        <v>9345.5999999999985</v>
      </c>
      <c r="AB76" s="100">
        <v>3.6514085480342917</v>
      </c>
      <c r="AC76" s="100">
        <v>2843.7169772091061</v>
      </c>
      <c r="AD76" s="100">
        <v>0</v>
      </c>
      <c r="AE76" s="100">
        <v>0</v>
      </c>
      <c r="AF76" s="100">
        <v>8</v>
      </c>
      <c r="AG76" s="100">
        <v>6230.4</v>
      </c>
      <c r="AH76" s="100">
        <v>9</v>
      </c>
      <c r="AI76" s="100">
        <v>7009.2</v>
      </c>
      <c r="AJ76" s="100">
        <v>13</v>
      </c>
      <c r="AK76" s="100">
        <v>10124.4</v>
      </c>
      <c r="AL76" s="100">
        <v>12</v>
      </c>
      <c r="AM76" s="100">
        <v>9345.5999999999985</v>
      </c>
      <c r="AN76" s="100">
        <v>7</v>
      </c>
      <c r="AO76" s="100">
        <v>5451.5999999999995</v>
      </c>
      <c r="AP76" s="100">
        <v>11.343274433288563</v>
      </c>
      <c r="AQ76" s="100">
        <v>8834.1421286451332</v>
      </c>
      <c r="AR76" s="100">
        <v>13</v>
      </c>
      <c r="AS76" s="100">
        <v>10124.4</v>
      </c>
      <c r="AT76" s="100">
        <v>7.0103092783505181</v>
      </c>
      <c r="AU76" s="100">
        <v>5459.6288659793836</v>
      </c>
      <c r="AV76" s="100">
        <v>10</v>
      </c>
      <c r="AW76" s="100">
        <v>7788</v>
      </c>
      <c r="AX76" s="100">
        <v>10.356097560975613</v>
      </c>
      <c r="AY76" s="100">
        <v>8065.3287804878064</v>
      </c>
      <c r="AZ76" s="100">
        <v>11</v>
      </c>
      <c r="BA76" s="100">
        <v>8566.7999999999993</v>
      </c>
      <c r="BB76" s="100">
        <v>4.2024031389140983</v>
      </c>
      <c r="BC76" s="100">
        <v>3272.8315645862995</v>
      </c>
      <c r="BD76" s="100">
        <v>8.0711460924750167</v>
      </c>
      <c r="BE76" s="100">
        <v>6285.8085768195424</v>
      </c>
      <c r="BF76" s="100">
        <v>6.581593461540459</v>
      </c>
      <c r="BG76" s="100">
        <v>5125.7449878477091</v>
      </c>
      <c r="BH76" s="100">
        <v>3.7733955623592972</v>
      </c>
      <c r="BI76" s="100">
        <v>2938.7204639654205</v>
      </c>
      <c r="BJ76" s="100">
        <v>3.9742813692762673</v>
      </c>
      <c r="BK76" s="100">
        <v>3095.1703303923568</v>
      </c>
      <c r="BL76" s="100">
        <v>11.228664464417214</v>
      </c>
      <c r="BM76" s="100">
        <v>8744.883884888126</v>
      </c>
      <c r="BN76" s="100">
        <v>6.6061112502770536</v>
      </c>
      <c r="BO76" s="100">
        <v>5144.8394417157688</v>
      </c>
      <c r="BP76" s="100">
        <v>9</v>
      </c>
      <c r="BQ76" s="100">
        <v>7009.2</v>
      </c>
      <c r="BR76" s="100">
        <v>9.8191423488968947</v>
      </c>
      <c r="BS76" s="100">
        <v>7647.1480613209014</v>
      </c>
      <c r="BT76" s="100">
        <v>10</v>
      </c>
      <c r="BU76" s="100">
        <v>7788</v>
      </c>
      <c r="BV76" s="100">
        <v>6.0136743624575368</v>
      </c>
      <c r="BW76" s="100">
        <v>4683.4495934819297</v>
      </c>
      <c r="BX76" s="100">
        <v>10</v>
      </c>
      <c r="BY76" s="100">
        <v>7788</v>
      </c>
      <c r="BZ76" s="100">
        <v>12</v>
      </c>
      <c r="CA76" s="100">
        <v>9345.5999999999985</v>
      </c>
      <c r="CB76" s="100">
        <v>15</v>
      </c>
      <c r="CC76" s="100">
        <v>11682</v>
      </c>
      <c r="CD76" s="100">
        <v>11</v>
      </c>
      <c r="CE76" s="100">
        <v>8566.7999999999993</v>
      </c>
      <c r="CF76" s="100">
        <v>11</v>
      </c>
      <c r="CG76" s="100">
        <v>8566.7999999999993</v>
      </c>
      <c r="CH76" s="100">
        <v>11</v>
      </c>
      <c r="CI76" s="100">
        <v>8566.7999999999993</v>
      </c>
      <c r="CJ76" s="100">
        <v>11.56018646864938</v>
      </c>
      <c r="CK76" s="100">
        <v>9003.0732217841378</v>
      </c>
      <c r="CL76" s="100">
        <v>14</v>
      </c>
      <c r="CM76" s="100">
        <v>10903.199999999999</v>
      </c>
      <c r="CN76" s="100">
        <v>7.5849056603773617</v>
      </c>
      <c r="CO76" s="100">
        <v>5907.1245283018889</v>
      </c>
      <c r="CP76" s="100">
        <v>10</v>
      </c>
      <c r="CQ76" s="100">
        <v>7788</v>
      </c>
      <c r="CR76" s="100">
        <v>10</v>
      </c>
      <c r="CS76" s="100">
        <v>7788</v>
      </c>
      <c r="CT76" s="100">
        <v>9</v>
      </c>
      <c r="CU76" s="100">
        <v>7009.2</v>
      </c>
    </row>
    <row r="77" spans="2:99">
      <c r="C77" s="99" t="s">
        <v>243</v>
      </c>
      <c r="D77" s="100">
        <v>8</v>
      </c>
      <c r="E77" s="100">
        <v>2227.1999999999998</v>
      </c>
      <c r="F77" s="100">
        <v>10</v>
      </c>
      <c r="G77" s="100">
        <v>2784</v>
      </c>
      <c r="H77" s="100">
        <v>10</v>
      </c>
      <c r="I77" s="100">
        <v>2784</v>
      </c>
      <c r="J77" s="100">
        <v>11</v>
      </c>
      <c r="K77" s="100">
        <v>3062.3999999999996</v>
      </c>
      <c r="L77" s="100">
        <v>6.9240263328746341</v>
      </c>
      <c r="M77" s="100">
        <v>1927.648931072298</v>
      </c>
      <c r="N77" s="100">
        <v>9</v>
      </c>
      <c r="O77" s="100">
        <v>2505.6</v>
      </c>
      <c r="P77" s="100">
        <v>11</v>
      </c>
      <c r="Q77" s="100">
        <v>3062.3999999999996</v>
      </c>
      <c r="R77" s="100">
        <v>8</v>
      </c>
      <c r="S77" s="100">
        <v>2227.1999999999998</v>
      </c>
      <c r="T77" s="100">
        <v>9</v>
      </c>
      <c r="U77" s="100">
        <v>2505.6</v>
      </c>
      <c r="V77" s="100">
        <v>14</v>
      </c>
      <c r="W77" s="100">
        <v>3897.5999999999995</v>
      </c>
      <c r="X77" s="100">
        <v>6.9369916962544886</v>
      </c>
      <c r="Y77" s="100">
        <v>1931.2584882372494</v>
      </c>
      <c r="Z77" s="100">
        <v>11</v>
      </c>
      <c r="AA77" s="100">
        <v>3062.3999999999996</v>
      </c>
      <c r="AB77" s="100">
        <v>3.6514085480342917</v>
      </c>
      <c r="AC77" s="100">
        <v>1016.5521397727467</v>
      </c>
      <c r="AD77" s="100">
        <v>0</v>
      </c>
      <c r="AE77" s="100">
        <v>0</v>
      </c>
      <c r="AF77" s="100">
        <v>9</v>
      </c>
      <c r="AG77" s="100">
        <v>2505.6</v>
      </c>
      <c r="AH77" s="100">
        <v>10</v>
      </c>
      <c r="AI77" s="100">
        <v>2784</v>
      </c>
      <c r="AJ77" s="100">
        <v>14</v>
      </c>
      <c r="AK77" s="100">
        <v>3897.5999999999995</v>
      </c>
      <c r="AL77" s="100">
        <v>11</v>
      </c>
      <c r="AM77" s="100">
        <v>3062.3999999999996</v>
      </c>
      <c r="AN77" s="100">
        <v>8</v>
      </c>
      <c r="AO77" s="100">
        <v>2227.1999999999998</v>
      </c>
      <c r="AP77" s="100">
        <v>12.215834005079993</v>
      </c>
      <c r="AQ77" s="100">
        <v>3400.8881870142695</v>
      </c>
      <c r="AR77" s="100">
        <v>13</v>
      </c>
      <c r="AS77" s="100">
        <v>3619.2</v>
      </c>
      <c r="AT77" s="100">
        <v>7.7113402061855698</v>
      </c>
      <c r="AU77" s="100">
        <v>2146.8371134020626</v>
      </c>
      <c r="AV77" s="100">
        <v>9</v>
      </c>
      <c r="AW77" s="100">
        <v>2505.6</v>
      </c>
      <c r="AX77" s="100">
        <v>10.356097560975613</v>
      </c>
      <c r="AY77" s="100">
        <v>2883.1375609756105</v>
      </c>
      <c r="AZ77" s="100">
        <v>12</v>
      </c>
      <c r="BA77" s="100">
        <v>3340.7999999999997</v>
      </c>
      <c r="BB77" s="100">
        <v>4.7277035312783608</v>
      </c>
      <c r="BC77" s="100">
        <v>1316.1926631078954</v>
      </c>
      <c r="BD77" s="100">
        <v>8.0711460924750167</v>
      </c>
      <c r="BE77" s="100">
        <v>2247.0070721450443</v>
      </c>
      <c r="BF77" s="100">
        <v>6.1114796428589981</v>
      </c>
      <c r="BG77" s="100">
        <v>1701.4359325719449</v>
      </c>
      <c r="BH77" s="100">
        <v>3.7733955623592972</v>
      </c>
      <c r="BI77" s="100">
        <v>1050.5133245608283</v>
      </c>
      <c r="BJ77" s="100">
        <v>3.9742813692762673</v>
      </c>
      <c r="BK77" s="100">
        <v>1106.4399332065127</v>
      </c>
      <c r="BL77" s="100">
        <v>11.228664464417214</v>
      </c>
      <c r="BM77" s="100">
        <v>3126.060186893752</v>
      </c>
      <c r="BN77" s="100">
        <v>6.1342461609715491</v>
      </c>
      <c r="BO77" s="100">
        <v>1707.7741312144792</v>
      </c>
      <c r="BP77" s="100">
        <v>9</v>
      </c>
      <c r="BQ77" s="100">
        <v>2505.6</v>
      </c>
      <c r="BR77" s="100">
        <v>9.0638237066740572</v>
      </c>
      <c r="BS77" s="100">
        <v>2523.3685199380575</v>
      </c>
      <c r="BT77" s="100">
        <v>9</v>
      </c>
      <c r="BU77" s="100">
        <v>2505.6</v>
      </c>
      <c r="BV77" s="100">
        <v>6.9388550336048498</v>
      </c>
      <c r="BW77" s="100">
        <v>1931.7772413555899</v>
      </c>
      <c r="BX77" s="100">
        <v>10</v>
      </c>
      <c r="BY77" s="100">
        <v>2784</v>
      </c>
      <c r="BZ77" s="100">
        <v>12</v>
      </c>
      <c r="CA77" s="100">
        <v>3340.7999999999997</v>
      </c>
      <c r="CB77" s="100">
        <v>16</v>
      </c>
      <c r="CC77" s="100">
        <v>4454.3999999999996</v>
      </c>
      <c r="CD77" s="100">
        <v>10</v>
      </c>
      <c r="CE77" s="100">
        <v>2784</v>
      </c>
      <c r="CF77" s="100">
        <v>11</v>
      </c>
      <c r="CG77" s="100">
        <v>3062.3999999999996</v>
      </c>
      <c r="CH77" s="100">
        <v>12</v>
      </c>
      <c r="CI77" s="100">
        <v>3340.7999999999997</v>
      </c>
      <c r="CJ77" s="100">
        <v>11.56018646864938</v>
      </c>
      <c r="CK77" s="100">
        <v>3218.3559128719871</v>
      </c>
      <c r="CL77" s="100">
        <v>13</v>
      </c>
      <c r="CM77" s="100">
        <v>3619.2</v>
      </c>
      <c r="CN77" s="100">
        <v>7.5849056603773617</v>
      </c>
      <c r="CO77" s="100">
        <v>2111.6377358490572</v>
      </c>
      <c r="CP77" s="100">
        <v>10</v>
      </c>
      <c r="CQ77" s="100">
        <v>2784</v>
      </c>
      <c r="CR77" s="100">
        <v>10</v>
      </c>
      <c r="CS77" s="100">
        <v>2784</v>
      </c>
      <c r="CT77" s="100">
        <v>9</v>
      </c>
      <c r="CU77" s="100">
        <v>2505.6</v>
      </c>
    </row>
    <row r="78" spans="2:99">
      <c r="C78" s="99" t="s">
        <v>244</v>
      </c>
      <c r="D78" s="100">
        <v>8</v>
      </c>
      <c r="E78" s="100">
        <v>4416</v>
      </c>
      <c r="F78" s="100">
        <v>10</v>
      </c>
      <c r="G78" s="100">
        <v>5520</v>
      </c>
      <c r="H78" s="100">
        <v>11</v>
      </c>
      <c r="I78" s="100">
        <v>6072</v>
      </c>
      <c r="J78" s="100">
        <v>10</v>
      </c>
      <c r="K78" s="100">
        <v>5520</v>
      </c>
      <c r="L78" s="100">
        <v>6.9240263328746341</v>
      </c>
      <c r="M78" s="100">
        <v>3822.0625357467979</v>
      </c>
      <c r="N78" s="100">
        <v>10</v>
      </c>
      <c r="O78" s="100">
        <v>5520</v>
      </c>
      <c r="P78" s="100">
        <v>11</v>
      </c>
      <c r="Q78" s="100">
        <v>6072</v>
      </c>
      <c r="R78" s="100">
        <v>8</v>
      </c>
      <c r="S78" s="100">
        <v>4416</v>
      </c>
      <c r="T78" s="100">
        <v>10</v>
      </c>
      <c r="U78" s="100">
        <v>5520</v>
      </c>
      <c r="V78" s="100">
        <v>14</v>
      </c>
      <c r="W78" s="100">
        <v>7728</v>
      </c>
      <c r="X78" s="100">
        <v>7.4324911031298084</v>
      </c>
      <c r="Y78" s="100">
        <v>4102.735088927654</v>
      </c>
      <c r="Z78" s="100">
        <v>10</v>
      </c>
      <c r="AA78" s="100">
        <v>5520</v>
      </c>
      <c r="AB78" s="100">
        <v>3.6514085480342917</v>
      </c>
      <c r="AC78" s="100">
        <v>2015.5775185149291</v>
      </c>
      <c r="AD78" s="100">
        <v>0</v>
      </c>
      <c r="AE78" s="100">
        <v>0</v>
      </c>
      <c r="AF78" s="100">
        <v>8</v>
      </c>
      <c r="AG78" s="100">
        <v>4416</v>
      </c>
      <c r="AH78" s="100">
        <v>9</v>
      </c>
      <c r="AI78" s="100">
        <v>4968</v>
      </c>
      <c r="AJ78" s="100">
        <v>14</v>
      </c>
      <c r="AK78" s="100">
        <v>7728</v>
      </c>
      <c r="AL78" s="100">
        <v>11</v>
      </c>
      <c r="AM78" s="100">
        <v>6072</v>
      </c>
      <c r="AN78" s="100">
        <v>8</v>
      </c>
      <c r="AO78" s="100">
        <v>4416</v>
      </c>
      <c r="AP78" s="100">
        <v>13.08839357687142</v>
      </c>
      <c r="AQ78" s="100">
        <v>7224.7932544330242</v>
      </c>
      <c r="AR78" s="100">
        <v>12</v>
      </c>
      <c r="AS78" s="100">
        <v>6624</v>
      </c>
      <c r="AT78" s="100">
        <v>8.4123711340206224</v>
      </c>
      <c r="AU78" s="100">
        <v>4643.6288659793836</v>
      </c>
      <c r="AV78" s="100">
        <v>9</v>
      </c>
      <c r="AW78" s="100">
        <v>4968</v>
      </c>
      <c r="AX78" s="100">
        <v>10.356097560975613</v>
      </c>
      <c r="AY78" s="100">
        <v>5716.5658536585379</v>
      </c>
      <c r="AZ78" s="100">
        <v>11</v>
      </c>
      <c r="BA78" s="100">
        <v>6072</v>
      </c>
      <c r="BB78" s="100">
        <v>4.2024031389140983</v>
      </c>
      <c r="BC78" s="100">
        <v>2319.7265326805823</v>
      </c>
      <c r="BD78" s="100">
        <v>8.0711460924750167</v>
      </c>
      <c r="BE78" s="100">
        <v>4455.2726430462089</v>
      </c>
      <c r="BF78" s="100">
        <v>7.0517072802219207</v>
      </c>
      <c r="BG78" s="100">
        <v>3892.5424186825003</v>
      </c>
      <c r="BH78" s="100">
        <v>3.7733955623592972</v>
      </c>
      <c r="BI78" s="100">
        <v>2082.9143504223321</v>
      </c>
      <c r="BJ78" s="100">
        <v>3.9742813692762673</v>
      </c>
      <c r="BK78" s="100">
        <v>2193.8033158404996</v>
      </c>
      <c r="BL78" s="100">
        <v>11.228664464417214</v>
      </c>
      <c r="BM78" s="100">
        <v>6198.2227843583023</v>
      </c>
      <c r="BN78" s="100">
        <v>6.6061112502770536</v>
      </c>
      <c r="BO78" s="100">
        <v>3646.5734101529338</v>
      </c>
      <c r="BP78" s="100">
        <v>10</v>
      </c>
      <c r="BQ78" s="100">
        <v>5520</v>
      </c>
      <c r="BR78" s="100">
        <v>9.8191423488968947</v>
      </c>
      <c r="BS78" s="100">
        <v>5420.1665765910857</v>
      </c>
      <c r="BT78" s="100">
        <v>10</v>
      </c>
      <c r="BU78" s="100">
        <v>5520</v>
      </c>
      <c r="BV78" s="100">
        <v>6.9388550336048498</v>
      </c>
      <c r="BW78" s="100">
        <v>3830.2479785498772</v>
      </c>
      <c r="BX78" s="100">
        <v>11</v>
      </c>
      <c r="BY78" s="100">
        <v>6072</v>
      </c>
      <c r="BZ78" s="100">
        <v>14</v>
      </c>
      <c r="CA78" s="100">
        <v>7728</v>
      </c>
      <c r="CB78" s="100">
        <v>16</v>
      </c>
      <c r="CC78" s="100">
        <v>8832</v>
      </c>
      <c r="CD78" s="100">
        <v>10</v>
      </c>
      <c r="CE78" s="100">
        <v>5520</v>
      </c>
      <c r="CF78" s="100">
        <v>12</v>
      </c>
      <c r="CG78" s="100">
        <v>6624</v>
      </c>
      <c r="CH78" s="100">
        <v>13</v>
      </c>
      <c r="CI78" s="100">
        <v>7176</v>
      </c>
      <c r="CJ78" s="100">
        <v>11.56018646864938</v>
      </c>
      <c r="CK78" s="100">
        <v>6381.2229306944582</v>
      </c>
      <c r="CL78" s="100">
        <v>14</v>
      </c>
      <c r="CM78" s="100">
        <v>7728</v>
      </c>
      <c r="CN78" s="100">
        <v>7.5849056603773617</v>
      </c>
      <c r="CO78" s="100">
        <v>4186.8679245283038</v>
      </c>
      <c r="CP78" s="100">
        <v>10</v>
      </c>
      <c r="CQ78" s="100">
        <v>5520</v>
      </c>
      <c r="CR78" s="100">
        <v>10</v>
      </c>
      <c r="CS78" s="100">
        <v>5520</v>
      </c>
      <c r="CT78" s="100">
        <v>10</v>
      </c>
      <c r="CU78" s="100">
        <v>5520</v>
      </c>
    </row>
    <row r="79" spans="2:99">
      <c r="C79" s="99" t="s">
        <v>245</v>
      </c>
      <c r="D79" s="100">
        <v>8</v>
      </c>
      <c r="E79" s="100">
        <v>6057.5999999999995</v>
      </c>
      <c r="F79" s="100">
        <v>9</v>
      </c>
      <c r="G79" s="100">
        <v>6814.7999999999993</v>
      </c>
      <c r="H79" s="100">
        <v>10</v>
      </c>
      <c r="I79" s="100">
        <v>7571.9999999999991</v>
      </c>
      <c r="J79" s="100">
        <v>9</v>
      </c>
      <c r="K79" s="100">
        <v>6814.7999999999993</v>
      </c>
      <c r="L79" s="100">
        <v>6.9240263328746341</v>
      </c>
      <c r="M79" s="100">
        <v>5242.8727392526725</v>
      </c>
      <c r="N79" s="100">
        <v>9</v>
      </c>
      <c r="O79" s="100">
        <v>6814.7999999999993</v>
      </c>
      <c r="P79" s="100">
        <v>11</v>
      </c>
      <c r="Q79" s="100">
        <v>8329.1999999999989</v>
      </c>
      <c r="R79" s="100">
        <v>8</v>
      </c>
      <c r="S79" s="100">
        <v>6057.5999999999995</v>
      </c>
      <c r="T79" s="100">
        <v>9</v>
      </c>
      <c r="U79" s="100">
        <v>6814.7999999999993</v>
      </c>
      <c r="V79" s="100">
        <v>13</v>
      </c>
      <c r="W79" s="100">
        <v>9843.5999999999985</v>
      </c>
      <c r="X79" s="100">
        <v>6.9369916962544886</v>
      </c>
      <c r="Y79" s="100">
        <v>5252.6901124038986</v>
      </c>
      <c r="Z79" s="100">
        <v>10</v>
      </c>
      <c r="AA79" s="100">
        <v>7571.9999999999991</v>
      </c>
      <c r="AB79" s="100">
        <v>3.6514085480342917</v>
      </c>
      <c r="AC79" s="100">
        <v>2764.8465525715656</v>
      </c>
      <c r="AD79" s="100">
        <v>0</v>
      </c>
      <c r="AE79" s="100">
        <v>0</v>
      </c>
      <c r="AF79" s="100">
        <v>8</v>
      </c>
      <c r="AG79" s="100">
        <v>6057.5999999999995</v>
      </c>
      <c r="AH79" s="100">
        <v>9</v>
      </c>
      <c r="AI79" s="100">
        <v>6814.7999999999993</v>
      </c>
      <c r="AJ79" s="100">
        <v>14</v>
      </c>
      <c r="AK79" s="100">
        <v>10600.8</v>
      </c>
      <c r="AL79" s="100">
        <v>11</v>
      </c>
      <c r="AM79" s="100">
        <v>8329.1999999999989</v>
      </c>
      <c r="AN79" s="100">
        <v>9</v>
      </c>
      <c r="AO79" s="100">
        <v>6814.7999999999993</v>
      </c>
      <c r="AP79" s="100">
        <v>12.215834005079993</v>
      </c>
      <c r="AQ79" s="100">
        <v>9249.8295086465696</v>
      </c>
      <c r="AR79" s="100">
        <v>13</v>
      </c>
      <c r="AS79" s="100">
        <v>9843.5999999999985</v>
      </c>
      <c r="AT79" s="100">
        <v>7.7113402061855698</v>
      </c>
      <c r="AU79" s="100">
        <v>5839.0268041237132</v>
      </c>
      <c r="AV79" s="100">
        <v>10</v>
      </c>
      <c r="AW79" s="100">
        <v>7571.9999999999991</v>
      </c>
      <c r="AX79" s="100">
        <v>10.356097560975613</v>
      </c>
      <c r="AY79" s="100">
        <v>7841.6370731707329</v>
      </c>
      <c r="AZ79" s="100">
        <v>11</v>
      </c>
      <c r="BA79" s="100">
        <v>8329.1999999999989</v>
      </c>
      <c r="BB79" s="100">
        <v>4.7277035312783608</v>
      </c>
      <c r="BC79" s="100">
        <v>3579.8171138839743</v>
      </c>
      <c r="BD79" s="100">
        <v>8.0711460924750167</v>
      </c>
      <c r="BE79" s="100">
        <v>6111.4718212220823</v>
      </c>
      <c r="BF79" s="100">
        <v>6.581593461540459</v>
      </c>
      <c r="BG79" s="100">
        <v>4983.582569078435</v>
      </c>
      <c r="BH79" s="100">
        <v>3.7733955623592972</v>
      </c>
      <c r="BI79" s="100">
        <v>2857.2151198184597</v>
      </c>
      <c r="BJ79" s="100">
        <v>3.9742813692762673</v>
      </c>
      <c r="BK79" s="100">
        <v>3009.3258528159895</v>
      </c>
      <c r="BL79" s="100">
        <v>11.228664464417214</v>
      </c>
      <c r="BM79" s="100">
        <v>8502.3447324567132</v>
      </c>
      <c r="BN79" s="100">
        <v>6.6061112502770536</v>
      </c>
      <c r="BO79" s="100">
        <v>5002.1474387097842</v>
      </c>
      <c r="BP79" s="100">
        <v>9</v>
      </c>
      <c r="BQ79" s="100">
        <v>6814.7999999999993</v>
      </c>
      <c r="BR79" s="100">
        <v>8.3085050644512179</v>
      </c>
      <c r="BS79" s="100">
        <v>6291.2000348024612</v>
      </c>
      <c r="BT79" s="100">
        <v>10</v>
      </c>
      <c r="BU79" s="100">
        <v>7571.9999999999991</v>
      </c>
      <c r="BV79" s="100">
        <v>6.4762646980311933</v>
      </c>
      <c r="BW79" s="100">
        <v>4903.827629349219</v>
      </c>
      <c r="BX79" s="100">
        <v>11</v>
      </c>
      <c r="BY79" s="100">
        <v>8329.1999999999989</v>
      </c>
      <c r="BZ79" s="100">
        <v>12</v>
      </c>
      <c r="CA79" s="100">
        <v>9086.4</v>
      </c>
      <c r="CB79" s="100">
        <v>16</v>
      </c>
      <c r="CC79" s="100">
        <v>12115.199999999999</v>
      </c>
      <c r="CD79" s="100">
        <v>10</v>
      </c>
      <c r="CE79" s="100">
        <v>7571.9999999999991</v>
      </c>
      <c r="CF79" s="100">
        <v>12</v>
      </c>
      <c r="CG79" s="100">
        <v>9086.4</v>
      </c>
      <c r="CH79" s="100">
        <v>11</v>
      </c>
      <c r="CI79" s="100">
        <v>8329.1999999999989</v>
      </c>
      <c r="CJ79" s="100">
        <v>11.56018646864938</v>
      </c>
      <c r="CK79" s="100">
        <v>8753.3731940613106</v>
      </c>
      <c r="CL79" s="100">
        <v>13</v>
      </c>
      <c r="CM79" s="100">
        <v>9843.5999999999985</v>
      </c>
      <c r="CN79" s="100">
        <v>7.5849056603773617</v>
      </c>
      <c r="CO79" s="100">
        <v>5743.2905660377373</v>
      </c>
      <c r="CP79" s="100">
        <v>9</v>
      </c>
      <c r="CQ79" s="100">
        <v>6814.7999999999993</v>
      </c>
      <c r="CR79" s="100">
        <v>10</v>
      </c>
      <c r="CS79" s="100">
        <v>7571.9999999999991</v>
      </c>
      <c r="CT79" s="100">
        <v>9</v>
      </c>
      <c r="CU79" s="100">
        <v>6814.7999999999993</v>
      </c>
    </row>
    <row r="80" spans="2:99">
      <c r="C80" s="99" t="s">
        <v>246</v>
      </c>
      <c r="D80" s="100">
        <v>7</v>
      </c>
      <c r="E80" s="100">
        <v>5636.4</v>
      </c>
      <c r="F80" s="100">
        <v>9</v>
      </c>
      <c r="G80" s="100">
        <v>7246.7999999999993</v>
      </c>
      <c r="H80" s="100">
        <v>9</v>
      </c>
      <c r="I80" s="100">
        <v>7246.7999999999993</v>
      </c>
      <c r="J80" s="100">
        <v>9</v>
      </c>
      <c r="K80" s="100">
        <v>7246.7999999999993</v>
      </c>
      <c r="L80" s="100">
        <v>6.2316236995871703</v>
      </c>
      <c r="M80" s="100">
        <v>5017.7034029075894</v>
      </c>
      <c r="N80" s="100">
        <v>9</v>
      </c>
      <c r="O80" s="100">
        <v>7246.7999999999993</v>
      </c>
      <c r="P80" s="100">
        <v>12</v>
      </c>
      <c r="Q80" s="100">
        <v>9662.4</v>
      </c>
      <c r="R80" s="100">
        <v>8</v>
      </c>
      <c r="S80" s="100">
        <v>6441.5999999999995</v>
      </c>
      <c r="T80" s="100">
        <v>9</v>
      </c>
      <c r="U80" s="100">
        <v>7246.7999999999993</v>
      </c>
      <c r="V80" s="100">
        <v>14</v>
      </c>
      <c r="W80" s="100">
        <v>11272.8</v>
      </c>
      <c r="X80" s="100">
        <v>6.441492289379168</v>
      </c>
      <c r="Y80" s="100">
        <v>5186.689591408106</v>
      </c>
      <c r="Z80" s="100">
        <v>11</v>
      </c>
      <c r="AA80" s="100">
        <v>8857.1999999999989</v>
      </c>
      <c r="AB80" s="100">
        <v>3.6514085480342917</v>
      </c>
      <c r="AC80" s="100">
        <v>2940.1141628772116</v>
      </c>
      <c r="AD80" s="100">
        <v>0</v>
      </c>
      <c r="AE80" s="100">
        <v>0</v>
      </c>
      <c r="AF80" s="100">
        <v>8</v>
      </c>
      <c r="AG80" s="100">
        <v>6441.5999999999995</v>
      </c>
      <c r="AH80" s="100">
        <v>9</v>
      </c>
      <c r="AI80" s="100">
        <v>7246.7999999999993</v>
      </c>
      <c r="AJ80" s="100">
        <v>14</v>
      </c>
      <c r="AK80" s="100">
        <v>11272.8</v>
      </c>
      <c r="AL80" s="100">
        <v>12</v>
      </c>
      <c r="AM80" s="100">
        <v>9662.4</v>
      </c>
      <c r="AN80" s="100">
        <v>8</v>
      </c>
      <c r="AO80" s="100">
        <v>6441.5999999999995</v>
      </c>
      <c r="AP80" s="100">
        <v>12.215834005079993</v>
      </c>
      <c r="AQ80" s="100">
        <v>9836.1895408904093</v>
      </c>
      <c r="AR80" s="100">
        <v>12</v>
      </c>
      <c r="AS80" s="100">
        <v>9662.4</v>
      </c>
      <c r="AT80" s="100">
        <v>7.0103092783505181</v>
      </c>
      <c r="AU80" s="100">
        <v>5644.7010309278367</v>
      </c>
      <c r="AV80" s="100">
        <v>9</v>
      </c>
      <c r="AW80" s="100">
        <v>7246.7999999999993</v>
      </c>
      <c r="AX80" s="100">
        <v>11.297560975609761</v>
      </c>
      <c r="AY80" s="100">
        <v>9096.7960975609785</v>
      </c>
      <c r="AZ80" s="100">
        <v>13</v>
      </c>
      <c r="BA80" s="100">
        <v>10467.599999999999</v>
      </c>
      <c r="BB80" s="100">
        <v>4.7277035312783608</v>
      </c>
      <c r="BC80" s="100">
        <v>3806.7468833853359</v>
      </c>
      <c r="BD80" s="100">
        <v>8.0711460924750167</v>
      </c>
      <c r="BE80" s="100">
        <v>6498.886833660883</v>
      </c>
      <c r="BF80" s="100">
        <v>6.581593461540459</v>
      </c>
      <c r="BG80" s="100">
        <v>5299.499055232377</v>
      </c>
      <c r="BH80" s="100">
        <v>3.7733955623592972</v>
      </c>
      <c r="BI80" s="100">
        <v>3038.338106811706</v>
      </c>
      <c r="BJ80" s="100">
        <v>3.9742813692762673</v>
      </c>
      <c r="BK80" s="100">
        <v>3200.09135854125</v>
      </c>
      <c r="BL80" s="100">
        <v>10.364921044077427</v>
      </c>
      <c r="BM80" s="100">
        <v>8345.8344246911438</v>
      </c>
      <c r="BN80" s="100">
        <v>7.0779763395825572</v>
      </c>
      <c r="BO80" s="100">
        <v>5699.1865486318748</v>
      </c>
      <c r="BP80" s="100">
        <v>9</v>
      </c>
      <c r="BQ80" s="100">
        <v>7246.7999999999993</v>
      </c>
      <c r="BR80" s="100">
        <v>9.0638237066740572</v>
      </c>
      <c r="BS80" s="100">
        <v>7298.19084861395</v>
      </c>
      <c r="BT80" s="100">
        <v>10</v>
      </c>
      <c r="BU80" s="100">
        <v>8051.9999999999991</v>
      </c>
      <c r="BV80" s="100">
        <v>6.9388550336048498</v>
      </c>
      <c r="BW80" s="100">
        <v>5587.1660730586245</v>
      </c>
      <c r="BX80" s="100">
        <v>11</v>
      </c>
      <c r="BY80" s="100">
        <v>8857.1999999999989</v>
      </c>
      <c r="BZ80" s="100">
        <v>12</v>
      </c>
      <c r="CA80" s="100">
        <v>9662.4</v>
      </c>
      <c r="CB80" s="100">
        <v>16</v>
      </c>
      <c r="CC80" s="100">
        <v>12883.199999999999</v>
      </c>
      <c r="CD80" s="100">
        <v>12</v>
      </c>
      <c r="CE80" s="100">
        <v>9662.4</v>
      </c>
      <c r="CF80" s="100">
        <v>12</v>
      </c>
      <c r="CG80" s="100">
        <v>9662.4</v>
      </c>
      <c r="CH80" s="100">
        <v>11</v>
      </c>
      <c r="CI80" s="100">
        <v>8857.1999999999989</v>
      </c>
      <c r="CJ80" s="100">
        <v>10.596837596261931</v>
      </c>
      <c r="CK80" s="100">
        <v>8532.5736325101061</v>
      </c>
      <c r="CL80" s="100">
        <v>13</v>
      </c>
      <c r="CM80" s="100">
        <v>10467.599999999999</v>
      </c>
      <c r="CN80" s="100">
        <v>6.7421383647798772</v>
      </c>
      <c r="CO80" s="100">
        <v>5428.7698113207571</v>
      </c>
      <c r="CP80" s="100">
        <v>9</v>
      </c>
      <c r="CQ80" s="100">
        <v>7246.7999999999993</v>
      </c>
      <c r="CR80" s="100">
        <v>10</v>
      </c>
      <c r="CS80" s="100">
        <v>8051.9999999999991</v>
      </c>
      <c r="CT80" s="100">
        <v>9</v>
      </c>
      <c r="CU80" s="100">
        <v>7246.7999999999993</v>
      </c>
    </row>
    <row r="81" spans="2:99">
      <c r="C81" s="99" t="s">
        <v>247</v>
      </c>
      <c r="D81" s="100">
        <v>9</v>
      </c>
      <c r="E81" s="100">
        <v>6782.4000000000005</v>
      </c>
      <c r="F81" s="100">
        <v>9</v>
      </c>
      <c r="G81" s="100">
        <v>6782.4000000000005</v>
      </c>
      <c r="H81" s="100">
        <v>10</v>
      </c>
      <c r="I81" s="100">
        <v>7536</v>
      </c>
      <c r="J81" s="100">
        <v>10</v>
      </c>
      <c r="K81" s="100">
        <v>7536</v>
      </c>
      <c r="L81" s="100">
        <v>6.9240263328746341</v>
      </c>
      <c r="M81" s="100">
        <v>5217.9462444543242</v>
      </c>
      <c r="N81" s="100">
        <v>9</v>
      </c>
      <c r="O81" s="100">
        <v>6782.4000000000005</v>
      </c>
      <c r="P81" s="100">
        <v>13</v>
      </c>
      <c r="Q81" s="100">
        <v>9796.8000000000011</v>
      </c>
      <c r="R81" s="100">
        <v>8</v>
      </c>
      <c r="S81" s="100">
        <v>6028.8</v>
      </c>
      <c r="T81" s="100">
        <v>9</v>
      </c>
      <c r="U81" s="100">
        <v>6782.4000000000005</v>
      </c>
      <c r="V81" s="100">
        <v>12</v>
      </c>
      <c r="W81" s="100">
        <v>9043.2000000000007</v>
      </c>
      <c r="X81" s="100">
        <v>6.441492289379168</v>
      </c>
      <c r="Y81" s="100">
        <v>4854.308589276141</v>
      </c>
      <c r="Z81" s="100">
        <v>11</v>
      </c>
      <c r="AA81" s="100">
        <v>8289.6</v>
      </c>
      <c r="AB81" s="100">
        <v>3.6514085480342917</v>
      </c>
      <c r="AC81" s="100">
        <v>2751.7014817986424</v>
      </c>
      <c r="AD81" s="100">
        <v>0</v>
      </c>
      <c r="AE81" s="100">
        <v>0</v>
      </c>
      <c r="AF81" s="100">
        <v>8</v>
      </c>
      <c r="AG81" s="100">
        <v>6028.8</v>
      </c>
      <c r="AH81" s="100">
        <v>9</v>
      </c>
      <c r="AI81" s="100">
        <v>6782.4000000000005</v>
      </c>
      <c r="AJ81" s="100">
        <v>12</v>
      </c>
      <c r="AK81" s="100">
        <v>9043.2000000000007</v>
      </c>
      <c r="AL81" s="100">
        <v>11</v>
      </c>
      <c r="AM81" s="100">
        <v>8289.6</v>
      </c>
      <c r="AN81" s="100">
        <v>9</v>
      </c>
      <c r="AO81" s="100">
        <v>6782.4000000000005</v>
      </c>
      <c r="AP81" s="100">
        <v>11.343274433288563</v>
      </c>
      <c r="AQ81" s="100">
        <v>8548.2916129262612</v>
      </c>
      <c r="AR81" s="100">
        <v>12</v>
      </c>
      <c r="AS81" s="100">
        <v>9043.2000000000007</v>
      </c>
      <c r="AT81" s="100">
        <v>8.4123711340206224</v>
      </c>
      <c r="AU81" s="100">
        <v>6339.5628865979415</v>
      </c>
      <c r="AV81" s="100">
        <v>9</v>
      </c>
      <c r="AW81" s="100">
        <v>6782.4000000000005</v>
      </c>
      <c r="AX81" s="100">
        <v>11.297560975609761</v>
      </c>
      <c r="AY81" s="100">
        <v>8513.841951219516</v>
      </c>
      <c r="AZ81" s="100">
        <v>13</v>
      </c>
      <c r="BA81" s="100">
        <v>9796.8000000000011</v>
      </c>
      <c r="BB81" s="100">
        <v>4.2024031389140983</v>
      </c>
      <c r="BC81" s="100">
        <v>3166.9310054856646</v>
      </c>
      <c r="BD81" s="100">
        <v>8.0711460924750167</v>
      </c>
      <c r="BE81" s="100">
        <v>6082.4156952891726</v>
      </c>
      <c r="BF81" s="100">
        <v>6.1114796428589981</v>
      </c>
      <c r="BG81" s="100">
        <v>4605.6110588585416</v>
      </c>
      <c r="BH81" s="100">
        <v>4.150735118595227</v>
      </c>
      <c r="BI81" s="100">
        <v>3127.9939853733631</v>
      </c>
      <c r="BJ81" s="100">
        <v>3.9742813692762673</v>
      </c>
      <c r="BK81" s="100">
        <v>2995.0184398865949</v>
      </c>
      <c r="BL81" s="100">
        <v>9.5011776237376413</v>
      </c>
      <c r="BM81" s="100">
        <v>7160.0874572486864</v>
      </c>
      <c r="BN81" s="100">
        <v>6.1342461609715491</v>
      </c>
      <c r="BO81" s="100">
        <v>4622.7679069081596</v>
      </c>
      <c r="BP81" s="100">
        <v>9</v>
      </c>
      <c r="BQ81" s="100">
        <v>6782.4000000000005</v>
      </c>
      <c r="BR81" s="100">
        <v>8.3085050644512179</v>
      </c>
      <c r="BS81" s="100">
        <v>6261.2894165704383</v>
      </c>
      <c r="BT81" s="100">
        <v>9</v>
      </c>
      <c r="BU81" s="100">
        <v>6782.4000000000005</v>
      </c>
      <c r="BV81" s="100">
        <v>6.0136743624575368</v>
      </c>
      <c r="BW81" s="100">
        <v>4531.904999548</v>
      </c>
      <c r="BX81" s="100">
        <v>11</v>
      </c>
      <c r="BY81" s="100">
        <v>8289.6</v>
      </c>
      <c r="BZ81" s="100">
        <v>14</v>
      </c>
      <c r="CA81" s="100">
        <v>10550.4</v>
      </c>
      <c r="CB81" s="100">
        <v>15</v>
      </c>
      <c r="CC81" s="100">
        <v>11304</v>
      </c>
      <c r="CD81" s="100">
        <v>11</v>
      </c>
      <c r="CE81" s="100">
        <v>8289.6</v>
      </c>
      <c r="CF81" s="100">
        <v>12</v>
      </c>
      <c r="CG81" s="100">
        <v>9043.2000000000007</v>
      </c>
      <c r="CH81" s="100">
        <v>11</v>
      </c>
      <c r="CI81" s="100">
        <v>8289.6</v>
      </c>
      <c r="CJ81" s="100">
        <v>12.523535341036828</v>
      </c>
      <c r="CK81" s="100">
        <v>9437.7362330053547</v>
      </c>
      <c r="CL81" s="100">
        <v>14</v>
      </c>
      <c r="CM81" s="100">
        <v>10550.4</v>
      </c>
      <c r="CN81" s="100">
        <v>7.5849056603773617</v>
      </c>
      <c r="CO81" s="100">
        <v>5715.9849056603798</v>
      </c>
      <c r="CP81" s="100">
        <v>9</v>
      </c>
      <c r="CQ81" s="100">
        <v>6782.4000000000005</v>
      </c>
      <c r="CR81" s="100">
        <v>9</v>
      </c>
      <c r="CS81" s="100">
        <v>6782.4000000000005</v>
      </c>
      <c r="CT81" s="100">
        <v>9</v>
      </c>
      <c r="CU81" s="100">
        <v>6782.4000000000005</v>
      </c>
    </row>
    <row r="82" spans="2:99">
      <c r="C82" s="99" t="s">
        <v>248</v>
      </c>
      <c r="D82" s="100">
        <v>9</v>
      </c>
      <c r="E82" s="100">
        <v>4579.1999999999989</v>
      </c>
      <c r="F82" s="100">
        <v>11</v>
      </c>
      <c r="G82" s="100">
        <v>5596.7999999999993</v>
      </c>
      <c r="H82" s="100">
        <v>10</v>
      </c>
      <c r="I82" s="100">
        <v>5087.9999999999991</v>
      </c>
      <c r="J82" s="100">
        <v>11</v>
      </c>
      <c r="K82" s="100">
        <v>5596.7999999999993</v>
      </c>
      <c r="L82" s="100">
        <v>7.6164289661620979</v>
      </c>
      <c r="M82" s="100">
        <v>3875.2390579832745</v>
      </c>
      <c r="N82" s="100">
        <v>8</v>
      </c>
      <c r="O82" s="100">
        <v>4070.3999999999992</v>
      </c>
      <c r="P82" s="100">
        <v>12</v>
      </c>
      <c r="Q82" s="100">
        <v>6105.5999999999985</v>
      </c>
      <c r="R82" s="100">
        <v>8</v>
      </c>
      <c r="S82" s="100">
        <v>4070.3999999999992</v>
      </c>
      <c r="T82" s="100">
        <v>9</v>
      </c>
      <c r="U82" s="100">
        <v>4579.1999999999989</v>
      </c>
      <c r="V82" s="100">
        <v>14</v>
      </c>
      <c r="W82" s="100">
        <v>7123.1999999999989</v>
      </c>
      <c r="X82" s="100">
        <v>6.9369916962544886</v>
      </c>
      <c r="Y82" s="100">
        <v>3529.541375054283</v>
      </c>
      <c r="Z82" s="100">
        <v>12</v>
      </c>
      <c r="AA82" s="100">
        <v>6105.5999999999985</v>
      </c>
      <c r="AB82" s="100">
        <v>3.9833547796737725</v>
      </c>
      <c r="AC82" s="100">
        <v>2026.7309118980149</v>
      </c>
      <c r="AD82" s="100">
        <v>0</v>
      </c>
      <c r="AE82" s="100">
        <v>0</v>
      </c>
      <c r="AF82" s="100">
        <v>8</v>
      </c>
      <c r="AG82" s="100">
        <v>4070.3999999999992</v>
      </c>
      <c r="AH82" s="100">
        <v>10</v>
      </c>
      <c r="AI82" s="100">
        <v>5087.9999999999991</v>
      </c>
      <c r="AJ82" s="100">
        <v>14</v>
      </c>
      <c r="AK82" s="100">
        <v>7123.1999999999989</v>
      </c>
      <c r="AL82" s="100">
        <v>11</v>
      </c>
      <c r="AM82" s="100">
        <v>5596.7999999999993</v>
      </c>
      <c r="AN82" s="100">
        <v>8</v>
      </c>
      <c r="AO82" s="100">
        <v>4070.3999999999992</v>
      </c>
      <c r="AP82" s="100">
        <v>13.08839357687142</v>
      </c>
      <c r="AQ82" s="100">
        <v>6659.3746519121769</v>
      </c>
      <c r="AR82" s="100">
        <v>13</v>
      </c>
      <c r="AS82" s="100">
        <v>6614.3999999999987</v>
      </c>
      <c r="AT82" s="100">
        <v>7.7113402061855698</v>
      </c>
      <c r="AU82" s="100">
        <v>3923.5298969072173</v>
      </c>
      <c r="AV82" s="100">
        <v>9</v>
      </c>
      <c r="AW82" s="100">
        <v>4579.1999999999989</v>
      </c>
      <c r="AX82" s="100">
        <v>10.356097560975613</v>
      </c>
      <c r="AY82" s="100">
        <v>5269.182439024391</v>
      </c>
      <c r="AZ82" s="100">
        <v>12</v>
      </c>
      <c r="BA82" s="100">
        <v>6105.5999999999985</v>
      </c>
      <c r="BB82" s="100">
        <v>4.2024031389140983</v>
      </c>
      <c r="BC82" s="100">
        <v>2138.1827170794927</v>
      </c>
      <c r="BD82" s="100">
        <v>8.0711460924750167</v>
      </c>
      <c r="BE82" s="100">
        <v>4106.5991318512879</v>
      </c>
      <c r="BF82" s="100">
        <v>6.1114796428589981</v>
      </c>
      <c r="BG82" s="100">
        <v>3109.5208422866576</v>
      </c>
      <c r="BH82" s="100">
        <v>3.7733955623592972</v>
      </c>
      <c r="BI82" s="100">
        <v>1919.9036621284101</v>
      </c>
      <c r="BJ82" s="100">
        <v>3.4774961981167336</v>
      </c>
      <c r="BK82" s="100">
        <v>1769.3500656017936</v>
      </c>
      <c r="BL82" s="100">
        <v>11.228664464417214</v>
      </c>
      <c r="BM82" s="100">
        <v>5713.1444794954778</v>
      </c>
      <c r="BN82" s="100">
        <v>6.6061112502770536</v>
      </c>
      <c r="BO82" s="100">
        <v>3361.1894041409641</v>
      </c>
      <c r="BP82" s="100">
        <v>8</v>
      </c>
      <c r="BQ82" s="100">
        <v>4070.3999999999992</v>
      </c>
      <c r="BR82" s="100">
        <v>8.3085050644512179</v>
      </c>
      <c r="BS82" s="100">
        <v>4227.3673767927785</v>
      </c>
      <c r="BT82" s="100">
        <v>9</v>
      </c>
      <c r="BU82" s="100">
        <v>4579.1999999999989</v>
      </c>
      <c r="BV82" s="100">
        <v>7.4014453691785071</v>
      </c>
      <c r="BW82" s="100">
        <v>3765.8554038380239</v>
      </c>
      <c r="BX82" s="100">
        <v>12</v>
      </c>
      <c r="BY82" s="100">
        <v>6105.5999999999985</v>
      </c>
      <c r="BZ82" s="100">
        <v>12</v>
      </c>
      <c r="CA82" s="100">
        <v>6105.5999999999985</v>
      </c>
      <c r="CB82" s="100">
        <v>15</v>
      </c>
      <c r="CC82" s="100">
        <v>7631.9999999999982</v>
      </c>
      <c r="CD82" s="100">
        <v>10</v>
      </c>
      <c r="CE82" s="100">
        <v>5087.9999999999991</v>
      </c>
      <c r="CF82" s="100">
        <v>11</v>
      </c>
      <c r="CG82" s="100">
        <v>5596.7999999999993</v>
      </c>
      <c r="CH82" s="100">
        <v>12</v>
      </c>
      <c r="CI82" s="100">
        <v>6105.5999999999985</v>
      </c>
      <c r="CJ82" s="100">
        <v>12.523535341036828</v>
      </c>
      <c r="CK82" s="100">
        <v>6371.9747815195369</v>
      </c>
      <c r="CL82" s="100">
        <v>13</v>
      </c>
      <c r="CM82" s="100">
        <v>6614.3999999999987</v>
      </c>
      <c r="CN82" s="100">
        <v>6.7421383647798772</v>
      </c>
      <c r="CO82" s="100">
        <v>3430.400000000001</v>
      </c>
      <c r="CP82" s="100">
        <v>9</v>
      </c>
      <c r="CQ82" s="100">
        <v>4579.1999999999989</v>
      </c>
      <c r="CR82" s="100">
        <v>11</v>
      </c>
      <c r="CS82" s="100">
        <v>5596.7999999999993</v>
      </c>
      <c r="CT82" s="100">
        <v>9</v>
      </c>
      <c r="CU82" s="100">
        <v>4579.1999999999989</v>
      </c>
    </row>
    <row r="83" spans="2:99">
      <c r="C83" s="99" t="s">
        <v>249</v>
      </c>
      <c r="D83" s="100">
        <v>8</v>
      </c>
      <c r="E83" s="100">
        <v>6883.2</v>
      </c>
      <c r="F83" s="100">
        <v>10</v>
      </c>
      <c r="G83" s="100">
        <v>8604</v>
      </c>
      <c r="H83" s="100">
        <v>10</v>
      </c>
      <c r="I83" s="100">
        <v>8604</v>
      </c>
      <c r="J83" s="100">
        <v>10</v>
      </c>
      <c r="K83" s="100">
        <v>8604</v>
      </c>
      <c r="L83" s="100">
        <v>6.9240263328746341</v>
      </c>
      <c r="M83" s="100">
        <v>5957.4322568053349</v>
      </c>
      <c r="N83" s="100">
        <v>9</v>
      </c>
      <c r="O83" s="100">
        <v>7743.5999999999995</v>
      </c>
      <c r="P83" s="100">
        <v>12</v>
      </c>
      <c r="Q83" s="100">
        <v>10324.799999999999</v>
      </c>
      <c r="R83" s="100">
        <v>8</v>
      </c>
      <c r="S83" s="100">
        <v>6883.2</v>
      </c>
      <c r="T83" s="100">
        <v>9</v>
      </c>
      <c r="U83" s="100">
        <v>7743.5999999999995</v>
      </c>
      <c r="V83" s="100">
        <v>13</v>
      </c>
      <c r="W83" s="100">
        <v>11185.199999999999</v>
      </c>
      <c r="X83" s="100">
        <v>6.9369916962544886</v>
      </c>
      <c r="Y83" s="100">
        <v>5968.5876554573615</v>
      </c>
      <c r="Z83" s="100">
        <v>10</v>
      </c>
      <c r="AA83" s="100">
        <v>8604</v>
      </c>
      <c r="AB83" s="100">
        <v>3.9833547796737725</v>
      </c>
      <c r="AC83" s="100">
        <v>3427.2784524313138</v>
      </c>
      <c r="AD83" s="100">
        <v>0</v>
      </c>
      <c r="AE83" s="100">
        <v>0</v>
      </c>
      <c r="AF83" s="100">
        <v>8</v>
      </c>
      <c r="AG83" s="100">
        <v>6883.2</v>
      </c>
      <c r="AH83" s="100">
        <v>9</v>
      </c>
      <c r="AI83" s="100">
        <v>7743.5999999999995</v>
      </c>
      <c r="AJ83" s="100">
        <v>14</v>
      </c>
      <c r="AK83" s="100">
        <v>12045.6</v>
      </c>
      <c r="AL83" s="100">
        <v>11</v>
      </c>
      <c r="AM83" s="100">
        <v>9464.4</v>
      </c>
      <c r="AN83" s="100">
        <v>8</v>
      </c>
      <c r="AO83" s="100">
        <v>6883.2</v>
      </c>
      <c r="AP83" s="100">
        <v>12.215834005079993</v>
      </c>
      <c r="AQ83" s="100">
        <v>10510.503577970825</v>
      </c>
      <c r="AR83" s="100">
        <v>13</v>
      </c>
      <c r="AS83" s="100">
        <v>11185.199999999999</v>
      </c>
      <c r="AT83" s="100">
        <v>7.7113402061855698</v>
      </c>
      <c r="AU83" s="100">
        <v>6634.8371134020645</v>
      </c>
      <c r="AV83" s="100">
        <v>10</v>
      </c>
      <c r="AW83" s="100">
        <v>8604</v>
      </c>
      <c r="AX83" s="100">
        <v>9.4146341463414664</v>
      </c>
      <c r="AY83" s="100">
        <v>8100.3512195121975</v>
      </c>
      <c r="AZ83" s="100">
        <v>12</v>
      </c>
      <c r="BA83" s="100">
        <v>10324.799999999999</v>
      </c>
      <c r="BB83" s="100">
        <v>4.2024031389140983</v>
      </c>
      <c r="BC83" s="100">
        <v>3615.74766072169</v>
      </c>
      <c r="BD83" s="100">
        <v>8.0711460924750167</v>
      </c>
      <c r="BE83" s="100">
        <v>6944.414097965504</v>
      </c>
      <c r="BF83" s="100">
        <v>6.1114796428589981</v>
      </c>
      <c r="BG83" s="100">
        <v>5258.3170847158817</v>
      </c>
      <c r="BH83" s="100">
        <v>3.7733955623592972</v>
      </c>
      <c r="BI83" s="100">
        <v>3246.6295418539394</v>
      </c>
      <c r="BJ83" s="100">
        <v>3.4774961981167336</v>
      </c>
      <c r="BK83" s="100">
        <v>2992.0377288596374</v>
      </c>
      <c r="BL83" s="100">
        <v>10.364921044077427</v>
      </c>
      <c r="BM83" s="100">
        <v>8917.9780663242182</v>
      </c>
      <c r="BN83" s="100">
        <v>7.0779763395825572</v>
      </c>
      <c r="BO83" s="100">
        <v>6089.8908425768323</v>
      </c>
      <c r="BP83" s="100">
        <v>9</v>
      </c>
      <c r="BQ83" s="100">
        <v>7743.5999999999995</v>
      </c>
      <c r="BR83" s="100">
        <v>9.0638237066740572</v>
      </c>
      <c r="BS83" s="100">
        <v>7798.5139172223589</v>
      </c>
      <c r="BT83" s="100">
        <v>10</v>
      </c>
      <c r="BU83" s="100">
        <v>8604</v>
      </c>
      <c r="BV83" s="100">
        <v>6.4762646980311933</v>
      </c>
      <c r="BW83" s="100">
        <v>5572.1781461860382</v>
      </c>
      <c r="BX83" s="100">
        <v>10</v>
      </c>
      <c r="BY83" s="100">
        <v>8604</v>
      </c>
      <c r="BZ83" s="100">
        <v>14</v>
      </c>
      <c r="CA83" s="100">
        <v>12045.6</v>
      </c>
      <c r="CB83" s="100">
        <v>14</v>
      </c>
      <c r="CC83" s="100">
        <v>12045.6</v>
      </c>
      <c r="CD83" s="100">
        <v>10</v>
      </c>
      <c r="CE83" s="100">
        <v>8604</v>
      </c>
      <c r="CF83" s="100">
        <v>12</v>
      </c>
      <c r="CG83" s="100">
        <v>10324.799999999999</v>
      </c>
      <c r="CH83" s="100">
        <v>11</v>
      </c>
      <c r="CI83" s="100">
        <v>9464.4</v>
      </c>
      <c r="CJ83" s="100">
        <v>12.523535341036828</v>
      </c>
      <c r="CK83" s="100">
        <v>10775.249807428087</v>
      </c>
      <c r="CL83" s="100">
        <v>14</v>
      </c>
      <c r="CM83" s="100">
        <v>12045.6</v>
      </c>
      <c r="CN83" s="100">
        <v>7.5849056603773617</v>
      </c>
      <c r="CO83" s="100">
        <v>6526.0528301886816</v>
      </c>
      <c r="CP83" s="100">
        <v>9</v>
      </c>
      <c r="CQ83" s="100">
        <v>7743.5999999999995</v>
      </c>
      <c r="CR83" s="100">
        <v>10</v>
      </c>
      <c r="CS83" s="100">
        <v>8604</v>
      </c>
      <c r="CT83" s="100">
        <v>9</v>
      </c>
      <c r="CU83" s="100">
        <v>7743.5999999999995</v>
      </c>
    </row>
    <row r="84" spans="2:99">
      <c r="C84" s="99" t="s">
        <v>250</v>
      </c>
      <c r="D84" s="100">
        <v>7</v>
      </c>
      <c r="E84" s="100">
        <v>5468.4</v>
      </c>
      <c r="F84" s="100">
        <v>9</v>
      </c>
      <c r="G84" s="100">
        <v>7030.7999999999993</v>
      </c>
      <c r="H84" s="100">
        <v>9</v>
      </c>
      <c r="I84" s="100">
        <v>7030.7999999999993</v>
      </c>
      <c r="J84" s="100">
        <v>9</v>
      </c>
      <c r="K84" s="100">
        <v>7030.7999999999993</v>
      </c>
      <c r="L84" s="100">
        <v>6.9240263328746341</v>
      </c>
      <c r="M84" s="100">
        <v>5409.0493712416637</v>
      </c>
      <c r="N84" s="100">
        <v>9</v>
      </c>
      <c r="O84" s="100">
        <v>7030.7999999999993</v>
      </c>
      <c r="P84" s="100">
        <v>13</v>
      </c>
      <c r="Q84" s="100">
        <v>10155.599999999999</v>
      </c>
      <c r="R84" s="100">
        <v>8</v>
      </c>
      <c r="S84" s="100">
        <v>6249.5999999999995</v>
      </c>
      <c r="T84" s="100">
        <v>8</v>
      </c>
      <c r="U84" s="100">
        <v>6249.5999999999995</v>
      </c>
      <c r="V84" s="100">
        <v>14</v>
      </c>
      <c r="W84" s="100">
        <v>10936.8</v>
      </c>
      <c r="X84" s="100">
        <v>6.441492289379168</v>
      </c>
      <c r="Y84" s="100">
        <v>5032.0937764630053</v>
      </c>
      <c r="Z84" s="100">
        <v>11</v>
      </c>
      <c r="AA84" s="100">
        <v>8593.1999999999989</v>
      </c>
      <c r="AB84" s="100">
        <v>3.9833547796737725</v>
      </c>
      <c r="AC84" s="100">
        <v>3111.7967538811508</v>
      </c>
      <c r="AD84" s="100">
        <v>0</v>
      </c>
      <c r="AE84" s="100">
        <v>0</v>
      </c>
      <c r="AF84" s="100">
        <v>8</v>
      </c>
      <c r="AG84" s="100">
        <v>6249.5999999999995</v>
      </c>
      <c r="AH84" s="100">
        <v>10</v>
      </c>
      <c r="AI84" s="100">
        <v>7811.9999999999991</v>
      </c>
      <c r="AJ84" s="100">
        <v>13</v>
      </c>
      <c r="AK84" s="100">
        <v>10155.599999999999</v>
      </c>
      <c r="AL84" s="100">
        <v>11</v>
      </c>
      <c r="AM84" s="100">
        <v>8593.1999999999989</v>
      </c>
      <c r="AN84" s="100">
        <v>8</v>
      </c>
      <c r="AO84" s="100">
        <v>6249.5999999999995</v>
      </c>
      <c r="AP84" s="100">
        <v>13.08839357687142</v>
      </c>
      <c r="AQ84" s="100">
        <v>10224.653062251953</v>
      </c>
      <c r="AR84" s="100">
        <v>12</v>
      </c>
      <c r="AS84" s="100">
        <v>9374.4</v>
      </c>
      <c r="AT84" s="100">
        <v>7.7113402061855698</v>
      </c>
      <c r="AU84" s="100">
        <v>6024.0989690721663</v>
      </c>
      <c r="AV84" s="100">
        <v>9</v>
      </c>
      <c r="AW84" s="100">
        <v>7030.7999999999993</v>
      </c>
      <c r="AX84" s="100">
        <v>10.356097560975613</v>
      </c>
      <c r="AY84" s="100">
        <v>8090.183414634148</v>
      </c>
      <c r="AZ84" s="100">
        <v>12</v>
      </c>
      <c r="BA84" s="100">
        <v>9374.4</v>
      </c>
      <c r="BB84" s="100">
        <v>4.2024031389140983</v>
      </c>
      <c r="BC84" s="100">
        <v>3282.9173321196931</v>
      </c>
      <c r="BD84" s="100">
        <v>8.0711460924750167</v>
      </c>
      <c r="BE84" s="100">
        <v>6305.1793274414822</v>
      </c>
      <c r="BF84" s="100">
        <v>6.581593461540459</v>
      </c>
      <c r="BG84" s="100">
        <v>5141.5408121554065</v>
      </c>
      <c r="BH84" s="100">
        <v>3.7733955623592972</v>
      </c>
      <c r="BI84" s="100">
        <v>2947.7766133150826</v>
      </c>
      <c r="BJ84" s="100">
        <v>3.4774961981167336</v>
      </c>
      <c r="BK84" s="100">
        <v>2716.6200299687921</v>
      </c>
      <c r="BL84" s="100">
        <v>10.364921044077427</v>
      </c>
      <c r="BM84" s="100">
        <v>8097.0763196332855</v>
      </c>
      <c r="BN84" s="100">
        <v>6.6061112502770536</v>
      </c>
      <c r="BO84" s="100">
        <v>5160.6941087164341</v>
      </c>
      <c r="BP84" s="100">
        <v>9</v>
      </c>
      <c r="BQ84" s="100">
        <v>7030.7999999999993</v>
      </c>
      <c r="BR84" s="100">
        <v>8.3085050644512179</v>
      </c>
      <c r="BS84" s="100">
        <v>6490.6041563492909</v>
      </c>
      <c r="BT84" s="100">
        <v>10</v>
      </c>
      <c r="BU84" s="100">
        <v>7811.9999999999991</v>
      </c>
      <c r="BV84" s="100">
        <v>6.0136743624575368</v>
      </c>
      <c r="BW84" s="100">
        <v>4697.8824119518276</v>
      </c>
      <c r="BX84" s="100">
        <v>11</v>
      </c>
      <c r="BY84" s="100">
        <v>8593.1999999999989</v>
      </c>
      <c r="BZ84" s="100">
        <v>12</v>
      </c>
      <c r="CA84" s="100">
        <v>9374.4</v>
      </c>
      <c r="CB84" s="100">
        <v>14</v>
      </c>
      <c r="CC84" s="100">
        <v>10936.8</v>
      </c>
      <c r="CD84" s="100">
        <v>10</v>
      </c>
      <c r="CE84" s="100">
        <v>7811.9999999999991</v>
      </c>
      <c r="CF84" s="100">
        <v>12</v>
      </c>
      <c r="CG84" s="100">
        <v>9374.4</v>
      </c>
      <c r="CH84" s="100">
        <v>12</v>
      </c>
      <c r="CI84" s="100">
        <v>9374.4</v>
      </c>
      <c r="CJ84" s="100">
        <v>11.56018646864938</v>
      </c>
      <c r="CK84" s="100">
        <v>9030.8176693088953</v>
      </c>
      <c r="CL84" s="100">
        <v>13</v>
      </c>
      <c r="CM84" s="100">
        <v>10155.599999999999</v>
      </c>
      <c r="CN84" s="100">
        <v>6.7421383647798772</v>
      </c>
      <c r="CO84" s="100">
        <v>5266.9584905660395</v>
      </c>
      <c r="CP84" s="100">
        <v>9</v>
      </c>
      <c r="CQ84" s="100">
        <v>7030.7999999999993</v>
      </c>
      <c r="CR84" s="100">
        <v>11</v>
      </c>
      <c r="CS84" s="100">
        <v>8593.1999999999989</v>
      </c>
      <c r="CT84" s="100">
        <v>10</v>
      </c>
      <c r="CU84" s="100">
        <v>7811.9999999999991</v>
      </c>
    </row>
    <row r="85" spans="2:99">
      <c r="C85" s="99" t="s">
        <v>251</v>
      </c>
      <c r="D85" s="100">
        <v>9</v>
      </c>
      <c r="E85" s="100">
        <v>1350</v>
      </c>
      <c r="F85" s="100">
        <v>10</v>
      </c>
      <c r="G85" s="100">
        <v>1500</v>
      </c>
      <c r="H85" s="100">
        <v>9</v>
      </c>
      <c r="I85" s="100">
        <v>1350</v>
      </c>
      <c r="J85" s="100">
        <v>10</v>
      </c>
      <c r="K85" s="100">
        <v>1500</v>
      </c>
      <c r="L85" s="100">
        <v>6.9240263328746341</v>
      </c>
      <c r="M85" s="100">
        <v>1038.6039499311951</v>
      </c>
      <c r="N85" s="100">
        <v>9</v>
      </c>
      <c r="O85" s="100">
        <v>1350</v>
      </c>
      <c r="P85" s="100">
        <v>13</v>
      </c>
      <c r="Q85" s="100">
        <v>1950</v>
      </c>
      <c r="R85" s="100">
        <v>7</v>
      </c>
      <c r="S85" s="100">
        <v>1050</v>
      </c>
      <c r="T85" s="100">
        <v>8</v>
      </c>
      <c r="U85" s="100">
        <v>1200</v>
      </c>
      <c r="V85" s="100">
        <v>14</v>
      </c>
      <c r="W85" s="100">
        <v>2100</v>
      </c>
      <c r="X85" s="100">
        <v>6.441492289379168</v>
      </c>
      <c r="Y85" s="100">
        <v>966.22384340687518</v>
      </c>
      <c r="Z85" s="100">
        <v>11</v>
      </c>
      <c r="AA85" s="100">
        <v>1650</v>
      </c>
      <c r="AB85" s="100">
        <v>4.3153010113132542</v>
      </c>
      <c r="AC85" s="100">
        <v>647.29515169698811</v>
      </c>
      <c r="AD85" s="100">
        <v>0</v>
      </c>
      <c r="AE85" s="100">
        <v>0</v>
      </c>
      <c r="AF85" s="100">
        <v>9</v>
      </c>
      <c r="AG85" s="100">
        <v>1350</v>
      </c>
      <c r="AH85" s="100">
        <v>9</v>
      </c>
      <c r="AI85" s="100">
        <v>1350</v>
      </c>
      <c r="AJ85" s="100">
        <v>14</v>
      </c>
      <c r="AK85" s="100">
        <v>2100</v>
      </c>
      <c r="AL85" s="100">
        <v>12</v>
      </c>
      <c r="AM85" s="100">
        <v>1800</v>
      </c>
      <c r="AN85" s="100">
        <v>8</v>
      </c>
      <c r="AO85" s="100">
        <v>1200</v>
      </c>
      <c r="AP85" s="100">
        <v>11.343274433288563</v>
      </c>
      <c r="AQ85" s="100">
        <v>1701.4911649932844</v>
      </c>
      <c r="AR85" s="100">
        <v>14</v>
      </c>
      <c r="AS85" s="100">
        <v>2100</v>
      </c>
      <c r="AT85" s="100">
        <v>8.4123711340206224</v>
      </c>
      <c r="AU85" s="100">
        <v>1261.8556701030934</v>
      </c>
      <c r="AV85" s="100">
        <v>9</v>
      </c>
      <c r="AW85" s="100">
        <v>1350</v>
      </c>
      <c r="AX85" s="100">
        <v>12.239024390243905</v>
      </c>
      <c r="AY85" s="100">
        <v>1835.8536585365857</v>
      </c>
      <c r="AZ85" s="100">
        <v>13</v>
      </c>
      <c r="BA85" s="100">
        <v>1950</v>
      </c>
      <c r="BB85" s="100">
        <v>4.2024031389140983</v>
      </c>
      <c r="BC85" s="100">
        <v>630.3604708371148</v>
      </c>
      <c r="BD85" s="100">
        <v>8.0711460924750167</v>
      </c>
      <c r="BE85" s="100">
        <v>1210.6719138712524</v>
      </c>
      <c r="BF85" s="100">
        <v>7.0517072802219207</v>
      </c>
      <c r="BG85" s="100">
        <v>1057.756092033288</v>
      </c>
      <c r="BH85" s="100">
        <v>3.7733955623592972</v>
      </c>
      <c r="BI85" s="100">
        <v>566.00933435389459</v>
      </c>
      <c r="BJ85" s="100">
        <v>3.9742813692762673</v>
      </c>
      <c r="BK85" s="100">
        <v>596.14220539144014</v>
      </c>
      <c r="BL85" s="100">
        <v>9.5011776237376413</v>
      </c>
      <c r="BM85" s="100">
        <v>1425.1766435606462</v>
      </c>
      <c r="BN85" s="100">
        <v>6.6061112502770536</v>
      </c>
      <c r="BO85" s="100">
        <v>990.91668754155808</v>
      </c>
      <c r="BP85" s="100">
        <v>10</v>
      </c>
      <c r="BQ85" s="100">
        <v>1500</v>
      </c>
      <c r="BR85" s="100">
        <v>9.8191423488968947</v>
      </c>
      <c r="BS85" s="100">
        <v>1472.8713523345343</v>
      </c>
      <c r="BT85" s="100">
        <v>11</v>
      </c>
      <c r="BU85" s="100">
        <v>1650</v>
      </c>
      <c r="BV85" s="100">
        <v>6.4762646980311933</v>
      </c>
      <c r="BW85" s="100">
        <v>971.439704704679</v>
      </c>
      <c r="BX85" s="100">
        <v>11</v>
      </c>
      <c r="BY85" s="100">
        <v>1650</v>
      </c>
      <c r="BZ85" s="100">
        <v>12</v>
      </c>
      <c r="CA85" s="100">
        <v>1800</v>
      </c>
      <c r="CB85" s="100">
        <v>14</v>
      </c>
      <c r="CC85" s="100">
        <v>2100</v>
      </c>
      <c r="CD85" s="100">
        <v>12</v>
      </c>
      <c r="CE85" s="100">
        <v>1800</v>
      </c>
      <c r="CF85" s="100">
        <v>10</v>
      </c>
      <c r="CG85" s="100">
        <v>1500</v>
      </c>
      <c r="CH85" s="100">
        <v>11</v>
      </c>
      <c r="CI85" s="100">
        <v>1650</v>
      </c>
      <c r="CJ85" s="100">
        <v>10.596837596261931</v>
      </c>
      <c r="CK85" s="100">
        <v>1589.5256394392898</v>
      </c>
      <c r="CL85" s="100">
        <v>15</v>
      </c>
      <c r="CM85" s="100">
        <v>2250</v>
      </c>
      <c r="CN85" s="100">
        <v>6.7421383647798772</v>
      </c>
      <c r="CO85" s="100">
        <v>1011.3207547169816</v>
      </c>
      <c r="CP85" s="100">
        <v>10</v>
      </c>
      <c r="CQ85" s="100">
        <v>1500</v>
      </c>
      <c r="CR85" s="100">
        <v>10</v>
      </c>
      <c r="CS85" s="100">
        <v>1500</v>
      </c>
      <c r="CT85" s="100">
        <v>8</v>
      </c>
      <c r="CU85" s="100">
        <v>1200</v>
      </c>
    </row>
    <row r="86" spans="2:99">
      <c r="C86" s="99" t="s">
        <v>252</v>
      </c>
      <c r="D86" s="100">
        <v>8</v>
      </c>
      <c r="E86" s="100">
        <v>4320</v>
      </c>
      <c r="F86" s="100">
        <v>9</v>
      </c>
      <c r="G86" s="100">
        <v>4860</v>
      </c>
      <c r="H86" s="100">
        <v>9</v>
      </c>
      <c r="I86" s="100">
        <v>4860</v>
      </c>
      <c r="J86" s="100">
        <v>10</v>
      </c>
      <c r="K86" s="100">
        <v>5400</v>
      </c>
      <c r="L86" s="100">
        <v>6.9240263328746341</v>
      </c>
      <c r="M86" s="100">
        <v>3738.9742197523024</v>
      </c>
      <c r="N86" s="100">
        <v>10</v>
      </c>
      <c r="O86" s="100">
        <v>5400</v>
      </c>
      <c r="P86" s="100">
        <v>12</v>
      </c>
      <c r="Q86" s="100">
        <v>6480</v>
      </c>
      <c r="R86" s="100">
        <v>8</v>
      </c>
      <c r="S86" s="100">
        <v>4320</v>
      </c>
      <c r="T86" s="100">
        <v>10</v>
      </c>
      <c r="U86" s="100">
        <v>5400</v>
      </c>
      <c r="V86" s="100">
        <v>13</v>
      </c>
      <c r="W86" s="100">
        <v>7020</v>
      </c>
      <c r="X86" s="100">
        <v>6.441492289379168</v>
      </c>
      <c r="Y86" s="100">
        <v>3478.4058362647506</v>
      </c>
      <c r="Z86" s="100">
        <v>10</v>
      </c>
      <c r="AA86" s="100">
        <v>5400</v>
      </c>
      <c r="AB86" s="100">
        <v>3.6514085480342917</v>
      </c>
      <c r="AC86" s="100">
        <v>1971.7606159385175</v>
      </c>
      <c r="AD86" s="100">
        <v>0</v>
      </c>
      <c r="AE86" s="100">
        <v>0</v>
      </c>
      <c r="AF86" s="100">
        <v>8</v>
      </c>
      <c r="AG86" s="100">
        <v>4320</v>
      </c>
      <c r="AH86" s="100">
        <v>9</v>
      </c>
      <c r="AI86" s="100">
        <v>4860</v>
      </c>
      <c r="AJ86" s="100">
        <v>12</v>
      </c>
      <c r="AK86" s="100">
        <v>6480</v>
      </c>
      <c r="AL86" s="100">
        <v>12</v>
      </c>
      <c r="AM86" s="100">
        <v>6480</v>
      </c>
      <c r="AN86" s="100">
        <v>8</v>
      </c>
      <c r="AO86" s="100">
        <v>4320</v>
      </c>
      <c r="AP86" s="100">
        <v>13.08839357687142</v>
      </c>
      <c r="AQ86" s="100">
        <v>7067.7325315105663</v>
      </c>
      <c r="AR86" s="100">
        <v>14</v>
      </c>
      <c r="AS86" s="100">
        <v>7560</v>
      </c>
      <c r="AT86" s="100">
        <v>8.4123711340206224</v>
      </c>
      <c r="AU86" s="100">
        <v>4542.6804123711363</v>
      </c>
      <c r="AV86" s="100">
        <v>9</v>
      </c>
      <c r="AW86" s="100">
        <v>4860</v>
      </c>
      <c r="AX86" s="100">
        <v>12.239024390243905</v>
      </c>
      <c r="AY86" s="100">
        <v>6609.0731707317091</v>
      </c>
      <c r="AZ86" s="100">
        <v>12</v>
      </c>
      <c r="BA86" s="100">
        <v>6480</v>
      </c>
      <c r="BB86" s="100">
        <v>4.7277035312783608</v>
      </c>
      <c r="BC86" s="100">
        <v>2552.9599068903149</v>
      </c>
      <c r="BD86" s="100">
        <v>7.1743520822000155</v>
      </c>
      <c r="BE86" s="100">
        <v>3874.1501243880084</v>
      </c>
      <c r="BF86" s="100">
        <v>7.0517072802219207</v>
      </c>
      <c r="BG86" s="100">
        <v>3807.9219313198373</v>
      </c>
      <c r="BH86" s="100">
        <v>3.7733955623592972</v>
      </c>
      <c r="BI86" s="100">
        <v>2037.6336036740204</v>
      </c>
      <c r="BJ86" s="100">
        <v>3.9742813692762673</v>
      </c>
      <c r="BK86" s="100">
        <v>2146.1119394091843</v>
      </c>
      <c r="BL86" s="100">
        <v>9.5011776237376413</v>
      </c>
      <c r="BM86" s="100">
        <v>5130.6359168183262</v>
      </c>
      <c r="BN86" s="100">
        <v>6.1342461609715491</v>
      </c>
      <c r="BO86" s="100">
        <v>3312.4929269246363</v>
      </c>
      <c r="BP86" s="100">
        <v>9</v>
      </c>
      <c r="BQ86" s="100">
        <v>4860</v>
      </c>
      <c r="BR86" s="100">
        <v>9.8191423488968947</v>
      </c>
      <c r="BS86" s="100">
        <v>5302.3368684043235</v>
      </c>
      <c r="BT86" s="100">
        <v>10</v>
      </c>
      <c r="BU86" s="100">
        <v>5400</v>
      </c>
      <c r="BV86" s="100">
        <v>6.9388550336048498</v>
      </c>
      <c r="BW86" s="100">
        <v>3746.9817181466187</v>
      </c>
      <c r="BX86" s="100">
        <v>11</v>
      </c>
      <c r="BY86" s="100">
        <v>5940</v>
      </c>
      <c r="BZ86" s="100">
        <v>12</v>
      </c>
      <c r="CA86" s="100">
        <v>6480</v>
      </c>
      <c r="CB86" s="100">
        <v>16</v>
      </c>
      <c r="CC86" s="100">
        <v>8640</v>
      </c>
      <c r="CD86" s="100">
        <v>10</v>
      </c>
      <c r="CE86" s="100">
        <v>5400</v>
      </c>
      <c r="CF86" s="100">
        <v>12</v>
      </c>
      <c r="CG86" s="100">
        <v>6480</v>
      </c>
      <c r="CH86" s="100">
        <v>12</v>
      </c>
      <c r="CI86" s="100">
        <v>6480</v>
      </c>
      <c r="CJ86" s="100">
        <v>10.596837596261931</v>
      </c>
      <c r="CK86" s="100">
        <v>5722.2923019814425</v>
      </c>
      <c r="CL86" s="100">
        <v>13</v>
      </c>
      <c r="CM86" s="100">
        <v>7020</v>
      </c>
      <c r="CN86" s="100">
        <v>6.7421383647798772</v>
      </c>
      <c r="CO86" s="100">
        <v>3640.7547169811337</v>
      </c>
      <c r="CP86" s="100">
        <v>9</v>
      </c>
      <c r="CQ86" s="100">
        <v>4860</v>
      </c>
      <c r="CR86" s="100">
        <v>11</v>
      </c>
      <c r="CS86" s="100">
        <v>5940</v>
      </c>
      <c r="CT86" s="100">
        <v>9</v>
      </c>
      <c r="CU86" s="100">
        <v>4860</v>
      </c>
    </row>
    <row r="87" spans="2:99">
      <c r="B87" s="99" t="s">
        <v>131</v>
      </c>
      <c r="C87" s="99" t="s">
        <v>253</v>
      </c>
      <c r="D87" s="100">
        <v>6.997186919832493</v>
      </c>
      <c r="E87" s="100">
        <v>7514.9787519000974</v>
      </c>
      <c r="F87" s="100">
        <v>0.41209585034348489</v>
      </c>
      <c r="G87" s="100">
        <v>442.59094326890278</v>
      </c>
      <c r="H87" s="100">
        <v>5.2788837594551756</v>
      </c>
      <c r="I87" s="100">
        <v>5669.5211576548591</v>
      </c>
      <c r="J87" s="100">
        <v>7.1957671957671945</v>
      </c>
      <c r="K87" s="100">
        <v>7728.2539682539673</v>
      </c>
      <c r="L87" s="100">
        <v>9.894179894179894</v>
      </c>
      <c r="M87" s="100">
        <v>10626.349206349207</v>
      </c>
      <c r="N87" s="100">
        <v>7</v>
      </c>
      <c r="O87" s="100">
        <v>7518</v>
      </c>
      <c r="P87" s="100">
        <v>8.7606382978723385</v>
      </c>
      <c r="Q87" s="100">
        <v>9408.9255319148924</v>
      </c>
      <c r="R87" s="100">
        <v>6.7613636363636349</v>
      </c>
      <c r="S87" s="100">
        <v>7261.7045454545441</v>
      </c>
      <c r="T87" s="100">
        <v>5.3403141361256541</v>
      </c>
      <c r="U87" s="100">
        <v>5735.4973821989524</v>
      </c>
      <c r="V87" s="100">
        <v>0</v>
      </c>
      <c r="W87" s="100">
        <v>0</v>
      </c>
      <c r="X87" s="100">
        <v>7.4634146341463401</v>
      </c>
      <c r="Y87" s="100">
        <v>8015.7073170731692</v>
      </c>
      <c r="Z87" s="100">
        <v>5</v>
      </c>
      <c r="AA87" s="100">
        <v>5370</v>
      </c>
      <c r="AB87" s="100">
        <v>0.15789473684210525</v>
      </c>
      <c r="AC87" s="100">
        <v>169.57894736842104</v>
      </c>
      <c r="AD87" s="100">
        <v>0</v>
      </c>
      <c r="AE87" s="100">
        <v>0</v>
      </c>
      <c r="AF87" s="100">
        <v>9.3034825870646749</v>
      </c>
      <c r="AG87" s="100">
        <v>9991.9402985074612</v>
      </c>
      <c r="AH87" s="100">
        <v>7.7625570776255701</v>
      </c>
      <c r="AI87" s="100">
        <v>8336.9863013698632</v>
      </c>
      <c r="AJ87" s="100">
        <v>6.8341708542713562</v>
      </c>
      <c r="AK87" s="100">
        <v>7339.8994974874367</v>
      </c>
      <c r="AL87" s="100">
        <v>0.39781530107415619</v>
      </c>
      <c r="AM87" s="100">
        <v>427.25363335364375</v>
      </c>
      <c r="AN87" s="100">
        <v>10</v>
      </c>
      <c r="AO87" s="100">
        <v>10740</v>
      </c>
      <c r="AP87" s="100">
        <v>4.8333333333333321</v>
      </c>
      <c r="AQ87" s="100">
        <v>5190.9999999999991</v>
      </c>
      <c r="AR87" s="100">
        <v>8</v>
      </c>
      <c r="AS87" s="100">
        <v>8592</v>
      </c>
      <c r="AT87" s="100">
        <v>4.1208791208791204</v>
      </c>
      <c r="AU87" s="100">
        <v>4425.8241758241757</v>
      </c>
      <c r="AV87" s="100">
        <v>9</v>
      </c>
      <c r="AW87" s="100">
        <v>9666</v>
      </c>
      <c r="AX87" s="100">
        <v>8</v>
      </c>
      <c r="AY87" s="100">
        <v>8592</v>
      </c>
      <c r="AZ87" s="100">
        <v>11</v>
      </c>
      <c r="BA87" s="100">
        <v>11814</v>
      </c>
      <c r="BB87" s="100">
        <v>9.8946929197005371</v>
      </c>
      <c r="BC87" s="100">
        <v>10626.900195758377</v>
      </c>
      <c r="BD87" s="100">
        <v>4.9376066917839378E-22</v>
      </c>
      <c r="BE87" s="100">
        <v>5.3029895869759494E-19</v>
      </c>
      <c r="BF87" s="100">
        <v>5.0185510637803954E-22</v>
      </c>
      <c r="BG87" s="100">
        <v>5.389923842500145E-19</v>
      </c>
      <c r="BH87" s="100">
        <v>4.7550028940108636E-22</v>
      </c>
      <c r="BI87" s="100">
        <v>5.1068731081676673E-19</v>
      </c>
      <c r="BJ87" s="100">
        <v>4.7270322887519758E-22</v>
      </c>
      <c r="BK87" s="100">
        <v>5.0768326781196222E-19</v>
      </c>
      <c r="BL87" s="100">
        <v>8.5955056179775262</v>
      </c>
      <c r="BM87" s="100">
        <v>9231.5730337078639</v>
      </c>
      <c r="BN87" s="100">
        <v>5.1515151515151514</v>
      </c>
      <c r="BO87" s="100">
        <v>5532.727272727273</v>
      </c>
      <c r="BP87" s="100">
        <v>6</v>
      </c>
      <c r="BQ87" s="100">
        <v>6444</v>
      </c>
      <c r="BR87" s="100">
        <v>9.4931506849315053</v>
      </c>
      <c r="BS87" s="100">
        <v>10195.643835616436</v>
      </c>
      <c r="BT87" s="100">
        <v>5.5868544600938961</v>
      </c>
      <c r="BU87" s="100">
        <v>6000.2816901408441</v>
      </c>
      <c r="BV87" s="100">
        <v>10.274725274725276</v>
      </c>
      <c r="BW87" s="100">
        <v>11035.054945054946</v>
      </c>
      <c r="BX87" s="100">
        <v>7.683615819209038</v>
      </c>
      <c r="BY87" s="100">
        <v>8252.2033898305071</v>
      </c>
      <c r="BZ87" s="100">
        <v>9</v>
      </c>
      <c r="CA87" s="100">
        <v>9666</v>
      </c>
      <c r="CB87" s="100">
        <v>8.2272727272727266</v>
      </c>
      <c r="CC87" s="100">
        <v>8836.0909090909081</v>
      </c>
      <c r="CD87" s="100">
        <v>7.6923076923076925</v>
      </c>
      <c r="CE87" s="100">
        <v>8261.538461538461</v>
      </c>
      <c r="CF87" s="100">
        <v>6.3636363636363624</v>
      </c>
      <c r="CG87" s="100">
        <v>6834.5454545454531</v>
      </c>
      <c r="CH87" s="100">
        <v>1.3515987752091363</v>
      </c>
      <c r="CI87" s="100">
        <v>1451.6170845746124</v>
      </c>
      <c r="CJ87" s="100">
        <v>8</v>
      </c>
      <c r="CK87" s="100">
        <v>8592</v>
      </c>
      <c r="CL87" s="100">
        <v>12</v>
      </c>
      <c r="CM87" s="100">
        <v>12888</v>
      </c>
      <c r="CN87" s="100">
        <v>8</v>
      </c>
      <c r="CO87" s="100">
        <v>8592</v>
      </c>
      <c r="CP87" s="100">
        <v>3.3631578947368395</v>
      </c>
      <c r="CQ87" s="100">
        <v>3612.0315789473657</v>
      </c>
      <c r="CR87" s="100">
        <v>7</v>
      </c>
      <c r="CS87" s="100">
        <v>7518</v>
      </c>
      <c r="CT87" s="100">
        <v>5.0852017937219713</v>
      </c>
      <c r="CU87" s="100">
        <v>5461.5067264573972</v>
      </c>
    </row>
    <row r="88" spans="2:99">
      <c r="C88" s="99" t="s">
        <v>254</v>
      </c>
      <c r="D88" s="100">
        <v>6.997186919832493</v>
      </c>
      <c r="E88" s="100">
        <v>6944.0082992417656</v>
      </c>
      <c r="F88" s="100">
        <v>0.3434132086195707</v>
      </c>
      <c r="G88" s="100">
        <v>340.80326823406193</v>
      </c>
      <c r="H88" s="100">
        <v>5.2788837594551756</v>
      </c>
      <c r="I88" s="100">
        <v>5238.764242883316</v>
      </c>
      <c r="J88" s="100">
        <v>8.0952380952380931</v>
      </c>
      <c r="K88" s="100">
        <v>8033.7142857142835</v>
      </c>
      <c r="L88" s="100">
        <v>8.0952380952380949</v>
      </c>
      <c r="M88" s="100">
        <v>8033.7142857142853</v>
      </c>
      <c r="N88" s="100">
        <v>8</v>
      </c>
      <c r="O88" s="100">
        <v>7939.2</v>
      </c>
      <c r="P88" s="100">
        <v>9.7340425531914878</v>
      </c>
      <c r="Q88" s="100">
        <v>9660.063829787232</v>
      </c>
      <c r="R88" s="100">
        <v>5.7954545454545441</v>
      </c>
      <c r="S88" s="100">
        <v>5751.4090909090892</v>
      </c>
      <c r="T88" s="100">
        <v>5.3403141361256541</v>
      </c>
      <c r="U88" s="100">
        <v>5299.7277486910989</v>
      </c>
      <c r="V88" s="100">
        <v>0</v>
      </c>
      <c r="W88" s="100">
        <v>0</v>
      </c>
      <c r="X88" s="100">
        <v>8.2926829268292668</v>
      </c>
      <c r="Y88" s="100">
        <v>8229.6585365853643</v>
      </c>
      <c r="Z88" s="100">
        <v>6</v>
      </c>
      <c r="AA88" s="100">
        <v>5954.4</v>
      </c>
      <c r="AB88" s="100">
        <v>0.15789473684210525</v>
      </c>
      <c r="AC88" s="100">
        <v>156.69473684210524</v>
      </c>
      <c r="AD88" s="100">
        <v>0</v>
      </c>
      <c r="AE88" s="100">
        <v>0</v>
      </c>
      <c r="AF88" s="100">
        <v>8.4577114427860689</v>
      </c>
      <c r="AG88" s="100">
        <v>8393.432835820895</v>
      </c>
      <c r="AH88" s="100">
        <v>6.9863013698630132</v>
      </c>
      <c r="AI88" s="100">
        <v>6933.2054794520545</v>
      </c>
      <c r="AJ88" s="100">
        <v>6.8341708542713562</v>
      </c>
      <c r="AK88" s="100">
        <v>6782.2311557788935</v>
      </c>
      <c r="AL88" s="100">
        <v>0.39781530107415619</v>
      </c>
      <c r="AM88" s="100">
        <v>394.79190478599259</v>
      </c>
      <c r="AN88" s="100">
        <v>11</v>
      </c>
      <c r="AO88" s="100">
        <v>10916.4</v>
      </c>
      <c r="AP88" s="100">
        <v>5.6388888888888875</v>
      </c>
      <c r="AQ88" s="100">
        <v>5596.0333333333319</v>
      </c>
      <c r="AR88" s="100">
        <v>10</v>
      </c>
      <c r="AS88" s="100">
        <v>9924</v>
      </c>
      <c r="AT88" s="100">
        <v>4.8076923076923066</v>
      </c>
      <c r="AU88" s="100">
        <v>4771.1538461538448</v>
      </c>
      <c r="AV88" s="100">
        <v>9</v>
      </c>
      <c r="AW88" s="100">
        <v>8931.6</v>
      </c>
      <c r="AX88" s="100">
        <v>7</v>
      </c>
      <c r="AY88" s="100">
        <v>6946.8</v>
      </c>
      <c r="AZ88" s="100">
        <v>12</v>
      </c>
      <c r="BA88" s="100">
        <v>11908.8</v>
      </c>
      <c r="BB88" s="100">
        <v>8.9951753815459412</v>
      </c>
      <c r="BC88" s="100">
        <v>8926.8120486461921</v>
      </c>
      <c r="BD88" s="100">
        <v>4.9376066917839378E-22</v>
      </c>
      <c r="BE88" s="100">
        <v>4.9000808809263793E-19</v>
      </c>
      <c r="BF88" s="100">
        <v>5.0185510637803954E-22</v>
      </c>
      <c r="BG88" s="100">
        <v>4.9804100756956641E-19</v>
      </c>
      <c r="BH88" s="100">
        <v>4.7550028940108636E-22</v>
      </c>
      <c r="BI88" s="100">
        <v>4.7188648720163807E-19</v>
      </c>
      <c r="BJ88" s="100">
        <v>4.7270322887519758E-22</v>
      </c>
      <c r="BK88" s="100">
        <v>4.6911068433574607E-19</v>
      </c>
      <c r="BL88" s="100">
        <v>8.5955056179775262</v>
      </c>
      <c r="BM88" s="100">
        <v>8530.1797752808961</v>
      </c>
      <c r="BN88" s="100">
        <v>5.1515151515151514</v>
      </c>
      <c r="BO88" s="100">
        <v>5112.363636363636</v>
      </c>
      <c r="BP88" s="100">
        <v>6</v>
      </c>
      <c r="BQ88" s="100">
        <v>5954.4</v>
      </c>
      <c r="BR88" s="100">
        <v>9.4931506849315053</v>
      </c>
      <c r="BS88" s="100">
        <v>9421.0027397260255</v>
      </c>
      <c r="BT88" s="100">
        <v>5.5868544600938961</v>
      </c>
      <c r="BU88" s="100">
        <v>5544.3943661971825</v>
      </c>
      <c r="BV88" s="100">
        <v>9.3406593406593412</v>
      </c>
      <c r="BW88" s="100">
        <v>9269.6703296703308</v>
      </c>
      <c r="BX88" s="100">
        <v>8.6440677966101678</v>
      </c>
      <c r="BY88" s="100">
        <v>8578.3728813559301</v>
      </c>
      <c r="BZ88" s="100">
        <v>9</v>
      </c>
      <c r="CA88" s="100">
        <v>8931.6</v>
      </c>
      <c r="CB88" s="100">
        <v>9.0499999999999989</v>
      </c>
      <c r="CC88" s="100">
        <v>8981.2199999999993</v>
      </c>
      <c r="CD88" s="100">
        <v>6.9230769230769234</v>
      </c>
      <c r="CE88" s="100">
        <v>6870.461538461539</v>
      </c>
      <c r="CF88" s="100">
        <v>5.4545454545454541</v>
      </c>
      <c r="CG88" s="100">
        <v>5413.090909090909</v>
      </c>
      <c r="CH88" s="100">
        <v>1.3515987752091363</v>
      </c>
      <c r="CI88" s="100">
        <v>1341.3266245175469</v>
      </c>
      <c r="CJ88" s="100">
        <v>7</v>
      </c>
      <c r="CK88" s="100">
        <v>6946.8</v>
      </c>
      <c r="CL88" s="100">
        <v>10</v>
      </c>
      <c r="CM88" s="100">
        <v>9924</v>
      </c>
      <c r="CN88" s="100">
        <v>7</v>
      </c>
      <c r="CO88" s="100">
        <v>6946.8</v>
      </c>
      <c r="CP88" s="100">
        <v>3.7368421052631549</v>
      </c>
      <c r="CQ88" s="100">
        <v>3708.4421052631546</v>
      </c>
      <c r="CR88" s="100">
        <v>7</v>
      </c>
      <c r="CS88" s="100">
        <v>6946.8</v>
      </c>
      <c r="CT88" s="100">
        <v>4.5201793721973083</v>
      </c>
      <c r="CU88" s="100">
        <v>4485.8260089686082</v>
      </c>
    </row>
    <row r="89" spans="2:99">
      <c r="C89" s="99" t="s">
        <v>255</v>
      </c>
      <c r="D89" s="100">
        <v>5.9975887884278514</v>
      </c>
      <c r="E89" s="100">
        <v>6369.4392933103782</v>
      </c>
      <c r="F89" s="100">
        <v>0.41209585034348489</v>
      </c>
      <c r="G89" s="100">
        <v>437.64579306478095</v>
      </c>
      <c r="H89" s="100">
        <v>4.3990697995459795</v>
      </c>
      <c r="I89" s="100">
        <v>4671.8121271178306</v>
      </c>
      <c r="J89" s="100">
        <v>7.1957671957671945</v>
      </c>
      <c r="K89" s="100">
        <v>7641.9047619047606</v>
      </c>
      <c r="L89" s="100">
        <v>8.0952380952380949</v>
      </c>
      <c r="M89" s="100">
        <v>8597.1428571428569</v>
      </c>
      <c r="N89" s="100">
        <v>7</v>
      </c>
      <c r="O89" s="100">
        <v>7434</v>
      </c>
      <c r="P89" s="100">
        <v>8.7606382978723385</v>
      </c>
      <c r="Q89" s="100">
        <v>9303.7978723404231</v>
      </c>
      <c r="R89" s="100">
        <v>5.7954545454545441</v>
      </c>
      <c r="S89" s="100">
        <v>6154.7727272727261</v>
      </c>
      <c r="T89" s="100">
        <v>6.2303664921465964</v>
      </c>
      <c r="U89" s="100">
        <v>6616.6492146596856</v>
      </c>
      <c r="V89" s="100">
        <v>0</v>
      </c>
      <c r="W89" s="100">
        <v>0</v>
      </c>
      <c r="X89" s="100">
        <v>7.4634146341463401</v>
      </c>
      <c r="Y89" s="100">
        <v>7926.1463414634136</v>
      </c>
      <c r="Z89" s="100">
        <v>6</v>
      </c>
      <c r="AA89" s="100">
        <v>6372</v>
      </c>
      <c r="AB89" s="100">
        <v>0.17368421052631577</v>
      </c>
      <c r="AC89" s="100">
        <v>184.45263157894735</v>
      </c>
      <c r="AD89" s="100">
        <v>0</v>
      </c>
      <c r="AE89" s="100">
        <v>0</v>
      </c>
      <c r="AF89" s="100">
        <v>8.4577114427860689</v>
      </c>
      <c r="AG89" s="100">
        <v>8982.0895522388055</v>
      </c>
      <c r="AH89" s="100">
        <v>8.5388127853881279</v>
      </c>
      <c r="AI89" s="100">
        <v>9068.2191780821922</v>
      </c>
      <c r="AJ89" s="100">
        <v>6.8341708542713562</v>
      </c>
      <c r="AK89" s="100">
        <v>7257.8894472361799</v>
      </c>
      <c r="AL89" s="100">
        <v>0.46411785125318228</v>
      </c>
      <c r="AM89" s="100">
        <v>492.89315803087959</v>
      </c>
      <c r="AN89" s="100">
        <v>10</v>
      </c>
      <c r="AO89" s="100">
        <v>10620</v>
      </c>
      <c r="AP89" s="100">
        <v>4.8333333333333321</v>
      </c>
      <c r="AQ89" s="100">
        <v>5132.9999999999991</v>
      </c>
      <c r="AR89" s="100">
        <v>8</v>
      </c>
      <c r="AS89" s="100">
        <v>8496</v>
      </c>
      <c r="AT89" s="100">
        <v>4.1208791208791204</v>
      </c>
      <c r="AU89" s="100">
        <v>4376.3736263736255</v>
      </c>
      <c r="AV89" s="100">
        <v>10</v>
      </c>
      <c r="AW89" s="100">
        <v>10620</v>
      </c>
      <c r="AX89" s="100">
        <v>7</v>
      </c>
      <c r="AY89" s="100">
        <v>7434</v>
      </c>
      <c r="AZ89" s="100">
        <v>11</v>
      </c>
      <c r="BA89" s="100">
        <v>11682</v>
      </c>
      <c r="BB89" s="100">
        <v>9.8946929197005371</v>
      </c>
      <c r="BC89" s="100">
        <v>10508.16388072197</v>
      </c>
      <c r="BD89" s="100">
        <v>4.3204058553109458E-22</v>
      </c>
      <c r="BE89" s="100">
        <v>4.5882710183402241E-19</v>
      </c>
      <c r="BF89" s="100">
        <v>6.2731888297254947E-22</v>
      </c>
      <c r="BG89" s="100">
        <v>6.6621265371684755E-19</v>
      </c>
      <c r="BH89" s="100">
        <v>4.7550028940108636E-22</v>
      </c>
      <c r="BI89" s="100">
        <v>5.0498130734395369E-19</v>
      </c>
      <c r="BJ89" s="100">
        <v>4.7270322887519758E-22</v>
      </c>
      <c r="BK89" s="100">
        <v>5.0201082906545985E-19</v>
      </c>
      <c r="BL89" s="100">
        <v>9.5505617977528079</v>
      </c>
      <c r="BM89" s="100">
        <v>10142.696629213482</v>
      </c>
      <c r="BN89" s="100">
        <v>5.1515151515151514</v>
      </c>
      <c r="BO89" s="100">
        <v>5470.909090909091</v>
      </c>
      <c r="BP89" s="100">
        <v>6</v>
      </c>
      <c r="BQ89" s="100">
        <v>6372</v>
      </c>
      <c r="BR89" s="100">
        <v>9.4931506849315053</v>
      </c>
      <c r="BS89" s="100">
        <v>10081.726027397259</v>
      </c>
      <c r="BT89" s="100">
        <v>5.5868544600938961</v>
      </c>
      <c r="BU89" s="100">
        <v>5933.2394366197177</v>
      </c>
      <c r="BV89" s="100">
        <v>11.20879120879121</v>
      </c>
      <c r="BW89" s="100">
        <v>11903.736263736264</v>
      </c>
      <c r="BX89" s="100">
        <v>7.683615819209038</v>
      </c>
      <c r="BY89" s="100">
        <v>8159.9999999999982</v>
      </c>
      <c r="BZ89" s="100">
        <v>8</v>
      </c>
      <c r="CA89" s="100">
        <v>8496</v>
      </c>
      <c r="CB89" s="100">
        <v>7.4045454545454534</v>
      </c>
      <c r="CC89" s="100">
        <v>7863.6272727272717</v>
      </c>
      <c r="CD89" s="100">
        <v>7.6923076923076925</v>
      </c>
      <c r="CE89" s="100">
        <v>8169.2307692307695</v>
      </c>
      <c r="CF89" s="100">
        <v>5.4545454545454541</v>
      </c>
      <c r="CG89" s="100">
        <v>5792.7272727272721</v>
      </c>
      <c r="CH89" s="100">
        <v>1.3515987752091363</v>
      </c>
      <c r="CI89" s="100">
        <v>1435.3978992721027</v>
      </c>
      <c r="CJ89" s="100">
        <v>6</v>
      </c>
      <c r="CK89" s="100">
        <v>6372</v>
      </c>
      <c r="CL89" s="100">
        <v>12</v>
      </c>
      <c r="CM89" s="100">
        <v>12744</v>
      </c>
      <c r="CN89" s="100">
        <v>7</v>
      </c>
      <c r="CO89" s="100">
        <v>7434</v>
      </c>
      <c r="CP89" s="100">
        <v>3.3631578947368395</v>
      </c>
      <c r="CQ89" s="100">
        <v>3571.6736842105233</v>
      </c>
      <c r="CR89" s="100">
        <v>6</v>
      </c>
      <c r="CS89" s="100">
        <v>6372</v>
      </c>
      <c r="CT89" s="100">
        <v>4.5201793721973083</v>
      </c>
      <c r="CU89" s="100">
        <v>4800.4304932735413</v>
      </c>
    </row>
    <row r="90" spans="2:99">
      <c r="C90" s="99" t="s">
        <v>256</v>
      </c>
      <c r="D90" s="100">
        <v>6.997186919832493</v>
      </c>
      <c r="E90" s="100">
        <v>7758.4808567102682</v>
      </c>
      <c r="F90" s="100">
        <v>0.41209585034348489</v>
      </c>
      <c r="G90" s="100">
        <v>456.93187886085605</v>
      </c>
      <c r="H90" s="100">
        <v>5.2788837594551756</v>
      </c>
      <c r="I90" s="100">
        <v>5853.2263124838983</v>
      </c>
      <c r="J90" s="100">
        <v>8.0952380952380931</v>
      </c>
      <c r="K90" s="100">
        <v>8975.9999999999982</v>
      </c>
      <c r="L90" s="100">
        <v>8.9947089947089935</v>
      </c>
      <c r="M90" s="100">
        <v>9973.3333333333321</v>
      </c>
      <c r="N90" s="100">
        <v>7</v>
      </c>
      <c r="O90" s="100">
        <v>7761.5999999999995</v>
      </c>
      <c r="P90" s="100">
        <v>8.7606382978723385</v>
      </c>
      <c r="Q90" s="100">
        <v>9713.7957446808487</v>
      </c>
      <c r="R90" s="100">
        <v>6.7613636363636349</v>
      </c>
      <c r="S90" s="100">
        <v>7496.9999999999982</v>
      </c>
      <c r="T90" s="100">
        <v>5.3403141361256541</v>
      </c>
      <c r="U90" s="100">
        <v>5921.340314136125</v>
      </c>
      <c r="V90" s="100">
        <v>0</v>
      </c>
      <c r="W90" s="100">
        <v>0</v>
      </c>
      <c r="X90" s="100">
        <v>6.6341463414634134</v>
      </c>
      <c r="Y90" s="100">
        <v>7355.9414634146324</v>
      </c>
      <c r="Z90" s="100">
        <v>6</v>
      </c>
      <c r="AA90" s="100">
        <v>6652.7999999999993</v>
      </c>
      <c r="AB90" s="100">
        <v>0.15789473684210525</v>
      </c>
      <c r="AC90" s="100">
        <v>175.0736842105263</v>
      </c>
      <c r="AD90" s="100">
        <v>0</v>
      </c>
      <c r="AE90" s="100">
        <v>0</v>
      </c>
      <c r="AF90" s="100">
        <v>8.4577114427860689</v>
      </c>
      <c r="AG90" s="100">
        <v>9377.9104477611927</v>
      </c>
      <c r="AH90" s="100">
        <v>7.7625570776255701</v>
      </c>
      <c r="AI90" s="100">
        <v>8607.1232876712311</v>
      </c>
      <c r="AJ90" s="100">
        <v>5.9798994974874358</v>
      </c>
      <c r="AK90" s="100">
        <v>6630.5125628140686</v>
      </c>
      <c r="AL90" s="100">
        <v>0.39781530107415619</v>
      </c>
      <c r="AM90" s="100">
        <v>441.09760583102434</v>
      </c>
      <c r="AN90" s="100">
        <v>10</v>
      </c>
      <c r="AO90" s="100">
        <v>11088</v>
      </c>
      <c r="AP90" s="100">
        <v>5.6388888888888875</v>
      </c>
      <c r="AQ90" s="100">
        <v>6252.3999999999978</v>
      </c>
      <c r="AR90" s="100">
        <v>8</v>
      </c>
      <c r="AS90" s="100">
        <v>8870.4</v>
      </c>
      <c r="AT90" s="100">
        <v>4.1208791208791204</v>
      </c>
      <c r="AU90" s="100">
        <v>4569.2307692307686</v>
      </c>
      <c r="AV90" s="100">
        <v>9</v>
      </c>
      <c r="AW90" s="100">
        <v>9979.1999999999989</v>
      </c>
      <c r="AX90" s="100">
        <v>7</v>
      </c>
      <c r="AY90" s="100">
        <v>7761.5999999999995</v>
      </c>
      <c r="AZ90" s="100">
        <v>12</v>
      </c>
      <c r="BA90" s="100">
        <v>13305.599999999999</v>
      </c>
      <c r="BB90" s="100">
        <v>9.8946929197005371</v>
      </c>
      <c r="BC90" s="100">
        <v>10971.235509363954</v>
      </c>
      <c r="BD90" s="100">
        <v>4.9376066917839378E-22</v>
      </c>
      <c r="BE90" s="100">
        <v>5.4748182998500297E-19</v>
      </c>
      <c r="BF90" s="100">
        <v>5.6458699467529446E-22</v>
      </c>
      <c r="BG90" s="100">
        <v>6.2601405969596652E-19</v>
      </c>
      <c r="BH90" s="100">
        <v>5.4342890217267009E-22</v>
      </c>
      <c r="BI90" s="100">
        <v>6.0255396672905657E-19</v>
      </c>
      <c r="BJ90" s="100">
        <v>4.7270322887519758E-22</v>
      </c>
      <c r="BK90" s="100">
        <v>5.2413334017681901E-19</v>
      </c>
      <c r="BL90" s="100">
        <v>9.5505617977528079</v>
      </c>
      <c r="BM90" s="100">
        <v>10589.662921348314</v>
      </c>
      <c r="BN90" s="100">
        <v>5.1515151515151514</v>
      </c>
      <c r="BO90" s="100">
        <v>5712</v>
      </c>
      <c r="BP90" s="100">
        <v>6</v>
      </c>
      <c r="BQ90" s="100">
        <v>6652.7999999999993</v>
      </c>
      <c r="BR90" s="100">
        <v>9.4931506849315053</v>
      </c>
      <c r="BS90" s="100">
        <v>10526.005479452053</v>
      </c>
      <c r="BT90" s="100">
        <v>5.5868544600938961</v>
      </c>
      <c r="BU90" s="100">
        <v>6194.7042253521113</v>
      </c>
      <c r="BV90" s="100">
        <v>10.274725274725276</v>
      </c>
      <c r="BW90" s="100">
        <v>11392.615384615385</v>
      </c>
      <c r="BX90" s="100">
        <v>8.6440677966101678</v>
      </c>
      <c r="BY90" s="100">
        <v>9584.542372881353</v>
      </c>
      <c r="BZ90" s="100">
        <v>8</v>
      </c>
      <c r="CA90" s="100">
        <v>8870.4</v>
      </c>
      <c r="CB90" s="100">
        <v>8.2272727272727266</v>
      </c>
      <c r="CC90" s="100">
        <v>9122.4</v>
      </c>
      <c r="CD90" s="100">
        <v>7.6923076923076925</v>
      </c>
      <c r="CE90" s="100">
        <v>8529.2307692307695</v>
      </c>
      <c r="CF90" s="100">
        <v>5.4545454545454541</v>
      </c>
      <c r="CG90" s="100">
        <v>6047.9999999999991</v>
      </c>
      <c r="CH90" s="100">
        <v>1.228726159281033</v>
      </c>
      <c r="CI90" s="100">
        <v>1362.4115654108093</v>
      </c>
      <c r="CJ90" s="100">
        <v>7</v>
      </c>
      <c r="CK90" s="100">
        <v>7761.5999999999995</v>
      </c>
      <c r="CL90" s="100">
        <v>12</v>
      </c>
      <c r="CM90" s="100">
        <v>13305.599999999999</v>
      </c>
      <c r="CN90" s="100">
        <v>8</v>
      </c>
      <c r="CO90" s="100">
        <v>8870.4</v>
      </c>
      <c r="CP90" s="100">
        <v>3.3631578947368395</v>
      </c>
      <c r="CQ90" s="100">
        <v>3729.0694736842074</v>
      </c>
      <c r="CR90" s="100">
        <v>6</v>
      </c>
      <c r="CS90" s="100">
        <v>6652.7999999999993</v>
      </c>
      <c r="CT90" s="100">
        <v>4.5201793721973083</v>
      </c>
      <c r="CU90" s="100">
        <v>5011.9748878923756</v>
      </c>
    </row>
    <row r="91" spans="2:99">
      <c r="C91" s="99" t="s">
        <v>257</v>
      </c>
      <c r="D91" s="100">
        <v>5.9975887884278514</v>
      </c>
      <c r="E91" s="100">
        <v>6815.6598991694091</v>
      </c>
      <c r="F91" s="100">
        <v>0.3434132086195707</v>
      </c>
      <c r="G91" s="100">
        <v>390.25477027528007</v>
      </c>
      <c r="H91" s="100">
        <v>4.3990697995459795</v>
      </c>
      <c r="I91" s="100">
        <v>4999.1029202040509</v>
      </c>
      <c r="J91" s="100">
        <v>8.0952380952380931</v>
      </c>
      <c r="K91" s="100">
        <v>9199.4285714285688</v>
      </c>
      <c r="L91" s="100">
        <v>8.0952380952380949</v>
      </c>
      <c r="M91" s="100">
        <v>9199.4285714285706</v>
      </c>
      <c r="N91" s="100">
        <v>8</v>
      </c>
      <c r="O91" s="100">
        <v>9091.1999999999989</v>
      </c>
      <c r="P91" s="100">
        <v>8.7606382978723385</v>
      </c>
      <c r="Q91" s="100">
        <v>9955.5893617021247</v>
      </c>
      <c r="R91" s="100">
        <v>5.7954545454545441</v>
      </c>
      <c r="S91" s="100">
        <v>6585.9545454545432</v>
      </c>
      <c r="T91" s="100">
        <v>6.2303664921465964</v>
      </c>
      <c r="U91" s="100">
        <v>7080.1884816753909</v>
      </c>
      <c r="V91" s="100">
        <v>0</v>
      </c>
      <c r="W91" s="100">
        <v>0</v>
      </c>
      <c r="X91" s="100">
        <v>6.6341463414634134</v>
      </c>
      <c r="Y91" s="100">
        <v>7539.0439024390225</v>
      </c>
      <c r="Z91" s="100">
        <v>5</v>
      </c>
      <c r="AA91" s="100">
        <v>5681.9999999999991</v>
      </c>
      <c r="AB91" s="100">
        <v>0.14210526315789473</v>
      </c>
      <c r="AC91" s="100">
        <v>161.48842105263157</v>
      </c>
      <c r="AD91" s="100">
        <v>0</v>
      </c>
      <c r="AE91" s="100">
        <v>0</v>
      </c>
      <c r="AF91" s="100">
        <v>8.4577114427860689</v>
      </c>
      <c r="AG91" s="100">
        <v>9611.3432835820877</v>
      </c>
      <c r="AH91" s="100">
        <v>6.9863013698630132</v>
      </c>
      <c r="AI91" s="100">
        <v>7939.2328767123272</v>
      </c>
      <c r="AJ91" s="100">
        <v>6.8341708542713562</v>
      </c>
      <c r="AK91" s="100">
        <v>7766.3517587939687</v>
      </c>
      <c r="AL91" s="100">
        <v>0.39781530107415619</v>
      </c>
      <c r="AM91" s="100">
        <v>452.07730814067105</v>
      </c>
      <c r="AN91" s="100">
        <v>11</v>
      </c>
      <c r="AO91" s="100">
        <v>12500.399999999998</v>
      </c>
      <c r="AP91" s="100">
        <v>5.6388888888888875</v>
      </c>
      <c r="AQ91" s="100">
        <v>6408.033333333331</v>
      </c>
      <c r="AR91" s="100">
        <v>9</v>
      </c>
      <c r="AS91" s="100">
        <v>10227.599999999999</v>
      </c>
      <c r="AT91" s="100">
        <v>4.1208791208791204</v>
      </c>
      <c r="AU91" s="100">
        <v>4682.9670329670316</v>
      </c>
      <c r="AV91" s="100">
        <v>10</v>
      </c>
      <c r="AW91" s="100">
        <v>11363.999999999998</v>
      </c>
      <c r="AX91" s="100">
        <v>7</v>
      </c>
      <c r="AY91" s="100">
        <v>7954.7999999999993</v>
      </c>
      <c r="AZ91" s="100">
        <v>12</v>
      </c>
      <c r="BA91" s="100">
        <v>13636.8</v>
      </c>
      <c r="BB91" s="100">
        <v>9.8946929197005371</v>
      </c>
      <c r="BC91" s="100">
        <v>11244.32903394769</v>
      </c>
      <c r="BD91" s="100">
        <v>4.3204058553109458E-22</v>
      </c>
      <c r="BE91" s="100">
        <v>4.9097092139753582E-19</v>
      </c>
      <c r="BF91" s="100">
        <v>5.0185510637803954E-22</v>
      </c>
      <c r="BG91" s="100">
        <v>5.7030814288800404E-19</v>
      </c>
      <c r="BH91" s="100">
        <v>4.7550028940108636E-22</v>
      </c>
      <c r="BI91" s="100">
        <v>5.4035852887539444E-19</v>
      </c>
      <c r="BJ91" s="100">
        <v>4.7270322887519758E-22</v>
      </c>
      <c r="BK91" s="100">
        <v>5.3717994929377444E-19</v>
      </c>
      <c r="BL91" s="100">
        <v>9.5505617977528079</v>
      </c>
      <c r="BM91" s="100">
        <v>10853.258426966289</v>
      </c>
      <c r="BN91" s="100">
        <v>5.1515151515151514</v>
      </c>
      <c r="BO91" s="100">
        <v>5854.1818181818171</v>
      </c>
      <c r="BP91" s="100">
        <v>6</v>
      </c>
      <c r="BQ91" s="100">
        <v>6818.4</v>
      </c>
      <c r="BR91" s="100">
        <v>8.6301369863013679</v>
      </c>
      <c r="BS91" s="100">
        <v>9807.2876712328725</v>
      </c>
      <c r="BT91" s="100">
        <v>5.5868544600938961</v>
      </c>
      <c r="BU91" s="100">
        <v>6348.9014084507025</v>
      </c>
      <c r="BV91" s="100">
        <v>10.274725274725276</v>
      </c>
      <c r="BW91" s="100">
        <v>11676.197802197801</v>
      </c>
      <c r="BX91" s="100">
        <v>8.6440677966101678</v>
      </c>
      <c r="BY91" s="100">
        <v>9823.1186440677939</v>
      </c>
      <c r="BZ91" s="100">
        <v>8</v>
      </c>
      <c r="CA91" s="100">
        <v>9091.1999999999989</v>
      </c>
      <c r="CB91" s="100">
        <v>8.2272727272727266</v>
      </c>
      <c r="CC91" s="100">
        <v>9349.472727272725</v>
      </c>
      <c r="CD91" s="100">
        <v>8.4615384615384617</v>
      </c>
      <c r="CE91" s="100">
        <v>9615.6923076923067</v>
      </c>
      <c r="CF91" s="100">
        <v>6.3636363636363624</v>
      </c>
      <c r="CG91" s="100">
        <v>7231.6363636363612</v>
      </c>
      <c r="CH91" s="100">
        <v>1.4744713911372396</v>
      </c>
      <c r="CI91" s="100">
        <v>1675.5892888883589</v>
      </c>
      <c r="CJ91" s="100">
        <v>8</v>
      </c>
      <c r="CK91" s="100">
        <v>9091.1999999999989</v>
      </c>
      <c r="CL91" s="100">
        <v>11</v>
      </c>
      <c r="CM91" s="100">
        <v>12500.399999999998</v>
      </c>
      <c r="CN91" s="100">
        <v>8</v>
      </c>
      <c r="CO91" s="100">
        <v>9091.1999999999989</v>
      </c>
      <c r="CP91" s="100">
        <v>2.9894736842105241</v>
      </c>
      <c r="CQ91" s="100">
        <v>3397.2378947368393</v>
      </c>
      <c r="CR91" s="100">
        <v>6</v>
      </c>
      <c r="CS91" s="100">
        <v>6818.4</v>
      </c>
      <c r="CT91" s="100">
        <v>5.0852017937219713</v>
      </c>
      <c r="CU91" s="100">
        <v>5778.8233183856473</v>
      </c>
    </row>
    <row r="92" spans="2:99">
      <c r="C92" s="99" t="s">
        <v>258</v>
      </c>
      <c r="D92" s="100">
        <v>5.9975887884278514</v>
      </c>
      <c r="E92" s="100">
        <v>4706.9076811581772</v>
      </c>
      <c r="F92" s="100">
        <v>0.3434132086195707</v>
      </c>
      <c r="G92" s="100">
        <v>269.51068612463905</v>
      </c>
      <c r="H92" s="100">
        <v>5.2788837594551756</v>
      </c>
      <c r="I92" s="100">
        <v>4142.8679744204219</v>
      </c>
      <c r="J92" s="100">
        <v>7.1957671957671945</v>
      </c>
      <c r="K92" s="100">
        <v>5647.2380952380936</v>
      </c>
      <c r="L92" s="100">
        <v>9.894179894179894</v>
      </c>
      <c r="M92" s="100">
        <v>7764.9523809523807</v>
      </c>
      <c r="N92" s="100">
        <v>7</v>
      </c>
      <c r="O92" s="100">
        <v>5493.5999999999995</v>
      </c>
      <c r="P92" s="100">
        <v>7.7872340425531901</v>
      </c>
      <c r="Q92" s="100">
        <v>6111.4212765957436</v>
      </c>
      <c r="R92" s="100">
        <v>6.7613636363636349</v>
      </c>
      <c r="S92" s="100">
        <v>5306.3181818181802</v>
      </c>
      <c r="T92" s="100">
        <v>6.2303664921465964</v>
      </c>
      <c r="U92" s="100">
        <v>4889.5916230366483</v>
      </c>
      <c r="V92" s="100">
        <v>0</v>
      </c>
      <c r="W92" s="100">
        <v>0</v>
      </c>
      <c r="X92" s="100">
        <v>7.4634146341463401</v>
      </c>
      <c r="Y92" s="100">
        <v>5857.2878048780476</v>
      </c>
      <c r="Z92" s="100">
        <v>6</v>
      </c>
      <c r="AA92" s="100">
        <v>4708.7999999999993</v>
      </c>
      <c r="AB92" s="100">
        <v>0.15789473684210525</v>
      </c>
      <c r="AC92" s="100">
        <v>123.9157894736842</v>
      </c>
      <c r="AD92" s="100">
        <v>0</v>
      </c>
      <c r="AE92" s="100">
        <v>0</v>
      </c>
      <c r="AF92" s="100">
        <v>9.3034825870646749</v>
      </c>
      <c r="AG92" s="100">
        <v>7301.3731343283562</v>
      </c>
      <c r="AH92" s="100">
        <v>7.7625570776255701</v>
      </c>
      <c r="AI92" s="100">
        <v>6092.0547945205471</v>
      </c>
      <c r="AJ92" s="100">
        <v>7.6884422110552757</v>
      </c>
      <c r="AK92" s="100">
        <v>6033.8894472361799</v>
      </c>
      <c r="AL92" s="100">
        <v>0.39781530107415619</v>
      </c>
      <c r="AM92" s="100">
        <v>312.20544828299774</v>
      </c>
      <c r="AN92" s="100">
        <v>12</v>
      </c>
      <c r="AO92" s="100">
        <v>9417.5999999999985</v>
      </c>
      <c r="AP92" s="100">
        <v>5.6388888888888875</v>
      </c>
      <c r="AQ92" s="100">
        <v>4425.3999999999987</v>
      </c>
      <c r="AR92" s="100">
        <v>9</v>
      </c>
      <c r="AS92" s="100">
        <v>7063.2</v>
      </c>
      <c r="AT92" s="100">
        <v>4.8076923076923066</v>
      </c>
      <c r="AU92" s="100">
        <v>3773.076923076922</v>
      </c>
      <c r="AV92" s="100">
        <v>10</v>
      </c>
      <c r="AW92" s="100">
        <v>7848</v>
      </c>
      <c r="AX92" s="100">
        <v>8</v>
      </c>
      <c r="AY92" s="100">
        <v>6278.4</v>
      </c>
      <c r="AZ92" s="100">
        <v>11</v>
      </c>
      <c r="BA92" s="100">
        <v>8632.7999999999993</v>
      </c>
      <c r="BB92" s="100">
        <v>8.9951753815459412</v>
      </c>
      <c r="BC92" s="100">
        <v>7059.4136394372545</v>
      </c>
      <c r="BD92" s="100">
        <v>4.9376066917839378E-22</v>
      </c>
      <c r="BE92" s="100">
        <v>3.8750337317120342E-19</v>
      </c>
      <c r="BF92" s="100">
        <v>5.0185510637803954E-22</v>
      </c>
      <c r="BG92" s="100">
        <v>3.9385588748548542E-19</v>
      </c>
      <c r="BH92" s="100">
        <v>4.7550028940108636E-22</v>
      </c>
      <c r="BI92" s="100">
        <v>3.7317262712197256E-19</v>
      </c>
      <c r="BJ92" s="100">
        <v>4.7270322887519758E-22</v>
      </c>
      <c r="BK92" s="100">
        <v>3.7097749402125502E-19</v>
      </c>
      <c r="BL92" s="100">
        <v>10.505617977528088</v>
      </c>
      <c r="BM92" s="100">
        <v>8244.8089887640435</v>
      </c>
      <c r="BN92" s="100">
        <v>5.1515151515151514</v>
      </c>
      <c r="BO92" s="100">
        <v>4042.9090909090905</v>
      </c>
      <c r="BP92" s="100">
        <v>6</v>
      </c>
      <c r="BQ92" s="100">
        <v>4708.7999999999993</v>
      </c>
      <c r="BR92" s="100">
        <v>8.6301369863013679</v>
      </c>
      <c r="BS92" s="100">
        <v>6772.9315068493133</v>
      </c>
      <c r="BT92" s="100">
        <v>5.5868544600938961</v>
      </c>
      <c r="BU92" s="100">
        <v>4384.5633802816892</v>
      </c>
      <c r="BV92" s="100">
        <v>10.274725274725276</v>
      </c>
      <c r="BW92" s="100">
        <v>8063.6043956043959</v>
      </c>
      <c r="BX92" s="100">
        <v>7.683615819209038</v>
      </c>
      <c r="BY92" s="100">
        <v>6030.1016949152527</v>
      </c>
      <c r="BZ92" s="100">
        <v>8</v>
      </c>
      <c r="CA92" s="100">
        <v>6278.4</v>
      </c>
      <c r="CB92" s="100">
        <v>8.2272727272727266</v>
      </c>
      <c r="CC92" s="100">
        <v>6456.7636363636357</v>
      </c>
      <c r="CD92" s="100">
        <v>8.4615384615384617</v>
      </c>
      <c r="CE92" s="100">
        <v>6640.6153846153848</v>
      </c>
      <c r="CF92" s="100">
        <v>5.4545454545454541</v>
      </c>
      <c r="CG92" s="100">
        <v>4280.7272727272721</v>
      </c>
      <c r="CH92" s="100">
        <v>1.3515987752091363</v>
      </c>
      <c r="CI92" s="100">
        <v>1060.7347187841301</v>
      </c>
      <c r="CJ92" s="100">
        <v>7</v>
      </c>
      <c r="CK92" s="100">
        <v>5493.5999999999995</v>
      </c>
      <c r="CL92" s="100">
        <v>12</v>
      </c>
      <c r="CM92" s="100">
        <v>9417.5999999999985</v>
      </c>
      <c r="CN92" s="100">
        <v>7</v>
      </c>
      <c r="CO92" s="100">
        <v>5493.5999999999995</v>
      </c>
      <c r="CP92" s="100">
        <v>3.3631578947368395</v>
      </c>
      <c r="CQ92" s="100">
        <v>2639.4063157894716</v>
      </c>
      <c r="CR92" s="100">
        <v>6</v>
      </c>
      <c r="CS92" s="100">
        <v>4708.7999999999993</v>
      </c>
      <c r="CT92" s="100">
        <v>4.5201793721973083</v>
      </c>
      <c r="CU92" s="100">
        <v>3547.4367713004472</v>
      </c>
    </row>
    <row r="93" spans="2:99">
      <c r="C93" s="99" t="s">
        <v>259</v>
      </c>
      <c r="D93" s="100">
        <v>5.9975887884278514</v>
      </c>
      <c r="E93" s="100">
        <v>4159.927583653558</v>
      </c>
      <c r="F93" s="100">
        <v>0.41209585034348489</v>
      </c>
      <c r="G93" s="100">
        <v>285.82968179824115</v>
      </c>
      <c r="H93" s="100">
        <v>4.3990697995459795</v>
      </c>
      <c r="I93" s="100">
        <v>3051.1948129650914</v>
      </c>
      <c r="J93" s="100">
        <v>8.0952380952380931</v>
      </c>
      <c r="K93" s="100">
        <v>5614.8571428571413</v>
      </c>
      <c r="L93" s="100">
        <v>9.894179894179894</v>
      </c>
      <c r="M93" s="100">
        <v>6862.6031746031749</v>
      </c>
      <c r="N93" s="100">
        <v>7</v>
      </c>
      <c r="O93" s="100">
        <v>4855.2</v>
      </c>
      <c r="P93" s="100">
        <v>8.7606382978723385</v>
      </c>
      <c r="Q93" s="100">
        <v>6076.3787234042538</v>
      </c>
      <c r="R93" s="100">
        <v>5.7954545454545441</v>
      </c>
      <c r="S93" s="100">
        <v>4019.7272727272721</v>
      </c>
      <c r="T93" s="100">
        <v>6.2303664921465964</v>
      </c>
      <c r="U93" s="100">
        <v>4321.3821989528797</v>
      </c>
      <c r="V93" s="100">
        <v>0</v>
      </c>
      <c r="W93" s="100">
        <v>0</v>
      </c>
      <c r="X93" s="100">
        <v>7.4634146341463401</v>
      </c>
      <c r="Y93" s="100">
        <v>5176.6243902439019</v>
      </c>
      <c r="Z93" s="100">
        <v>6</v>
      </c>
      <c r="AA93" s="100">
        <v>4161.6000000000004</v>
      </c>
      <c r="AB93" s="100">
        <v>0.15789473684210525</v>
      </c>
      <c r="AC93" s="100">
        <v>109.51578947368421</v>
      </c>
      <c r="AD93" s="100">
        <v>0</v>
      </c>
      <c r="AE93" s="100">
        <v>0</v>
      </c>
      <c r="AF93" s="100">
        <v>9.3034825870646749</v>
      </c>
      <c r="AG93" s="100">
        <v>6452.8955223880585</v>
      </c>
      <c r="AH93" s="100">
        <v>7.7625570776255701</v>
      </c>
      <c r="AI93" s="100">
        <v>5384.1095890410952</v>
      </c>
      <c r="AJ93" s="100">
        <v>6.8341708542713562</v>
      </c>
      <c r="AK93" s="100">
        <v>4740.1809045226128</v>
      </c>
      <c r="AL93" s="100">
        <v>0.39781530107415619</v>
      </c>
      <c r="AM93" s="100">
        <v>275.92469282503475</v>
      </c>
      <c r="AN93" s="100">
        <v>11</v>
      </c>
      <c r="AO93" s="100">
        <v>7629.6</v>
      </c>
      <c r="AP93" s="100">
        <v>4.8333333333333321</v>
      </c>
      <c r="AQ93" s="100">
        <v>3352.3999999999992</v>
      </c>
      <c r="AR93" s="100">
        <v>9</v>
      </c>
      <c r="AS93" s="100">
        <v>6242.4000000000005</v>
      </c>
      <c r="AT93" s="100">
        <v>4.1208791208791204</v>
      </c>
      <c r="AU93" s="100">
        <v>2858.2417582417579</v>
      </c>
      <c r="AV93" s="100">
        <v>10</v>
      </c>
      <c r="AW93" s="100">
        <v>6936</v>
      </c>
      <c r="AX93" s="100">
        <v>8</v>
      </c>
      <c r="AY93" s="100">
        <v>5548.8</v>
      </c>
      <c r="AZ93" s="100">
        <v>11</v>
      </c>
      <c r="BA93" s="100">
        <v>7629.6</v>
      </c>
      <c r="BB93" s="100">
        <v>8.9951753815459412</v>
      </c>
      <c r="BC93" s="100">
        <v>6239.0536446402648</v>
      </c>
      <c r="BD93" s="100">
        <v>4.3204058553109458E-22</v>
      </c>
      <c r="BE93" s="100">
        <v>2.9966335012436721E-19</v>
      </c>
      <c r="BF93" s="100">
        <v>5.0185510637803954E-22</v>
      </c>
      <c r="BG93" s="100">
        <v>3.4808670178380826E-19</v>
      </c>
      <c r="BH93" s="100">
        <v>4.7550028940108636E-22</v>
      </c>
      <c r="BI93" s="100">
        <v>3.2980700072859352E-19</v>
      </c>
      <c r="BJ93" s="100">
        <v>4.7270322887519758E-22</v>
      </c>
      <c r="BK93" s="100">
        <v>3.2786695954783706E-19</v>
      </c>
      <c r="BL93" s="100">
        <v>8.5955056179775262</v>
      </c>
      <c r="BM93" s="100">
        <v>5961.8426966292127</v>
      </c>
      <c r="BN93" s="100">
        <v>5.1515151515151514</v>
      </c>
      <c r="BO93" s="100">
        <v>3573.090909090909</v>
      </c>
      <c r="BP93" s="100">
        <v>7</v>
      </c>
      <c r="BQ93" s="100">
        <v>4855.2</v>
      </c>
      <c r="BR93" s="100">
        <v>10.356164383561641</v>
      </c>
      <c r="BS93" s="100">
        <v>7183.0356164383547</v>
      </c>
      <c r="BT93" s="100">
        <v>5.5868544600938961</v>
      </c>
      <c r="BU93" s="100">
        <v>3875.0422535211264</v>
      </c>
      <c r="BV93" s="100">
        <v>11.20879120879121</v>
      </c>
      <c r="BW93" s="100">
        <v>7774.4175824175836</v>
      </c>
      <c r="BX93" s="100">
        <v>8.6440677966101678</v>
      </c>
      <c r="BY93" s="100">
        <v>5995.5254237288127</v>
      </c>
      <c r="BZ93" s="100">
        <v>9</v>
      </c>
      <c r="CA93" s="100">
        <v>6242.4000000000005</v>
      </c>
      <c r="CB93" s="100">
        <v>9.0499999999999989</v>
      </c>
      <c r="CC93" s="100">
        <v>6277.079999999999</v>
      </c>
      <c r="CD93" s="100">
        <v>7.6923076923076925</v>
      </c>
      <c r="CE93" s="100">
        <v>5335.3846153846162</v>
      </c>
      <c r="CF93" s="100">
        <v>6.3636363636363624</v>
      </c>
      <c r="CG93" s="100">
        <v>4413.8181818181811</v>
      </c>
      <c r="CH93" s="100">
        <v>1.228726159281033</v>
      </c>
      <c r="CI93" s="100">
        <v>852.24446407732455</v>
      </c>
      <c r="CJ93" s="100">
        <v>8</v>
      </c>
      <c r="CK93" s="100">
        <v>5548.8</v>
      </c>
      <c r="CL93" s="100">
        <v>11</v>
      </c>
      <c r="CM93" s="100">
        <v>7629.6</v>
      </c>
      <c r="CN93" s="100">
        <v>8</v>
      </c>
      <c r="CO93" s="100">
        <v>5548.8</v>
      </c>
      <c r="CP93" s="100">
        <v>2.9894736842105241</v>
      </c>
      <c r="CQ93" s="100">
        <v>2073.4989473684195</v>
      </c>
      <c r="CR93" s="100">
        <v>7</v>
      </c>
      <c r="CS93" s="100">
        <v>4855.2</v>
      </c>
      <c r="CT93" s="100">
        <v>5.0852017937219713</v>
      </c>
      <c r="CU93" s="100">
        <v>3527.0959641255595</v>
      </c>
    </row>
    <row r="94" spans="2:99">
      <c r="C94" s="99" t="s">
        <v>260</v>
      </c>
      <c r="D94" s="100">
        <v>5.9975887884278514</v>
      </c>
      <c r="E94" s="100">
        <v>7153.9239068367406</v>
      </c>
      <c r="F94" s="100">
        <v>0.3434132086195707</v>
      </c>
      <c r="G94" s="100">
        <v>409.62327524142393</v>
      </c>
      <c r="H94" s="100">
        <v>4.3990697995459795</v>
      </c>
      <c r="I94" s="100">
        <v>5247.2104568984441</v>
      </c>
      <c r="J94" s="100">
        <v>8.0952380952380931</v>
      </c>
      <c r="K94" s="100">
        <v>9655.9999999999964</v>
      </c>
      <c r="L94" s="100">
        <v>8.0952380952380949</v>
      </c>
      <c r="M94" s="100">
        <v>9656</v>
      </c>
      <c r="N94" s="100">
        <v>6</v>
      </c>
      <c r="O94" s="100">
        <v>7156.7999999999993</v>
      </c>
      <c r="P94" s="100">
        <v>8.7606382978723385</v>
      </c>
      <c r="Q94" s="100">
        <v>10449.689361702125</v>
      </c>
      <c r="R94" s="100">
        <v>6.7613636363636349</v>
      </c>
      <c r="S94" s="100">
        <v>8064.9545454545432</v>
      </c>
      <c r="T94" s="100">
        <v>5.3403141361256541</v>
      </c>
      <c r="U94" s="100">
        <v>6369.9267015706801</v>
      </c>
      <c r="V94" s="100">
        <v>0</v>
      </c>
      <c r="W94" s="100">
        <v>0</v>
      </c>
      <c r="X94" s="100">
        <v>7.4634146341463401</v>
      </c>
      <c r="Y94" s="100">
        <v>8902.360975609754</v>
      </c>
      <c r="Z94" s="100">
        <v>6</v>
      </c>
      <c r="AA94" s="100">
        <v>7156.7999999999993</v>
      </c>
      <c r="AB94" s="100">
        <v>0.17368421052631577</v>
      </c>
      <c r="AC94" s="100">
        <v>207.17052631578946</v>
      </c>
      <c r="AD94" s="100">
        <v>0</v>
      </c>
      <c r="AE94" s="100">
        <v>0</v>
      </c>
      <c r="AF94" s="100">
        <v>7.6119402985074611</v>
      </c>
      <c r="AG94" s="100">
        <v>9079.5223880596986</v>
      </c>
      <c r="AH94" s="100">
        <v>8.5388127853881279</v>
      </c>
      <c r="AI94" s="100">
        <v>10185.095890410959</v>
      </c>
      <c r="AJ94" s="100">
        <v>5.9798994974874358</v>
      </c>
      <c r="AK94" s="100">
        <v>7132.8241206030134</v>
      </c>
      <c r="AL94" s="100">
        <v>0.39781530107415619</v>
      </c>
      <c r="AM94" s="100">
        <v>474.5140911212535</v>
      </c>
      <c r="AN94" s="100">
        <v>11</v>
      </c>
      <c r="AO94" s="100">
        <v>13120.8</v>
      </c>
      <c r="AP94" s="100">
        <v>5.6388888888888875</v>
      </c>
      <c r="AQ94" s="100">
        <v>6726.0666666666648</v>
      </c>
      <c r="AR94" s="100">
        <v>9</v>
      </c>
      <c r="AS94" s="100">
        <v>10735.199999999999</v>
      </c>
      <c r="AT94" s="100">
        <v>4.1208791208791204</v>
      </c>
      <c r="AU94" s="100">
        <v>4915.3846153846143</v>
      </c>
      <c r="AV94" s="100">
        <v>10</v>
      </c>
      <c r="AW94" s="100">
        <v>11928</v>
      </c>
      <c r="AX94" s="100">
        <v>7</v>
      </c>
      <c r="AY94" s="100">
        <v>8349.6</v>
      </c>
      <c r="AZ94" s="100">
        <v>12</v>
      </c>
      <c r="BA94" s="100">
        <v>14313.599999999999</v>
      </c>
      <c r="BB94" s="100">
        <v>9.8946929197005371</v>
      </c>
      <c r="BC94" s="100">
        <v>11802.389714618801</v>
      </c>
      <c r="BD94" s="100">
        <v>4.9376066917839378E-22</v>
      </c>
      <c r="BE94" s="100">
        <v>5.8895772619598807E-19</v>
      </c>
      <c r="BF94" s="100">
        <v>5.6458699467529446E-22</v>
      </c>
      <c r="BG94" s="100">
        <v>6.7343936724869122E-19</v>
      </c>
      <c r="BH94" s="100">
        <v>5.4342890217267009E-22</v>
      </c>
      <c r="BI94" s="100">
        <v>6.4820199451156085E-19</v>
      </c>
      <c r="BJ94" s="100">
        <v>4.7270322887519758E-22</v>
      </c>
      <c r="BK94" s="100">
        <v>5.6384041140233561E-19</v>
      </c>
      <c r="BL94" s="100">
        <v>8.5955056179775262</v>
      </c>
      <c r="BM94" s="100">
        <v>10252.719101123594</v>
      </c>
      <c r="BN94" s="100">
        <v>6.0101010101010095</v>
      </c>
      <c r="BO94" s="100">
        <v>7168.8484848484841</v>
      </c>
      <c r="BP94" s="100">
        <v>6</v>
      </c>
      <c r="BQ94" s="100">
        <v>7156.7999999999993</v>
      </c>
      <c r="BR94" s="100">
        <v>10.356164383561641</v>
      </c>
      <c r="BS94" s="100">
        <v>12352.832876712324</v>
      </c>
      <c r="BT94" s="100">
        <v>5.5868544600938961</v>
      </c>
      <c r="BU94" s="100">
        <v>6663.9999999999991</v>
      </c>
      <c r="BV94" s="100">
        <v>10.274725274725276</v>
      </c>
      <c r="BW94" s="100">
        <v>12255.692307692309</v>
      </c>
      <c r="BX94" s="100">
        <v>8.6440677966101678</v>
      </c>
      <c r="BY94" s="100">
        <v>10310.644067796607</v>
      </c>
      <c r="BZ94" s="100">
        <v>9</v>
      </c>
      <c r="CA94" s="100">
        <v>10735.199999999999</v>
      </c>
      <c r="CB94" s="100">
        <v>7.4045454545454534</v>
      </c>
      <c r="CC94" s="100">
        <v>8832.1418181818171</v>
      </c>
      <c r="CD94" s="100">
        <v>7.6923076923076925</v>
      </c>
      <c r="CE94" s="100">
        <v>9175.3846153846152</v>
      </c>
      <c r="CF94" s="100">
        <v>6.3636363636363624</v>
      </c>
      <c r="CG94" s="100">
        <v>7590.5454545454531</v>
      </c>
      <c r="CH94" s="100">
        <v>1.3515987752091363</v>
      </c>
      <c r="CI94" s="100">
        <v>1612.1870190694576</v>
      </c>
      <c r="CJ94" s="100">
        <v>7</v>
      </c>
      <c r="CK94" s="100">
        <v>8349.6</v>
      </c>
      <c r="CL94" s="100">
        <v>11</v>
      </c>
      <c r="CM94" s="100">
        <v>13120.8</v>
      </c>
      <c r="CN94" s="100">
        <v>7</v>
      </c>
      <c r="CO94" s="100">
        <v>8349.6</v>
      </c>
      <c r="CP94" s="100">
        <v>2.9894736842105241</v>
      </c>
      <c r="CQ94" s="100">
        <v>3565.844210526313</v>
      </c>
      <c r="CR94" s="100">
        <v>7</v>
      </c>
      <c r="CS94" s="100">
        <v>8349.6</v>
      </c>
      <c r="CT94" s="100">
        <v>4.5201793721973083</v>
      </c>
      <c r="CU94" s="100">
        <v>5391.6699551569491</v>
      </c>
    </row>
    <row r="95" spans="2:99">
      <c r="B95" s="99" t="s">
        <v>132</v>
      </c>
      <c r="C95" s="99" t="s">
        <v>261</v>
      </c>
      <c r="D95" s="100">
        <v>6.997186919832493</v>
      </c>
      <c r="E95" s="100">
        <v>2300.6750592409239</v>
      </c>
      <c r="F95" s="100">
        <v>0.82419170068696979</v>
      </c>
      <c r="G95" s="100">
        <v>270.99423118587566</v>
      </c>
      <c r="H95" s="100">
        <v>8.7981395990919591</v>
      </c>
      <c r="I95" s="100">
        <v>2892.8283001814361</v>
      </c>
      <c r="J95" s="100">
        <v>9.8941798941798922</v>
      </c>
      <c r="K95" s="100">
        <v>3253.2063492063485</v>
      </c>
      <c r="L95" s="100">
        <v>7.1957671957671954</v>
      </c>
      <c r="M95" s="100">
        <v>2365.968253968254</v>
      </c>
      <c r="N95" s="100">
        <v>8</v>
      </c>
      <c r="O95" s="100">
        <v>2630.4</v>
      </c>
      <c r="P95" s="100">
        <v>8.7606382978723385</v>
      </c>
      <c r="Q95" s="100">
        <v>2880.4978723404251</v>
      </c>
      <c r="R95" s="100">
        <v>9.6590909090909065</v>
      </c>
      <c r="S95" s="100">
        <v>3175.9090909090901</v>
      </c>
      <c r="T95" s="100">
        <v>9.7905759162303667</v>
      </c>
      <c r="U95" s="100">
        <v>3219.1413612565448</v>
      </c>
      <c r="V95" s="100">
        <v>0</v>
      </c>
      <c r="W95" s="100">
        <v>0</v>
      </c>
      <c r="X95" s="100">
        <v>8.2926829268292668</v>
      </c>
      <c r="Y95" s="100">
        <v>2726.6341463414628</v>
      </c>
      <c r="Z95" s="100">
        <v>10</v>
      </c>
      <c r="AA95" s="100">
        <v>3288</v>
      </c>
      <c r="AB95" s="100">
        <v>0.14210526315789473</v>
      </c>
      <c r="AC95" s="100">
        <v>46.724210526315794</v>
      </c>
      <c r="AD95" s="100">
        <v>0</v>
      </c>
      <c r="AE95" s="100">
        <v>0</v>
      </c>
      <c r="AF95" s="100">
        <v>6.7661691542288542</v>
      </c>
      <c r="AG95" s="100">
        <v>2224.7164179104475</v>
      </c>
      <c r="AH95" s="100">
        <v>8.5388127853881279</v>
      </c>
      <c r="AI95" s="100">
        <v>2807.5616438356165</v>
      </c>
      <c r="AJ95" s="100">
        <v>9.3969849246231139</v>
      </c>
      <c r="AK95" s="100">
        <v>3089.7286432160799</v>
      </c>
      <c r="AL95" s="100">
        <v>0.86193315232733847</v>
      </c>
      <c r="AM95" s="100">
        <v>283.40362048522888</v>
      </c>
      <c r="AN95" s="100">
        <v>9</v>
      </c>
      <c r="AO95" s="100">
        <v>2959.2000000000003</v>
      </c>
      <c r="AP95" s="100">
        <v>8.8611111111111089</v>
      </c>
      <c r="AQ95" s="100">
        <v>2913.5333333333328</v>
      </c>
      <c r="AR95" s="100">
        <v>12</v>
      </c>
      <c r="AS95" s="100">
        <v>3945.6000000000004</v>
      </c>
      <c r="AT95" s="100">
        <v>6.1813186813186798</v>
      </c>
      <c r="AU95" s="100">
        <v>2032.417582417582</v>
      </c>
      <c r="AV95" s="100">
        <v>10</v>
      </c>
      <c r="AW95" s="100">
        <v>3288</v>
      </c>
      <c r="AX95" s="100">
        <v>11</v>
      </c>
      <c r="AY95" s="100">
        <v>3616.8</v>
      </c>
      <c r="AZ95" s="100">
        <v>13</v>
      </c>
      <c r="BA95" s="100">
        <v>4274.4000000000005</v>
      </c>
      <c r="BB95" s="100">
        <v>7.1961403052367539</v>
      </c>
      <c r="BC95" s="100">
        <v>2366.0909323618448</v>
      </c>
      <c r="BD95" s="100">
        <v>6.1720083647299218E-22</v>
      </c>
      <c r="BE95" s="100">
        <v>2.0293563503231984E-19</v>
      </c>
      <c r="BF95" s="100">
        <v>5.6458699467529446E-22</v>
      </c>
      <c r="BG95" s="100">
        <v>1.8563620384923683E-19</v>
      </c>
      <c r="BH95" s="100">
        <v>5.4342890217267009E-22</v>
      </c>
      <c r="BI95" s="100">
        <v>1.7867942303437393E-19</v>
      </c>
      <c r="BJ95" s="100">
        <v>6.0776129426811116E-22</v>
      </c>
      <c r="BK95" s="100">
        <v>1.9983191355535495E-19</v>
      </c>
      <c r="BL95" s="100">
        <v>8.5955056179775262</v>
      </c>
      <c r="BM95" s="100">
        <v>2826.2022471910109</v>
      </c>
      <c r="BN95" s="100">
        <v>10.303030303030303</v>
      </c>
      <c r="BO95" s="100">
        <v>3387.6363636363635</v>
      </c>
      <c r="BP95" s="100">
        <v>8</v>
      </c>
      <c r="BQ95" s="100">
        <v>2630.4</v>
      </c>
      <c r="BR95" s="100">
        <v>8.6301369863013679</v>
      </c>
      <c r="BS95" s="100">
        <v>2837.58904109589</v>
      </c>
      <c r="BT95" s="100">
        <v>10.375586854460092</v>
      </c>
      <c r="BU95" s="100">
        <v>3411.4929577464786</v>
      </c>
      <c r="BV95" s="100">
        <v>7.4725274725274735</v>
      </c>
      <c r="BW95" s="100">
        <v>2456.9670329670334</v>
      </c>
      <c r="BX95" s="100">
        <v>8.6440677966101678</v>
      </c>
      <c r="BY95" s="100">
        <v>2842.1694915254234</v>
      </c>
      <c r="BZ95" s="100">
        <v>7</v>
      </c>
      <c r="CA95" s="100">
        <v>2301.6</v>
      </c>
      <c r="CB95" s="100">
        <v>9.8727272727272712</v>
      </c>
      <c r="CC95" s="100">
        <v>3246.1527272727267</v>
      </c>
      <c r="CD95" s="100">
        <v>9.2307692307692317</v>
      </c>
      <c r="CE95" s="100">
        <v>3035.0769230769233</v>
      </c>
      <c r="CF95" s="100">
        <v>10.909090909090908</v>
      </c>
      <c r="CG95" s="100">
        <v>3586.909090909091</v>
      </c>
      <c r="CH95" s="100">
        <v>1.3515987752091363</v>
      </c>
      <c r="CI95" s="100">
        <v>444.40567728876402</v>
      </c>
      <c r="CJ95" s="100">
        <v>9</v>
      </c>
      <c r="CK95" s="100">
        <v>2959.2000000000003</v>
      </c>
      <c r="CL95" s="100">
        <v>12</v>
      </c>
      <c r="CM95" s="100">
        <v>3945.6000000000004</v>
      </c>
      <c r="CN95" s="100">
        <v>12</v>
      </c>
      <c r="CO95" s="100">
        <v>3945.6000000000004</v>
      </c>
      <c r="CP95" s="100">
        <v>4.1105263157894703</v>
      </c>
      <c r="CQ95" s="100">
        <v>1351.5410526315779</v>
      </c>
      <c r="CR95" s="100">
        <v>14</v>
      </c>
      <c r="CS95" s="100">
        <v>4603.2</v>
      </c>
      <c r="CT95" s="100">
        <v>7.9103139013452894</v>
      </c>
      <c r="CU95" s="100">
        <v>2600.9112107623314</v>
      </c>
    </row>
    <row r="96" spans="2:99">
      <c r="C96" s="99" t="s">
        <v>262</v>
      </c>
      <c r="D96" s="100">
        <v>7.9967850512371355</v>
      </c>
      <c r="E96" s="100">
        <v>5556.1662535995611</v>
      </c>
      <c r="F96" s="100">
        <v>0.75550905896305565</v>
      </c>
      <c r="G96" s="100">
        <v>524.92769416753106</v>
      </c>
      <c r="H96" s="100">
        <v>9.6779535590011552</v>
      </c>
      <c r="I96" s="100">
        <v>6724.2421327940019</v>
      </c>
      <c r="J96" s="100">
        <v>8.9947089947089935</v>
      </c>
      <c r="K96" s="100">
        <v>6249.5238095238083</v>
      </c>
      <c r="L96" s="100">
        <v>8.0952380952380949</v>
      </c>
      <c r="M96" s="100">
        <v>5624.5714285714275</v>
      </c>
      <c r="N96" s="100">
        <v>8</v>
      </c>
      <c r="O96" s="100">
        <v>5558.4</v>
      </c>
      <c r="P96" s="100">
        <v>9.7340425531914878</v>
      </c>
      <c r="Q96" s="100">
        <v>6763.2127659574453</v>
      </c>
      <c r="R96" s="100">
        <v>9.6590909090909065</v>
      </c>
      <c r="S96" s="100">
        <v>6711.1363636363612</v>
      </c>
      <c r="T96" s="100">
        <v>10.680628272251308</v>
      </c>
      <c r="U96" s="100">
        <v>7420.9005235602081</v>
      </c>
      <c r="V96" s="100">
        <v>0</v>
      </c>
      <c r="W96" s="100">
        <v>0</v>
      </c>
      <c r="X96" s="100">
        <v>9.1219512195121926</v>
      </c>
      <c r="Y96" s="100">
        <v>6337.9317073170714</v>
      </c>
      <c r="Z96" s="100">
        <v>10</v>
      </c>
      <c r="AA96" s="100">
        <v>6948</v>
      </c>
      <c r="AB96" s="100">
        <v>0.11052631578947367</v>
      </c>
      <c r="AC96" s="100">
        <v>76.793684210526294</v>
      </c>
      <c r="AD96" s="100">
        <v>0</v>
      </c>
      <c r="AE96" s="100">
        <v>0</v>
      </c>
      <c r="AF96" s="100">
        <v>7.6119402985074611</v>
      </c>
      <c r="AG96" s="100">
        <v>5288.7761194029836</v>
      </c>
      <c r="AH96" s="100">
        <v>8.5388127853881279</v>
      </c>
      <c r="AI96" s="100">
        <v>5932.767123287671</v>
      </c>
      <c r="AJ96" s="100">
        <v>8.5427135678391952</v>
      </c>
      <c r="AK96" s="100">
        <v>5935.4773869346727</v>
      </c>
      <c r="AL96" s="100">
        <v>0.86193315232733847</v>
      </c>
      <c r="AM96" s="100">
        <v>598.87115423703472</v>
      </c>
      <c r="AN96" s="100">
        <v>8</v>
      </c>
      <c r="AO96" s="100">
        <v>5558.4</v>
      </c>
      <c r="AP96" s="100">
        <v>8.0555555555555536</v>
      </c>
      <c r="AQ96" s="100">
        <v>5596.9999999999982</v>
      </c>
      <c r="AR96" s="100">
        <v>12</v>
      </c>
      <c r="AS96" s="100">
        <v>8337.5999999999985</v>
      </c>
      <c r="AT96" s="100">
        <v>6.8681318681318668</v>
      </c>
      <c r="AU96" s="100">
        <v>4771.9780219780205</v>
      </c>
      <c r="AV96" s="100">
        <v>10</v>
      </c>
      <c r="AW96" s="100">
        <v>6948</v>
      </c>
      <c r="AX96" s="100">
        <v>11</v>
      </c>
      <c r="AY96" s="100">
        <v>7642.7999999999993</v>
      </c>
      <c r="AZ96" s="100">
        <v>12</v>
      </c>
      <c r="BA96" s="100">
        <v>8337.5999999999985</v>
      </c>
      <c r="BB96" s="100">
        <v>8.0956578433913471</v>
      </c>
      <c r="BC96" s="100">
        <v>5624.8630695883076</v>
      </c>
      <c r="BD96" s="100">
        <v>6.1720083647299218E-22</v>
      </c>
      <c r="BE96" s="100">
        <v>4.2883114118143493E-19</v>
      </c>
      <c r="BF96" s="100">
        <v>5.6458699467529446E-22</v>
      </c>
      <c r="BG96" s="100">
        <v>3.9227504390039456E-19</v>
      </c>
      <c r="BH96" s="100">
        <v>5.4342890217267009E-22</v>
      </c>
      <c r="BI96" s="100">
        <v>3.7757440122957113E-19</v>
      </c>
      <c r="BJ96" s="100">
        <v>6.0776129426811116E-22</v>
      </c>
      <c r="BK96" s="100">
        <v>4.2227254725748362E-19</v>
      </c>
      <c r="BL96" s="100">
        <v>7.6404494382022454</v>
      </c>
      <c r="BM96" s="100">
        <v>5308.5842696629197</v>
      </c>
      <c r="BN96" s="100">
        <v>9.4444444444444446</v>
      </c>
      <c r="BO96" s="100">
        <v>6562</v>
      </c>
      <c r="BP96" s="100">
        <v>8</v>
      </c>
      <c r="BQ96" s="100">
        <v>5558.4</v>
      </c>
      <c r="BR96" s="100">
        <v>9.4931506849315053</v>
      </c>
      <c r="BS96" s="100">
        <v>6595.8410958904096</v>
      </c>
      <c r="BT96" s="100">
        <v>10.375586854460092</v>
      </c>
      <c r="BU96" s="100">
        <v>7208.9577464788717</v>
      </c>
      <c r="BV96" s="100">
        <v>6.5384615384615392</v>
      </c>
      <c r="BW96" s="100">
        <v>4542.9230769230771</v>
      </c>
      <c r="BX96" s="100">
        <v>7.683615819209038</v>
      </c>
      <c r="BY96" s="100">
        <v>5338.576271186439</v>
      </c>
      <c r="BZ96" s="100">
        <v>8</v>
      </c>
      <c r="CA96" s="100">
        <v>5558.4</v>
      </c>
      <c r="CB96" s="100">
        <v>10.695454545454544</v>
      </c>
      <c r="CC96" s="100">
        <v>7431.2018181818166</v>
      </c>
      <c r="CD96" s="100">
        <v>9.2307692307692317</v>
      </c>
      <c r="CE96" s="100">
        <v>6413.5384615384619</v>
      </c>
      <c r="CF96" s="100">
        <v>9.0909090909090899</v>
      </c>
      <c r="CG96" s="100">
        <v>6316.3636363636351</v>
      </c>
      <c r="CH96" s="100">
        <v>1.228726159281033</v>
      </c>
      <c r="CI96" s="100">
        <v>853.71893546846172</v>
      </c>
      <c r="CJ96" s="100">
        <v>7</v>
      </c>
      <c r="CK96" s="100">
        <v>4863.5999999999995</v>
      </c>
      <c r="CL96" s="100">
        <v>10</v>
      </c>
      <c r="CM96" s="100">
        <v>6948</v>
      </c>
      <c r="CN96" s="100">
        <v>13</v>
      </c>
      <c r="CO96" s="100">
        <v>9032.4</v>
      </c>
      <c r="CP96" s="100">
        <v>3.3631578947368395</v>
      </c>
      <c r="CQ96" s="100">
        <v>2336.7221052631558</v>
      </c>
      <c r="CR96" s="100">
        <v>13</v>
      </c>
      <c r="CS96" s="100">
        <v>9032.4</v>
      </c>
      <c r="CT96" s="100">
        <v>6.7802690582959633</v>
      </c>
      <c r="CU96" s="100">
        <v>4710.9309417040349</v>
      </c>
    </row>
    <row r="97" spans="2:99">
      <c r="C97" s="99" t="s">
        <v>263</v>
      </c>
      <c r="D97" s="100">
        <v>7.9967850512371355</v>
      </c>
      <c r="E97" s="100">
        <v>3137.9384541054519</v>
      </c>
      <c r="F97" s="100">
        <v>0.89287434241088393</v>
      </c>
      <c r="G97" s="100">
        <v>350.36389196203083</v>
      </c>
      <c r="H97" s="100">
        <v>9.6779535590011552</v>
      </c>
      <c r="I97" s="100">
        <v>3797.6289765520532</v>
      </c>
      <c r="J97" s="100">
        <v>8.0952380952380931</v>
      </c>
      <c r="K97" s="100">
        <v>3176.5714285714275</v>
      </c>
      <c r="L97" s="100">
        <v>8.9947089947089935</v>
      </c>
      <c r="M97" s="100">
        <v>3529.5238095238087</v>
      </c>
      <c r="N97" s="100">
        <v>9</v>
      </c>
      <c r="O97" s="100">
        <v>3531.6</v>
      </c>
      <c r="P97" s="100">
        <v>9.7340425531914878</v>
      </c>
      <c r="Q97" s="100">
        <v>3819.6382978723395</v>
      </c>
      <c r="R97" s="100">
        <v>9.6590909090909065</v>
      </c>
      <c r="S97" s="100">
        <v>3790.2272727272716</v>
      </c>
      <c r="T97" s="100">
        <v>10.680628272251308</v>
      </c>
      <c r="U97" s="100">
        <v>4191.0785340314133</v>
      </c>
      <c r="V97" s="100">
        <v>0</v>
      </c>
      <c r="W97" s="100">
        <v>0</v>
      </c>
      <c r="X97" s="100">
        <v>9.9512195121951201</v>
      </c>
      <c r="Y97" s="100">
        <v>3904.8585365853651</v>
      </c>
      <c r="Z97" s="100">
        <v>11</v>
      </c>
      <c r="AA97" s="100">
        <v>4316.3999999999996</v>
      </c>
      <c r="AB97" s="100">
        <v>0.12631578947368421</v>
      </c>
      <c r="AC97" s="100">
        <v>49.566315789473684</v>
      </c>
      <c r="AD97" s="100">
        <v>0</v>
      </c>
      <c r="AE97" s="100">
        <v>0</v>
      </c>
      <c r="AF97" s="100">
        <v>8.4577114427860689</v>
      </c>
      <c r="AG97" s="100">
        <v>3318.8059701492534</v>
      </c>
      <c r="AH97" s="100">
        <v>9.3150684931506849</v>
      </c>
      <c r="AI97" s="100">
        <v>3655.2328767123286</v>
      </c>
      <c r="AJ97" s="100">
        <v>9.3969849246231139</v>
      </c>
      <c r="AK97" s="100">
        <v>3687.3768844221095</v>
      </c>
      <c r="AL97" s="100">
        <v>0.92823570250636456</v>
      </c>
      <c r="AM97" s="100">
        <v>364.23968966349742</v>
      </c>
      <c r="AN97" s="100">
        <v>9</v>
      </c>
      <c r="AO97" s="100">
        <v>3531.6</v>
      </c>
      <c r="AP97" s="100">
        <v>8.0555555555555536</v>
      </c>
      <c r="AQ97" s="100">
        <v>3160.9999999999991</v>
      </c>
      <c r="AR97" s="100">
        <v>11</v>
      </c>
      <c r="AS97" s="100">
        <v>4316.3999999999996</v>
      </c>
      <c r="AT97" s="100">
        <v>7.554945054945053</v>
      </c>
      <c r="AU97" s="100">
        <v>2964.5604395604387</v>
      </c>
      <c r="AV97" s="100">
        <v>11</v>
      </c>
      <c r="AW97" s="100">
        <v>4316.3999999999996</v>
      </c>
      <c r="AX97" s="100">
        <v>11</v>
      </c>
      <c r="AY97" s="100">
        <v>4316.3999999999996</v>
      </c>
      <c r="AZ97" s="100">
        <v>12</v>
      </c>
      <c r="BA97" s="100">
        <v>4708.7999999999993</v>
      </c>
      <c r="BB97" s="100">
        <v>7.1961403052367539</v>
      </c>
      <c r="BC97" s="100">
        <v>2823.765455774902</v>
      </c>
      <c r="BD97" s="100">
        <v>6.7892092012029147E-22</v>
      </c>
      <c r="BE97" s="100">
        <v>2.6640856905520238E-19</v>
      </c>
      <c r="BF97" s="100">
        <v>5.0185510637803954E-22</v>
      </c>
      <c r="BG97" s="100">
        <v>1.9692794374274271E-19</v>
      </c>
      <c r="BH97" s="100">
        <v>6.1135751494425381E-22</v>
      </c>
      <c r="BI97" s="100">
        <v>2.398966888641252E-19</v>
      </c>
      <c r="BJ97" s="100">
        <v>6.0776129426811116E-22</v>
      </c>
      <c r="BK97" s="100">
        <v>2.3848553187080682E-19</v>
      </c>
      <c r="BL97" s="100">
        <v>8.5955056179775262</v>
      </c>
      <c r="BM97" s="100">
        <v>3372.8764044943809</v>
      </c>
      <c r="BN97" s="100">
        <v>9.4444444444444446</v>
      </c>
      <c r="BO97" s="100">
        <v>3706</v>
      </c>
      <c r="BP97" s="100">
        <v>7</v>
      </c>
      <c r="BQ97" s="100">
        <v>2746.7999999999997</v>
      </c>
      <c r="BR97" s="100">
        <v>9.4931506849315053</v>
      </c>
      <c r="BS97" s="100">
        <v>3725.1123287671226</v>
      </c>
      <c r="BT97" s="100">
        <v>10.375586854460092</v>
      </c>
      <c r="BU97" s="100">
        <v>4071.3802816901398</v>
      </c>
      <c r="BV97" s="100">
        <v>7.4725274725274735</v>
      </c>
      <c r="BW97" s="100">
        <v>2932.2197802197807</v>
      </c>
      <c r="BX97" s="100">
        <v>9.6045197740112975</v>
      </c>
      <c r="BY97" s="100">
        <v>3768.8135593220331</v>
      </c>
      <c r="BZ97" s="100">
        <v>7</v>
      </c>
      <c r="CA97" s="100">
        <v>2746.7999999999997</v>
      </c>
      <c r="CB97" s="100">
        <v>9.8727272727272712</v>
      </c>
      <c r="CC97" s="100">
        <v>3874.0581818181809</v>
      </c>
      <c r="CD97" s="100">
        <v>9.2307692307692317</v>
      </c>
      <c r="CE97" s="100">
        <v>3622.1538461538462</v>
      </c>
      <c r="CF97" s="100">
        <v>9.9999999999999982</v>
      </c>
      <c r="CG97" s="100">
        <v>3923.9999999999991</v>
      </c>
      <c r="CH97" s="100">
        <v>1.4744713911372396</v>
      </c>
      <c r="CI97" s="100">
        <v>578.58257388225275</v>
      </c>
      <c r="CJ97" s="100">
        <v>8</v>
      </c>
      <c r="CK97" s="100">
        <v>3139.2</v>
      </c>
      <c r="CL97" s="100">
        <v>11</v>
      </c>
      <c r="CM97" s="100">
        <v>4316.3999999999996</v>
      </c>
      <c r="CN97" s="100">
        <v>14</v>
      </c>
      <c r="CO97" s="100">
        <v>5493.5999999999995</v>
      </c>
      <c r="CP97" s="100">
        <v>3.3631578947368395</v>
      </c>
      <c r="CQ97" s="100">
        <v>1319.7031578947358</v>
      </c>
      <c r="CR97" s="100">
        <v>12</v>
      </c>
      <c r="CS97" s="100">
        <v>4708.7999999999993</v>
      </c>
      <c r="CT97" s="100">
        <v>8.4753363228699534</v>
      </c>
      <c r="CU97" s="100">
        <v>3325.7219730941697</v>
      </c>
    </row>
    <row r="98" spans="2:99">
      <c r="C98" s="99" t="s">
        <v>264</v>
      </c>
      <c r="D98" s="100">
        <v>6.997186919832493</v>
      </c>
      <c r="E98" s="100">
        <v>3677.7214450639585</v>
      </c>
      <c r="F98" s="100">
        <v>0.75550905896305565</v>
      </c>
      <c r="G98" s="100">
        <v>397.09556139098208</v>
      </c>
      <c r="H98" s="100">
        <v>8.7981395990919591</v>
      </c>
      <c r="I98" s="100">
        <v>4624.3021732827337</v>
      </c>
      <c r="J98" s="100">
        <v>8.0952380952380931</v>
      </c>
      <c r="K98" s="100">
        <v>4254.8571428571422</v>
      </c>
      <c r="L98" s="100">
        <v>8.0952380952380949</v>
      </c>
      <c r="M98" s="100">
        <v>4254.8571428571431</v>
      </c>
      <c r="N98" s="100">
        <v>9</v>
      </c>
      <c r="O98" s="100">
        <v>4730.4000000000005</v>
      </c>
      <c r="P98" s="100">
        <v>9.7340425531914878</v>
      </c>
      <c r="Q98" s="100">
        <v>5116.2127659574462</v>
      </c>
      <c r="R98" s="100">
        <v>8.6931818181818166</v>
      </c>
      <c r="S98" s="100">
        <v>4569.1363636363631</v>
      </c>
      <c r="T98" s="100">
        <v>10.680628272251308</v>
      </c>
      <c r="U98" s="100">
        <v>5613.7382198952882</v>
      </c>
      <c r="V98" s="100">
        <v>0</v>
      </c>
      <c r="W98" s="100">
        <v>0</v>
      </c>
      <c r="X98" s="100">
        <v>9.1219512195121926</v>
      </c>
      <c r="Y98" s="100">
        <v>4794.4975609756084</v>
      </c>
      <c r="Z98" s="100">
        <v>10</v>
      </c>
      <c r="AA98" s="100">
        <v>5256</v>
      </c>
      <c r="AB98" s="100">
        <v>0.14210526315789473</v>
      </c>
      <c r="AC98" s="100">
        <v>74.690526315789469</v>
      </c>
      <c r="AD98" s="100">
        <v>0</v>
      </c>
      <c r="AE98" s="100">
        <v>0</v>
      </c>
      <c r="AF98" s="100">
        <v>7.6119402985074611</v>
      </c>
      <c r="AG98" s="100">
        <v>4000.8358208955219</v>
      </c>
      <c r="AH98" s="100">
        <v>9.3150684931506849</v>
      </c>
      <c r="AI98" s="100">
        <v>4896</v>
      </c>
      <c r="AJ98" s="100">
        <v>9.3969849246231139</v>
      </c>
      <c r="AK98" s="100">
        <v>4939.0552763819087</v>
      </c>
      <c r="AL98" s="100">
        <v>0.79563060214831238</v>
      </c>
      <c r="AM98" s="100">
        <v>418.18344448915303</v>
      </c>
      <c r="AN98" s="100">
        <v>8</v>
      </c>
      <c r="AO98" s="100">
        <v>4204.8</v>
      </c>
      <c r="AP98" s="100">
        <v>8.8611111111111089</v>
      </c>
      <c r="AQ98" s="100">
        <v>4657.3999999999987</v>
      </c>
      <c r="AR98" s="100">
        <v>12</v>
      </c>
      <c r="AS98" s="100">
        <v>6307.2000000000007</v>
      </c>
      <c r="AT98" s="100">
        <v>6.8681318681318668</v>
      </c>
      <c r="AU98" s="100">
        <v>3609.8901098901092</v>
      </c>
      <c r="AV98" s="100">
        <v>11</v>
      </c>
      <c r="AW98" s="100">
        <v>5781.6</v>
      </c>
      <c r="AX98" s="100">
        <v>13</v>
      </c>
      <c r="AY98" s="100">
        <v>6832.8</v>
      </c>
      <c r="AZ98" s="100">
        <v>11</v>
      </c>
      <c r="BA98" s="100">
        <v>5781.6</v>
      </c>
      <c r="BB98" s="100">
        <v>7.1961403052367539</v>
      </c>
      <c r="BC98" s="100">
        <v>3782.2913444324381</v>
      </c>
      <c r="BD98" s="100">
        <v>6.7892092012029147E-22</v>
      </c>
      <c r="BE98" s="100">
        <v>3.5684083561522522E-19</v>
      </c>
      <c r="BF98" s="100">
        <v>6.2731888297254947E-22</v>
      </c>
      <c r="BG98" s="100">
        <v>3.2971880489037204E-19</v>
      </c>
      <c r="BH98" s="100">
        <v>5.4342890217267009E-22</v>
      </c>
      <c r="BI98" s="100">
        <v>2.8562623098195543E-19</v>
      </c>
      <c r="BJ98" s="100">
        <v>6.0776129426811116E-22</v>
      </c>
      <c r="BK98" s="100">
        <v>3.1943933626731922E-19</v>
      </c>
      <c r="BL98" s="100">
        <v>8.5955056179775262</v>
      </c>
      <c r="BM98" s="100">
        <v>4517.7977528089878</v>
      </c>
      <c r="BN98" s="100">
        <v>11.161616161616163</v>
      </c>
      <c r="BO98" s="100">
        <v>5866.545454545455</v>
      </c>
      <c r="BP98" s="100">
        <v>8</v>
      </c>
      <c r="BQ98" s="100">
        <v>4204.8</v>
      </c>
      <c r="BR98" s="100">
        <v>8.6301369863013679</v>
      </c>
      <c r="BS98" s="100">
        <v>4535.9999999999991</v>
      </c>
      <c r="BT98" s="100">
        <v>10.375586854460092</v>
      </c>
      <c r="BU98" s="100">
        <v>5453.4084507042244</v>
      </c>
      <c r="BV98" s="100">
        <v>7.4725274725274735</v>
      </c>
      <c r="BW98" s="100">
        <v>3927.56043956044</v>
      </c>
      <c r="BX98" s="100">
        <v>7.683615819209038</v>
      </c>
      <c r="BY98" s="100">
        <v>4038.5084745762706</v>
      </c>
      <c r="BZ98" s="100">
        <v>7</v>
      </c>
      <c r="CA98" s="100">
        <v>3679.2000000000003</v>
      </c>
      <c r="CB98" s="100">
        <v>9.0499999999999989</v>
      </c>
      <c r="CC98" s="100">
        <v>4756.6799999999994</v>
      </c>
      <c r="CD98" s="100">
        <v>8.4615384615384617</v>
      </c>
      <c r="CE98" s="100">
        <v>4447.3846153846152</v>
      </c>
      <c r="CF98" s="100">
        <v>9.9999999999999982</v>
      </c>
      <c r="CG98" s="100">
        <v>5255.9999999999991</v>
      </c>
      <c r="CH98" s="100">
        <v>1.3515987752091363</v>
      </c>
      <c r="CI98" s="100">
        <v>710.40031624992207</v>
      </c>
      <c r="CJ98" s="100">
        <v>8</v>
      </c>
      <c r="CK98" s="100">
        <v>4204.8</v>
      </c>
      <c r="CL98" s="100">
        <v>11</v>
      </c>
      <c r="CM98" s="100">
        <v>5781.6</v>
      </c>
      <c r="CN98" s="100">
        <v>14</v>
      </c>
      <c r="CO98" s="100">
        <v>7358.4000000000005</v>
      </c>
      <c r="CP98" s="100">
        <v>3.7368421052631549</v>
      </c>
      <c r="CQ98" s="100">
        <v>1964.0842105263143</v>
      </c>
      <c r="CR98" s="100">
        <v>13</v>
      </c>
      <c r="CS98" s="100">
        <v>6832.8</v>
      </c>
      <c r="CT98" s="100">
        <v>7.3452914798206264</v>
      </c>
      <c r="CU98" s="100">
        <v>3860.6852017937213</v>
      </c>
    </row>
    <row r="99" spans="2:99">
      <c r="C99" s="99" t="s">
        <v>265</v>
      </c>
      <c r="D99" s="100">
        <v>5.9975887884278514</v>
      </c>
      <c r="E99" s="100">
        <v>25240.252657219768</v>
      </c>
      <c r="F99" s="100">
        <v>0.6868264172391414</v>
      </c>
      <c r="G99" s="100">
        <v>2890.4402943092023</v>
      </c>
      <c r="H99" s="100">
        <v>7.9183256391827639</v>
      </c>
      <c r="I99" s="100">
        <v>33323.481619936741</v>
      </c>
      <c r="J99" s="100">
        <v>8.0952380952380931</v>
      </c>
      <c r="K99" s="100">
        <v>34067.999999999985</v>
      </c>
      <c r="L99" s="100">
        <v>6.2962962962962958</v>
      </c>
      <c r="M99" s="100">
        <v>26497.333333333328</v>
      </c>
      <c r="N99" s="100">
        <v>7</v>
      </c>
      <c r="O99" s="100">
        <v>29458.799999999996</v>
      </c>
      <c r="P99" s="100">
        <v>8.7606382978723385</v>
      </c>
      <c r="Q99" s="100">
        <v>36868.270212765943</v>
      </c>
      <c r="R99" s="100">
        <v>7.7272727272727266</v>
      </c>
      <c r="S99" s="100">
        <v>32519.45454545454</v>
      </c>
      <c r="T99" s="100">
        <v>8.9005235602094235</v>
      </c>
      <c r="U99" s="100">
        <v>37456.963350785336</v>
      </c>
      <c r="V99" s="100">
        <v>0</v>
      </c>
      <c r="W99" s="100">
        <v>0</v>
      </c>
      <c r="X99" s="100">
        <v>7.4634146341463401</v>
      </c>
      <c r="Y99" s="100">
        <v>31409.034146341455</v>
      </c>
      <c r="Z99" s="100">
        <v>9</v>
      </c>
      <c r="AA99" s="100">
        <v>37875.599999999999</v>
      </c>
      <c r="AB99" s="100">
        <v>9.4736842105263161E-2</v>
      </c>
      <c r="AC99" s="100">
        <v>398.69052631578944</v>
      </c>
      <c r="AD99" s="100">
        <v>0</v>
      </c>
      <c r="AE99" s="100">
        <v>0</v>
      </c>
      <c r="AF99" s="100">
        <v>5.9203980099502482</v>
      </c>
      <c r="AG99" s="100">
        <v>24915.402985074623</v>
      </c>
      <c r="AH99" s="100">
        <v>7.7625570776255701</v>
      </c>
      <c r="AI99" s="100">
        <v>32667.945205479446</v>
      </c>
      <c r="AJ99" s="100">
        <v>8.5427135678391952</v>
      </c>
      <c r="AK99" s="100">
        <v>35951.155778894463</v>
      </c>
      <c r="AL99" s="100">
        <v>0.79563060214831238</v>
      </c>
      <c r="AM99" s="100">
        <v>3348.3318260809574</v>
      </c>
      <c r="AN99" s="100">
        <v>7</v>
      </c>
      <c r="AO99" s="100">
        <v>29458.799999999996</v>
      </c>
      <c r="AP99" s="100">
        <v>6.4444444444444438</v>
      </c>
      <c r="AQ99" s="100">
        <v>27120.799999999996</v>
      </c>
      <c r="AR99" s="100">
        <v>9</v>
      </c>
      <c r="AS99" s="100">
        <v>37875.599999999999</v>
      </c>
      <c r="AT99" s="100">
        <v>6.1813186813186798</v>
      </c>
      <c r="AU99" s="100">
        <v>26013.461538461528</v>
      </c>
      <c r="AV99" s="100">
        <v>9</v>
      </c>
      <c r="AW99" s="100">
        <v>37875.599999999999</v>
      </c>
      <c r="AX99" s="100">
        <v>10</v>
      </c>
      <c r="AY99" s="100">
        <v>42084</v>
      </c>
      <c r="AZ99" s="100">
        <v>11</v>
      </c>
      <c r="BA99" s="100">
        <v>46292.399999999994</v>
      </c>
      <c r="BB99" s="100">
        <v>6.2966227670821588</v>
      </c>
      <c r="BC99" s="100">
        <v>26498.707252988555</v>
      </c>
      <c r="BD99" s="100">
        <v>5.5548075282569298E-22</v>
      </c>
      <c r="BE99" s="100">
        <v>2.3376852001916462E-18</v>
      </c>
      <c r="BF99" s="100">
        <v>5.0185510637803954E-22</v>
      </c>
      <c r="BG99" s="100">
        <v>2.1120070296813415E-18</v>
      </c>
      <c r="BH99" s="100">
        <v>4.7550028940108636E-22</v>
      </c>
      <c r="BI99" s="100">
        <v>2.0010954179155318E-18</v>
      </c>
      <c r="BJ99" s="100">
        <v>5.4023226157165432E-22</v>
      </c>
      <c r="BK99" s="100">
        <v>2.2735134495981497E-18</v>
      </c>
      <c r="BL99" s="100">
        <v>5.7303370786516838</v>
      </c>
      <c r="BM99" s="100">
        <v>24115.550561797743</v>
      </c>
      <c r="BN99" s="100">
        <v>8.5858585858585865</v>
      </c>
      <c r="BO99" s="100">
        <v>36132.727272727272</v>
      </c>
      <c r="BP99" s="100">
        <v>7</v>
      </c>
      <c r="BQ99" s="100">
        <v>29458.799999999996</v>
      </c>
      <c r="BR99" s="100">
        <v>7.7671232876712315</v>
      </c>
      <c r="BS99" s="100">
        <v>32687.161643835607</v>
      </c>
      <c r="BT99" s="100">
        <v>7.9812206572769933</v>
      </c>
      <c r="BU99" s="100">
        <v>33588.169014084495</v>
      </c>
      <c r="BV99" s="100">
        <v>5.6043956043956049</v>
      </c>
      <c r="BW99" s="100">
        <v>23585.538461538461</v>
      </c>
      <c r="BX99" s="100">
        <v>6.7231638418079092</v>
      </c>
      <c r="BY99" s="100">
        <v>28293.762711864401</v>
      </c>
      <c r="BZ99" s="100">
        <v>7</v>
      </c>
      <c r="CA99" s="100">
        <v>29458.799999999996</v>
      </c>
      <c r="CB99" s="100">
        <v>9.0499999999999989</v>
      </c>
      <c r="CC99" s="100">
        <v>38086.01999999999</v>
      </c>
      <c r="CD99" s="100">
        <v>6.9230769230769234</v>
      </c>
      <c r="CE99" s="100">
        <v>29135.076923076922</v>
      </c>
      <c r="CF99" s="100">
        <v>8.1818181818181799</v>
      </c>
      <c r="CG99" s="100">
        <v>34432.363636363625</v>
      </c>
      <c r="CH99" s="100">
        <v>1.1058535433529297</v>
      </c>
      <c r="CI99" s="100">
        <v>4653.8740518464692</v>
      </c>
      <c r="CJ99" s="100">
        <v>6</v>
      </c>
      <c r="CK99" s="100">
        <v>25250.399999999998</v>
      </c>
      <c r="CL99" s="100">
        <v>9</v>
      </c>
      <c r="CM99" s="100">
        <v>37875.599999999999</v>
      </c>
      <c r="CN99" s="100">
        <v>11</v>
      </c>
      <c r="CO99" s="100">
        <v>46292.399999999994</v>
      </c>
      <c r="CP99" s="100">
        <v>2.9894736842105241</v>
      </c>
      <c r="CQ99" s="100">
        <v>12580.901052631569</v>
      </c>
      <c r="CR99" s="100">
        <v>12</v>
      </c>
      <c r="CS99" s="100">
        <v>50500.799999999996</v>
      </c>
      <c r="CT99" s="100">
        <v>5.6502242152466353</v>
      </c>
      <c r="CU99" s="100">
        <v>23778.40358744394</v>
      </c>
    </row>
    <row r="100" spans="2:99">
      <c r="C100" s="99" t="s">
        <v>266</v>
      </c>
      <c r="D100" s="100">
        <v>7.9967850512371355</v>
      </c>
      <c r="E100" s="100">
        <v>2590.9583566008318</v>
      </c>
      <c r="F100" s="100">
        <v>0.89287434241088393</v>
      </c>
      <c r="G100" s="100">
        <v>289.29128694112637</v>
      </c>
      <c r="H100" s="100">
        <v>9.6779535590011552</v>
      </c>
      <c r="I100" s="100">
        <v>3135.6569531163741</v>
      </c>
      <c r="J100" s="100">
        <v>8.0952380952380931</v>
      </c>
      <c r="K100" s="100">
        <v>2622.8571428571422</v>
      </c>
      <c r="L100" s="100">
        <v>7.1957671957671954</v>
      </c>
      <c r="M100" s="100">
        <v>2331.4285714285711</v>
      </c>
      <c r="N100" s="100">
        <v>8</v>
      </c>
      <c r="O100" s="100">
        <v>2592</v>
      </c>
      <c r="P100" s="100">
        <v>8.7606382978723385</v>
      </c>
      <c r="Q100" s="100">
        <v>2838.4468085106378</v>
      </c>
      <c r="R100" s="100">
        <v>8.6931818181818166</v>
      </c>
      <c r="S100" s="100">
        <v>2816.5909090909086</v>
      </c>
      <c r="T100" s="100">
        <v>10.680628272251308</v>
      </c>
      <c r="U100" s="100">
        <v>3460.523560209424</v>
      </c>
      <c r="V100" s="100">
        <v>0</v>
      </c>
      <c r="W100" s="100">
        <v>0</v>
      </c>
      <c r="X100" s="100">
        <v>9.9512195121951201</v>
      </c>
      <c r="Y100" s="100">
        <v>3224.1951219512189</v>
      </c>
      <c r="Z100" s="100">
        <v>11</v>
      </c>
      <c r="AA100" s="100">
        <v>3564</v>
      </c>
      <c r="AB100" s="100">
        <v>0.12631578947368421</v>
      </c>
      <c r="AC100" s="100">
        <v>40.926315789473684</v>
      </c>
      <c r="AD100" s="100">
        <v>0</v>
      </c>
      <c r="AE100" s="100">
        <v>0</v>
      </c>
      <c r="AF100" s="100">
        <v>6.7661691542288542</v>
      </c>
      <c r="AG100" s="100">
        <v>2192.2388059701489</v>
      </c>
      <c r="AH100" s="100">
        <v>7.7625570776255701</v>
      </c>
      <c r="AI100" s="100">
        <v>2515.0684931506848</v>
      </c>
      <c r="AJ100" s="100">
        <v>8.5427135678391952</v>
      </c>
      <c r="AK100" s="100">
        <v>2767.8391959798992</v>
      </c>
      <c r="AL100" s="100">
        <v>0.79563060214831238</v>
      </c>
      <c r="AM100" s="100">
        <v>257.78431509605321</v>
      </c>
      <c r="AN100" s="100">
        <v>8</v>
      </c>
      <c r="AO100" s="100">
        <v>2592</v>
      </c>
      <c r="AP100" s="100">
        <v>8.0555555555555536</v>
      </c>
      <c r="AQ100" s="100">
        <v>2609.9999999999995</v>
      </c>
      <c r="AR100" s="100">
        <v>12</v>
      </c>
      <c r="AS100" s="100">
        <v>3888</v>
      </c>
      <c r="AT100" s="100">
        <v>7.554945054945053</v>
      </c>
      <c r="AU100" s="100">
        <v>2447.802197802197</v>
      </c>
      <c r="AV100" s="100">
        <v>11</v>
      </c>
      <c r="AW100" s="100">
        <v>3564</v>
      </c>
      <c r="AX100" s="100">
        <v>13</v>
      </c>
      <c r="AY100" s="100">
        <v>4212</v>
      </c>
      <c r="AZ100" s="100">
        <v>13</v>
      </c>
      <c r="BA100" s="100">
        <v>4212</v>
      </c>
      <c r="BB100" s="100">
        <v>7.1961403052367539</v>
      </c>
      <c r="BC100" s="100">
        <v>2331.5494588967081</v>
      </c>
      <c r="BD100" s="100">
        <v>6.1720083647299218E-22</v>
      </c>
      <c r="BE100" s="100">
        <v>1.9997307101724946E-19</v>
      </c>
      <c r="BF100" s="100">
        <v>6.2731888297254947E-22</v>
      </c>
      <c r="BG100" s="100">
        <v>2.0325131808310604E-19</v>
      </c>
      <c r="BH100" s="100">
        <v>5.4342890217267009E-22</v>
      </c>
      <c r="BI100" s="100">
        <v>1.7607096430394512E-19</v>
      </c>
      <c r="BJ100" s="100">
        <v>6.0776129426811116E-22</v>
      </c>
      <c r="BK100" s="100">
        <v>1.9691465934286802E-19</v>
      </c>
      <c r="BL100" s="100">
        <v>8.5955056179775262</v>
      </c>
      <c r="BM100" s="100">
        <v>2784.9438202247184</v>
      </c>
      <c r="BN100" s="100">
        <v>11.161616161616163</v>
      </c>
      <c r="BO100" s="100">
        <v>3616.3636363636365</v>
      </c>
      <c r="BP100" s="100">
        <v>9</v>
      </c>
      <c r="BQ100" s="100">
        <v>2916</v>
      </c>
      <c r="BR100" s="100">
        <v>8.6301369863013679</v>
      </c>
      <c r="BS100" s="100">
        <v>2796.1643835616433</v>
      </c>
      <c r="BT100" s="100">
        <v>11.173708920187792</v>
      </c>
      <c r="BU100" s="100">
        <v>3620.2816901408446</v>
      </c>
      <c r="BV100" s="100">
        <v>6.5384615384615392</v>
      </c>
      <c r="BW100" s="100">
        <v>2118.4615384615386</v>
      </c>
      <c r="BX100" s="100">
        <v>8.6440677966101678</v>
      </c>
      <c r="BY100" s="100">
        <v>2800.6779661016944</v>
      </c>
      <c r="BZ100" s="100">
        <v>7</v>
      </c>
      <c r="CA100" s="100">
        <v>2268</v>
      </c>
      <c r="CB100" s="100">
        <v>9.0499999999999989</v>
      </c>
      <c r="CC100" s="100">
        <v>2932.2</v>
      </c>
      <c r="CD100" s="100">
        <v>8.4615384615384617</v>
      </c>
      <c r="CE100" s="100">
        <v>2741.5384615384614</v>
      </c>
      <c r="CF100" s="100">
        <v>10.909090909090908</v>
      </c>
      <c r="CG100" s="100">
        <v>3534.5454545454545</v>
      </c>
      <c r="CH100" s="100">
        <v>1.3515987752091363</v>
      </c>
      <c r="CI100" s="100">
        <v>437.91800316776016</v>
      </c>
      <c r="CJ100" s="100">
        <v>8</v>
      </c>
      <c r="CK100" s="100">
        <v>2592</v>
      </c>
      <c r="CL100" s="100">
        <v>12</v>
      </c>
      <c r="CM100" s="100">
        <v>3888</v>
      </c>
      <c r="CN100" s="100">
        <v>14</v>
      </c>
      <c r="CO100" s="100">
        <v>4536</v>
      </c>
      <c r="CP100" s="100">
        <v>3.7368421052631549</v>
      </c>
      <c r="CQ100" s="100">
        <v>1210.7368421052622</v>
      </c>
      <c r="CR100" s="100">
        <v>13</v>
      </c>
      <c r="CS100" s="100">
        <v>4212</v>
      </c>
      <c r="CT100" s="100">
        <v>7.3452914798206264</v>
      </c>
      <c r="CU100" s="100">
        <v>2379.874439461883</v>
      </c>
    </row>
    <row r="101" spans="2:99">
      <c r="C101" s="99" t="s">
        <v>267</v>
      </c>
      <c r="D101" s="100">
        <v>7.9967850512371355</v>
      </c>
      <c r="E101" s="100">
        <v>5786.4736630751913</v>
      </c>
      <c r="F101" s="100">
        <v>0.89287434241088393</v>
      </c>
      <c r="G101" s="100">
        <v>646.08387416851565</v>
      </c>
      <c r="H101" s="100">
        <v>8.7981395990919591</v>
      </c>
      <c r="I101" s="100">
        <v>6366.333813902942</v>
      </c>
      <c r="J101" s="100">
        <v>9.8941798941798922</v>
      </c>
      <c r="K101" s="100">
        <v>7159.4285714285706</v>
      </c>
      <c r="L101" s="100">
        <v>8.0952380952380949</v>
      </c>
      <c r="M101" s="100">
        <v>5857.7142857142853</v>
      </c>
      <c r="N101" s="100">
        <v>7</v>
      </c>
      <c r="O101" s="100">
        <v>5065.2</v>
      </c>
      <c r="P101" s="100">
        <v>8.7606382978723385</v>
      </c>
      <c r="Q101" s="100">
        <v>6339.1978723404245</v>
      </c>
      <c r="R101" s="100">
        <v>9.6590909090909065</v>
      </c>
      <c r="S101" s="100">
        <v>6989.3181818181802</v>
      </c>
      <c r="T101" s="100">
        <v>9.7905759162303667</v>
      </c>
      <c r="U101" s="100">
        <v>7084.4607329842938</v>
      </c>
      <c r="V101" s="100">
        <v>0</v>
      </c>
      <c r="W101" s="100">
        <v>0</v>
      </c>
      <c r="X101" s="100">
        <v>8.2926829268292668</v>
      </c>
      <c r="Y101" s="100">
        <v>6000.585365853658</v>
      </c>
      <c r="Z101" s="100">
        <v>10</v>
      </c>
      <c r="AA101" s="100">
        <v>7236</v>
      </c>
      <c r="AB101" s="100">
        <v>0.14210526315789473</v>
      </c>
      <c r="AC101" s="100">
        <v>102.82736842105264</v>
      </c>
      <c r="AD101" s="100">
        <v>0</v>
      </c>
      <c r="AE101" s="100">
        <v>0</v>
      </c>
      <c r="AF101" s="100">
        <v>7.6119402985074611</v>
      </c>
      <c r="AG101" s="100">
        <v>5507.9999999999991</v>
      </c>
      <c r="AH101" s="100">
        <v>9.3150684931506849</v>
      </c>
      <c r="AI101" s="100">
        <v>6740.3835616438355</v>
      </c>
      <c r="AJ101" s="100">
        <v>8.5427135678391952</v>
      </c>
      <c r="AK101" s="100">
        <v>6181.5075376884415</v>
      </c>
      <c r="AL101" s="100">
        <v>0.86193315232733847</v>
      </c>
      <c r="AM101" s="100">
        <v>623.69482902406219</v>
      </c>
      <c r="AN101" s="100">
        <v>9</v>
      </c>
      <c r="AO101" s="100">
        <v>6512.4000000000005</v>
      </c>
      <c r="AP101" s="100">
        <v>8.8611111111111089</v>
      </c>
      <c r="AQ101" s="100">
        <v>6411.8999999999987</v>
      </c>
      <c r="AR101" s="100">
        <v>13</v>
      </c>
      <c r="AS101" s="100">
        <v>9406.8000000000011</v>
      </c>
      <c r="AT101" s="100">
        <v>7.554945054945053</v>
      </c>
      <c r="AU101" s="100">
        <v>5466.7582417582407</v>
      </c>
      <c r="AV101" s="100">
        <v>10</v>
      </c>
      <c r="AW101" s="100">
        <v>7236</v>
      </c>
      <c r="AX101" s="100">
        <v>12</v>
      </c>
      <c r="AY101" s="100">
        <v>8683.2000000000007</v>
      </c>
      <c r="AZ101" s="100">
        <v>13</v>
      </c>
      <c r="BA101" s="100">
        <v>9406.8000000000011</v>
      </c>
      <c r="BB101" s="100">
        <v>8.0956578433913471</v>
      </c>
      <c r="BC101" s="100">
        <v>5858.0180154779791</v>
      </c>
      <c r="BD101" s="100">
        <v>6.1720083647299218E-22</v>
      </c>
      <c r="BE101" s="100">
        <v>4.4660652527185715E-19</v>
      </c>
      <c r="BF101" s="100">
        <v>5.6458699467529446E-22</v>
      </c>
      <c r="BG101" s="100">
        <v>4.085351493470431E-19</v>
      </c>
      <c r="BH101" s="100">
        <v>5.4342890217267009E-22</v>
      </c>
      <c r="BI101" s="100">
        <v>3.9322515361214408E-19</v>
      </c>
      <c r="BJ101" s="100">
        <v>5.4023226157165432E-22</v>
      </c>
      <c r="BK101" s="100">
        <v>3.9091206447324909E-19</v>
      </c>
      <c r="BL101" s="100">
        <v>7.6404494382022454</v>
      </c>
      <c r="BM101" s="100">
        <v>5528.6292134831447</v>
      </c>
      <c r="BN101" s="100">
        <v>10.303030303030303</v>
      </c>
      <c r="BO101" s="100">
        <v>7455.272727272727</v>
      </c>
      <c r="BP101" s="100">
        <v>7</v>
      </c>
      <c r="BQ101" s="100">
        <v>5065.2</v>
      </c>
      <c r="BR101" s="100">
        <v>10.356164383561641</v>
      </c>
      <c r="BS101" s="100">
        <v>7493.7205479452032</v>
      </c>
      <c r="BT101" s="100">
        <v>9.5774647887323923</v>
      </c>
      <c r="BU101" s="100">
        <v>6930.2535211267596</v>
      </c>
      <c r="BV101" s="100">
        <v>7.4725274725274735</v>
      </c>
      <c r="BW101" s="100">
        <v>5407.1208791208801</v>
      </c>
      <c r="BX101" s="100">
        <v>8.6440677966101678</v>
      </c>
      <c r="BY101" s="100">
        <v>6254.8474576271174</v>
      </c>
      <c r="BZ101" s="100">
        <v>7</v>
      </c>
      <c r="CA101" s="100">
        <v>5065.2</v>
      </c>
      <c r="CB101" s="100">
        <v>9.8727272727272712</v>
      </c>
      <c r="CC101" s="100">
        <v>7143.9054545454537</v>
      </c>
      <c r="CD101" s="100">
        <v>8.4615384615384617</v>
      </c>
      <c r="CE101" s="100">
        <v>6122.7692307692314</v>
      </c>
      <c r="CF101" s="100">
        <v>10.909090909090908</v>
      </c>
      <c r="CG101" s="100">
        <v>7893.8181818181811</v>
      </c>
      <c r="CH101" s="100">
        <v>1.3515987752091363</v>
      </c>
      <c r="CI101" s="100">
        <v>978.0168737413311</v>
      </c>
      <c r="CJ101" s="100">
        <v>8</v>
      </c>
      <c r="CK101" s="100">
        <v>5788.8</v>
      </c>
      <c r="CL101" s="100">
        <v>12</v>
      </c>
      <c r="CM101" s="100">
        <v>8683.2000000000007</v>
      </c>
      <c r="CN101" s="100">
        <v>13</v>
      </c>
      <c r="CO101" s="100">
        <v>9406.8000000000011</v>
      </c>
      <c r="CP101" s="100">
        <v>3.7368421052631549</v>
      </c>
      <c r="CQ101" s="100">
        <v>2703.9789473684191</v>
      </c>
      <c r="CR101" s="100">
        <v>12</v>
      </c>
      <c r="CS101" s="100">
        <v>8683.2000000000007</v>
      </c>
      <c r="CT101" s="100">
        <v>7.3452914798206264</v>
      </c>
      <c r="CU101" s="100">
        <v>5315.0529147982052</v>
      </c>
    </row>
    <row r="102" spans="2:99">
      <c r="C102" s="99" t="s">
        <v>268</v>
      </c>
      <c r="D102" s="100">
        <v>7.9967850512371355</v>
      </c>
      <c r="E102" s="100">
        <v>4251.0909332376614</v>
      </c>
      <c r="F102" s="100">
        <v>0.89287434241088393</v>
      </c>
      <c r="G102" s="100">
        <v>474.65200042562594</v>
      </c>
      <c r="H102" s="100">
        <v>8.7981395990919591</v>
      </c>
      <c r="I102" s="100">
        <v>4677.091010877286</v>
      </c>
      <c r="J102" s="100">
        <v>8.9947089947089935</v>
      </c>
      <c r="K102" s="100">
        <v>4781.5873015873012</v>
      </c>
      <c r="L102" s="100">
        <v>8.0952380952380949</v>
      </c>
      <c r="M102" s="100">
        <v>4303.4285714285716</v>
      </c>
      <c r="N102" s="100">
        <v>8</v>
      </c>
      <c r="O102" s="100">
        <v>4252.8</v>
      </c>
      <c r="P102" s="100">
        <v>9.7340425531914878</v>
      </c>
      <c r="Q102" s="100">
        <v>5174.6170212765956</v>
      </c>
      <c r="R102" s="100">
        <v>9.6590909090909065</v>
      </c>
      <c r="S102" s="100">
        <v>5134.7727272727261</v>
      </c>
      <c r="T102" s="100">
        <v>10.680628272251308</v>
      </c>
      <c r="U102" s="100">
        <v>5677.8219895287957</v>
      </c>
      <c r="V102" s="100">
        <v>0</v>
      </c>
      <c r="W102" s="100">
        <v>0</v>
      </c>
      <c r="X102" s="100">
        <v>9.1219512195121926</v>
      </c>
      <c r="Y102" s="100">
        <v>4849.2292682926818</v>
      </c>
      <c r="Z102" s="100">
        <v>10</v>
      </c>
      <c r="AA102" s="100">
        <v>5316</v>
      </c>
      <c r="AB102" s="100">
        <v>0.14210526315789473</v>
      </c>
      <c r="AC102" s="100">
        <v>75.543157894736851</v>
      </c>
      <c r="AD102" s="100">
        <v>0</v>
      </c>
      <c r="AE102" s="100">
        <v>0</v>
      </c>
      <c r="AF102" s="100">
        <v>8.4577114427860689</v>
      </c>
      <c r="AG102" s="100">
        <v>4496.119402985074</v>
      </c>
      <c r="AH102" s="100">
        <v>8.5388127853881279</v>
      </c>
      <c r="AI102" s="100">
        <v>4539.232876712329</v>
      </c>
      <c r="AJ102" s="100">
        <v>9.3969849246231139</v>
      </c>
      <c r="AK102" s="100">
        <v>4995.437185929648</v>
      </c>
      <c r="AL102" s="100">
        <v>0.92823570250636456</v>
      </c>
      <c r="AM102" s="100">
        <v>493.45009945238343</v>
      </c>
      <c r="AN102" s="100">
        <v>9</v>
      </c>
      <c r="AO102" s="100">
        <v>4784.4000000000005</v>
      </c>
      <c r="AP102" s="100">
        <v>8.0555555555555536</v>
      </c>
      <c r="AQ102" s="100">
        <v>4282.3333333333321</v>
      </c>
      <c r="AR102" s="100">
        <v>11</v>
      </c>
      <c r="AS102" s="100">
        <v>5847.6</v>
      </c>
      <c r="AT102" s="100">
        <v>6.8681318681318668</v>
      </c>
      <c r="AU102" s="100">
        <v>3651.0989010989006</v>
      </c>
      <c r="AV102" s="100">
        <v>12</v>
      </c>
      <c r="AW102" s="100">
        <v>6379.2000000000007</v>
      </c>
      <c r="AX102" s="100">
        <v>12</v>
      </c>
      <c r="AY102" s="100">
        <v>6379.2000000000007</v>
      </c>
      <c r="AZ102" s="100">
        <v>12</v>
      </c>
      <c r="BA102" s="100">
        <v>6379.2000000000007</v>
      </c>
      <c r="BB102" s="100">
        <v>7.1961403052367539</v>
      </c>
      <c r="BC102" s="100">
        <v>3825.4681862638586</v>
      </c>
      <c r="BD102" s="100">
        <v>6.1720083647299218E-22</v>
      </c>
      <c r="BE102" s="100">
        <v>3.2810396466904265E-19</v>
      </c>
      <c r="BF102" s="100">
        <v>5.0185510637803954E-22</v>
      </c>
      <c r="BG102" s="100">
        <v>2.6678617455056585E-19</v>
      </c>
      <c r="BH102" s="100">
        <v>6.1135751494425381E-22</v>
      </c>
      <c r="BI102" s="100">
        <v>3.2499765494436533E-19</v>
      </c>
      <c r="BJ102" s="100">
        <v>6.752903269645679E-22</v>
      </c>
      <c r="BK102" s="100">
        <v>3.5898433781436433E-19</v>
      </c>
      <c r="BL102" s="100">
        <v>7.6404494382022454</v>
      </c>
      <c r="BM102" s="100">
        <v>4061.6629213483138</v>
      </c>
      <c r="BN102" s="100">
        <v>9.4444444444444446</v>
      </c>
      <c r="BO102" s="100">
        <v>5020.666666666667</v>
      </c>
      <c r="BP102" s="100">
        <v>8</v>
      </c>
      <c r="BQ102" s="100">
        <v>4252.8</v>
      </c>
      <c r="BR102" s="100">
        <v>8.6301369863013679</v>
      </c>
      <c r="BS102" s="100">
        <v>4587.7808219178078</v>
      </c>
      <c r="BT102" s="100">
        <v>10.375586854460092</v>
      </c>
      <c r="BU102" s="100">
        <v>5515.6619718309848</v>
      </c>
      <c r="BV102" s="100">
        <v>6.5384615384615392</v>
      </c>
      <c r="BW102" s="100">
        <v>3475.8461538461543</v>
      </c>
      <c r="BX102" s="100">
        <v>7.683615819209038</v>
      </c>
      <c r="BY102" s="100">
        <v>4084.6101694915246</v>
      </c>
      <c r="BZ102" s="100">
        <v>8</v>
      </c>
      <c r="CA102" s="100">
        <v>4252.8</v>
      </c>
      <c r="CB102" s="100">
        <v>9.0499999999999989</v>
      </c>
      <c r="CC102" s="100">
        <v>4810.9799999999996</v>
      </c>
      <c r="CD102" s="100">
        <v>9.2307692307692317</v>
      </c>
      <c r="CE102" s="100">
        <v>4907.0769230769238</v>
      </c>
      <c r="CF102" s="100">
        <v>9.9999999999999982</v>
      </c>
      <c r="CG102" s="100">
        <v>5315.9999999999991</v>
      </c>
      <c r="CH102" s="100">
        <v>1.228726159281033</v>
      </c>
      <c r="CI102" s="100">
        <v>653.19082627379714</v>
      </c>
      <c r="CJ102" s="100">
        <v>8</v>
      </c>
      <c r="CK102" s="100">
        <v>4252.8</v>
      </c>
      <c r="CL102" s="100">
        <v>10</v>
      </c>
      <c r="CM102" s="100">
        <v>5316</v>
      </c>
      <c r="CN102" s="100">
        <v>12</v>
      </c>
      <c r="CO102" s="100">
        <v>6379.2000000000007</v>
      </c>
      <c r="CP102" s="100">
        <v>3.7368421052631549</v>
      </c>
      <c r="CQ102" s="100">
        <v>1986.5052631578933</v>
      </c>
      <c r="CR102" s="100">
        <v>12</v>
      </c>
      <c r="CS102" s="100">
        <v>6379.2000000000007</v>
      </c>
      <c r="CT102" s="100">
        <v>7.3452914798206264</v>
      </c>
      <c r="CU102" s="100">
        <v>3904.756950672645</v>
      </c>
    </row>
    <row r="103" spans="2:99">
      <c r="C103" s="99" t="s">
        <v>269</v>
      </c>
      <c r="D103" s="100">
        <v>7.9967850512371355</v>
      </c>
      <c r="E103" s="100">
        <v>4711.7057521889201</v>
      </c>
      <c r="F103" s="100">
        <v>0.75550905896305565</v>
      </c>
      <c r="G103" s="100">
        <v>445.14593754103231</v>
      </c>
      <c r="H103" s="100">
        <v>8.7981395990919591</v>
      </c>
      <c r="I103" s="100">
        <v>5183.8638517849813</v>
      </c>
      <c r="J103" s="100">
        <v>8.9947089947089935</v>
      </c>
      <c r="K103" s="100">
        <v>5299.6825396825379</v>
      </c>
      <c r="L103" s="100">
        <v>8.0952380952380949</v>
      </c>
      <c r="M103" s="100">
        <v>4769.7142857142853</v>
      </c>
      <c r="N103" s="100">
        <v>8</v>
      </c>
      <c r="O103" s="100">
        <v>4713.5999999999995</v>
      </c>
      <c r="P103" s="100">
        <v>9.7340425531914878</v>
      </c>
      <c r="Q103" s="100">
        <v>5735.297872340424</v>
      </c>
      <c r="R103" s="100">
        <v>8.6931818181818166</v>
      </c>
      <c r="S103" s="100">
        <v>5122.0227272727261</v>
      </c>
      <c r="T103" s="100">
        <v>9.7905759162303667</v>
      </c>
      <c r="U103" s="100">
        <v>5768.607329842931</v>
      </c>
      <c r="V103" s="100">
        <v>0</v>
      </c>
      <c r="W103" s="100">
        <v>0</v>
      </c>
      <c r="X103" s="100">
        <v>9.9512195121951201</v>
      </c>
      <c r="Y103" s="100">
        <v>5863.2585365853638</v>
      </c>
      <c r="Z103" s="100">
        <v>10</v>
      </c>
      <c r="AA103" s="100">
        <v>5891.9999999999991</v>
      </c>
      <c r="AB103" s="100">
        <v>0.12631578947368421</v>
      </c>
      <c r="AC103" s="100">
        <v>74.425263157894733</v>
      </c>
      <c r="AD103" s="100">
        <v>0</v>
      </c>
      <c r="AE103" s="100">
        <v>0</v>
      </c>
      <c r="AF103" s="100">
        <v>8.4577114427860689</v>
      </c>
      <c r="AG103" s="100">
        <v>4983.2835820895516</v>
      </c>
      <c r="AH103" s="100">
        <v>9.3150684931506849</v>
      </c>
      <c r="AI103" s="100">
        <v>5488.4383561643826</v>
      </c>
      <c r="AJ103" s="100">
        <v>10.251256281407032</v>
      </c>
      <c r="AK103" s="100">
        <v>6040.0402010050229</v>
      </c>
      <c r="AL103" s="100">
        <v>0.86193315232733847</v>
      </c>
      <c r="AM103" s="100">
        <v>507.8510133512678</v>
      </c>
      <c r="AN103" s="100">
        <v>8</v>
      </c>
      <c r="AO103" s="100">
        <v>4713.5999999999995</v>
      </c>
      <c r="AP103" s="100">
        <v>8.0555555555555536</v>
      </c>
      <c r="AQ103" s="100">
        <v>4746.3333333333312</v>
      </c>
      <c r="AR103" s="100">
        <v>12</v>
      </c>
      <c r="AS103" s="100">
        <v>7070.4</v>
      </c>
      <c r="AT103" s="100">
        <v>7.554945054945053</v>
      </c>
      <c r="AU103" s="100">
        <v>4451.3736263736246</v>
      </c>
      <c r="AV103" s="100">
        <v>11</v>
      </c>
      <c r="AW103" s="100">
        <v>6481.1999999999989</v>
      </c>
      <c r="AX103" s="100">
        <v>12</v>
      </c>
      <c r="AY103" s="100">
        <v>7070.4</v>
      </c>
      <c r="AZ103" s="100">
        <v>12</v>
      </c>
      <c r="BA103" s="100">
        <v>7070.4</v>
      </c>
      <c r="BB103" s="100">
        <v>7.1961403052367539</v>
      </c>
      <c r="BC103" s="100">
        <v>4239.9658678454953</v>
      </c>
      <c r="BD103" s="100">
        <v>6.7892092012029147E-22</v>
      </c>
      <c r="BE103" s="100">
        <v>4.0002020613487569E-19</v>
      </c>
      <c r="BF103" s="100">
        <v>5.0185510637803954E-22</v>
      </c>
      <c r="BG103" s="100">
        <v>2.9569302867794086E-19</v>
      </c>
      <c r="BH103" s="100">
        <v>6.1135751494425381E-22</v>
      </c>
      <c r="BI103" s="100">
        <v>3.6021184780515433E-19</v>
      </c>
      <c r="BJ103" s="100">
        <v>6.0776129426811116E-22</v>
      </c>
      <c r="BK103" s="100">
        <v>3.5809295458277103E-19</v>
      </c>
      <c r="BL103" s="100">
        <v>7.6404494382022454</v>
      </c>
      <c r="BM103" s="100">
        <v>4501.7528089887628</v>
      </c>
      <c r="BN103" s="100">
        <v>11.161616161616163</v>
      </c>
      <c r="BO103" s="100">
        <v>6576.424242424242</v>
      </c>
      <c r="BP103" s="100">
        <v>8</v>
      </c>
      <c r="BQ103" s="100">
        <v>4713.5999999999995</v>
      </c>
      <c r="BR103" s="100">
        <v>9.4931506849315053</v>
      </c>
      <c r="BS103" s="100">
        <v>5593.3643835616422</v>
      </c>
      <c r="BT103" s="100">
        <v>9.5774647887323923</v>
      </c>
      <c r="BU103" s="100">
        <v>5643.0422535211246</v>
      </c>
      <c r="BV103" s="100">
        <v>6.5384615384615392</v>
      </c>
      <c r="BW103" s="100">
        <v>3852.4615384615386</v>
      </c>
      <c r="BX103" s="100">
        <v>7.683615819209038</v>
      </c>
      <c r="BY103" s="100">
        <v>4527.186440677965</v>
      </c>
      <c r="BZ103" s="100">
        <v>8</v>
      </c>
      <c r="CA103" s="100">
        <v>4713.5999999999995</v>
      </c>
      <c r="CB103" s="100">
        <v>9.0499999999999989</v>
      </c>
      <c r="CC103" s="100">
        <v>5332.2599999999984</v>
      </c>
      <c r="CD103" s="100">
        <v>9.2307692307692317</v>
      </c>
      <c r="CE103" s="100">
        <v>5438.7692307692305</v>
      </c>
      <c r="CF103" s="100">
        <v>9.9999999999999982</v>
      </c>
      <c r="CG103" s="100">
        <v>5891.9999999999982</v>
      </c>
      <c r="CH103" s="100">
        <v>1.3515987752091363</v>
      </c>
      <c r="CI103" s="100">
        <v>796.36199835322304</v>
      </c>
      <c r="CJ103" s="100">
        <v>8</v>
      </c>
      <c r="CK103" s="100">
        <v>4713.5999999999995</v>
      </c>
      <c r="CL103" s="100">
        <v>11</v>
      </c>
      <c r="CM103" s="100">
        <v>6481.1999999999989</v>
      </c>
      <c r="CN103" s="100">
        <v>13</v>
      </c>
      <c r="CO103" s="100">
        <v>7659.5999999999995</v>
      </c>
      <c r="CP103" s="100">
        <v>3.3631578947368395</v>
      </c>
      <c r="CQ103" s="100">
        <v>1981.5726315789457</v>
      </c>
      <c r="CR103" s="100">
        <v>14</v>
      </c>
      <c r="CS103" s="100">
        <v>8248.7999999999993</v>
      </c>
      <c r="CT103" s="100">
        <v>7.9103139013452894</v>
      </c>
      <c r="CU103" s="100">
        <v>4660.7569506726441</v>
      </c>
    </row>
    <row r="104" spans="2:99">
      <c r="C104" s="99" t="s">
        <v>270</v>
      </c>
      <c r="D104" s="100">
        <v>7.9967850512371355</v>
      </c>
      <c r="E104" s="100">
        <v>5057.1668664023646</v>
      </c>
      <c r="F104" s="100">
        <v>0.89287434241088393</v>
      </c>
      <c r="G104" s="100">
        <v>564.653734140643</v>
      </c>
      <c r="H104" s="100">
        <v>8.7981395990919591</v>
      </c>
      <c r="I104" s="100">
        <v>5563.9434824657546</v>
      </c>
      <c r="J104" s="100">
        <v>9.8941798941798922</v>
      </c>
      <c r="K104" s="100">
        <v>6257.0793650793639</v>
      </c>
      <c r="L104" s="100">
        <v>8.0952380952380949</v>
      </c>
      <c r="M104" s="100">
        <v>5119.4285714285706</v>
      </c>
      <c r="N104" s="100">
        <v>8</v>
      </c>
      <c r="O104" s="100">
        <v>5059.2</v>
      </c>
      <c r="P104" s="100">
        <v>8.7606382978723385</v>
      </c>
      <c r="Q104" s="100">
        <v>5540.227659574467</v>
      </c>
      <c r="R104" s="100">
        <v>8.6931818181818166</v>
      </c>
      <c r="S104" s="100">
        <v>5497.5681818181802</v>
      </c>
      <c r="T104" s="100">
        <v>8.9005235602094235</v>
      </c>
      <c r="U104" s="100">
        <v>5628.6910994764394</v>
      </c>
      <c r="V104" s="100">
        <v>0</v>
      </c>
      <c r="W104" s="100">
        <v>0</v>
      </c>
      <c r="X104" s="100">
        <v>9.1219512195121926</v>
      </c>
      <c r="Y104" s="100">
        <v>5768.7219512195106</v>
      </c>
      <c r="Z104" s="100">
        <v>10</v>
      </c>
      <c r="AA104" s="100">
        <v>6324</v>
      </c>
      <c r="AB104" s="100">
        <v>0.12631578947368421</v>
      </c>
      <c r="AC104" s="100">
        <v>79.882105263157897</v>
      </c>
      <c r="AD104" s="100">
        <v>0</v>
      </c>
      <c r="AE104" s="100">
        <v>0</v>
      </c>
      <c r="AF104" s="100">
        <v>7.6119402985074611</v>
      </c>
      <c r="AG104" s="100">
        <v>4813.7910447761178</v>
      </c>
      <c r="AH104" s="100">
        <v>7.7625570776255701</v>
      </c>
      <c r="AI104" s="100">
        <v>4909.0410958904104</v>
      </c>
      <c r="AJ104" s="100">
        <v>10.251256281407032</v>
      </c>
      <c r="AK104" s="100">
        <v>6482.8944723618069</v>
      </c>
      <c r="AL104" s="100">
        <v>0.79563060214831238</v>
      </c>
      <c r="AM104" s="100">
        <v>503.15679279859273</v>
      </c>
      <c r="AN104" s="100">
        <v>8</v>
      </c>
      <c r="AO104" s="100">
        <v>5059.2</v>
      </c>
      <c r="AP104" s="100">
        <v>8.8611111111111089</v>
      </c>
      <c r="AQ104" s="100">
        <v>5603.7666666666655</v>
      </c>
      <c r="AR104" s="100">
        <v>13</v>
      </c>
      <c r="AS104" s="100">
        <v>8221.1999999999989</v>
      </c>
      <c r="AT104" s="100">
        <v>6.8681318681318668</v>
      </c>
      <c r="AU104" s="100">
        <v>4343.406593406592</v>
      </c>
      <c r="AV104" s="100">
        <v>11</v>
      </c>
      <c r="AW104" s="100">
        <v>6956.4</v>
      </c>
      <c r="AX104" s="100">
        <v>12</v>
      </c>
      <c r="AY104" s="100">
        <v>7588.7999999999993</v>
      </c>
      <c r="AZ104" s="100">
        <v>12</v>
      </c>
      <c r="BA104" s="100">
        <v>7588.7999999999993</v>
      </c>
      <c r="BB104" s="100">
        <v>7.1961403052367539</v>
      </c>
      <c r="BC104" s="100">
        <v>4550.8391290317231</v>
      </c>
      <c r="BD104" s="100">
        <v>6.1720083647299218E-22</v>
      </c>
      <c r="BE104" s="100">
        <v>3.9031780898552026E-19</v>
      </c>
      <c r="BF104" s="100">
        <v>5.6458699467529446E-22</v>
      </c>
      <c r="BG104" s="100">
        <v>3.5704481543265622E-19</v>
      </c>
      <c r="BH104" s="100">
        <v>5.4342890217267009E-22</v>
      </c>
      <c r="BI104" s="100">
        <v>3.4366443773399657E-19</v>
      </c>
      <c r="BJ104" s="100">
        <v>6.0776129426811116E-22</v>
      </c>
      <c r="BK104" s="100">
        <v>3.8434824249515347E-19</v>
      </c>
      <c r="BL104" s="100">
        <v>8.5955056179775262</v>
      </c>
      <c r="BM104" s="100">
        <v>5435.7977528089878</v>
      </c>
      <c r="BN104" s="100">
        <v>10.303030303030303</v>
      </c>
      <c r="BO104" s="100">
        <v>6515.6363636363631</v>
      </c>
      <c r="BP104" s="100">
        <v>7</v>
      </c>
      <c r="BQ104" s="100">
        <v>4426.8</v>
      </c>
      <c r="BR104" s="100">
        <v>9.4931506849315053</v>
      </c>
      <c r="BS104" s="100">
        <v>6003.4684931506836</v>
      </c>
      <c r="BT104" s="100">
        <v>9.5774647887323923</v>
      </c>
      <c r="BU104" s="100">
        <v>6056.7887323943651</v>
      </c>
      <c r="BV104" s="100">
        <v>6.5384615384615392</v>
      </c>
      <c r="BW104" s="100">
        <v>4134.9230769230771</v>
      </c>
      <c r="BX104" s="100">
        <v>8.6440677966101678</v>
      </c>
      <c r="BY104" s="100">
        <v>5466.5084745762697</v>
      </c>
      <c r="BZ104" s="100">
        <v>7</v>
      </c>
      <c r="CA104" s="100">
        <v>4426.8</v>
      </c>
      <c r="CB104" s="100">
        <v>9.8727272727272712</v>
      </c>
      <c r="CC104" s="100">
        <v>6243.5127272727259</v>
      </c>
      <c r="CD104" s="100">
        <v>7.6923076923076925</v>
      </c>
      <c r="CE104" s="100">
        <v>4864.6153846153848</v>
      </c>
      <c r="CF104" s="100">
        <v>10.909090909090908</v>
      </c>
      <c r="CG104" s="100">
        <v>6898.9090909090901</v>
      </c>
      <c r="CH104" s="100">
        <v>1.3515987752091363</v>
      </c>
      <c r="CI104" s="100">
        <v>854.75106544225775</v>
      </c>
      <c r="CJ104" s="100">
        <v>8</v>
      </c>
      <c r="CK104" s="100">
        <v>5059.2</v>
      </c>
      <c r="CL104" s="100">
        <v>12</v>
      </c>
      <c r="CM104" s="100">
        <v>7588.7999999999993</v>
      </c>
      <c r="CN104" s="100">
        <v>14</v>
      </c>
      <c r="CO104" s="100">
        <v>8853.6</v>
      </c>
      <c r="CP104" s="100">
        <v>3.7368421052631549</v>
      </c>
      <c r="CQ104" s="100">
        <v>2363.1789473684189</v>
      </c>
      <c r="CR104" s="100">
        <v>14</v>
      </c>
      <c r="CS104" s="100">
        <v>8853.6</v>
      </c>
      <c r="CT104" s="100">
        <v>7.9103139013452894</v>
      </c>
      <c r="CU104" s="100">
        <v>5002.482511210761</v>
      </c>
    </row>
    <row r="105" spans="2:99">
      <c r="C105" s="99" t="s">
        <v>271</v>
      </c>
      <c r="D105" s="100">
        <v>7.9967850512371355</v>
      </c>
      <c r="E105" s="100">
        <v>4452.6099165288369</v>
      </c>
      <c r="F105" s="100">
        <v>0.89287434241088393</v>
      </c>
      <c r="G105" s="100">
        <v>497.15243385438015</v>
      </c>
      <c r="H105" s="100">
        <v>9.6779535590011552</v>
      </c>
      <c r="I105" s="100">
        <v>5388.6845416518427</v>
      </c>
      <c r="J105" s="100">
        <v>8.0952380952380931</v>
      </c>
      <c r="K105" s="100">
        <v>4507.4285714285697</v>
      </c>
      <c r="L105" s="100">
        <v>8.9947089947089935</v>
      </c>
      <c r="M105" s="100">
        <v>5008.2539682539673</v>
      </c>
      <c r="N105" s="100">
        <v>8</v>
      </c>
      <c r="O105" s="100">
        <v>4454.3999999999996</v>
      </c>
      <c r="P105" s="100">
        <v>9.7340425531914878</v>
      </c>
      <c r="Q105" s="100">
        <v>5419.9148936170204</v>
      </c>
      <c r="R105" s="100">
        <v>8.6931818181818166</v>
      </c>
      <c r="S105" s="100">
        <v>4840.3636363636351</v>
      </c>
      <c r="T105" s="100">
        <v>9.7905759162303667</v>
      </c>
      <c r="U105" s="100">
        <v>5451.3926701570681</v>
      </c>
      <c r="V105" s="100">
        <v>0</v>
      </c>
      <c r="W105" s="100">
        <v>0</v>
      </c>
      <c r="X105" s="100">
        <v>9.9512195121951201</v>
      </c>
      <c r="Y105" s="100">
        <v>5540.8390243902422</v>
      </c>
      <c r="Z105" s="100">
        <v>10</v>
      </c>
      <c r="AA105" s="100">
        <v>5568</v>
      </c>
      <c r="AB105" s="100">
        <v>0.14210526315789473</v>
      </c>
      <c r="AC105" s="100">
        <v>79.124210526315778</v>
      </c>
      <c r="AD105" s="100">
        <v>0</v>
      </c>
      <c r="AE105" s="100">
        <v>0</v>
      </c>
      <c r="AF105" s="100">
        <v>7.6119402985074611</v>
      </c>
      <c r="AG105" s="100">
        <v>4238.3283582089543</v>
      </c>
      <c r="AH105" s="100">
        <v>7.7625570776255701</v>
      </c>
      <c r="AI105" s="100">
        <v>4322.1917808219168</v>
      </c>
      <c r="AJ105" s="100">
        <v>8.5427135678391952</v>
      </c>
      <c r="AK105" s="100">
        <v>4756.582914572864</v>
      </c>
      <c r="AL105" s="100">
        <v>0.92823570250636456</v>
      </c>
      <c r="AM105" s="100">
        <v>516.8416391555437</v>
      </c>
      <c r="AN105" s="100">
        <v>9</v>
      </c>
      <c r="AO105" s="100">
        <v>5011.2</v>
      </c>
      <c r="AP105" s="100">
        <v>8.8611111111111089</v>
      </c>
      <c r="AQ105" s="100">
        <v>4933.866666666665</v>
      </c>
      <c r="AR105" s="100">
        <v>12</v>
      </c>
      <c r="AS105" s="100">
        <v>6681.5999999999995</v>
      </c>
      <c r="AT105" s="100">
        <v>7.554945054945053</v>
      </c>
      <c r="AU105" s="100">
        <v>4206.5934065934052</v>
      </c>
      <c r="AV105" s="100">
        <v>10</v>
      </c>
      <c r="AW105" s="100">
        <v>5568</v>
      </c>
      <c r="AX105" s="100">
        <v>11</v>
      </c>
      <c r="AY105" s="100">
        <v>6124.7999999999993</v>
      </c>
      <c r="AZ105" s="100">
        <v>13</v>
      </c>
      <c r="BA105" s="100">
        <v>7238.4</v>
      </c>
      <c r="BB105" s="100">
        <v>7.1961403052367539</v>
      </c>
      <c r="BC105" s="100">
        <v>4006.8109219558241</v>
      </c>
      <c r="BD105" s="100">
        <v>6.7892092012029147E-22</v>
      </c>
      <c r="BE105" s="100">
        <v>3.7802316832297828E-19</v>
      </c>
      <c r="BF105" s="100">
        <v>5.6458699467529446E-22</v>
      </c>
      <c r="BG105" s="100">
        <v>3.1436203863520393E-19</v>
      </c>
      <c r="BH105" s="100">
        <v>6.1135751494425381E-22</v>
      </c>
      <c r="BI105" s="100">
        <v>3.4040386432096047E-19</v>
      </c>
      <c r="BJ105" s="100">
        <v>6.0776129426811116E-22</v>
      </c>
      <c r="BK105" s="100">
        <v>3.3840148864848427E-19</v>
      </c>
      <c r="BL105" s="100">
        <v>7.6404494382022454</v>
      </c>
      <c r="BM105" s="100">
        <v>4254.2022471910095</v>
      </c>
      <c r="BN105" s="100">
        <v>9.4444444444444446</v>
      </c>
      <c r="BO105" s="100">
        <v>5258.6666666666661</v>
      </c>
      <c r="BP105" s="100">
        <v>7</v>
      </c>
      <c r="BQ105" s="100">
        <v>3897.5999999999995</v>
      </c>
      <c r="BR105" s="100">
        <v>8.6301369863013679</v>
      </c>
      <c r="BS105" s="100">
        <v>4805.2602739726017</v>
      </c>
      <c r="BT105" s="100">
        <v>9.5774647887323923</v>
      </c>
      <c r="BU105" s="100">
        <v>5332.7323943661959</v>
      </c>
      <c r="BV105" s="100">
        <v>6.5384615384615392</v>
      </c>
      <c r="BW105" s="100">
        <v>3640.6153846153848</v>
      </c>
      <c r="BX105" s="100">
        <v>7.683615819209038</v>
      </c>
      <c r="BY105" s="100">
        <v>4278.2372881355923</v>
      </c>
      <c r="BZ105" s="100">
        <v>8</v>
      </c>
      <c r="CA105" s="100">
        <v>4454.3999999999996</v>
      </c>
      <c r="CB105" s="100">
        <v>9.0499999999999989</v>
      </c>
      <c r="CC105" s="100">
        <v>5039.0399999999991</v>
      </c>
      <c r="CD105" s="100">
        <v>8.4615384615384617</v>
      </c>
      <c r="CE105" s="100">
        <v>4711.3846153846152</v>
      </c>
      <c r="CF105" s="100">
        <v>10.909090909090908</v>
      </c>
      <c r="CG105" s="100">
        <v>6074.1818181818171</v>
      </c>
      <c r="CH105" s="100">
        <v>1.228726159281033</v>
      </c>
      <c r="CI105" s="100">
        <v>684.15472548767912</v>
      </c>
      <c r="CJ105" s="100">
        <v>9</v>
      </c>
      <c r="CK105" s="100">
        <v>5011.2</v>
      </c>
      <c r="CL105" s="100">
        <v>10</v>
      </c>
      <c r="CM105" s="100">
        <v>5568</v>
      </c>
      <c r="CN105" s="100">
        <v>13</v>
      </c>
      <c r="CO105" s="100">
        <v>7238.4</v>
      </c>
      <c r="CP105" s="100">
        <v>3.7368421052631549</v>
      </c>
      <c r="CQ105" s="100">
        <v>2080.6736842105242</v>
      </c>
      <c r="CR105" s="100">
        <v>13</v>
      </c>
      <c r="CS105" s="100">
        <v>7238.4</v>
      </c>
      <c r="CT105" s="100">
        <v>7.3452914798206264</v>
      </c>
      <c r="CU105" s="100">
        <v>4089.8582959641244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376</v>
      </c>
      <c r="E109" s="100">
        <f>SUM(L$6:L$19)+SUM(N$6:N$19)+SUM(P$6:P$19)+SUM(R$6:R$19)</f>
        <v>538.73715729008461</v>
      </c>
      <c r="F109" s="100">
        <f>SUM(T$6:T$19)+SUM(V$6:V$19)+SUM(X$6:X$19)+SUM(Z$6:Z$19)</f>
        <v>481</v>
      </c>
      <c r="G109" s="100">
        <f>SUM(AB$6:AB$19)+SUM(AD$6:AD$19)+SUM(AF$6:AF$19)+SUM(AH$6:AH$19)</f>
        <v>507</v>
      </c>
      <c r="H109" s="100">
        <f>SUM(AJ$6:AJ$19)+SUM(AL$6:AL$19)+SUM(AN$6:AN$19)+SUM(AP$6:AP$19)</f>
        <v>469</v>
      </c>
      <c r="I109" s="100">
        <f>SUM(AR$6:AR$19)+SUM(AT$6:AT$19)+SUM(AV$6:AV$19)+SUM(AX$6:AX$19)</f>
        <v>574</v>
      </c>
      <c r="J109" s="100">
        <f>SUM(AZ$6:AZ$19)+SUM(BB$6:BB$19)+SUM(BD$6:BD$19)+SUM(BF$6:BF$19)</f>
        <v>491</v>
      </c>
      <c r="K109" s="100">
        <f>SUM(BH$6:BH$19)+SUM(BJ$6:BJ$19)+SUM(BL$6:BL$19)+SUM(BN$6:BN$19)</f>
        <v>543.41584752874678</v>
      </c>
      <c r="L109" s="100">
        <f>SUM(BP$6:BP$19)+SUM(BR$6:BR$19)+SUM(BT$6:BT$19)+SUM(BV$6:BV$19)</f>
        <v>446.99851851851861</v>
      </c>
      <c r="M109" s="100">
        <f>SUM(BX$6:BX$19)+SUM(BZ$6:BZ$19)+SUM(CB$6:CB$19)+SUM(CD$6:CD$19)</f>
        <v>422.15334612460367</v>
      </c>
      <c r="N109" s="100">
        <f>SUM(CF$6:CF$19)+SUM(CH$6:CH$19)+SUM(CJ$6:CJ$19)+SUM(CL$6:CL$19)</f>
        <v>443.849349157566</v>
      </c>
      <c r="O109" s="100">
        <f>SUM(CN$6:CN$19)+SUM(CP$6:CP$19)+SUM(CR$6:CR$19)+SUM(CT$6:CT$19)</f>
        <v>534</v>
      </c>
    </row>
    <row r="110" spans="2:99">
      <c r="C110" s="99" t="s">
        <v>127</v>
      </c>
      <c r="D110" s="100">
        <f>SUM(D$20:D$36)+SUM(F$20:F$36)+SUM(H$20:H$36)+SUM(J$20:J$36)</f>
        <v>906</v>
      </c>
      <c r="E110" s="100">
        <f>SUM(L$20:L$36)+SUM(N$20:N$36)+SUM(P$20:P$36)+SUM(R$20:R$36)</f>
        <v>1185.0071379889816</v>
      </c>
      <c r="F110" s="100">
        <f>SUM(T$20:T$36)+SUM(V$20:V$36)+SUM(X$20:X$36)+SUM(Z$20:Z$36)</f>
        <v>1104</v>
      </c>
      <c r="G110" s="100">
        <f>SUM(AB$20:AB$36)+SUM(AD$20:AD$36)+SUM(AF$20:AF$36)+SUM(AH$20:AH$36)</f>
        <v>894</v>
      </c>
      <c r="H110" s="100">
        <f>SUM(AJ$20:AJ$36)+SUM(AL$20:AL$36)+SUM(AN$20:AN$36)+SUM(AP$20:AP$36)</f>
        <v>1213</v>
      </c>
      <c r="I110" s="100">
        <f>SUM(AR$20:AR$36)+SUM(AT$20:AT$36)+SUM(AV$20:AV$36)+SUM(AX$20:AX$36)</f>
        <v>1112</v>
      </c>
      <c r="J110" s="100">
        <f>SUM(AZ$20:AZ$36)+SUM(BB$20:BB$36)+SUM(BD$20:BD$36)+SUM(BF$20:BF$36)</f>
        <v>1191</v>
      </c>
      <c r="K110" s="100">
        <f>SUM(BH$20:BH$36)+SUM(BJ$20:BJ$36)+SUM(BL$20:BL$36)+SUM(BN$20:BN$36)</f>
        <v>948.89333499987981</v>
      </c>
      <c r="L110" s="100">
        <f>SUM(BP$20:BP$36)+SUM(BR$20:BR$36)+SUM(BT$20:BT$36)+SUM(BV$20:BV$36)</f>
        <v>1061.3022222222226</v>
      </c>
      <c r="M110" s="100">
        <f>SUM(BX$20:BX$36)+SUM(BZ$20:BZ$36)+SUM(CB$20:CB$36)+SUM(CD$20:CD$36)</f>
        <v>1223.5932713296074</v>
      </c>
      <c r="N110" s="100">
        <f>SUM(CF$20:CF$36)+SUM(CH$20:CH$36)+SUM(CJ$20:CJ$36)+SUM(CL$20:CL$36)</f>
        <v>866.63643676562049</v>
      </c>
      <c r="O110" s="100">
        <f>SUM(CN$20:CN$36)+SUM(CP$20:CP$36)+SUM(CR$20:CR$36)+SUM(CT$20:CT$36)</f>
        <v>1175</v>
      </c>
    </row>
    <row r="111" spans="2:99">
      <c r="C111" s="99" t="s">
        <v>128</v>
      </c>
      <c r="D111" s="100">
        <f>SUM(D$37:D$48)+SUM(F$37:F$48)+SUM(H$37:H$48)+SUM(J$37:J$48)</f>
        <v>544</v>
      </c>
      <c r="E111" s="100">
        <f>SUM(L$37:L$48)+SUM(N$37:N$48)+SUM(P$37:P$48)+SUM(R$37:R$48)</f>
        <v>532.99630328580099</v>
      </c>
      <c r="F111" s="100">
        <f>SUM(T$37:T$48)+SUM(V$37:V$48)+SUM(X$37:X$48)+SUM(Z$37:Z$48)</f>
        <v>546</v>
      </c>
      <c r="G111" s="100">
        <f>SUM(AB$37:AB$48)+SUM(AD$37:AD$48)+SUM(AF$37:AF$48)+SUM(AH$37:AH$48)</f>
        <v>428</v>
      </c>
      <c r="H111" s="100">
        <f>SUM(AJ$37:AJ$48)+SUM(AL$37:AL$48)+SUM(AN$37:AN$48)+SUM(AP$37:AP$48)</f>
        <v>509</v>
      </c>
      <c r="I111" s="100">
        <f>SUM(AR$37:AR$48)+SUM(AT$37:AT$48)+SUM(AV$37:AV$48)+SUM(AX$37:AX$48)</f>
        <v>458</v>
      </c>
      <c r="J111" s="100">
        <f>SUM(AZ$37:AZ$48)+SUM(BB$37:BB$48)+SUM(BD$37:BD$48)+SUM(BF$37:BF$48)</f>
        <v>505</v>
      </c>
      <c r="K111" s="100">
        <f>SUM(BH$37:BH$48)+SUM(BJ$37:BJ$48)+SUM(BL$37:BL$48)+SUM(BN$37:BN$48)</f>
        <v>495.42637181500589</v>
      </c>
      <c r="L111" s="100">
        <f>SUM(BP$37:BP$48)+SUM(BR$37:BR$48)+SUM(BT$37:BT$48)+SUM(BV$37:BV$48)</f>
        <v>471.81481481481489</v>
      </c>
      <c r="M111" s="100">
        <f>SUM(BX$37:BX$48)+SUM(BZ$37:BZ$48)+SUM(CB$37:CB$48)+SUM(CD$37:CD$48)</f>
        <v>477.17124416427777</v>
      </c>
      <c r="N111" s="100">
        <f>SUM(CF$37:CF$48)+SUM(CH$37:CH$48)+SUM(CJ$37:CJ$48)+SUM(CL$37:CL$48)</f>
        <v>400.91237751048277</v>
      </c>
      <c r="O111" s="100">
        <f>SUM(CN$37:CN$48)+SUM(CP$37:CP$48)+SUM(CR$37:CR$48)+SUM(CT$37:CT$48)</f>
        <v>488</v>
      </c>
    </row>
    <row r="112" spans="2:99">
      <c r="C112" s="99" t="s">
        <v>129</v>
      </c>
      <c r="D112" s="100">
        <f>SUM(D$49:D$70)+SUM(F$49:F$70)+SUM(H$49:H$70)+SUM(J$49:J$70)</f>
        <v>723.49879786805786</v>
      </c>
      <c r="E112" s="100">
        <f>SUM(L$49:L$70)+SUM(N$49:N$70)+SUM(P$49:P$70)+SUM(R$49:R$70)</f>
        <v>632.5424771806637</v>
      </c>
      <c r="F112" s="100">
        <f>SUM(T$49:T$70)+SUM(V$49:V$70)+SUM(X$49:X$70)+SUM(Z$49:Z$70)</f>
        <v>637.06826484144665</v>
      </c>
      <c r="G112" s="100">
        <f>SUM(AB$49:AB$70)+SUM(AD$49:AD$70)+SUM(AF$49:AF$70)+SUM(AH$49:AH$70)</f>
        <v>718.00882893908738</v>
      </c>
      <c r="H112" s="100">
        <f>SUM(AJ$49:AJ$70)+SUM(AL$49:AL$70)+SUM(AN$49:AN$70)+SUM(AP$49:AP$70)</f>
        <v>661.59982425693761</v>
      </c>
      <c r="I112" s="100">
        <f>SUM(AR$49:AR$70)+SUM(AT$49:AT$70)+SUM(AV$49:AV$70)+SUM(AX$49:AX$70)</f>
        <v>836.13976988563354</v>
      </c>
      <c r="J112" s="100">
        <f>SUM(AZ$49:AZ$70)+SUM(BB$49:BB$70)+SUM(BD$49:BD$70)+SUM(BF$49:BF$70)</f>
        <v>703.40549068679013</v>
      </c>
      <c r="K112" s="100">
        <f>SUM(BH$49:BH$70)+SUM(BJ$49:BJ$70)+SUM(BL$49:BL$70)+SUM(BN$49:BN$70)</f>
        <v>616.37750405300119</v>
      </c>
      <c r="L112" s="100">
        <f>SUM(BP$49:BP$70)+SUM(BR$49:BR$70)+SUM(BT$49:BT$70)+SUM(BV$49:BV$70)</f>
        <v>633.1146436957572</v>
      </c>
      <c r="M112" s="100">
        <f>SUM(BX$49:BX$70)+SUM(BZ$49:BZ$70)+SUM(CB$49:CB$70)+SUM(CD$49:CD$70)</f>
        <v>575.26129566490613</v>
      </c>
      <c r="N112" s="100">
        <f>SUM(CF$49:CF$70)+SUM(CH$49:CH$70)+SUM(CJ$49:CJ$70)+SUM(CL$49:CL$70)</f>
        <v>529.72443103018509</v>
      </c>
      <c r="O112" s="100">
        <f>SUM(CN$49:CN$70)+SUM(CP$49:CP$70)+SUM(CR$49:CR$70)+SUM(CT$49:CT$70)</f>
        <v>755.02442662201656</v>
      </c>
    </row>
    <row r="113" spans="2:15">
      <c r="C113" s="99" t="s">
        <v>130</v>
      </c>
      <c r="D113" s="100">
        <f>SUM(D$71:D$86)+SUM(F$71:F$86)+SUM(H$71:H$86)+SUM(J$71:J$86)</f>
        <v>598</v>
      </c>
      <c r="E113" s="100">
        <f>SUM(L$71:L$86)+SUM(N$71:N$86)+SUM(P$71:P$86)+SUM(R$71:R$86)</f>
        <v>568.47682395928155</v>
      </c>
      <c r="F113" s="100">
        <f>SUM(T$71:T$86)+SUM(V$71:V$86)+SUM(X$71:X$86)+SUM(Z$71:Z$86)</f>
        <v>641.0098695125705</v>
      </c>
      <c r="G113" s="100">
        <f>SUM(AB$71:AB$86)+SUM(AD$71:AD$86)+SUM(AF$71:AF$86)+SUM(AH$71:AH$86)</f>
        <v>342.07810662166452</v>
      </c>
      <c r="H113" s="100">
        <f>SUM(AJ$71:AJ$86)+SUM(AL$71:AL$86)+SUM(AN$71:AN$86)+SUM(AP$71:AP$86)</f>
        <v>729.94358236844562</v>
      </c>
      <c r="I113" s="100">
        <f>SUM(AR$71:AR$86)+SUM(AT$71:AT$86)+SUM(AV$71:AV$86)+SUM(AX$71:AX$86)</f>
        <v>648.90968066381697</v>
      </c>
      <c r="J113" s="100">
        <f>SUM(AZ$71:AZ$86)+SUM(BB$71:BB$86)+SUM(BD$71:BD$86)+SUM(BF$71:BF$86)</f>
        <v>491.68534253814721</v>
      </c>
      <c r="K113" s="100">
        <f>SUM(BH$71:BH$86)+SUM(BJ$71:BJ$86)+SUM(BL$71:BL$86)+SUM(BN$71:BN$86)</f>
        <v>394.61930551805642</v>
      </c>
      <c r="L113" s="100">
        <f>SUM(BP$71:BP$86)+SUM(BR$71:BR$86)+SUM(BT$71:BT$86)+SUM(BV$71:BV$86)</f>
        <v>552.73645717535578</v>
      </c>
      <c r="M113" s="100">
        <f>SUM(BX$71:BX$86)+SUM(BZ$71:BZ$86)+SUM(CB$71:CB$86)+SUM(CD$71:CD$86)</f>
        <v>786</v>
      </c>
      <c r="N113" s="100">
        <f>SUM(CF$71:CF$86)+SUM(CH$71:CH$86)+SUM(CJ$71:CJ$86)+SUM(CL$71:CL$86)</f>
        <v>763.889681243165</v>
      </c>
      <c r="O113" s="100">
        <f>SUM(CN$71:CN$86)+SUM(CP$71:CP$86)+SUM(CR$71:CR$86)+SUM(CT$71:CT$86)</f>
        <v>579.98742138364787</v>
      </c>
    </row>
    <row r="114" spans="2:15">
      <c r="C114" s="99" t="s">
        <v>131</v>
      </c>
      <c r="D114" s="100">
        <f>SUM(D$87:D$94)+SUM(F$87:F$94)+SUM(H$87:H$94)+SUM(J$87:J$94)</f>
        <v>154.77684723698562</v>
      </c>
      <c r="E114" s="100">
        <f>SUM(L$87:L$94)+SUM(N$87:N$94)+SUM(P$87:P$94)+SUM(R$87:R$94)</f>
        <v>248.37058016845251</v>
      </c>
      <c r="F114" s="100">
        <f>SUM(T$87:T$94)+SUM(V$87:V$94)+SUM(X$87:X$94)+SUM(Z$87:Z$94)</f>
        <v>151.1607712935768</v>
      </c>
      <c r="G114" s="100">
        <f>SUM(AB$87:AB$94)+SUM(AD$87:AD$94)+SUM(AF$87:AF$94)+SUM(AH$87:AH$94)</f>
        <v>132.73263782027141</v>
      </c>
      <c r="H114" s="100">
        <f>SUM(AJ$87:AJ$94)+SUM(AL$87:AL$94)+SUM(AN$87:AN$94)+SUM(AP$87:AP$94)</f>
        <v>185.76236488060363</v>
      </c>
      <c r="I114" s="100">
        <f>SUM(AR$87:AR$94)+SUM(AT$87:AT$94)+SUM(AV$87:AV$94)+SUM(AX$87:AX$94)</f>
        <v>240.34065934065933</v>
      </c>
      <c r="J114" s="100">
        <f>SUM(AZ$87:AZ$94)+SUM(BB$87:BB$94)+SUM(BD$87:BD$94)+SUM(BF$87:BF$94)</f>
        <v>168.4589907431405</v>
      </c>
      <c r="K114" s="100">
        <f>SUM(BH$87:BH$94)+SUM(BJ$87:BJ$94)+SUM(BL$87:BL$94)+SUM(BN$87:BN$94)</f>
        <v>115.61003291340369</v>
      </c>
      <c r="L114" s="100">
        <f>SUM(BP$87:BP$94)+SUM(BR$87:BR$94)+SUM(BT$87:BT$94)+SUM(BV$87:BV$94)</f>
        <v>252.77190929207131</v>
      </c>
      <c r="M114" s="100">
        <f>SUM(BX$87:BX$94)+SUM(BZ$87:BZ$94)+SUM(CB$87:CB$94)+SUM(CD$87:CD$94)</f>
        <v>262.39706056655206</v>
      </c>
      <c r="N114" s="100">
        <f>SUM(CF$87:CF$94)+SUM(CH$87:CH$94)+SUM(CJ$87:CJ$94)+SUM(CL$87:CL$94)</f>
        <v>206.96264485847223</v>
      </c>
      <c r="O114" s="100">
        <f>SUM(CN$87:CN$94)+SUM(CP$87:CP$94)+SUM(CR$87:CR$94)+SUM(CT$87:CT$94)</f>
        <v>176.01439697899454</v>
      </c>
    </row>
    <row r="115" spans="2:15">
      <c r="C115" s="99" t="s">
        <v>132</v>
      </c>
      <c r="D115" s="100">
        <f>SUM(D$95:D$105)+SUM(F$95:F$105)+SUM(H$95:H$105)+SUM(J$95:J$105)</f>
        <v>289.66286899986676</v>
      </c>
      <c r="E115" s="100">
        <f>SUM(L$95:L$105)+SUM(N$95:N$105)+SUM(P$95:P$105)+SUM(R$95:R$105)</f>
        <v>376.94476042082414</v>
      </c>
      <c r="F115" s="100">
        <f>SUM(T$95:T$105)+SUM(V$95:V$105)+SUM(X$95:X$105)+SUM(Z$95:Z$105)</f>
        <v>321.70795556123096</v>
      </c>
      <c r="G115" s="100">
        <f>SUM(AB$95:AB$105)+SUM(AD$95:AD$105)+SUM(AF$95:AF$105)+SUM(AH$95:AH$105)</f>
        <v>178.23356541015184</v>
      </c>
      <c r="H115" s="100">
        <f>SUM(AJ$95:AJ$105)+SUM(AL$95:AL$105)+SUM(AN$95:AN$105)+SUM(AP$95:AP$105)</f>
        <v>293.24676000370198</v>
      </c>
      <c r="I115" s="100">
        <f>SUM(AR$95:AR$105)+SUM(AT$95:AT$105)+SUM(AV$95:AV$105)+SUM(AX$95:AX$105)</f>
        <v>450.6098901098901</v>
      </c>
      <c r="J115" s="100">
        <f>SUM(AZ$95:AZ$105)+SUM(BB$95:BB$105)+SUM(BD$95:BD$105)+SUM(BF$95:BF$105)</f>
        <v>214.05706089575887</v>
      </c>
      <c r="K115" s="100">
        <f>SUM(BH$95:BH$105)+SUM(BJ$95:BJ$105)+SUM(BL$95:BL$105)+SUM(BN$95:BN$105)</f>
        <v>197.66768811712626</v>
      </c>
      <c r="L115" s="100">
        <f>SUM(BP$95:BP$105)+SUM(BR$95:BR$105)+SUM(BT$95:BT$105)+SUM(BV$95:BV$105)</f>
        <v>367.31457307243528</v>
      </c>
      <c r="M115" s="100">
        <f>SUM(BX$95:BX$105)+SUM(BZ$95:BZ$105)+SUM(CB$95:CB$105)+SUM(CD$95:CD$105)</f>
        <v>369.42378215005328</v>
      </c>
      <c r="N115" s="100">
        <f>SUM(CF$95:CF$105)+SUM(CH$95:CH$105)+SUM(CJ$95:CJ$105)+SUM(CL$95:CL$105)</f>
        <v>333.19427788176989</v>
      </c>
      <c r="O115" s="100">
        <f>SUM(CN$95:CN$105)+SUM(CP$95:CP$105)+SUM(CR$95:CR$105)+SUM(CT$95:CT$105)</f>
        <v>405.973755015341</v>
      </c>
    </row>
    <row r="116" spans="2:15">
      <c r="C116" s="99" t="s">
        <v>278</v>
      </c>
      <c r="D116" s="100">
        <f t="shared" ref="D116:O116" si="0">SUM(D$109:D$115)</f>
        <v>3591.9385141049106</v>
      </c>
      <c r="E116" s="100">
        <f t="shared" si="0"/>
        <v>4083.0752402940889</v>
      </c>
      <c r="F116" s="100">
        <f t="shared" si="0"/>
        <v>3881.9468612088253</v>
      </c>
      <c r="G116" s="100">
        <f t="shared" si="0"/>
        <v>3200.0531387911751</v>
      </c>
      <c r="H116" s="100">
        <f t="shared" si="0"/>
        <v>4061.5525315096888</v>
      </c>
      <c r="I116" s="100">
        <f t="shared" si="0"/>
        <v>4320</v>
      </c>
      <c r="J116" s="100">
        <f t="shared" si="0"/>
        <v>3764.6068848638365</v>
      </c>
      <c r="K116" s="100">
        <f t="shared" si="0"/>
        <v>3312.0100849452201</v>
      </c>
      <c r="L116" s="100">
        <f t="shared" si="0"/>
        <v>3786.053138791176</v>
      </c>
      <c r="M116" s="100">
        <f t="shared" si="0"/>
        <v>4116</v>
      </c>
      <c r="N116" s="100">
        <f t="shared" si="0"/>
        <v>3545.1691984472614</v>
      </c>
      <c r="O116" s="100">
        <f t="shared" si="0"/>
        <v>4114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2632000</v>
      </c>
      <c r="E120" s="100">
        <f>E109*pricing!E15*2000</f>
        <v>3771160.1010305923</v>
      </c>
      <c r="F120" s="100">
        <f>F109*pricing!F15*2000</f>
        <v>3367000</v>
      </c>
      <c r="G120" s="100">
        <f>G109*pricing!G15*2000</f>
        <v>3549000</v>
      </c>
      <c r="H120" s="100">
        <f>H109*pricing!H15*2000</f>
        <v>3283000</v>
      </c>
      <c r="I120" s="100">
        <f>I109*pricing!I15*2000</f>
        <v>4018000</v>
      </c>
      <c r="J120" s="100">
        <f>J109*pricing!J15*2000</f>
        <v>3437000</v>
      </c>
      <c r="K120" s="100">
        <f>K109*pricing!K15*2000</f>
        <v>3803910.9327012273</v>
      </c>
      <c r="L120" s="100">
        <f>L109*pricing!L15*2000</f>
        <v>3128989.6296296301</v>
      </c>
      <c r="M120" s="100">
        <f>M109*pricing!M15*2000</f>
        <v>2955073.4228722258</v>
      </c>
      <c r="N120" s="100">
        <f>N109*pricing!N15*2000</f>
        <v>3106945.444102962</v>
      </c>
      <c r="O120" s="100">
        <f>O109*pricing!O15*2000</f>
        <v>3738000</v>
      </c>
    </row>
    <row r="121" spans="2:15">
      <c r="C121" s="99" t="s">
        <v>127</v>
      </c>
      <c r="D121" s="100">
        <f>D110*pricing!D16*2000</f>
        <v>6342000</v>
      </c>
      <c r="E121" s="100">
        <f>E110*pricing!E16*2000</f>
        <v>8295049.9659228716</v>
      </c>
      <c r="F121" s="100">
        <f>F110*pricing!F16*2000</f>
        <v>7728000</v>
      </c>
      <c r="G121" s="100">
        <f>G110*pricing!G16*2000</f>
        <v>6258000</v>
      </c>
      <c r="H121" s="100">
        <f>H110*pricing!H16*2000</f>
        <v>8491000</v>
      </c>
      <c r="I121" s="100">
        <f>I110*pricing!I16*2000</f>
        <v>7784000</v>
      </c>
      <c r="J121" s="100">
        <f>J110*pricing!J16*2000</f>
        <v>8337000</v>
      </c>
      <c r="K121" s="100">
        <f>K110*pricing!K16*2000</f>
        <v>6642253.3449991588</v>
      </c>
      <c r="L121" s="100">
        <f>L110*pricing!L16*2000</f>
        <v>7429115.5555555578</v>
      </c>
      <c r="M121" s="100">
        <f>M110*pricing!M16*2000</f>
        <v>8565152.899307251</v>
      </c>
      <c r="N121" s="100">
        <f>N110*pricing!N16*2000</f>
        <v>6066455.0573593434</v>
      </c>
      <c r="O121" s="100">
        <f>O110*pricing!O16*2000</f>
        <v>8225000</v>
      </c>
    </row>
    <row r="122" spans="2:15">
      <c r="C122" s="99" t="s">
        <v>128</v>
      </c>
      <c r="D122" s="100">
        <f>D111*pricing!D17*2000</f>
        <v>3808000</v>
      </c>
      <c r="E122" s="100">
        <f>E111*pricing!E17*2000</f>
        <v>3730974.1230006069</v>
      </c>
      <c r="F122" s="100">
        <f>F111*pricing!F17*2000</f>
        <v>3822000</v>
      </c>
      <c r="G122" s="100">
        <f>G111*pricing!G17*2000</f>
        <v>2996000</v>
      </c>
      <c r="H122" s="100">
        <f>H111*pricing!H17*2000</f>
        <v>3563000</v>
      </c>
      <c r="I122" s="100">
        <f>I111*pricing!I17*2000</f>
        <v>3206000</v>
      </c>
      <c r="J122" s="100">
        <f>J111*pricing!J17*2000</f>
        <v>3535000</v>
      </c>
      <c r="K122" s="100">
        <f>K111*pricing!K17*2000</f>
        <v>3467984.6027050414</v>
      </c>
      <c r="L122" s="100">
        <f>L111*pricing!L17*2000</f>
        <v>3302703.7037037043</v>
      </c>
      <c r="M122" s="100">
        <f>M111*pricing!M17*2000</f>
        <v>3340198.7091499446</v>
      </c>
      <c r="N122" s="100">
        <f>N111*pricing!N17*2000</f>
        <v>2806386.6425733794</v>
      </c>
      <c r="O122" s="100">
        <f>O111*pricing!O17*2000</f>
        <v>3416000</v>
      </c>
    </row>
    <row r="123" spans="2:15">
      <c r="C123" s="99" t="s">
        <v>129</v>
      </c>
      <c r="D123" s="100">
        <f>D112*pricing!D18*2000</f>
        <v>5064491.5850764047</v>
      </c>
      <c r="E123" s="100">
        <f>E112*pricing!E18*2000</f>
        <v>4427797.3402646454</v>
      </c>
      <c r="F123" s="100">
        <f>F112*pricing!F18*2000</f>
        <v>4459477.8538901266</v>
      </c>
      <c r="G123" s="100">
        <f>G112*pricing!G18*2000</f>
        <v>5026061.802573611</v>
      </c>
      <c r="H123" s="100">
        <f>H112*pricing!H18*2000</f>
        <v>4631198.7697985629</v>
      </c>
      <c r="I123" s="100">
        <f>I112*pricing!I18*2000</f>
        <v>5852978.3891994348</v>
      </c>
      <c r="J123" s="100">
        <f>J112*pricing!J18*2000</f>
        <v>4923838.4348075306</v>
      </c>
      <c r="K123" s="100">
        <f>K112*pricing!K18*2000</f>
        <v>4314642.528371009</v>
      </c>
      <c r="L123" s="100">
        <f>L112*pricing!L18*2000</f>
        <v>4431802.5058703003</v>
      </c>
      <c r="M123" s="100">
        <f>M112*pricing!M18*2000</f>
        <v>4026829.0696543427</v>
      </c>
      <c r="N123" s="100">
        <f>N112*pricing!N18*2000</f>
        <v>3708071.0172112957</v>
      </c>
      <c r="O123" s="100">
        <f>O112*pricing!O18*2000</f>
        <v>5285170.9863541164</v>
      </c>
    </row>
    <row r="124" spans="2:15">
      <c r="C124" s="99" t="s">
        <v>130</v>
      </c>
      <c r="D124" s="100">
        <f>D113*pricing!D19*2000</f>
        <v>4186000</v>
      </c>
      <c r="E124" s="100">
        <f>E113*pricing!E19*2000</f>
        <v>3979337.7677149712</v>
      </c>
      <c r="F124" s="100">
        <f>F113*pricing!F19*2000</f>
        <v>4487069.0865879934</v>
      </c>
      <c r="G124" s="100">
        <f>G113*pricing!G19*2000</f>
        <v>2394546.7463516514</v>
      </c>
      <c r="H124" s="100">
        <f>H113*pricing!H19*2000</f>
        <v>5109605.07657912</v>
      </c>
      <c r="I124" s="100">
        <f>I113*pricing!I19*2000</f>
        <v>4542367.7646467183</v>
      </c>
      <c r="J124" s="100">
        <f>J113*pricing!J19*2000</f>
        <v>3441797.3977670302</v>
      </c>
      <c r="K124" s="100">
        <f>K113*pricing!K19*2000</f>
        <v>2762335.1386263948</v>
      </c>
      <c r="L124" s="100">
        <f>L113*pricing!L19*2000</f>
        <v>3869155.2002274902</v>
      </c>
      <c r="M124" s="100">
        <f>M113*pricing!M19*2000</f>
        <v>5502000</v>
      </c>
      <c r="N124" s="100">
        <f>N113*pricing!N19*2000</f>
        <v>5347227.768702155</v>
      </c>
      <c r="O124" s="100">
        <f>O113*pricing!O19*2000</f>
        <v>4059911.9496855349</v>
      </c>
    </row>
    <row r="125" spans="2:15">
      <c r="C125" s="99" t="s">
        <v>131</v>
      </c>
      <c r="D125" s="100">
        <f>D114*pricing!D20*2000</f>
        <v>1083437.9306588995</v>
      </c>
      <c r="E125" s="100">
        <f>E114*pricing!E20*2000</f>
        <v>1738594.0611791676</v>
      </c>
      <c r="F125" s="100">
        <f>F114*pricing!F20*2000</f>
        <v>1058125.3990550376</v>
      </c>
      <c r="G125" s="100">
        <f>G114*pricing!G20*2000</f>
        <v>929128.46474189986</v>
      </c>
      <c r="H125" s="100">
        <f>H114*pricing!H20*2000</f>
        <v>1300336.5541642255</v>
      </c>
      <c r="I125" s="100">
        <f>I114*pricing!I20*2000</f>
        <v>1682384.6153846153</v>
      </c>
      <c r="J125" s="100">
        <f>J114*pricing!J20*2000</f>
        <v>1179212.9352019837</v>
      </c>
      <c r="K125" s="100">
        <f>K114*pricing!K20*2000</f>
        <v>809270.2303938258</v>
      </c>
      <c r="L125" s="100">
        <f>L114*pricing!L20*2000</f>
        <v>1769403.3650444993</v>
      </c>
      <c r="M125" s="100">
        <f>M114*pricing!M20*2000</f>
        <v>1836779.4239658643</v>
      </c>
      <c r="N125" s="100">
        <f>N114*pricing!N20*2000</f>
        <v>1448738.5140093055</v>
      </c>
      <c r="O125" s="100">
        <f>O114*pricing!O20*2000</f>
        <v>1232100.778852962</v>
      </c>
    </row>
    <row r="126" spans="2:15">
      <c r="C126" s="99" t="s">
        <v>132</v>
      </c>
      <c r="D126" s="100">
        <f>D115*pricing!D21*2000</f>
        <v>2027640.0829990674</v>
      </c>
      <c r="E126" s="100">
        <f>E115*pricing!E21*2000</f>
        <v>2638613.3229457689</v>
      </c>
      <c r="F126" s="100">
        <f>F115*pricing!F21*2000</f>
        <v>2251955.6889286167</v>
      </c>
      <c r="G126" s="100">
        <f>G115*pricing!G21*2000</f>
        <v>1247634.9578710629</v>
      </c>
      <c r="H126" s="100">
        <f>H115*pricing!H21*2000</f>
        <v>2052727.3200259137</v>
      </c>
      <c r="I126" s="100">
        <f>I115*pricing!I21*2000</f>
        <v>3154269.2307692305</v>
      </c>
      <c r="J126" s="100">
        <f>J115*pricing!J21*2000</f>
        <v>1498399.4262703119</v>
      </c>
      <c r="K126" s="100">
        <f>K115*pricing!K21*2000</f>
        <v>1383673.8168198839</v>
      </c>
      <c r="L126" s="100">
        <f>L115*pricing!L21*2000</f>
        <v>2571202.0115070469</v>
      </c>
      <c r="M126" s="100">
        <f>M115*pricing!M21*2000</f>
        <v>2585966.475050373</v>
      </c>
      <c r="N126" s="100">
        <f>N115*pricing!N21*2000</f>
        <v>2332359.9451723895</v>
      </c>
      <c r="O126" s="100">
        <f>O115*pricing!O21*2000</f>
        <v>2841816.2851073872</v>
      </c>
    </row>
    <row r="127" spans="2:15">
      <c r="C127" s="99" t="s">
        <v>278</v>
      </c>
      <c r="D127" s="100">
        <f t="shared" ref="D127:O127" si="1">SUM(D$120:D$126)</f>
        <v>25143569.598734371</v>
      </c>
      <c r="E127" s="100">
        <f t="shared" si="1"/>
        <v>28581526.682058625</v>
      </c>
      <c r="F127" s="100">
        <f t="shared" si="1"/>
        <v>27173628.028461777</v>
      </c>
      <c r="G127" s="100">
        <f t="shared" si="1"/>
        <v>22400371.971538227</v>
      </c>
      <c r="H127" s="100">
        <f t="shared" si="1"/>
        <v>28430867.720567822</v>
      </c>
      <c r="I127" s="100">
        <f t="shared" si="1"/>
        <v>30240000</v>
      </c>
      <c r="J127" s="100">
        <f t="shared" si="1"/>
        <v>26352248.194046859</v>
      </c>
      <c r="K127" s="100">
        <f t="shared" si="1"/>
        <v>23184070.59461654</v>
      </c>
      <c r="L127" s="100">
        <f t="shared" si="1"/>
        <v>26502371.971538231</v>
      </c>
      <c r="M127" s="100">
        <f t="shared" si="1"/>
        <v>28812000</v>
      </c>
      <c r="N127" s="100">
        <f t="shared" si="1"/>
        <v>24816184.389130827</v>
      </c>
      <c r="O127" s="100">
        <f t="shared" si="1"/>
        <v>28798000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189959.99999999997</v>
      </c>
      <c r="E131" s="106">
        <f>SUM(M$6:M$19)+SUM(O$6:O$19)+SUM(Q$6:Q$19)+SUM(S$6:S$19)</f>
        <v>270432.50853662367</v>
      </c>
      <c r="F131" s="106">
        <f>SUM(U$6:U$19)+SUM(W$6:W$19)+SUM(Y$6:Y$19)+SUM(AA$6:AA$19)</f>
        <v>242812.80000000002</v>
      </c>
      <c r="G131" s="106">
        <f>SUM(AC$6:AC$19)+SUM(AE$6:AE$19)+SUM(AG$6:AG$19)+SUM(AI$6:AI$19)</f>
        <v>255848.4</v>
      </c>
      <c r="H131" s="106">
        <f>SUM(AK$6:AK$19)+SUM(AM$6:AM$19)+SUM(AO$6:AO$19)+SUM(AQ$6:AQ$19)</f>
        <v>237320.40000000002</v>
      </c>
      <c r="I131" s="106">
        <f>SUM(AS$6:AS$19)+SUM(AU$6:AU$19)+SUM(AW$6:AW$19)+SUM(AY$6:AY$19)</f>
        <v>290569.19999999995</v>
      </c>
      <c r="J131" s="106">
        <f>SUM(BA$6:BA$19)+SUM(BC$6:BC$19)+SUM(BE$6:BE$19)+SUM(BG$6:BG$19)</f>
        <v>246810</v>
      </c>
      <c r="K131" s="106">
        <f>SUM(BI$6:BI$19)+SUM(BK$6:BK$19)+SUM(BM$6:BM$19)+SUM(BO$6:BO$19)</f>
        <v>275825.11293088808</v>
      </c>
      <c r="L131" s="106">
        <f>SUM(BQ$6:BQ$19)+SUM(BS$6:BS$19)+SUM(BU$6:BU$19)+SUM(BW$6:BW$19)</f>
        <v>226151.02933333334</v>
      </c>
      <c r="M131" s="106">
        <f>SUM(BY$6:BY$19)+SUM(CA$6:CA$19)+SUM(CC$6:CC$19)+SUM(CE$6:CE$19)</f>
        <v>212847.03729432868</v>
      </c>
      <c r="N131" s="106">
        <f>SUM(CG$6:CG$19)+SUM(CI$6:CI$19)+SUM(CK$6:CK$19)+SUM(CM$6:CM$19)</f>
        <v>224247.44447494741</v>
      </c>
      <c r="O131" s="106">
        <f>SUM(CO$6:CO$19)+SUM(CQ$6:CQ$19)+SUM(CS$6:CS$19)+SUM(CU$6:CU$19)</f>
        <v>270498</v>
      </c>
    </row>
    <row r="132" spans="2:15">
      <c r="C132" s="105" t="s">
        <v>127</v>
      </c>
      <c r="D132" s="106">
        <f>SUM(E$20:E$36)+SUM(G$20:G$36)+SUM(I$20:I$36)+SUM(K$20:K$36)</f>
        <v>389887.2</v>
      </c>
      <c r="E132" s="106">
        <f>SUM(M$20:M$36)+SUM(O$20:O$36)+SUM(Q$20:Q$36)+SUM(S$20:S$36)</f>
        <v>505903.84078330611</v>
      </c>
      <c r="F132" s="106">
        <f>SUM(U$20:U$36)+SUM(W$20:W$36)+SUM(Y$20:Y$36)+SUM(AA$20:AA$36)</f>
        <v>474261.6</v>
      </c>
      <c r="G132" s="106">
        <f>SUM(AC$20:AC$36)+SUM(AE$20:AE$36)+SUM(AG$20:AG$36)+SUM(AI$20:AI$36)</f>
        <v>384048</v>
      </c>
      <c r="H132" s="106">
        <f>SUM(AK$20:AK$36)+SUM(AM$20:AM$36)+SUM(AO$20:AO$36)+SUM(AQ$20:AQ$36)</f>
        <v>520346.39999999997</v>
      </c>
      <c r="I132" s="106">
        <f>SUM(AS$20:AS$36)+SUM(AU$20:AU$36)+SUM(AW$20:AW$36)+SUM(AY$20:AY$36)</f>
        <v>479224.79999999993</v>
      </c>
      <c r="J132" s="106">
        <f>SUM(BA$20:BA$36)+SUM(BC$20:BC$36)+SUM(BE$20:BE$36)+SUM(BG$20:BG$36)</f>
        <v>508350.00000000006</v>
      </c>
      <c r="K132" s="106">
        <f>SUM(BI$20:BI$36)+SUM(BK$20:BK$36)+SUM(BM$20:BM$36)+SUM(BO$20:BO$36)</f>
        <v>405930.01356010616</v>
      </c>
      <c r="L132" s="106">
        <f>SUM(BQ$20:BQ$36)+SUM(BS$20:BS$36)+SUM(BU$20:BU$36)+SUM(BW$20:BW$36)</f>
        <v>455756.18311111117</v>
      </c>
      <c r="M132" s="106">
        <f>SUM(BY$20:BY$36)+SUM(CA$20:CA$36)+SUM(CC$20:CC$36)+SUM(CE$20:CE$36)</f>
        <v>521633.24348090752</v>
      </c>
      <c r="N132" s="106">
        <f>SUM(CG$20:CG$36)+SUM(CI$20:CI$36)+SUM(CK$20:CK$36)+SUM(CM$20:CM$36)</f>
        <v>373578.98924253113</v>
      </c>
      <c r="O132" s="106">
        <f>SUM(CO$20:CO$36)+SUM(CQ$20:CQ$36)+SUM(CS$20:CS$36)+SUM(CU$20:CU$36)</f>
        <v>503827.20000000007</v>
      </c>
    </row>
    <row r="133" spans="2:15">
      <c r="C133" s="105" t="s">
        <v>128</v>
      </c>
      <c r="D133" s="106">
        <f>SUM(E$37:E$48)+SUM(G$37:G$48)+SUM(I$37:I$48)+SUM(K$37:K$48)</f>
        <v>573589.19999999995</v>
      </c>
      <c r="E133" s="106">
        <f>SUM(M$37:M$48)+SUM(O$37:O$48)+SUM(Q$37:Q$48)+SUM(S$37:S$48)</f>
        <v>560029.73267498112</v>
      </c>
      <c r="F133" s="106">
        <f>SUM(U$37:U$48)+SUM(W$37:W$48)+SUM(Y$37:Y$48)+SUM(AA$37:AA$48)</f>
        <v>571851.6</v>
      </c>
      <c r="G133" s="106">
        <f>SUM(AC$37:AC$48)+SUM(AE$37:AE$48)+SUM(AG$37:AG$48)+SUM(AI$37:AI$48)</f>
        <v>448312.8</v>
      </c>
      <c r="H133" s="106">
        <f>SUM(AK$37:AK$48)+SUM(AM$37:AM$48)+SUM(AO$37:AO$48)+SUM(AQ$37:AQ$48)</f>
        <v>534162</v>
      </c>
      <c r="I133" s="106">
        <f>SUM(AS$37:AS$48)+SUM(AU$37:AU$48)+SUM(AW$37:AW$48)+SUM(AY$37:AY$48)</f>
        <v>481771.19999999995</v>
      </c>
      <c r="J133" s="106">
        <f>SUM(BA$37:BA$48)+SUM(BC$37:BC$48)+SUM(BE$37:BE$48)+SUM(BG$37:BG$48)</f>
        <v>528868.80000000005</v>
      </c>
      <c r="K133" s="106">
        <f>SUM(BI$37:BI$48)+SUM(BK$37:BK$48)+SUM(BM$37:BM$48)+SUM(BO$37:BO$48)</f>
        <v>519374.86158291379</v>
      </c>
      <c r="L133" s="106">
        <f>SUM(BQ$37:BQ$48)+SUM(BS$37:BS$48)+SUM(BU$37:BU$48)+SUM(BW$37:BW$48)</f>
        <v>496077.39555555559</v>
      </c>
      <c r="M133" s="106">
        <f>SUM(BY$37:BY$48)+SUM(CA$37:CA$48)+SUM(CC$37:CC$48)+SUM(CE$37:CE$48)</f>
        <v>502316.20512032881</v>
      </c>
      <c r="N133" s="106">
        <f>SUM(CG$37:CG$48)+SUM(CI$37:CI$48)+SUM(CK$37:CK$48)+SUM(CM$37:CM$48)</f>
        <v>420157.88599466154</v>
      </c>
      <c r="O133" s="106">
        <f>SUM(CO$37:CO$48)+SUM(CQ$37:CQ$48)+SUM(CS$37:CS$48)+SUM(CU$37:CU$48)</f>
        <v>512857.19999999995</v>
      </c>
    </row>
    <row r="134" spans="2:15">
      <c r="C134" s="105" t="s">
        <v>129</v>
      </c>
      <c r="D134" s="106">
        <f>SUM(E$49:E$70)+SUM(G$49:G$70)+SUM(I$49:I$70)+SUM(K$49:K$70)</f>
        <v>602713.02665490715</v>
      </c>
      <c r="E134" s="106">
        <f>SUM(M$49:M$70)+SUM(O$49:O$70)+SUM(Q$49:Q$70)+SUM(S$49:S$70)</f>
        <v>527521.19044759159</v>
      </c>
      <c r="F134" s="106">
        <f>SUM(U$49:U$70)+SUM(W$49:W$70)+SUM(Y$49:Y$70)+SUM(AA$49:AA$70)</f>
        <v>521623.96240960364</v>
      </c>
      <c r="G134" s="106">
        <f>SUM(AC$49:AC$70)+SUM(AE$49:AE$70)+SUM(AG$49:AG$70)+SUM(AI$49:AI$70)</f>
        <v>580897.19447961636</v>
      </c>
      <c r="H134" s="106">
        <f>SUM(AK$49:AK$70)+SUM(AM$49:AM$70)+SUM(AO$49:AO$70)+SUM(AQ$49:AQ$70)</f>
        <v>549235.2952228561</v>
      </c>
      <c r="I134" s="106">
        <f>SUM(AS$49:AS$70)+SUM(AU$49:AU$70)+SUM(AW$49:AW$70)+SUM(AY$49:AY$70)</f>
        <v>702045.55016962928</v>
      </c>
      <c r="J134" s="106">
        <f>SUM(BA$49:BA$70)+SUM(BC$49:BC$70)+SUM(BE$49:BE$70)+SUM(BG$49:BG$70)</f>
        <v>571976.48097137187</v>
      </c>
      <c r="K134" s="106">
        <f>SUM(BI$49:BI$70)+SUM(BK$49:BK$70)+SUM(BM$49:BM$70)+SUM(BO$49:BO$70)</f>
        <v>499001.21637577121</v>
      </c>
      <c r="L134" s="106">
        <f>SUM(BQ$49:BQ$70)+SUM(BS$49:BS$70)+SUM(BU$49:BU$70)+SUM(BW$49:BW$70)</f>
        <v>534054.62480248278</v>
      </c>
      <c r="M134" s="106">
        <f>SUM(BY$49:BY$70)+SUM(CA$49:CA$70)+SUM(CC$49:CC$70)+SUM(CE$49:CE$70)</f>
        <v>484280.03511629795</v>
      </c>
      <c r="N134" s="106">
        <f>SUM(CG$49:CG$70)+SUM(CI$49:CI$70)+SUM(CK$49:CK$70)+SUM(CM$49:CM$70)</f>
        <v>445993.48210357456</v>
      </c>
      <c r="O134" s="106">
        <f>SUM(CO$49:CO$70)+SUM(CQ$49:CQ$70)+SUM(CS$49:CS$70)+SUM(CU$49:CU$70)</f>
        <v>628021.009007085</v>
      </c>
    </row>
    <row r="135" spans="2:15">
      <c r="C135" s="105" t="s">
        <v>130</v>
      </c>
      <c r="D135" s="106">
        <f>SUM(E$71:E$86)+SUM(G$71:G$86)+SUM(I$71:I$86)+SUM(K$71:K$86)</f>
        <v>334411.2</v>
      </c>
      <c r="E135" s="106">
        <f>SUM(M$71:M$86)+SUM(O$71:O$86)+SUM(Q$71:Q$86)+SUM(S$71:S$86)</f>
        <v>320526.60463163245</v>
      </c>
      <c r="F135" s="106">
        <f>SUM(U$71:U$86)+SUM(W$71:W$86)+SUM(Y$71:Y$86)+SUM(AA$71:AA$86)</f>
        <v>360306.64446345653</v>
      </c>
      <c r="G135" s="106">
        <f>SUM(AC$71:AC$86)+SUM(AE$71:AE$86)+SUM(AG$71:AG$86)+SUM(AI$71:AI$86)</f>
        <v>190250.0329158376</v>
      </c>
      <c r="H135" s="106">
        <f>SUM(AK$71:AK$86)+SUM(AM$71:AM$86)+SUM(AO$71:AO$86)+SUM(AQ$71:AQ$86)</f>
        <v>410406.12683661084</v>
      </c>
      <c r="I135" s="106">
        <f>SUM(AS$71:AS$86)+SUM(AU$71:AU$86)+SUM(AW$71:AW$86)+SUM(AY$71:AY$86)</f>
        <v>363003.94850389741</v>
      </c>
      <c r="J135" s="106">
        <f>SUM(BA$71:BA$86)+SUM(BC$71:BC$86)+SUM(BE$71:BE$86)+SUM(BG$71:BG$86)</f>
        <v>276500.05947970011</v>
      </c>
      <c r="K135" s="106">
        <f>SUM(BI$71:BI$86)+SUM(BK$71:BK$86)+SUM(BM$71:BM$86)+SUM(BO$71:BO$86)</f>
        <v>221730.22722633899</v>
      </c>
      <c r="L135" s="106">
        <f>SUM(BQ$71:BQ$86)+SUM(BS$71:BS$86)+SUM(BU$71:BU$86)+SUM(BW$71:BW$86)</f>
        <v>309775.43676060776</v>
      </c>
      <c r="M135" s="106">
        <f>SUM(BY$71:BY$86)+SUM(CA$71:CA$86)+SUM(CC$71:CC$86)+SUM(CE$71:CE$86)</f>
        <v>440246.4</v>
      </c>
      <c r="N135" s="106">
        <f>SUM(CG$71:CG$86)+SUM(CI$71:CI$86)+SUM(CK$71:CK$86)+SUM(CM$71:CM$86)</f>
        <v>431506.03160579846</v>
      </c>
      <c r="O135" s="106">
        <f>SUM(CO$71:CO$86)+SUM(CQ$71:CQ$86)+SUM(CS$71:CS$86)+SUM(CU$71:CU$86)</f>
        <v>324727.35849056608</v>
      </c>
    </row>
    <row r="136" spans="2:15">
      <c r="C136" s="105" t="s">
        <v>131</v>
      </c>
      <c r="D136" s="106">
        <f>SUM(E$87:E$94)+SUM(G$87:G$94)+SUM(I$87:I$94)+SUM(K$87:K$94)</f>
        <v>155827.61339887331</v>
      </c>
      <c r="E136" s="106">
        <f>SUM(M$87:M$94)+SUM(O$87:O$94)+SUM(Q$87:Q$94)+SUM(S$87:S$94)</f>
        <v>249284.62642074234</v>
      </c>
      <c r="F136" s="106">
        <f>SUM(U$87:U$94)+SUM(W$87:W$94)+SUM(Y$87:Y$94)+SUM(AA$87:AA$94)</f>
        <v>151295.47439662876</v>
      </c>
      <c r="G136" s="106">
        <f>SUM(AC$87:AC$94)+SUM(AE$87:AE$94)+SUM(AG$87:AG$94)+SUM(AI$87:AI$94)</f>
        <v>133024.42538626262</v>
      </c>
      <c r="H136" s="106">
        <f>SUM(AK$87:AK$94)+SUM(AM$87:AM$94)+SUM(AO$87:AO$94)+SUM(AQ$87:AQ$94)</f>
        <v>186071.67007017718</v>
      </c>
      <c r="I136" s="106">
        <f>SUM(AS$87:AS$94)+SUM(AU$87:AU$94)+SUM(AW$87:AW$94)+SUM(AY$87:AY$94)</f>
        <v>240661.85274725273</v>
      </c>
      <c r="J136" s="106">
        <f>SUM(BA$87:BA$94)+SUM(BC$87:BC$94)+SUM(BE$87:BE$94)+SUM(BG$87:BG$94)</f>
        <v>170301.49766713451</v>
      </c>
      <c r="K136" s="106">
        <f>SUM(BI$87:BI$94)+SUM(BK$87:BK$94)+SUM(BM$87:BM$94)+SUM(BO$87:BO$94)</f>
        <v>116273.771876064</v>
      </c>
      <c r="L136" s="106">
        <f>SUM(BQ$87:BQ$94)+SUM(BS$87:BS$94)+SUM(BU$87:BU$94)+SUM(BW$87:BW$94)</f>
        <v>253618.98152497705</v>
      </c>
      <c r="M136" s="106">
        <f>SUM(BY$87:BY$94)+SUM(CA$87:CA$94)+SUM(CC$87:CC$94)+SUM(CE$87:CE$94)</f>
        <v>263362.04329975107</v>
      </c>
      <c r="N136" s="106">
        <f>SUM(CG$87:CG$94)+SUM(CI$87:CI$94)+SUM(CK$87:CK$94)+SUM(CM$87:CM$94)</f>
        <v>208082.19957368524</v>
      </c>
      <c r="O136" s="106">
        <f>SUM(CO$87:CO$94)+SUM(CQ$87:CQ$94)+SUM(CS$87:CS$94)+SUM(CU$87:CU$94)</f>
        <v>176849.96833608681</v>
      </c>
    </row>
    <row r="137" spans="2:15">
      <c r="C137" s="105" t="s">
        <v>132</v>
      </c>
      <c r="D137" s="106">
        <f>SUM(E$95:E$105)+SUM(G$95:G$105)+SUM(I$95:I$105)+SUM(K$95:K$105)</f>
        <v>237421.83937611879</v>
      </c>
      <c r="E137" s="106">
        <f>SUM(M$95:M$105)+SUM(O$95:O$105)+SUM(Q$95:Q$105)+SUM(S$95:S$105)</f>
        <v>309371.05626477534</v>
      </c>
      <c r="F137" s="106">
        <f>SUM(U$95:U$105)+SUM(W$95:W$105)+SUM(Y$95:Y$105)+SUM(AA$95:AA$105)</f>
        <v>262977.10473758134</v>
      </c>
      <c r="G137" s="106">
        <f>SUM(AC$95:AC$105)+SUM(AE$95:AE$105)+SUM(AG$95:AG$105)+SUM(AI$95:AI$105)</f>
        <v>145553.3552053718</v>
      </c>
      <c r="H137" s="106">
        <f>SUM(AK$95:AK$105)+SUM(AM$95:AM$105)+SUM(AO$95:AO$105)+SUM(AQ$95:AQ$105)</f>
        <v>239166.437234554</v>
      </c>
      <c r="I137" s="106">
        <f>SUM(AS$95:AS$105)+SUM(AU$95:AU$105)+SUM(AW$95:AW$105)+SUM(AY$95:AY$105)</f>
        <v>364802.94065934065</v>
      </c>
      <c r="J137" s="106">
        <f>SUM(BA$95:BA$105)+SUM(BC$95:BC$105)+SUM(BE$95:BE$105)+SUM(BG$95:BG$105)</f>
        <v>177198.76963461761</v>
      </c>
      <c r="K137" s="106">
        <f>SUM(BI$95:BI$105)+SUM(BK$95:BK$105)+SUM(BM$95:BM$105)+SUM(BO$95:BO$105)</f>
        <v>156805.93939393939</v>
      </c>
      <c r="L137" s="106">
        <f>SUM(BQ$95:BQ$105)+SUM(BS$95:BS$105)+SUM(BU$95:BU$105)+SUM(BW$95:BW$105)</f>
        <v>298439.46939042048</v>
      </c>
      <c r="M137" s="106">
        <f>SUM(BY$95:BY$105)+SUM(CA$95:CA$105)+SUM(CC$95:CC$105)+SUM(CE$95:CE$105)</f>
        <v>304954.8938295602</v>
      </c>
      <c r="N137" s="106">
        <f>SUM(CG$95:CG$105)+SUM(CI$95:CI$105)+SUM(CK$95:CK$105)+SUM(CM$95:CM$105)</f>
        <v>264997.66595629277</v>
      </c>
      <c r="O137" s="106">
        <f>SUM(CO$95:CO$105)+SUM(CQ$95:CQ$105)+SUM(CS$95:CS$105)+SUM(CU$95:CU$105)</f>
        <v>330998.23287231528</v>
      </c>
    </row>
    <row r="138" spans="2:15">
      <c r="C138" s="105" t="s">
        <v>278</v>
      </c>
      <c r="D138" s="100">
        <f t="shared" ref="D138:O138" si="2">SUM(D$131:D$137)</f>
        <v>2483810.0794298993</v>
      </c>
      <c r="E138" s="100">
        <f t="shared" si="2"/>
        <v>2743069.5597596527</v>
      </c>
      <c r="F138" s="100">
        <f t="shared" si="2"/>
        <v>2585129.1860072701</v>
      </c>
      <c r="G138" s="100">
        <f t="shared" si="2"/>
        <v>2137934.2079870882</v>
      </c>
      <c r="H138" s="100">
        <f t="shared" si="2"/>
        <v>2676708.3293641978</v>
      </c>
      <c r="I138" s="100">
        <f t="shared" si="2"/>
        <v>2922079.4920801194</v>
      </c>
      <c r="J138" s="100">
        <f t="shared" si="2"/>
        <v>2480005.6077528242</v>
      </c>
      <c r="K138" s="100">
        <f t="shared" si="2"/>
        <v>2194941.1429460216</v>
      </c>
      <c r="L138" s="100">
        <f t="shared" si="2"/>
        <v>2573873.1204784876</v>
      </c>
      <c r="M138" s="100">
        <f t="shared" si="2"/>
        <v>2729639.8581411741</v>
      </c>
      <c r="N138" s="100">
        <f t="shared" si="2"/>
        <v>2368563.6989514912</v>
      </c>
      <c r="O138" s="100">
        <f t="shared" si="2"/>
        <v>2747778.9687060532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5.089025220168888E-4</v>
      </c>
      <c r="E6" s="100">
        <v>0.29434921873456849</v>
      </c>
      <c r="F6" s="100">
        <v>8</v>
      </c>
      <c r="G6" s="100">
        <v>4627.2</v>
      </c>
      <c r="H6" s="100">
        <v>9</v>
      </c>
      <c r="I6" s="100">
        <v>5205.5999999999995</v>
      </c>
      <c r="J6" s="100">
        <v>6</v>
      </c>
      <c r="K6" s="100">
        <v>3470.3999999999996</v>
      </c>
      <c r="L6" s="100">
        <v>5</v>
      </c>
      <c r="M6" s="100">
        <v>2892</v>
      </c>
      <c r="N6" s="100">
        <v>7.1290700128359221</v>
      </c>
      <c r="O6" s="100">
        <v>4123.4540954242975</v>
      </c>
      <c r="P6" s="100">
        <v>5.1208122119257569</v>
      </c>
      <c r="Q6" s="100">
        <v>2961.8777833778577</v>
      </c>
      <c r="R6" s="100">
        <v>9</v>
      </c>
      <c r="S6" s="100">
        <v>5205.5999999999995</v>
      </c>
      <c r="T6" s="100">
        <v>4</v>
      </c>
      <c r="U6" s="100">
        <v>2313.6</v>
      </c>
      <c r="V6" s="100">
        <v>7</v>
      </c>
      <c r="W6" s="100">
        <v>4048.7999999999997</v>
      </c>
      <c r="X6" s="100">
        <v>7</v>
      </c>
      <c r="Y6" s="100">
        <v>4048.7999999999997</v>
      </c>
      <c r="Z6" s="100">
        <v>7</v>
      </c>
      <c r="AA6" s="100">
        <v>4048.7999999999997</v>
      </c>
      <c r="AB6" s="100">
        <v>5</v>
      </c>
      <c r="AC6" s="100">
        <v>2892</v>
      </c>
      <c r="AD6" s="100">
        <v>5.6212958474301553</v>
      </c>
      <c r="AE6" s="100">
        <v>3251.3575181536016</v>
      </c>
      <c r="AF6" s="100">
        <v>8</v>
      </c>
      <c r="AG6" s="100">
        <v>4627.2</v>
      </c>
      <c r="AH6" s="100">
        <v>4.67274457586488</v>
      </c>
      <c r="AI6" s="100">
        <v>2702.7154626802467</v>
      </c>
      <c r="AJ6" s="100">
        <v>5</v>
      </c>
      <c r="AK6" s="100">
        <v>2892</v>
      </c>
      <c r="AL6" s="100">
        <v>6</v>
      </c>
      <c r="AM6" s="100">
        <v>3470.3999999999996</v>
      </c>
      <c r="AN6" s="100">
        <v>8</v>
      </c>
      <c r="AO6" s="100">
        <v>4627.2</v>
      </c>
      <c r="AP6" s="100">
        <v>10</v>
      </c>
      <c r="AQ6" s="100">
        <v>5784</v>
      </c>
      <c r="AR6" s="100">
        <v>8.7058827733828146</v>
      </c>
      <c r="AS6" s="100">
        <v>5035.4825961246197</v>
      </c>
      <c r="AT6" s="100">
        <v>5.8645554550550312E-4</v>
      </c>
      <c r="AU6" s="100">
        <v>0.339205887520383</v>
      </c>
      <c r="AV6" s="100">
        <v>9</v>
      </c>
      <c r="AW6" s="100">
        <v>5205.5999999999995</v>
      </c>
      <c r="AX6" s="100">
        <v>5</v>
      </c>
      <c r="AY6" s="100">
        <v>2892</v>
      </c>
      <c r="AZ6" s="100">
        <v>6</v>
      </c>
      <c r="BA6" s="100">
        <v>3470.3999999999996</v>
      </c>
      <c r="BB6" s="100">
        <v>8</v>
      </c>
      <c r="BC6" s="100">
        <v>4627.2</v>
      </c>
      <c r="BD6" s="100">
        <v>5.7463398396488063</v>
      </c>
      <c r="BE6" s="100">
        <v>3323.6829632528693</v>
      </c>
      <c r="BF6" s="100">
        <v>8.7395223387160517</v>
      </c>
      <c r="BG6" s="100">
        <v>5054.9397207133643</v>
      </c>
      <c r="BH6" s="100">
        <v>7.4413595823359815</v>
      </c>
      <c r="BI6" s="100">
        <v>4304.0823824231311</v>
      </c>
      <c r="BJ6" s="100">
        <v>5.4713822413740525</v>
      </c>
      <c r="BK6" s="100">
        <v>3164.647488410752</v>
      </c>
      <c r="BL6" s="100">
        <v>1.905831902096577</v>
      </c>
      <c r="BM6" s="100">
        <v>1102.3331721726602</v>
      </c>
      <c r="BN6" s="100">
        <v>3.7155363937557482</v>
      </c>
      <c r="BO6" s="100">
        <v>2149.0662501483248</v>
      </c>
      <c r="BP6" s="100">
        <v>11.497271220850481</v>
      </c>
      <c r="BQ6" s="100">
        <v>6650.0216741399181</v>
      </c>
      <c r="BR6" s="100">
        <v>4.1449472790726158</v>
      </c>
      <c r="BS6" s="100">
        <v>2397.4375062156009</v>
      </c>
      <c r="BT6" s="100">
        <v>8.3520428861613034</v>
      </c>
      <c r="BU6" s="100">
        <v>4830.821605355698</v>
      </c>
      <c r="BV6" s="100">
        <v>4.360929890723062</v>
      </c>
      <c r="BW6" s="100">
        <v>2522.361848794219</v>
      </c>
      <c r="BX6" s="100">
        <v>5</v>
      </c>
      <c r="BY6" s="100">
        <v>2892</v>
      </c>
      <c r="BZ6" s="100">
        <v>8.1465203872340535</v>
      </c>
      <c r="CA6" s="100">
        <v>4711.9473919761767</v>
      </c>
      <c r="CB6" s="100">
        <v>3.531444380071064</v>
      </c>
      <c r="CC6" s="100">
        <v>2042.5874294331034</v>
      </c>
      <c r="CD6" s="100">
        <v>4.6287062875218465</v>
      </c>
      <c r="CE6" s="100">
        <v>2677.243716702636</v>
      </c>
      <c r="CF6" s="100">
        <v>6</v>
      </c>
      <c r="CG6" s="100">
        <v>3470.3999999999996</v>
      </c>
      <c r="CH6" s="100">
        <v>6.0345118098092057</v>
      </c>
      <c r="CI6" s="100">
        <v>3490.3616307936445</v>
      </c>
      <c r="CJ6" s="100">
        <v>1.2240782790425293</v>
      </c>
      <c r="CK6" s="100">
        <v>708.00687659819891</v>
      </c>
      <c r="CL6" s="100">
        <v>7</v>
      </c>
      <c r="CM6" s="100">
        <v>4048.7999999999997</v>
      </c>
      <c r="CN6" s="100">
        <v>9</v>
      </c>
      <c r="CO6" s="100">
        <v>5205.5999999999995</v>
      </c>
      <c r="CP6" s="100">
        <v>6</v>
      </c>
      <c r="CQ6" s="100">
        <v>3470.3999999999996</v>
      </c>
      <c r="CR6" s="100">
        <v>10</v>
      </c>
      <c r="CS6" s="100">
        <v>5784</v>
      </c>
      <c r="CT6" s="100">
        <v>8</v>
      </c>
      <c r="CU6" s="100">
        <v>4627.2</v>
      </c>
    </row>
    <row r="7" spans="1:99">
      <c r="C7" s="99" t="s">
        <v>173</v>
      </c>
      <c r="D7" s="100">
        <v>6.7853669602251847E-4</v>
      </c>
      <c r="E7" s="100">
        <v>0.53495833114415359</v>
      </c>
      <c r="F7" s="100">
        <v>9</v>
      </c>
      <c r="G7" s="100">
        <v>7095.5999999999995</v>
      </c>
      <c r="H7" s="100">
        <v>9</v>
      </c>
      <c r="I7" s="100">
        <v>7095.5999999999995</v>
      </c>
      <c r="J7" s="100">
        <v>6</v>
      </c>
      <c r="K7" s="100">
        <v>4730.3999999999996</v>
      </c>
      <c r="L7" s="100">
        <v>5</v>
      </c>
      <c r="M7" s="100">
        <v>3942</v>
      </c>
      <c r="N7" s="100">
        <v>7.11616301155233</v>
      </c>
      <c r="O7" s="100">
        <v>5610.3829183078569</v>
      </c>
      <c r="P7" s="100">
        <v>5.1208122119257569</v>
      </c>
      <c r="Q7" s="100">
        <v>4037.2483478822664</v>
      </c>
      <c r="R7" s="100">
        <v>7</v>
      </c>
      <c r="S7" s="100">
        <v>5518.8</v>
      </c>
      <c r="T7" s="100">
        <v>5</v>
      </c>
      <c r="U7" s="100">
        <v>3942</v>
      </c>
      <c r="V7" s="100">
        <v>6</v>
      </c>
      <c r="W7" s="100">
        <v>4730.3999999999996</v>
      </c>
      <c r="X7" s="100">
        <v>8</v>
      </c>
      <c r="Y7" s="100">
        <v>6307.2</v>
      </c>
      <c r="Z7" s="100">
        <v>8</v>
      </c>
      <c r="AA7" s="100">
        <v>6307.2</v>
      </c>
      <c r="AB7" s="100">
        <v>6</v>
      </c>
      <c r="AC7" s="100">
        <v>4730.3999999999996</v>
      </c>
      <c r="AD7" s="100">
        <v>5.6212958474301553</v>
      </c>
      <c r="AE7" s="100">
        <v>4431.8296461139344</v>
      </c>
      <c r="AF7" s="100">
        <v>8</v>
      </c>
      <c r="AG7" s="100">
        <v>6307.2</v>
      </c>
      <c r="AH7" s="100">
        <v>4.67274457586488</v>
      </c>
      <c r="AI7" s="100">
        <v>3683.9918236118715</v>
      </c>
      <c r="AJ7" s="100">
        <v>6</v>
      </c>
      <c r="AK7" s="100">
        <v>4730.3999999999996</v>
      </c>
      <c r="AL7" s="100">
        <v>6</v>
      </c>
      <c r="AM7" s="100">
        <v>4730.3999999999996</v>
      </c>
      <c r="AN7" s="100">
        <v>9</v>
      </c>
      <c r="AO7" s="100">
        <v>7095.5999999999995</v>
      </c>
      <c r="AP7" s="100">
        <v>9</v>
      </c>
      <c r="AQ7" s="100">
        <v>7095.5999999999995</v>
      </c>
      <c r="AR7" s="100">
        <v>7.7385624652291671</v>
      </c>
      <c r="AS7" s="100">
        <v>6101.0826475866752</v>
      </c>
      <c r="AT7" s="100">
        <v>5.8645554550550312E-4</v>
      </c>
      <c r="AU7" s="100">
        <v>0.46236155207653867</v>
      </c>
      <c r="AV7" s="100">
        <v>8</v>
      </c>
      <c r="AW7" s="100">
        <v>6307.2</v>
      </c>
      <c r="AX7" s="100">
        <v>6</v>
      </c>
      <c r="AY7" s="100">
        <v>4730.3999999999996</v>
      </c>
      <c r="AZ7" s="100">
        <v>6</v>
      </c>
      <c r="BA7" s="100">
        <v>4730.3999999999996</v>
      </c>
      <c r="BB7" s="100">
        <v>9</v>
      </c>
      <c r="BC7" s="100">
        <v>7095.5999999999995</v>
      </c>
      <c r="BD7" s="100">
        <v>4.7886165330406723</v>
      </c>
      <c r="BE7" s="100">
        <v>3775.3452746492658</v>
      </c>
      <c r="BF7" s="100">
        <v>7.8655701048444451</v>
      </c>
      <c r="BG7" s="100">
        <v>6201.2154706593601</v>
      </c>
      <c r="BH7" s="100">
        <v>7.4413595823359815</v>
      </c>
      <c r="BI7" s="100">
        <v>5866.7678947136874</v>
      </c>
      <c r="BJ7" s="100">
        <v>5.4713822413740525</v>
      </c>
      <c r="BK7" s="100">
        <v>4313.6377590993025</v>
      </c>
      <c r="BL7" s="100">
        <v>1.905831902096577</v>
      </c>
      <c r="BM7" s="100">
        <v>1502.5578716129412</v>
      </c>
      <c r="BN7" s="100">
        <v>3.7155363937557482</v>
      </c>
      <c r="BO7" s="100">
        <v>2929.3288928370316</v>
      </c>
      <c r="BP7" s="100">
        <v>9.4972712208504806</v>
      </c>
      <c r="BQ7" s="100">
        <v>7487.648630518519</v>
      </c>
      <c r="BR7" s="100">
        <v>4.1449472790726158</v>
      </c>
      <c r="BS7" s="100">
        <v>3267.8764348208501</v>
      </c>
      <c r="BT7" s="100">
        <v>10.148075472639333</v>
      </c>
      <c r="BU7" s="100">
        <v>8000.7427026288497</v>
      </c>
      <c r="BV7" s="100">
        <v>4.360929890723062</v>
      </c>
      <c r="BW7" s="100">
        <v>3438.1571258460622</v>
      </c>
      <c r="BX7" s="100">
        <v>5</v>
      </c>
      <c r="BY7" s="100">
        <v>3942</v>
      </c>
      <c r="BZ7" s="100">
        <v>7.1709404517730633</v>
      </c>
      <c r="CA7" s="100">
        <v>5653.5694521778832</v>
      </c>
      <c r="CB7" s="100">
        <v>4.0924529800960068</v>
      </c>
      <c r="CC7" s="100">
        <v>3226.4899295076916</v>
      </c>
      <c r="CD7" s="100">
        <v>4.6287062875218465</v>
      </c>
      <c r="CE7" s="100">
        <v>3649.2720370822235</v>
      </c>
      <c r="CF7" s="100">
        <v>6</v>
      </c>
      <c r="CG7" s="100">
        <v>4730.3999999999996</v>
      </c>
      <c r="CH7" s="100">
        <v>5.4385501716620812</v>
      </c>
      <c r="CI7" s="100">
        <v>4287.7529553383847</v>
      </c>
      <c r="CJ7" s="100">
        <v>1.468893934851035</v>
      </c>
      <c r="CK7" s="100">
        <v>1158.075978236556</v>
      </c>
      <c r="CL7" s="100">
        <v>7</v>
      </c>
      <c r="CM7" s="100">
        <v>5518.8</v>
      </c>
      <c r="CN7" s="100">
        <v>10</v>
      </c>
      <c r="CO7" s="100">
        <v>7884</v>
      </c>
      <c r="CP7" s="100">
        <v>7</v>
      </c>
      <c r="CQ7" s="100">
        <v>5518.8</v>
      </c>
      <c r="CR7" s="100">
        <v>11</v>
      </c>
      <c r="CS7" s="100">
        <v>8672.4</v>
      </c>
      <c r="CT7" s="100">
        <v>7</v>
      </c>
      <c r="CU7" s="100">
        <v>5518.8</v>
      </c>
    </row>
    <row r="8" spans="1:99">
      <c r="C8" s="99" t="s">
        <v>174</v>
      </c>
      <c r="D8" s="100">
        <v>5.9371960901970374E-4</v>
      </c>
      <c r="E8" s="100">
        <v>0.18381559095250025</v>
      </c>
      <c r="F8" s="100">
        <v>8</v>
      </c>
      <c r="G8" s="100">
        <v>2476.7999999999997</v>
      </c>
      <c r="H8" s="100">
        <v>9</v>
      </c>
      <c r="I8" s="100">
        <v>2786.3999999999996</v>
      </c>
      <c r="J8" s="100">
        <v>6</v>
      </c>
      <c r="K8" s="100">
        <v>1857.6</v>
      </c>
      <c r="L8" s="100">
        <v>4</v>
      </c>
      <c r="M8" s="100">
        <v>1238.3999999999999</v>
      </c>
      <c r="N8" s="100">
        <v>8.1419770141195134</v>
      </c>
      <c r="O8" s="100">
        <v>2520.7560835714012</v>
      </c>
      <c r="P8" s="100">
        <v>5.9742809139133835</v>
      </c>
      <c r="Q8" s="100">
        <v>1849.6373709475833</v>
      </c>
      <c r="R8" s="100">
        <v>7</v>
      </c>
      <c r="S8" s="100">
        <v>2167.1999999999998</v>
      </c>
      <c r="T8" s="100">
        <v>5</v>
      </c>
      <c r="U8" s="100">
        <v>1547.9999999999998</v>
      </c>
      <c r="V8" s="100">
        <v>6</v>
      </c>
      <c r="W8" s="100">
        <v>1857.6</v>
      </c>
      <c r="X8" s="100">
        <v>7</v>
      </c>
      <c r="Y8" s="100">
        <v>2167.1999999999998</v>
      </c>
      <c r="Z8" s="100">
        <v>8</v>
      </c>
      <c r="AA8" s="100">
        <v>2476.7999999999997</v>
      </c>
      <c r="AB8" s="100">
        <v>5</v>
      </c>
      <c r="AC8" s="100">
        <v>1547.9999999999998</v>
      </c>
      <c r="AD8" s="100">
        <v>6.3239578283589246</v>
      </c>
      <c r="AE8" s="100">
        <v>1957.8973436599229</v>
      </c>
      <c r="AF8" s="100">
        <v>9</v>
      </c>
      <c r="AG8" s="100">
        <v>2786.3999999999996</v>
      </c>
      <c r="AH8" s="100">
        <v>4.67274457586488</v>
      </c>
      <c r="AI8" s="100">
        <v>1446.6817206877668</v>
      </c>
      <c r="AJ8" s="100">
        <v>6</v>
      </c>
      <c r="AK8" s="100">
        <v>1857.6</v>
      </c>
      <c r="AL8" s="100">
        <v>6</v>
      </c>
      <c r="AM8" s="100">
        <v>1857.6</v>
      </c>
      <c r="AN8" s="100">
        <v>9</v>
      </c>
      <c r="AO8" s="100">
        <v>2786.3999999999996</v>
      </c>
      <c r="AP8" s="100">
        <v>10</v>
      </c>
      <c r="AQ8" s="100">
        <v>3095.9999999999995</v>
      </c>
      <c r="AR8" s="100">
        <v>7.7385624652291671</v>
      </c>
      <c r="AS8" s="100">
        <v>2395.85893923495</v>
      </c>
      <c r="AT8" s="100">
        <v>5.2780999095495282E-4</v>
      </c>
      <c r="AU8" s="100">
        <v>0.16340997319965336</v>
      </c>
      <c r="AV8" s="100">
        <v>9</v>
      </c>
      <c r="AW8" s="100">
        <v>2786.3999999999996</v>
      </c>
      <c r="AX8" s="100">
        <v>6</v>
      </c>
      <c r="AY8" s="100">
        <v>1857.6</v>
      </c>
      <c r="AZ8" s="100">
        <v>7</v>
      </c>
      <c r="BA8" s="100">
        <v>2167.1999999999998</v>
      </c>
      <c r="BB8" s="100">
        <v>9</v>
      </c>
      <c r="BC8" s="100">
        <v>2786.3999999999996</v>
      </c>
      <c r="BD8" s="100">
        <v>5.7463398396488063</v>
      </c>
      <c r="BE8" s="100">
        <v>1779.0668143552703</v>
      </c>
      <c r="BF8" s="100">
        <v>8.7395223387160517</v>
      </c>
      <c r="BG8" s="100">
        <v>2705.7561160664891</v>
      </c>
      <c r="BH8" s="100">
        <v>6.6145418509653178</v>
      </c>
      <c r="BI8" s="100">
        <v>2047.8621570588621</v>
      </c>
      <c r="BJ8" s="100">
        <v>5.4930136606365956</v>
      </c>
      <c r="BK8" s="100">
        <v>1700.6370293330899</v>
      </c>
      <c r="BL8" s="100">
        <v>1.6720690370251039</v>
      </c>
      <c r="BM8" s="100">
        <v>517.67257386297206</v>
      </c>
      <c r="BN8" s="100">
        <v>3.7155363937557482</v>
      </c>
      <c r="BO8" s="100">
        <v>1150.3300675067794</v>
      </c>
      <c r="BP8" s="100">
        <v>11.497271220850481</v>
      </c>
      <c r="BQ8" s="100">
        <v>3559.5551699753082</v>
      </c>
      <c r="BR8" s="100">
        <v>4.1449472790726158</v>
      </c>
      <c r="BS8" s="100">
        <v>1283.2756776008816</v>
      </c>
      <c r="BT8" s="100">
        <v>10.178063944529354</v>
      </c>
      <c r="BU8" s="100">
        <v>3151.1285972262876</v>
      </c>
      <c r="BV8" s="100">
        <v>4.8454776563589581</v>
      </c>
      <c r="BW8" s="100">
        <v>1500.1598824087332</v>
      </c>
      <c r="BX8" s="100">
        <v>6</v>
      </c>
      <c r="BY8" s="100">
        <v>1857.6</v>
      </c>
      <c r="BZ8" s="100">
        <v>8.1465203872340535</v>
      </c>
      <c r="CA8" s="100">
        <v>2522.1627118876627</v>
      </c>
      <c r="CB8" s="100">
        <v>4.116080520084779</v>
      </c>
      <c r="CC8" s="100">
        <v>1274.3385290182475</v>
      </c>
      <c r="CD8" s="100">
        <v>4.2079148068380414</v>
      </c>
      <c r="CE8" s="100">
        <v>1302.7704241970575</v>
      </c>
      <c r="CF8" s="100">
        <v>6</v>
      </c>
      <c r="CG8" s="100">
        <v>1857.6</v>
      </c>
      <c r="CH8" s="100">
        <v>6.5805431623976807</v>
      </c>
      <c r="CI8" s="100">
        <v>2037.3361630783218</v>
      </c>
      <c r="CJ8" s="100">
        <v>1.468893934851035</v>
      </c>
      <c r="CK8" s="100">
        <v>454.76956222988042</v>
      </c>
      <c r="CL8" s="100">
        <v>7</v>
      </c>
      <c r="CM8" s="100">
        <v>2167.1999999999998</v>
      </c>
      <c r="CN8" s="100">
        <v>9</v>
      </c>
      <c r="CO8" s="100">
        <v>2786.3999999999996</v>
      </c>
      <c r="CP8" s="100">
        <v>6</v>
      </c>
      <c r="CQ8" s="100">
        <v>1857.6</v>
      </c>
      <c r="CR8" s="100">
        <v>11</v>
      </c>
      <c r="CS8" s="100">
        <v>3405.5999999999995</v>
      </c>
      <c r="CT8" s="100">
        <v>8</v>
      </c>
      <c r="CU8" s="100">
        <v>2476.7999999999997</v>
      </c>
    </row>
    <row r="9" spans="1:99">
      <c r="C9" s="99" t="s">
        <v>175</v>
      </c>
      <c r="D9" s="100">
        <v>5.9371960901970374E-4</v>
      </c>
      <c r="E9" s="100">
        <v>0.41679116553183204</v>
      </c>
      <c r="F9" s="100">
        <v>8</v>
      </c>
      <c r="G9" s="100">
        <v>5616</v>
      </c>
      <c r="H9" s="100">
        <v>8</v>
      </c>
      <c r="I9" s="100">
        <v>5616</v>
      </c>
      <c r="J9" s="100">
        <v>7</v>
      </c>
      <c r="K9" s="100">
        <v>4914</v>
      </c>
      <c r="L9" s="100">
        <v>5</v>
      </c>
      <c r="M9" s="100">
        <v>3510</v>
      </c>
      <c r="N9" s="100">
        <v>8.1419770141195134</v>
      </c>
      <c r="O9" s="100">
        <v>5715.6678639118982</v>
      </c>
      <c r="P9" s="100">
        <v>5.9742809139133835</v>
      </c>
      <c r="Q9" s="100">
        <v>4193.945201567195</v>
      </c>
      <c r="R9" s="100">
        <v>9</v>
      </c>
      <c r="S9" s="100">
        <v>6318</v>
      </c>
      <c r="T9" s="100">
        <v>5</v>
      </c>
      <c r="U9" s="100">
        <v>3510</v>
      </c>
      <c r="V9" s="100">
        <v>5</v>
      </c>
      <c r="W9" s="100">
        <v>3510</v>
      </c>
      <c r="X9" s="100">
        <v>8</v>
      </c>
      <c r="Y9" s="100">
        <v>5616</v>
      </c>
      <c r="Z9" s="100">
        <v>8</v>
      </c>
      <c r="AA9" s="100">
        <v>5616</v>
      </c>
      <c r="AB9" s="100">
        <v>6</v>
      </c>
      <c r="AC9" s="100">
        <v>4212</v>
      </c>
      <c r="AD9" s="100">
        <v>6.3239578283589246</v>
      </c>
      <c r="AE9" s="100">
        <v>4439.4183955079652</v>
      </c>
      <c r="AF9" s="100">
        <v>8</v>
      </c>
      <c r="AG9" s="100">
        <v>5616</v>
      </c>
      <c r="AH9" s="100">
        <v>4.67274457586488</v>
      </c>
      <c r="AI9" s="100">
        <v>3280.2666922571457</v>
      </c>
      <c r="AJ9" s="100">
        <v>6</v>
      </c>
      <c r="AK9" s="100">
        <v>4212</v>
      </c>
      <c r="AL9" s="100">
        <v>6</v>
      </c>
      <c r="AM9" s="100">
        <v>4212</v>
      </c>
      <c r="AN9" s="100">
        <v>9</v>
      </c>
      <c r="AO9" s="100">
        <v>6318</v>
      </c>
      <c r="AP9" s="100">
        <v>9</v>
      </c>
      <c r="AQ9" s="100">
        <v>6318</v>
      </c>
      <c r="AR9" s="100">
        <v>8.7058827733828146</v>
      </c>
      <c r="AS9" s="100">
        <v>6111.5297069147355</v>
      </c>
      <c r="AT9" s="100">
        <v>5.8645554550550312E-4</v>
      </c>
      <c r="AU9" s="100">
        <v>0.41169179294486319</v>
      </c>
      <c r="AV9" s="100">
        <v>8</v>
      </c>
      <c r="AW9" s="100">
        <v>5616</v>
      </c>
      <c r="AX9" s="100">
        <v>6</v>
      </c>
      <c r="AY9" s="100">
        <v>4212</v>
      </c>
      <c r="AZ9" s="100">
        <v>6</v>
      </c>
      <c r="BA9" s="100">
        <v>4212</v>
      </c>
      <c r="BB9" s="100">
        <v>9</v>
      </c>
      <c r="BC9" s="100">
        <v>6318</v>
      </c>
      <c r="BD9" s="100">
        <v>4.7886165330406723</v>
      </c>
      <c r="BE9" s="100">
        <v>3361.608806194552</v>
      </c>
      <c r="BF9" s="100">
        <v>7.8655701048444451</v>
      </c>
      <c r="BG9" s="100">
        <v>5521.6302136008007</v>
      </c>
      <c r="BH9" s="100">
        <v>7.4413595823359815</v>
      </c>
      <c r="BI9" s="100">
        <v>5223.8344267998591</v>
      </c>
      <c r="BJ9" s="100">
        <v>5.4497508221115094</v>
      </c>
      <c r="BK9" s="100">
        <v>3825.7250771222798</v>
      </c>
      <c r="BL9" s="100">
        <v>1.905831902096577</v>
      </c>
      <c r="BM9" s="100">
        <v>1337.8939952717972</v>
      </c>
      <c r="BN9" s="100">
        <v>3.1847454803620696</v>
      </c>
      <c r="BO9" s="100">
        <v>2235.6913272141728</v>
      </c>
      <c r="BP9" s="100">
        <v>9.5424776954732504</v>
      </c>
      <c r="BQ9" s="100">
        <v>6698.8193422222221</v>
      </c>
      <c r="BR9" s="100">
        <v>4.1449472790726158</v>
      </c>
      <c r="BS9" s="100">
        <v>2909.7529899089764</v>
      </c>
      <c r="BT9" s="100">
        <v>8.3520428861613034</v>
      </c>
      <c r="BU9" s="100">
        <v>5863.1341060852346</v>
      </c>
      <c r="BV9" s="100">
        <v>4.360929890723062</v>
      </c>
      <c r="BW9" s="100">
        <v>3061.3727832875898</v>
      </c>
      <c r="BX9" s="100">
        <v>6</v>
      </c>
      <c r="BY9" s="100">
        <v>4212</v>
      </c>
      <c r="BZ9" s="100">
        <v>7.1709404517730633</v>
      </c>
      <c r="CA9" s="100">
        <v>5034.00019714469</v>
      </c>
      <c r="CB9" s="100">
        <v>3.5550719200598366</v>
      </c>
      <c r="CC9" s="100">
        <v>2495.6604878820053</v>
      </c>
      <c r="CD9" s="100">
        <v>4.6287062875218465</v>
      </c>
      <c r="CE9" s="100">
        <v>3249.3518138403365</v>
      </c>
      <c r="CF9" s="100">
        <v>7</v>
      </c>
      <c r="CG9" s="100">
        <v>4914</v>
      </c>
      <c r="CH9" s="100">
        <v>6.605508305177004</v>
      </c>
      <c r="CI9" s="100">
        <v>4637.0668302342565</v>
      </c>
      <c r="CJ9" s="100">
        <v>1.468893934851035</v>
      </c>
      <c r="CK9" s="100">
        <v>1031.1635422654265</v>
      </c>
      <c r="CL9" s="100">
        <v>7</v>
      </c>
      <c r="CM9" s="100">
        <v>4914</v>
      </c>
      <c r="CN9" s="100">
        <v>9</v>
      </c>
      <c r="CO9" s="100">
        <v>6318</v>
      </c>
      <c r="CP9" s="100">
        <v>6</v>
      </c>
      <c r="CQ9" s="100">
        <v>4212</v>
      </c>
      <c r="CR9" s="100">
        <v>11</v>
      </c>
      <c r="CS9" s="100">
        <v>7722</v>
      </c>
      <c r="CT9" s="100">
        <v>8</v>
      </c>
      <c r="CU9" s="100">
        <v>5616</v>
      </c>
    </row>
    <row r="10" spans="1:99">
      <c r="C10" s="99" t="s">
        <v>176</v>
      </c>
      <c r="D10" s="100">
        <v>5.9371960901970374E-4</v>
      </c>
      <c r="E10" s="100">
        <v>0.32345844299393456</v>
      </c>
      <c r="F10" s="100">
        <v>8</v>
      </c>
      <c r="G10" s="100">
        <v>4358.3999999999996</v>
      </c>
      <c r="H10" s="100">
        <v>9</v>
      </c>
      <c r="I10" s="100">
        <v>4903.2</v>
      </c>
      <c r="J10" s="100">
        <v>7</v>
      </c>
      <c r="K10" s="100">
        <v>3813.5999999999995</v>
      </c>
      <c r="L10" s="100">
        <v>4</v>
      </c>
      <c r="M10" s="100">
        <v>2179.1999999999998</v>
      </c>
      <c r="N10" s="100">
        <v>8.1290700128359212</v>
      </c>
      <c r="O10" s="100">
        <v>4428.7173429930099</v>
      </c>
      <c r="P10" s="100">
        <v>5.9742809139133835</v>
      </c>
      <c r="Q10" s="100">
        <v>3254.7882419000111</v>
      </c>
      <c r="R10" s="100">
        <v>8</v>
      </c>
      <c r="S10" s="100">
        <v>4358.3999999999996</v>
      </c>
      <c r="T10" s="100">
        <v>5</v>
      </c>
      <c r="U10" s="100">
        <v>2724</v>
      </c>
      <c r="V10" s="100">
        <v>5</v>
      </c>
      <c r="W10" s="100">
        <v>2724</v>
      </c>
      <c r="X10" s="100">
        <v>8</v>
      </c>
      <c r="Y10" s="100">
        <v>4358.3999999999996</v>
      </c>
      <c r="Z10" s="100">
        <v>9</v>
      </c>
      <c r="AA10" s="100">
        <v>4903.2</v>
      </c>
      <c r="AB10" s="100">
        <v>6</v>
      </c>
      <c r="AC10" s="100">
        <v>3268.7999999999997</v>
      </c>
      <c r="AD10" s="100">
        <v>4.918633866501386</v>
      </c>
      <c r="AE10" s="100">
        <v>2679.671730469955</v>
      </c>
      <c r="AF10" s="100">
        <v>8</v>
      </c>
      <c r="AG10" s="100">
        <v>4358.3999999999996</v>
      </c>
      <c r="AH10" s="100">
        <v>4.67274457586488</v>
      </c>
      <c r="AI10" s="100">
        <v>2545.7112449311862</v>
      </c>
      <c r="AJ10" s="100">
        <v>6</v>
      </c>
      <c r="AK10" s="100">
        <v>3268.7999999999997</v>
      </c>
      <c r="AL10" s="100">
        <v>5</v>
      </c>
      <c r="AM10" s="100">
        <v>2724</v>
      </c>
      <c r="AN10" s="100">
        <v>10</v>
      </c>
      <c r="AO10" s="100">
        <v>5448</v>
      </c>
      <c r="AP10" s="100">
        <v>9</v>
      </c>
      <c r="AQ10" s="100">
        <v>4903.2</v>
      </c>
      <c r="AR10" s="100">
        <v>8.7058827733828146</v>
      </c>
      <c r="AS10" s="100">
        <v>4742.9649349389574</v>
      </c>
      <c r="AT10" s="100">
        <v>5.2780999095495282E-4</v>
      </c>
      <c r="AU10" s="100">
        <v>0.28755088307225829</v>
      </c>
      <c r="AV10" s="100">
        <v>8</v>
      </c>
      <c r="AW10" s="100">
        <v>4358.3999999999996</v>
      </c>
      <c r="AX10" s="100">
        <v>6</v>
      </c>
      <c r="AY10" s="100">
        <v>3268.7999999999997</v>
      </c>
      <c r="AZ10" s="100">
        <v>7</v>
      </c>
      <c r="BA10" s="100">
        <v>3813.5999999999995</v>
      </c>
      <c r="BB10" s="100">
        <v>9</v>
      </c>
      <c r="BC10" s="100">
        <v>4903.2</v>
      </c>
      <c r="BD10" s="100">
        <v>4.7886165330406723</v>
      </c>
      <c r="BE10" s="100">
        <v>2608.8382872005582</v>
      </c>
      <c r="BF10" s="100">
        <v>8.7395223387160517</v>
      </c>
      <c r="BG10" s="100">
        <v>4761.2917701325041</v>
      </c>
      <c r="BH10" s="100">
        <v>7.4413595823359815</v>
      </c>
      <c r="BI10" s="100">
        <v>4054.0527004566425</v>
      </c>
      <c r="BJ10" s="100">
        <v>5.4497508221115094</v>
      </c>
      <c r="BK10" s="100">
        <v>2969.0242478863502</v>
      </c>
      <c r="BL10" s="100">
        <v>1.8968996567153804</v>
      </c>
      <c r="BM10" s="100">
        <v>1033.4309329785392</v>
      </c>
      <c r="BN10" s="100">
        <v>3.7155363937557482</v>
      </c>
      <c r="BO10" s="100">
        <v>2024.2242273181314</v>
      </c>
      <c r="BP10" s="100">
        <v>10.54247769547325</v>
      </c>
      <c r="BQ10" s="100">
        <v>5743.5418484938264</v>
      </c>
      <c r="BR10" s="100">
        <v>4.1449472790726158</v>
      </c>
      <c r="BS10" s="100">
        <v>2258.1672776387609</v>
      </c>
      <c r="BT10" s="100">
        <v>10.148075472639333</v>
      </c>
      <c r="BU10" s="100">
        <v>5528.6715174939081</v>
      </c>
      <c r="BV10" s="100">
        <v>4.8454776563589581</v>
      </c>
      <c r="BW10" s="100">
        <v>2639.8162271843603</v>
      </c>
      <c r="BX10" s="100">
        <v>5</v>
      </c>
      <c r="BY10" s="100">
        <v>2724</v>
      </c>
      <c r="BZ10" s="100">
        <v>7.1709404517730633</v>
      </c>
      <c r="CA10" s="100">
        <v>3906.7283581259644</v>
      </c>
      <c r="CB10" s="100">
        <v>3.5550719200598366</v>
      </c>
      <c r="CC10" s="100">
        <v>1936.8031820485987</v>
      </c>
      <c r="CD10" s="100">
        <v>4.6287062875218465</v>
      </c>
      <c r="CE10" s="100">
        <v>2521.7191854419016</v>
      </c>
      <c r="CF10" s="100">
        <v>7</v>
      </c>
      <c r="CG10" s="100">
        <v>3813.5999999999995</v>
      </c>
      <c r="CH10" s="100">
        <v>6.5555780196183573</v>
      </c>
      <c r="CI10" s="100">
        <v>3571.4789050880809</v>
      </c>
      <c r="CJ10" s="100">
        <v>1.2240782790425293</v>
      </c>
      <c r="CK10" s="100">
        <v>666.87784642236988</v>
      </c>
      <c r="CL10" s="100">
        <v>7</v>
      </c>
      <c r="CM10" s="100">
        <v>3813.5999999999995</v>
      </c>
      <c r="CN10" s="100">
        <v>10</v>
      </c>
      <c r="CO10" s="100">
        <v>5448</v>
      </c>
      <c r="CP10" s="100">
        <v>6</v>
      </c>
      <c r="CQ10" s="100">
        <v>3268.7999999999997</v>
      </c>
      <c r="CR10" s="100">
        <v>12</v>
      </c>
      <c r="CS10" s="100">
        <v>6537.5999999999995</v>
      </c>
      <c r="CT10" s="100">
        <v>8</v>
      </c>
      <c r="CU10" s="100">
        <v>4358.3999999999996</v>
      </c>
    </row>
    <row r="11" spans="1:99">
      <c r="C11" s="99" t="s">
        <v>177</v>
      </c>
      <c r="D11" s="100">
        <v>5.9371960901970374E-4</v>
      </c>
      <c r="E11" s="100">
        <v>0.31633380768569813</v>
      </c>
      <c r="F11" s="100">
        <v>8</v>
      </c>
      <c r="G11" s="100">
        <v>4262.3999999999996</v>
      </c>
      <c r="H11" s="100">
        <v>9</v>
      </c>
      <c r="I11" s="100">
        <v>4795.2</v>
      </c>
      <c r="J11" s="100">
        <v>6</v>
      </c>
      <c r="K11" s="100">
        <v>3196.7999999999997</v>
      </c>
      <c r="L11" s="100">
        <v>5</v>
      </c>
      <c r="M11" s="100">
        <v>2664</v>
      </c>
      <c r="N11" s="100">
        <v>8.1419770141195134</v>
      </c>
      <c r="O11" s="100">
        <v>4338.0453531228759</v>
      </c>
      <c r="P11" s="100">
        <v>5.1208122119257569</v>
      </c>
      <c r="Q11" s="100">
        <v>2728.3687465140429</v>
      </c>
      <c r="R11" s="100">
        <v>8</v>
      </c>
      <c r="S11" s="100">
        <v>4262.3999999999996</v>
      </c>
      <c r="T11" s="100">
        <v>5</v>
      </c>
      <c r="U11" s="100">
        <v>2664</v>
      </c>
      <c r="V11" s="100">
        <v>6</v>
      </c>
      <c r="W11" s="100">
        <v>3196.7999999999997</v>
      </c>
      <c r="X11" s="100">
        <v>8</v>
      </c>
      <c r="Y11" s="100">
        <v>4262.3999999999996</v>
      </c>
      <c r="Z11" s="100">
        <v>8</v>
      </c>
      <c r="AA11" s="100">
        <v>4262.3999999999996</v>
      </c>
      <c r="AB11" s="100">
        <v>5</v>
      </c>
      <c r="AC11" s="100">
        <v>2664</v>
      </c>
      <c r="AD11" s="100">
        <v>5.6212958474301553</v>
      </c>
      <c r="AE11" s="100">
        <v>2995.0264275107866</v>
      </c>
      <c r="AF11" s="100">
        <v>8</v>
      </c>
      <c r="AG11" s="100">
        <v>4262.3999999999996</v>
      </c>
      <c r="AH11" s="100">
        <v>4.67274457586488</v>
      </c>
      <c r="AI11" s="100">
        <v>2489.6383100208077</v>
      </c>
      <c r="AJ11" s="100">
        <v>6</v>
      </c>
      <c r="AK11" s="100">
        <v>3196.7999999999997</v>
      </c>
      <c r="AL11" s="100">
        <v>6</v>
      </c>
      <c r="AM11" s="100">
        <v>3196.7999999999997</v>
      </c>
      <c r="AN11" s="100">
        <v>10</v>
      </c>
      <c r="AO11" s="100">
        <v>5328</v>
      </c>
      <c r="AP11" s="100">
        <v>9</v>
      </c>
      <c r="AQ11" s="100">
        <v>4795.2</v>
      </c>
      <c r="AR11" s="100">
        <v>8.7058827733828146</v>
      </c>
      <c r="AS11" s="100">
        <v>4638.4943416583628</v>
      </c>
      <c r="AT11" s="100">
        <v>5.8645554550550312E-4</v>
      </c>
      <c r="AU11" s="100">
        <v>0.31246351464533206</v>
      </c>
      <c r="AV11" s="100">
        <v>9</v>
      </c>
      <c r="AW11" s="100">
        <v>4795.2</v>
      </c>
      <c r="AX11" s="100">
        <v>6</v>
      </c>
      <c r="AY11" s="100">
        <v>3196.7999999999997</v>
      </c>
      <c r="AZ11" s="100">
        <v>6</v>
      </c>
      <c r="BA11" s="100">
        <v>3196.7999999999997</v>
      </c>
      <c r="BB11" s="100">
        <v>8</v>
      </c>
      <c r="BC11" s="100">
        <v>4262.3999999999996</v>
      </c>
      <c r="BD11" s="100">
        <v>5.7463398396488063</v>
      </c>
      <c r="BE11" s="100">
        <v>3061.6498665648837</v>
      </c>
      <c r="BF11" s="100">
        <v>7.8655701048444451</v>
      </c>
      <c r="BG11" s="100">
        <v>4190.7757518611197</v>
      </c>
      <c r="BH11" s="100">
        <v>6.6145418509653178</v>
      </c>
      <c r="BI11" s="100">
        <v>3524.2278981943209</v>
      </c>
      <c r="BJ11" s="100">
        <v>5.4497508221115094</v>
      </c>
      <c r="BK11" s="100">
        <v>2903.6272380210121</v>
      </c>
      <c r="BL11" s="100">
        <v>1.681001282406301</v>
      </c>
      <c r="BM11" s="100">
        <v>895.63748326607708</v>
      </c>
      <c r="BN11" s="100">
        <v>3.1847454803620696</v>
      </c>
      <c r="BO11" s="100">
        <v>1696.8323919369107</v>
      </c>
      <c r="BP11" s="100">
        <v>11.54247769547325</v>
      </c>
      <c r="BQ11" s="100">
        <v>6149.8321161481472</v>
      </c>
      <c r="BR11" s="100">
        <v>3.6268288691885391</v>
      </c>
      <c r="BS11" s="100">
        <v>1932.3744215036534</v>
      </c>
      <c r="BT11" s="100">
        <v>10.178063944529354</v>
      </c>
      <c r="BU11" s="100">
        <v>5422.8724696452391</v>
      </c>
      <c r="BV11" s="100">
        <v>4.8454776563589581</v>
      </c>
      <c r="BW11" s="100">
        <v>2581.6704953080525</v>
      </c>
      <c r="BX11" s="100">
        <v>5</v>
      </c>
      <c r="BY11" s="100">
        <v>2664</v>
      </c>
      <c r="BZ11" s="100">
        <v>8.1465203872340535</v>
      </c>
      <c r="CA11" s="100">
        <v>4340.4660623183036</v>
      </c>
      <c r="CB11" s="100">
        <v>3.531444380071064</v>
      </c>
      <c r="CC11" s="100">
        <v>1881.5535657018627</v>
      </c>
      <c r="CD11" s="100">
        <v>4.2079148068380414</v>
      </c>
      <c r="CE11" s="100">
        <v>2241.9770090833081</v>
      </c>
      <c r="CF11" s="100">
        <v>6</v>
      </c>
      <c r="CG11" s="100">
        <v>3196.7999999999997</v>
      </c>
      <c r="CH11" s="100">
        <v>6.5805431623976807</v>
      </c>
      <c r="CI11" s="100">
        <v>3506.1133969254838</v>
      </c>
      <c r="CJ11" s="100">
        <v>1.468893934851035</v>
      </c>
      <c r="CK11" s="100">
        <v>782.62668848863143</v>
      </c>
      <c r="CL11" s="100">
        <v>7</v>
      </c>
      <c r="CM11" s="100">
        <v>3729.5999999999995</v>
      </c>
      <c r="CN11" s="100">
        <v>10</v>
      </c>
      <c r="CO11" s="100">
        <v>5328</v>
      </c>
      <c r="CP11" s="100">
        <v>6</v>
      </c>
      <c r="CQ11" s="100">
        <v>3196.7999999999997</v>
      </c>
      <c r="CR11" s="100">
        <v>12</v>
      </c>
      <c r="CS11" s="100">
        <v>6393.5999999999995</v>
      </c>
      <c r="CT11" s="100">
        <v>7</v>
      </c>
      <c r="CU11" s="100">
        <v>3729.5999999999995</v>
      </c>
    </row>
    <row r="12" spans="1:99">
      <c r="C12" s="99" t="s">
        <v>178</v>
      </c>
      <c r="D12" s="100">
        <v>5.9371960901970374E-4</v>
      </c>
      <c r="E12" s="100">
        <v>0.33414539595628923</v>
      </c>
      <c r="F12" s="100">
        <v>8</v>
      </c>
      <c r="G12" s="100">
        <v>4502.3999999999996</v>
      </c>
      <c r="H12" s="100">
        <v>8</v>
      </c>
      <c r="I12" s="100">
        <v>4502.3999999999996</v>
      </c>
      <c r="J12" s="100">
        <v>6</v>
      </c>
      <c r="K12" s="100">
        <v>3376.7999999999997</v>
      </c>
      <c r="L12" s="100">
        <v>4</v>
      </c>
      <c r="M12" s="100">
        <v>2251.1999999999998</v>
      </c>
      <c r="N12" s="100">
        <v>7.1548840154031064</v>
      </c>
      <c r="O12" s="100">
        <v>4026.7687238688682</v>
      </c>
      <c r="P12" s="100">
        <v>5.1208122119257569</v>
      </c>
      <c r="Q12" s="100">
        <v>2881.9931128718158</v>
      </c>
      <c r="R12" s="100">
        <v>8</v>
      </c>
      <c r="S12" s="100">
        <v>4502.3999999999996</v>
      </c>
      <c r="T12" s="100">
        <v>5</v>
      </c>
      <c r="U12" s="100">
        <v>2814</v>
      </c>
      <c r="V12" s="100">
        <v>7</v>
      </c>
      <c r="W12" s="100">
        <v>3939.5999999999995</v>
      </c>
      <c r="X12" s="100">
        <v>7</v>
      </c>
      <c r="Y12" s="100">
        <v>3939.5999999999995</v>
      </c>
      <c r="Z12" s="100">
        <v>8</v>
      </c>
      <c r="AA12" s="100">
        <v>4502.3999999999996</v>
      </c>
      <c r="AB12" s="100">
        <v>5</v>
      </c>
      <c r="AC12" s="100">
        <v>2814</v>
      </c>
      <c r="AD12" s="100">
        <v>5.6212958474301553</v>
      </c>
      <c r="AE12" s="100">
        <v>3163.6653029336912</v>
      </c>
      <c r="AF12" s="100">
        <v>8</v>
      </c>
      <c r="AG12" s="100">
        <v>4502.3999999999996</v>
      </c>
      <c r="AH12" s="100">
        <v>4.67274457586488</v>
      </c>
      <c r="AI12" s="100">
        <v>2629.820647296754</v>
      </c>
      <c r="AJ12" s="100">
        <v>5</v>
      </c>
      <c r="AK12" s="100">
        <v>2814</v>
      </c>
      <c r="AL12" s="100">
        <v>5</v>
      </c>
      <c r="AM12" s="100">
        <v>2814</v>
      </c>
      <c r="AN12" s="100">
        <v>9</v>
      </c>
      <c r="AO12" s="100">
        <v>5065.2</v>
      </c>
      <c r="AP12" s="100">
        <v>10</v>
      </c>
      <c r="AQ12" s="100">
        <v>5628</v>
      </c>
      <c r="AR12" s="100">
        <v>8.7058827733828146</v>
      </c>
      <c r="AS12" s="100">
        <v>4899.6708248598479</v>
      </c>
      <c r="AT12" s="100">
        <v>5.2780999095495282E-4</v>
      </c>
      <c r="AU12" s="100">
        <v>0.29705146290944745</v>
      </c>
      <c r="AV12" s="100">
        <v>10</v>
      </c>
      <c r="AW12" s="100">
        <v>5628</v>
      </c>
      <c r="AX12" s="100">
        <v>6</v>
      </c>
      <c r="AY12" s="100">
        <v>3376.7999999999997</v>
      </c>
      <c r="AZ12" s="100">
        <v>6</v>
      </c>
      <c r="BA12" s="100">
        <v>3376.7999999999997</v>
      </c>
      <c r="BB12" s="100">
        <v>8</v>
      </c>
      <c r="BC12" s="100">
        <v>4502.3999999999996</v>
      </c>
      <c r="BD12" s="100">
        <v>4.7886165330406723</v>
      </c>
      <c r="BE12" s="100">
        <v>2695.0333847952902</v>
      </c>
      <c r="BF12" s="100">
        <v>6.9916178709728412</v>
      </c>
      <c r="BG12" s="100">
        <v>3934.8825377835146</v>
      </c>
      <c r="BH12" s="100">
        <v>7.4413595823359815</v>
      </c>
      <c r="BI12" s="100">
        <v>4187.9971729386898</v>
      </c>
      <c r="BJ12" s="100">
        <v>5.4497508221115094</v>
      </c>
      <c r="BK12" s="100">
        <v>3067.1197626843573</v>
      </c>
      <c r="BL12" s="100">
        <v>1.905831902096577</v>
      </c>
      <c r="BM12" s="100">
        <v>1072.6021944999534</v>
      </c>
      <c r="BN12" s="100">
        <v>3.1847454803620696</v>
      </c>
      <c r="BO12" s="100">
        <v>1792.3747563477727</v>
      </c>
      <c r="BP12" s="100">
        <v>9.452064746227709</v>
      </c>
      <c r="BQ12" s="100">
        <v>5319.6220391769539</v>
      </c>
      <c r="BR12" s="100">
        <v>4.1449472790726158</v>
      </c>
      <c r="BS12" s="100">
        <v>2332.776328662068</v>
      </c>
      <c r="BT12" s="100">
        <v>10.148075472639333</v>
      </c>
      <c r="BU12" s="100">
        <v>5711.3368760014155</v>
      </c>
      <c r="BV12" s="100">
        <v>4.360929890723062</v>
      </c>
      <c r="BW12" s="100">
        <v>2454.3313424989392</v>
      </c>
      <c r="BX12" s="100">
        <v>6</v>
      </c>
      <c r="BY12" s="100">
        <v>3376.7999999999997</v>
      </c>
      <c r="BZ12" s="100">
        <v>8.1709404517730633</v>
      </c>
      <c r="CA12" s="100">
        <v>4598.6052862578799</v>
      </c>
      <c r="CB12" s="100">
        <v>3.531444380071064</v>
      </c>
      <c r="CC12" s="100">
        <v>1987.4968971039946</v>
      </c>
      <c r="CD12" s="100">
        <v>4.6287062875218465</v>
      </c>
      <c r="CE12" s="100">
        <v>2605.0358986172951</v>
      </c>
      <c r="CF12" s="100">
        <v>7</v>
      </c>
      <c r="CG12" s="100">
        <v>3939.5999999999995</v>
      </c>
      <c r="CH12" s="100">
        <v>5.4635153144414055</v>
      </c>
      <c r="CI12" s="100">
        <v>3074.8664189676228</v>
      </c>
      <c r="CJ12" s="100">
        <v>1.468893934851035</v>
      </c>
      <c r="CK12" s="100">
        <v>826.69350653416245</v>
      </c>
      <c r="CL12" s="100">
        <v>8</v>
      </c>
      <c r="CM12" s="100">
        <v>4502.3999999999996</v>
      </c>
      <c r="CN12" s="100">
        <v>10</v>
      </c>
      <c r="CO12" s="100">
        <v>5628</v>
      </c>
      <c r="CP12" s="100">
        <v>6</v>
      </c>
      <c r="CQ12" s="100">
        <v>3376.7999999999997</v>
      </c>
      <c r="CR12" s="100">
        <v>10</v>
      </c>
      <c r="CS12" s="100">
        <v>5628</v>
      </c>
      <c r="CT12" s="100">
        <v>7</v>
      </c>
      <c r="CU12" s="100">
        <v>3939.5999999999995</v>
      </c>
    </row>
    <row r="13" spans="1:99">
      <c r="C13" s="99" t="s">
        <v>179</v>
      </c>
      <c r="D13" s="100">
        <v>5.9371960901970374E-4</v>
      </c>
      <c r="E13" s="100">
        <v>5.0584910688478757E-2</v>
      </c>
      <c r="F13" s="100">
        <v>9</v>
      </c>
      <c r="G13" s="100">
        <v>766.80000000000007</v>
      </c>
      <c r="H13" s="100">
        <v>8</v>
      </c>
      <c r="I13" s="100">
        <v>681.6</v>
      </c>
      <c r="J13" s="100">
        <v>7</v>
      </c>
      <c r="K13" s="100">
        <v>596.4</v>
      </c>
      <c r="L13" s="100">
        <v>4</v>
      </c>
      <c r="M13" s="100">
        <v>340.8</v>
      </c>
      <c r="N13" s="100">
        <v>8.1419770141195134</v>
      </c>
      <c r="O13" s="100">
        <v>693.69644160298253</v>
      </c>
      <c r="P13" s="100">
        <v>5.9742809139133835</v>
      </c>
      <c r="Q13" s="100">
        <v>509.00873386542031</v>
      </c>
      <c r="R13" s="100">
        <v>9</v>
      </c>
      <c r="S13" s="100">
        <v>766.80000000000007</v>
      </c>
      <c r="T13" s="100">
        <v>5</v>
      </c>
      <c r="U13" s="100">
        <v>426</v>
      </c>
      <c r="V13" s="100">
        <v>6</v>
      </c>
      <c r="W13" s="100">
        <v>511.20000000000005</v>
      </c>
      <c r="X13" s="100">
        <v>7</v>
      </c>
      <c r="Y13" s="100">
        <v>596.4</v>
      </c>
      <c r="Z13" s="100">
        <v>9</v>
      </c>
      <c r="AA13" s="100">
        <v>766.80000000000007</v>
      </c>
      <c r="AB13" s="100">
        <v>6</v>
      </c>
      <c r="AC13" s="100">
        <v>511.20000000000005</v>
      </c>
      <c r="AD13" s="100">
        <v>5.6212958474301553</v>
      </c>
      <c r="AE13" s="100">
        <v>478.93440620104923</v>
      </c>
      <c r="AF13" s="100">
        <v>10</v>
      </c>
      <c r="AG13" s="100">
        <v>852</v>
      </c>
      <c r="AH13" s="100">
        <v>5.2568376478479903</v>
      </c>
      <c r="AI13" s="100">
        <v>447.88256759664881</v>
      </c>
      <c r="AJ13" s="100">
        <v>5</v>
      </c>
      <c r="AK13" s="100">
        <v>426</v>
      </c>
      <c r="AL13" s="100">
        <v>6</v>
      </c>
      <c r="AM13" s="100">
        <v>511.20000000000005</v>
      </c>
      <c r="AN13" s="100">
        <v>9</v>
      </c>
      <c r="AO13" s="100">
        <v>766.80000000000007</v>
      </c>
      <c r="AP13" s="100">
        <v>10</v>
      </c>
      <c r="AQ13" s="100">
        <v>852</v>
      </c>
      <c r="AR13" s="100">
        <v>8.7058827733828146</v>
      </c>
      <c r="AS13" s="100">
        <v>741.74121229221578</v>
      </c>
      <c r="AT13" s="100">
        <v>6.4510110005605332E-4</v>
      </c>
      <c r="AU13" s="100">
        <v>5.4962613724775747E-2</v>
      </c>
      <c r="AV13" s="100">
        <v>9</v>
      </c>
      <c r="AW13" s="100">
        <v>766.80000000000007</v>
      </c>
      <c r="AX13" s="100">
        <v>6</v>
      </c>
      <c r="AY13" s="100">
        <v>511.20000000000005</v>
      </c>
      <c r="AZ13" s="100">
        <v>6</v>
      </c>
      <c r="BA13" s="100">
        <v>511.20000000000005</v>
      </c>
      <c r="BB13" s="100">
        <v>9</v>
      </c>
      <c r="BC13" s="100">
        <v>766.80000000000007</v>
      </c>
      <c r="BD13" s="100">
        <v>4.7886165330406723</v>
      </c>
      <c r="BE13" s="100">
        <v>407.99012861506532</v>
      </c>
      <c r="BF13" s="100">
        <v>8.7395223387160517</v>
      </c>
      <c r="BG13" s="100">
        <v>744.60730325860766</v>
      </c>
      <c r="BH13" s="100">
        <v>8.2681773137066461</v>
      </c>
      <c r="BI13" s="100">
        <v>704.4487071278063</v>
      </c>
      <c r="BJ13" s="100">
        <v>5.4713822413740525</v>
      </c>
      <c r="BK13" s="100">
        <v>466.16176696506926</v>
      </c>
      <c r="BL13" s="100">
        <v>1.8968996567153804</v>
      </c>
      <c r="BM13" s="100">
        <v>161.61585075215041</v>
      </c>
      <c r="BN13" s="100">
        <v>3.7155363937557482</v>
      </c>
      <c r="BO13" s="100">
        <v>316.56370074798974</v>
      </c>
      <c r="BP13" s="100">
        <v>10.54247769547325</v>
      </c>
      <c r="BQ13" s="100">
        <v>898.21909965432098</v>
      </c>
      <c r="BR13" s="100">
        <v>4.663065688956693</v>
      </c>
      <c r="BS13" s="100">
        <v>397.29319669911024</v>
      </c>
      <c r="BT13" s="100">
        <v>9.2500591794003189</v>
      </c>
      <c r="BU13" s="100">
        <v>788.10504208490715</v>
      </c>
      <c r="BV13" s="100">
        <v>4.8454776563589581</v>
      </c>
      <c r="BW13" s="100">
        <v>412.83469632178327</v>
      </c>
      <c r="BX13" s="100">
        <v>5</v>
      </c>
      <c r="BY13" s="100">
        <v>426</v>
      </c>
      <c r="BZ13" s="100">
        <v>8.1709404517730633</v>
      </c>
      <c r="CA13" s="100">
        <v>696.16412649106496</v>
      </c>
      <c r="CB13" s="100">
        <v>4.0924529800960068</v>
      </c>
      <c r="CC13" s="100">
        <v>348.67699390417977</v>
      </c>
      <c r="CD13" s="100">
        <v>4.2079148068380414</v>
      </c>
      <c r="CE13" s="100">
        <v>358.51434154260113</v>
      </c>
      <c r="CF13" s="100">
        <v>7</v>
      </c>
      <c r="CG13" s="100">
        <v>596.4</v>
      </c>
      <c r="CH13" s="100">
        <v>6.5805431623976807</v>
      </c>
      <c r="CI13" s="100">
        <v>560.66227743628247</v>
      </c>
      <c r="CJ13" s="100">
        <v>1.468893934851035</v>
      </c>
      <c r="CK13" s="100">
        <v>125.14976324930819</v>
      </c>
      <c r="CL13" s="100">
        <v>8</v>
      </c>
      <c r="CM13" s="100">
        <v>681.6</v>
      </c>
      <c r="CN13" s="100">
        <v>9</v>
      </c>
      <c r="CO13" s="100">
        <v>766.80000000000007</v>
      </c>
      <c r="CP13" s="100">
        <v>6</v>
      </c>
      <c r="CQ13" s="100">
        <v>511.20000000000005</v>
      </c>
      <c r="CR13" s="100">
        <v>12</v>
      </c>
      <c r="CS13" s="100">
        <v>1022.4000000000001</v>
      </c>
      <c r="CT13" s="100">
        <v>8</v>
      </c>
      <c r="CU13" s="100">
        <v>681.6</v>
      </c>
    </row>
    <row r="14" spans="1:99">
      <c r="C14" s="99" t="s">
        <v>180</v>
      </c>
      <c r="D14" s="100">
        <v>5.9371960901970374E-4</v>
      </c>
      <c r="E14" s="100">
        <v>0.28997265704522329</v>
      </c>
      <c r="F14" s="100">
        <v>9</v>
      </c>
      <c r="G14" s="100">
        <v>4395.5999999999995</v>
      </c>
      <c r="H14" s="100">
        <v>9</v>
      </c>
      <c r="I14" s="100">
        <v>4395.5999999999995</v>
      </c>
      <c r="J14" s="100">
        <v>7</v>
      </c>
      <c r="K14" s="100">
        <v>3418.7999999999997</v>
      </c>
      <c r="L14" s="100">
        <v>5</v>
      </c>
      <c r="M14" s="100">
        <v>2442</v>
      </c>
      <c r="N14" s="100">
        <v>7.1290700128359221</v>
      </c>
      <c r="O14" s="100">
        <v>3481.837794269064</v>
      </c>
      <c r="P14" s="100">
        <v>5.9742809139133835</v>
      </c>
      <c r="Q14" s="100">
        <v>2917.8387983552961</v>
      </c>
      <c r="R14" s="100">
        <v>7</v>
      </c>
      <c r="S14" s="100">
        <v>3418.7999999999997</v>
      </c>
      <c r="T14" s="100">
        <v>5</v>
      </c>
      <c r="U14" s="100">
        <v>2442</v>
      </c>
      <c r="V14" s="100">
        <v>6</v>
      </c>
      <c r="W14" s="100">
        <v>2930.3999999999996</v>
      </c>
      <c r="X14" s="100">
        <v>7</v>
      </c>
      <c r="Y14" s="100">
        <v>3418.7999999999997</v>
      </c>
      <c r="Z14" s="100">
        <v>8</v>
      </c>
      <c r="AA14" s="100">
        <v>3907.2</v>
      </c>
      <c r="AB14" s="100">
        <v>5</v>
      </c>
      <c r="AC14" s="100">
        <v>2442</v>
      </c>
      <c r="AD14" s="100">
        <v>6.3239578283589246</v>
      </c>
      <c r="AE14" s="100">
        <v>3088.6210033704988</v>
      </c>
      <c r="AF14" s="100">
        <v>9</v>
      </c>
      <c r="AG14" s="100">
        <v>4395.5999999999995</v>
      </c>
      <c r="AH14" s="100">
        <v>4.67274457586488</v>
      </c>
      <c r="AI14" s="100">
        <v>2282.1684508524072</v>
      </c>
      <c r="AJ14" s="100">
        <v>6</v>
      </c>
      <c r="AK14" s="100">
        <v>2930.3999999999996</v>
      </c>
      <c r="AL14" s="100">
        <v>6</v>
      </c>
      <c r="AM14" s="100">
        <v>2930.3999999999996</v>
      </c>
      <c r="AN14" s="100">
        <v>10</v>
      </c>
      <c r="AO14" s="100">
        <v>4884</v>
      </c>
      <c r="AP14" s="100">
        <v>8</v>
      </c>
      <c r="AQ14" s="100">
        <v>3907.2</v>
      </c>
      <c r="AR14" s="100">
        <v>7.7385624652291671</v>
      </c>
      <c r="AS14" s="100">
        <v>3779.5139080179251</v>
      </c>
      <c r="AT14" s="100">
        <v>5.8645554550550312E-4</v>
      </c>
      <c r="AU14" s="100">
        <v>0.28642488842488772</v>
      </c>
      <c r="AV14" s="100">
        <v>10</v>
      </c>
      <c r="AW14" s="100">
        <v>4884</v>
      </c>
      <c r="AX14" s="100">
        <v>6</v>
      </c>
      <c r="AY14" s="100">
        <v>2930.3999999999996</v>
      </c>
      <c r="AZ14" s="100">
        <v>6</v>
      </c>
      <c r="BA14" s="100">
        <v>2930.3999999999996</v>
      </c>
      <c r="BB14" s="100">
        <v>9</v>
      </c>
      <c r="BC14" s="100">
        <v>4395.5999999999995</v>
      </c>
      <c r="BD14" s="100">
        <v>5.7463398396488063</v>
      </c>
      <c r="BE14" s="100">
        <v>2806.5123776844771</v>
      </c>
      <c r="BF14" s="100">
        <v>8.7395223387160517</v>
      </c>
      <c r="BG14" s="100">
        <v>4268.3827102289197</v>
      </c>
      <c r="BH14" s="100">
        <v>6.6145418509653178</v>
      </c>
      <c r="BI14" s="100">
        <v>3230.5422400114612</v>
      </c>
      <c r="BJ14" s="100">
        <v>5.4930136606365956</v>
      </c>
      <c r="BK14" s="100">
        <v>2682.7878718549132</v>
      </c>
      <c r="BL14" s="100">
        <v>1.681001282406301</v>
      </c>
      <c r="BM14" s="100">
        <v>821.00102632723735</v>
      </c>
      <c r="BN14" s="100">
        <v>3.1847454803620696</v>
      </c>
      <c r="BO14" s="100">
        <v>1555.4296926088348</v>
      </c>
      <c r="BP14" s="100">
        <v>11.54247769547325</v>
      </c>
      <c r="BQ14" s="100">
        <v>5637.3461064691355</v>
      </c>
      <c r="BR14" s="100">
        <v>4.1449472790726158</v>
      </c>
      <c r="BS14" s="100">
        <v>2024.3922510990656</v>
      </c>
      <c r="BT14" s="100">
        <v>9.2500591794003189</v>
      </c>
      <c r="BU14" s="100">
        <v>4517.7289032191156</v>
      </c>
      <c r="BV14" s="100">
        <v>4.8454776563589581</v>
      </c>
      <c r="BW14" s="100">
        <v>2366.5312873657149</v>
      </c>
      <c r="BX14" s="100">
        <v>5</v>
      </c>
      <c r="BY14" s="100">
        <v>2442</v>
      </c>
      <c r="BZ14" s="100">
        <v>7.1465203872340544</v>
      </c>
      <c r="CA14" s="100">
        <v>3490.3605571251119</v>
      </c>
      <c r="CB14" s="100">
        <v>4.0924529800960068</v>
      </c>
      <c r="CC14" s="100">
        <v>1998.7540354788896</v>
      </c>
      <c r="CD14" s="100">
        <v>4.6287062875218465</v>
      </c>
      <c r="CE14" s="100">
        <v>2260.6601508256699</v>
      </c>
      <c r="CF14" s="100">
        <v>6</v>
      </c>
      <c r="CG14" s="100">
        <v>2930.3999999999996</v>
      </c>
      <c r="CH14" s="100">
        <v>6.0095466670298814</v>
      </c>
      <c r="CI14" s="100">
        <v>2935.062592177394</v>
      </c>
      <c r="CJ14" s="100">
        <v>1.2240782790425293</v>
      </c>
      <c r="CK14" s="100">
        <v>597.8398314843713</v>
      </c>
      <c r="CL14" s="100">
        <v>8</v>
      </c>
      <c r="CM14" s="100">
        <v>3907.2</v>
      </c>
      <c r="CN14" s="100">
        <v>10</v>
      </c>
      <c r="CO14" s="100">
        <v>4884</v>
      </c>
      <c r="CP14" s="100">
        <v>6</v>
      </c>
      <c r="CQ14" s="100">
        <v>2930.3999999999996</v>
      </c>
      <c r="CR14" s="100">
        <v>10</v>
      </c>
      <c r="CS14" s="100">
        <v>4884</v>
      </c>
      <c r="CT14" s="100">
        <v>8</v>
      </c>
      <c r="CU14" s="100">
        <v>3907.2</v>
      </c>
    </row>
    <row r="15" spans="1:99">
      <c r="C15" s="99" t="s">
        <v>181</v>
      </c>
      <c r="D15" s="100">
        <v>5.089025220168888E-4</v>
      </c>
      <c r="E15" s="100">
        <v>0.38839440480328952</v>
      </c>
      <c r="F15" s="100">
        <v>8</v>
      </c>
      <c r="G15" s="100">
        <v>6105.5999999999995</v>
      </c>
      <c r="H15" s="100">
        <v>8</v>
      </c>
      <c r="I15" s="100">
        <v>6105.5999999999995</v>
      </c>
      <c r="J15" s="100">
        <v>6</v>
      </c>
      <c r="K15" s="100">
        <v>4579.2</v>
      </c>
      <c r="L15" s="100">
        <v>5</v>
      </c>
      <c r="M15" s="100">
        <v>3815.9999999999995</v>
      </c>
      <c r="N15" s="100">
        <v>7.1290700128359221</v>
      </c>
      <c r="O15" s="100">
        <v>5440.9062337963751</v>
      </c>
      <c r="P15" s="100">
        <v>5.9742809139133835</v>
      </c>
      <c r="Q15" s="100">
        <v>4559.5711934986939</v>
      </c>
      <c r="R15" s="100">
        <v>8</v>
      </c>
      <c r="S15" s="100">
        <v>6105.5999999999995</v>
      </c>
      <c r="T15" s="100">
        <v>5</v>
      </c>
      <c r="U15" s="100">
        <v>3815.9999999999995</v>
      </c>
      <c r="V15" s="100">
        <v>6</v>
      </c>
      <c r="W15" s="100">
        <v>4579.2</v>
      </c>
      <c r="X15" s="100">
        <v>8</v>
      </c>
      <c r="Y15" s="100">
        <v>6105.5999999999995</v>
      </c>
      <c r="Z15" s="100">
        <v>9</v>
      </c>
      <c r="AA15" s="100">
        <v>6868.7999999999993</v>
      </c>
      <c r="AB15" s="100">
        <v>5</v>
      </c>
      <c r="AC15" s="100">
        <v>3815.9999999999995</v>
      </c>
      <c r="AD15" s="100">
        <v>5.6212958474301553</v>
      </c>
      <c r="AE15" s="100">
        <v>4290.1729907586941</v>
      </c>
      <c r="AF15" s="100">
        <v>8</v>
      </c>
      <c r="AG15" s="100">
        <v>6105.5999999999995</v>
      </c>
      <c r="AH15" s="100">
        <v>4.0886515038817706</v>
      </c>
      <c r="AI15" s="100">
        <v>3120.4588277625671</v>
      </c>
      <c r="AJ15" s="100">
        <v>5</v>
      </c>
      <c r="AK15" s="100">
        <v>3815.9999999999995</v>
      </c>
      <c r="AL15" s="100">
        <v>6</v>
      </c>
      <c r="AM15" s="100">
        <v>4579.2</v>
      </c>
      <c r="AN15" s="100">
        <v>10</v>
      </c>
      <c r="AO15" s="100">
        <v>7631.9999999999991</v>
      </c>
      <c r="AP15" s="100">
        <v>9</v>
      </c>
      <c r="AQ15" s="100">
        <v>6868.7999999999993</v>
      </c>
      <c r="AR15" s="100">
        <v>7.7385624652291671</v>
      </c>
      <c r="AS15" s="100">
        <v>5906.0708734628997</v>
      </c>
      <c r="AT15" s="100">
        <v>5.2780999095495282E-4</v>
      </c>
      <c r="AU15" s="100">
        <v>0.40282458509681995</v>
      </c>
      <c r="AV15" s="100">
        <v>9</v>
      </c>
      <c r="AW15" s="100">
        <v>6868.7999999999993</v>
      </c>
      <c r="AX15" s="100">
        <v>6</v>
      </c>
      <c r="AY15" s="100">
        <v>4579.2</v>
      </c>
      <c r="AZ15" s="100">
        <v>6</v>
      </c>
      <c r="BA15" s="100">
        <v>4579.2</v>
      </c>
      <c r="BB15" s="100">
        <v>9</v>
      </c>
      <c r="BC15" s="100">
        <v>6868.7999999999993</v>
      </c>
      <c r="BD15" s="100">
        <v>5.7463398396488063</v>
      </c>
      <c r="BE15" s="100">
        <v>4385.6065656199689</v>
      </c>
      <c r="BF15" s="100">
        <v>6.9916178709728412</v>
      </c>
      <c r="BG15" s="100">
        <v>5336.0027591264716</v>
      </c>
      <c r="BH15" s="100">
        <v>6.6145418509653178</v>
      </c>
      <c r="BI15" s="100">
        <v>5048.2183406567301</v>
      </c>
      <c r="BJ15" s="100">
        <v>5.4930136606365956</v>
      </c>
      <c r="BK15" s="100">
        <v>4192.2680257978491</v>
      </c>
      <c r="BL15" s="100">
        <v>1.905831902096577</v>
      </c>
      <c r="BM15" s="100">
        <v>1454.5309076801075</v>
      </c>
      <c r="BN15" s="100">
        <v>3.1847454803620696</v>
      </c>
      <c r="BO15" s="100">
        <v>2430.5977506123313</v>
      </c>
      <c r="BP15" s="100">
        <v>10.497271220850481</v>
      </c>
      <c r="BQ15" s="100">
        <v>8011.517395753086</v>
      </c>
      <c r="BR15" s="100">
        <v>4.1449472790726158</v>
      </c>
      <c r="BS15" s="100">
        <v>3163.4237633882203</v>
      </c>
      <c r="BT15" s="100">
        <v>9.220070707510299</v>
      </c>
      <c r="BU15" s="100">
        <v>7036.7579639718597</v>
      </c>
      <c r="BV15" s="100">
        <v>4.360929890723062</v>
      </c>
      <c r="BW15" s="100">
        <v>3328.2616925998404</v>
      </c>
      <c r="BX15" s="100">
        <v>5</v>
      </c>
      <c r="BY15" s="100">
        <v>3815.9999999999995</v>
      </c>
      <c r="BZ15" s="100">
        <v>7.1709404517730633</v>
      </c>
      <c r="CA15" s="100">
        <v>5472.861752793201</v>
      </c>
      <c r="CB15" s="100">
        <v>3.531444380071064</v>
      </c>
      <c r="CC15" s="100">
        <v>2695.1983508702356</v>
      </c>
      <c r="CD15" s="100">
        <v>4.6287062875218465</v>
      </c>
      <c r="CE15" s="100">
        <v>3532.6286386366728</v>
      </c>
      <c r="CF15" s="100">
        <v>7</v>
      </c>
      <c r="CG15" s="100">
        <v>5342.4</v>
      </c>
      <c r="CH15" s="100">
        <v>5.4635153144414055</v>
      </c>
      <c r="CI15" s="100">
        <v>4169.7548879816804</v>
      </c>
      <c r="CJ15" s="100">
        <v>1.2240782790425293</v>
      </c>
      <c r="CK15" s="100">
        <v>934.21654256525824</v>
      </c>
      <c r="CL15" s="100">
        <v>7</v>
      </c>
      <c r="CM15" s="100">
        <v>5342.4</v>
      </c>
      <c r="CN15" s="100">
        <v>9</v>
      </c>
      <c r="CO15" s="100">
        <v>6868.7999999999993</v>
      </c>
      <c r="CP15" s="100">
        <v>7</v>
      </c>
      <c r="CQ15" s="100">
        <v>5342.4</v>
      </c>
      <c r="CR15" s="100">
        <v>11</v>
      </c>
      <c r="CS15" s="100">
        <v>8395.1999999999989</v>
      </c>
      <c r="CT15" s="100">
        <v>8</v>
      </c>
      <c r="CU15" s="100">
        <v>6105.5999999999995</v>
      </c>
    </row>
    <row r="16" spans="1:99">
      <c r="C16" s="99" t="s">
        <v>182</v>
      </c>
      <c r="D16" s="100">
        <v>6.7853669602251847E-4</v>
      </c>
      <c r="E16" s="100">
        <v>0.23124530600447429</v>
      </c>
      <c r="F16" s="100">
        <v>9</v>
      </c>
      <c r="G16" s="100">
        <v>3067.2000000000003</v>
      </c>
      <c r="H16" s="100">
        <v>9</v>
      </c>
      <c r="I16" s="100">
        <v>3067.2000000000003</v>
      </c>
      <c r="J16" s="100">
        <v>6</v>
      </c>
      <c r="K16" s="100">
        <v>2044.8000000000002</v>
      </c>
      <c r="L16" s="100">
        <v>4</v>
      </c>
      <c r="M16" s="100">
        <v>1363.2</v>
      </c>
      <c r="N16" s="100">
        <v>8.1419770141195134</v>
      </c>
      <c r="O16" s="100">
        <v>2774.7857664119301</v>
      </c>
      <c r="P16" s="100">
        <v>5.1208122119257569</v>
      </c>
      <c r="Q16" s="100">
        <v>1745.1728018242979</v>
      </c>
      <c r="R16" s="100">
        <v>8</v>
      </c>
      <c r="S16" s="100">
        <v>2726.4</v>
      </c>
      <c r="T16" s="100">
        <v>5</v>
      </c>
      <c r="U16" s="100">
        <v>1704</v>
      </c>
      <c r="V16" s="100">
        <v>6</v>
      </c>
      <c r="W16" s="100">
        <v>2044.8000000000002</v>
      </c>
      <c r="X16" s="100">
        <v>8</v>
      </c>
      <c r="Y16" s="100">
        <v>2726.4</v>
      </c>
      <c r="Z16" s="100">
        <v>7</v>
      </c>
      <c r="AA16" s="100">
        <v>2385.6</v>
      </c>
      <c r="AB16" s="100">
        <v>6</v>
      </c>
      <c r="AC16" s="100">
        <v>2044.8000000000002</v>
      </c>
      <c r="AD16" s="100">
        <v>5.6212958474301553</v>
      </c>
      <c r="AE16" s="100">
        <v>1915.7376248041969</v>
      </c>
      <c r="AF16" s="100">
        <v>9</v>
      </c>
      <c r="AG16" s="100">
        <v>3067.2000000000003</v>
      </c>
      <c r="AH16" s="100">
        <v>4.67274457586488</v>
      </c>
      <c r="AI16" s="100">
        <v>1592.4713514547511</v>
      </c>
      <c r="AJ16" s="100">
        <v>6</v>
      </c>
      <c r="AK16" s="100">
        <v>2044.8000000000002</v>
      </c>
      <c r="AL16" s="100">
        <v>6</v>
      </c>
      <c r="AM16" s="100">
        <v>2044.8000000000002</v>
      </c>
      <c r="AN16" s="100">
        <v>9</v>
      </c>
      <c r="AO16" s="100">
        <v>3067.2000000000003</v>
      </c>
      <c r="AP16" s="100">
        <v>9</v>
      </c>
      <c r="AQ16" s="100">
        <v>3067.2000000000003</v>
      </c>
      <c r="AR16" s="100">
        <v>8.7058827733828146</v>
      </c>
      <c r="AS16" s="100">
        <v>2966.9648491688631</v>
      </c>
      <c r="AT16" s="100">
        <v>5.8645554550550312E-4</v>
      </c>
      <c r="AU16" s="100">
        <v>0.19986404990827547</v>
      </c>
      <c r="AV16" s="100">
        <v>10</v>
      </c>
      <c r="AW16" s="100">
        <v>3408</v>
      </c>
      <c r="AX16" s="100">
        <v>7</v>
      </c>
      <c r="AY16" s="100">
        <v>2385.6</v>
      </c>
      <c r="AZ16" s="100">
        <v>7</v>
      </c>
      <c r="BA16" s="100">
        <v>2385.6</v>
      </c>
      <c r="BB16" s="100">
        <v>8</v>
      </c>
      <c r="BC16" s="100">
        <v>2726.4</v>
      </c>
      <c r="BD16" s="100">
        <v>4.7886165330406723</v>
      </c>
      <c r="BE16" s="100">
        <v>1631.9605144602613</v>
      </c>
      <c r="BF16" s="100">
        <v>7.8655701048444451</v>
      </c>
      <c r="BG16" s="100">
        <v>2680.5862917309869</v>
      </c>
      <c r="BH16" s="100">
        <v>7.4413595823359815</v>
      </c>
      <c r="BI16" s="100">
        <v>2536.0153456601024</v>
      </c>
      <c r="BJ16" s="100">
        <v>5.4713822413740525</v>
      </c>
      <c r="BK16" s="100">
        <v>1864.647067860277</v>
      </c>
      <c r="BL16" s="100">
        <v>2.1306625217868533</v>
      </c>
      <c r="BM16" s="100">
        <v>726.12978742495966</v>
      </c>
      <c r="BN16" s="100">
        <v>3.7155363937557482</v>
      </c>
      <c r="BO16" s="100">
        <v>1266.254802991959</v>
      </c>
      <c r="BP16" s="100">
        <v>11.54247769547325</v>
      </c>
      <c r="BQ16" s="100">
        <v>3933.6763986172837</v>
      </c>
      <c r="BR16" s="100">
        <v>4.1449472790726158</v>
      </c>
      <c r="BS16" s="100">
        <v>1412.5980327079476</v>
      </c>
      <c r="BT16" s="100">
        <v>9.2500591794003189</v>
      </c>
      <c r="BU16" s="100">
        <v>3152.4201683396286</v>
      </c>
      <c r="BV16" s="100">
        <v>4.360929890723062</v>
      </c>
      <c r="BW16" s="100">
        <v>1486.2049067584196</v>
      </c>
      <c r="BX16" s="100">
        <v>5</v>
      </c>
      <c r="BY16" s="100">
        <v>1704</v>
      </c>
      <c r="BZ16" s="100">
        <v>8.1709404517730633</v>
      </c>
      <c r="CA16" s="100">
        <v>2784.6565059642598</v>
      </c>
      <c r="CB16" s="100">
        <v>3.5550719200598366</v>
      </c>
      <c r="CC16" s="100">
        <v>1211.5685103563924</v>
      </c>
      <c r="CD16" s="100">
        <v>4.2079148068380414</v>
      </c>
      <c r="CE16" s="100">
        <v>1434.0573661704045</v>
      </c>
      <c r="CF16" s="100">
        <v>6</v>
      </c>
      <c r="CG16" s="100">
        <v>2044.8000000000002</v>
      </c>
      <c r="CH16" s="100">
        <v>6.0095466670298814</v>
      </c>
      <c r="CI16" s="100">
        <v>2048.0535041237836</v>
      </c>
      <c r="CJ16" s="100">
        <v>1.2240782790425293</v>
      </c>
      <c r="CK16" s="100">
        <v>417.165877497694</v>
      </c>
      <c r="CL16" s="100">
        <v>7</v>
      </c>
      <c r="CM16" s="100">
        <v>2385.6</v>
      </c>
      <c r="CN16" s="100">
        <v>10</v>
      </c>
      <c r="CO16" s="100">
        <v>3408</v>
      </c>
      <c r="CP16" s="100">
        <v>6</v>
      </c>
      <c r="CQ16" s="100">
        <v>2044.8000000000002</v>
      </c>
      <c r="CR16" s="100">
        <v>11</v>
      </c>
      <c r="CS16" s="100">
        <v>3748.8</v>
      </c>
      <c r="CT16" s="100">
        <v>9</v>
      </c>
      <c r="CU16" s="100">
        <v>3067.2000000000003</v>
      </c>
    </row>
    <row r="17" spans="2:99">
      <c r="C17" s="99" t="s">
        <v>183</v>
      </c>
      <c r="D17" s="100">
        <v>5.9371960901970374E-4</v>
      </c>
      <c r="E17" s="100">
        <v>0.25078716284992286</v>
      </c>
      <c r="F17" s="100">
        <v>9</v>
      </c>
      <c r="G17" s="100">
        <v>3801.6</v>
      </c>
      <c r="H17" s="100">
        <v>9</v>
      </c>
      <c r="I17" s="100">
        <v>3801.6</v>
      </c>
      <c r="J17" s="100">
        <v>7</v>
      </c>
      <c r="K17" s="100">
        <v>2956.7999999999997</v>
      </c>
      <c r="L17" s="100">
        <v>5</v>
      </c>
      <c r="M17" s="100">
        <v>2112</v>
      </c>
      <c r="N17" s="100">
        <v>8.1419770141195134</v>
      </c>
      <c r="O17" s="100">
        <v>3439.1710907640822</v>
      </c>
      <c r="P17" s="100">
        <v>5.9742809139133835</v>
      </c>
      <c r="Q17" s="100">
        <v>2523.5362580370129</v>
      </c>
      <c r="R17" s="100">
        <v>9</v>
      </c>
      <c r="S17" s="100">
        <v>3801.6</v>
      </c>
      <c r="T17" s="100">
        <v>5</v>
      </c>
      <c r="U17" s="100">
        <v>2112</v>
      </c>
      <c r="V17" s="100">
        <v>6</v>
      </c>
      <c r="W17" s="100">
        <v>2534.3999999999996</v>
      </c>
      <c r="X17" s="100">
        <v>7</v>
      </c>
      <c r="Y17" s="100">
        <v>2956.7999999999997</v>
      </c>
      <c r="Z17" s="100">
        <v>8</v>
      </c>
      <c r="AA17" s="100">
        <v>3379.2</v>
      </c>
      <c r="AB17" s="100">
        <v>6</v>
      </c>
      <c r="AC17" s="100">
        <v>2534.3999999999996</v>
      </c>
      <c r="AD17" s="100">
        <v>5.6212958474301553</v>
      </c>
      <c r="AE17" s="100">
        <v>2374.4353659544977</v>
      </c>
      <c r="AF17" s="100">
        <v>9</v>
      </c>
      <c r="AG17" s="100">
        <v>3801.6</v>
      </c>
      <c r="AH17" s="100">
        <v>4.67274457586488</v>
      </c>
      <c r="AI17" s="100">
        <v>1973.7673088453253</v>
      </c>
      <c r="AJ17" s="100">
        <v>5</v>
      </c>
      <c r="AK17" s="100">
        <v>2112</v>
      </c>
      <c r="AL17" s="100">
        <v>5</v>
      </c>
      <c r="AM17" s="100">
        <v>2112</v>
      </c>
      <c r="AN17" s="100">
        <v>10</v>
      </c>
      <c r="AO17" s="100">
        <v>4224</v>
      </c>
      <c r="AP17" s="100">
        <v>10</v>
      </c>
      <c r="AQ17" s="100">
        <v>4224</v>
      </c>
      <c r="AR17" s="100">
        <v>7.7385624652291671</v>
      </c>
      <c r="AS17" s="100">
        <v>3268.7687853128</v>
      </c>
      <c r="AT17" s="100">
        <v>5.8645554550550312E-4</v>
      </c>
      <c r="AU17" s="100">
        <v>0.24771882242152451</v>
      </c>
      <c r="AV17" s="100">
        <v>9</v>
      </c>
      <c r="AW17" s="100">
        <v>3801.6</v>
      </c>
      <c r="AX17" s="100">
        <v>6</v>
      </c>
      <c r="AY17" s="100">
        <v>2534.3999999999996</v>
      </c>
      <c r="AZ17" s="100">
        <v>6</v>
      </c>
      <c r="BA17" s="100">
        <v>2534.3999999999996</v>
      </c>
      <c r="BB17" s="100">
        <v>8</v>
      </c>
      <c r="BC17" s="100">
        <v>3379.2</v>
      </c>
      <c r="BD17" s="100">
        <v>4.7886165330406723</v>
      </c>
      <c r="BE17" s="100">
        <v>2022.7116235563799</v>
      </c>
      <c r="BF17" s="100">
        <v>8.7395223387160517</v>
      </c>
      <c r="BG17" s="100">
        <v>3691.5742358736602</v>
      </c>
      <c r="BH17" s="100">
        <v>7.4413595823359815</v>
      </c>
      <c r="BI17" s="100">
        <v>3143.2302875787186</v>
      </c>
      <c r="BJ17" s="100">
        <v>5.4497508221115094</v>
      </c>
      <c r="BK17" s="100">
        <v>2301.9747472599015</v>
      </c>
      <c r="BL17" s="100">
        <v>2.1306625217868533</v>
      </c>
      <c r="BM17" s="100">
        <v>899.99184920276684</v>
      </c>
      <c r="BN17" s="100">
        <v>3.1847454803620696</v>
      </c>
      <c r="BO17" s="100">
        <v>1345.2364909049381</v>
      </c>
      <c r="BP17" s="100">
        <v>10.497271220850481</v>
      </c>
      <c r="BQ17" s="100">
        <v>4434.047363687243</v>
      </c>
      <c r="BR17" s="100">
        <v>4.663065688956693</v>
      </c>
      <c r="BS17" s="100">
        <v>1969.6789470153071</v>
      </c>
      <c r="BT17" s="100">
        <v>9.2500591794003189</v>
      </c>
      <c r="BU17" s="100">
        <v>3907.2249973786943</v>
      </c>
      <c r="BV17" s="100">
        <v>4.360929890723062</v>
      </c>
      <c r="BW17" s="100">
        <v>1842.0567858414213</v>
      </c>
      <c r="BX17" s="100">
        <v>5</v>
      </c>
      <c r="BY17" s="100">
        <v>2112</v>
      </c>
      <c r="BZ17" s="100">
        <v>8.1709404517730633</v>
      </c>
      <c r="CA17" s="100">
        <v>3451.4052468289419</v>
      </c>
      <c r="CB17" s="100">
        <v>4.0924529800960068</v>
      </c>
      <c r="CC17" s="100">
        <v>1728.6521387925532</v>
      </c>
      <c r="CD17" s="100">
        <v>4.6287062875218465</v>
      </c>
      <c r="CE17" s="100">
        <v>1955.1655358492278</v>
      </c>
      <c r="CF17" s="100">
        <v>6</v>
      </c>
      <c r="CG17" s="100">
        <v>2534.3999999999996</v>
      </c>
      <c r="CH17" s="100">
        <v>5.4635153144414055</v>
      </c>
      <c r="CI17" s="100">
        <v>2307.7888688200496</v>
      </c>
      <c r="CJ17" s="100">
        <v>1.2240782790425293</v>
      </c>
      <c r="CK17" s="100">
        <v>517.0506650675643</v>
      </c>
      <c r="CL17" s="100">
        <v>7</v>
      </c>
      <c r="CM17" s="100">
        <v>2956.7999999999997</v>
      </c>
      <c r="CN17" s="100">
        <v>11</v>
      </c>
      <c r="CO17" s="100">
        <v>4646.3999999999996</v>
      </c>
      <c r="CP17" s="100">
        <v>6</v>
      </c>
      <c r="CQ17" s="100">
        <v>2534.3999999999996</v>
      </c>
      <c r="CR17" s="100">
        <v>11</v>
      </c>
      <c r="CS17" s="100">
        <v>4646.3999999999996</v>
      </c>
      <c r="CT17" s="100">
        <v>8</v>
      </c>
      <c r="CU17" s="100">
        <v>3379.2</v>
      </c>
    </row>
    <row r="18" spans="2:99">
      <c r="C18" s="99" t="s">
        <v>184</v>
      </c>
      <c r="D18" s="100">
        <v>5.9371960901970374E-4</v>
      </c>
      <c r="E18" s="100">
        <v>0.38758016076806256</v>
      </c>
      <c r="F18" s="100">
        <v>9</v>
      </c>
      <c r="G18" s="100">
        <v>5875.2</v>
      </c>
      <c r="H18" s="100">
        <v>9</v>
      </c>
      <c r="I18" s="100">
        <v>5875.2</v>
      </c>
      <c r="J18" s="100">
        <v>7</v>
      </c>
      <c r="K18" s="100">
        <v>4569.5999999999995</v>
      </c>
      <c r="L18" s="100">
        <v>5</v>
      </c>
      <c r="M18" s="100">
        <v>3264</v>
      </c>
      <c r="N18" s="100">
        <v>8.1290700128359212</v>
      </c>
      <c r="O18" s="100">
        <v>5306.6569043792888</v>
      </c>
      <c r="P18" s="100">
        <v>5.1208122119257569</v>
      </c>
      <c r="Q18" s="100">
        <v>3342.8662119451337</v>
      </c>
      <c r="R18" s="100">
        <v>8</v>
      </c>
      <c r="S18" s="100">
        <v>5222.3999999999996</v>
      </c>
      <c r="T18" s="100">
        <v>4</v>
      </c>
      <c r="U18" s="100">
        <v>2611.1999999999998</v>
      </c>
      <c r="V18" s="100">
        <v>7</v>
      </c>
      <c r="W18" s="100">
        <v>4569.5999999999995</v>
      </c>
      <c r="X18" s="100">
        <v>8</v>
      </c>
      <c r="Y18" s="100">
        <v>5222.3999999999996</v>
      </c>
      <c r="Z18" s="100">
        <v>8</v>
      </c>
      <c r="AA18" s="100">
        <v>5222.3999999999996</v>
      </c>
      <c r="AB18" s="100">
        <v>6</v>
      </c>
      <c r="AC18" s="100">
        <v>3916.7999999999997</v>
      </c>
      <c r="AD18" s="100">
        <v>5.6212958474301553</v>
      </c>
      <c r="AE18" s="100">
        <v>3669.5819292024053</v>
      </c>
      <c r="AF18" s="100">
        <v>9</v>
      </c>
      <c r="AG18" s="100">
        <v>5875.2</v>
      </c>
      <c r="AH18" s="100">
        <v>4.0886515038817706</v>
      </c>
      <c r="AI18" s="100">
        <v>2669.0717017340198</v>
      </c>
      <c r="AJ18" s="100">
        <v>5</v>
      </c>
      <c r="AK18" s="100">
        <v>3264</v>
      </c>
      <c r="AL18" s="100">
        <v>6</v>
      </c>
      <c r="AM18" s="100">
        <v>3916.7999999999997</v>
      </c>
      <c r="AN18" s="100">
        <v>9</v>
      </c>
      <c r="AO18" s="100">
        <v>5875.2</v>
      </c>
      <c r="AP18" s="100">
        <v>10</v>
      </c>
      <c r="AQ18" s="100">
        <v>6528</v>
      </c>
      <c r="AR18" s="100">
        <v>7.7385624652291671</v>
      </c>
      <c r="AS18" s="100">
        <v>5051.7335773016002</v>
      </c>
      <c r="AT18" s="100">
        <v>5.8645554550550312E-4</v>
      </c>
      <c r="AU18" s="100">
        <v>0.38283818010599241</v>
      </c>
      <c r="AV18" s="100">
        <v>9</v>
      </c>
      <c r="AW18" s="100">
        <v>5875.2</v>
      </c>
      <c r="AX18" s="100">
        <v>6</v>
      </c>
      <c r="AY18" s="100">
        <v>3916.7999999999997</v>
      </c>
      <c r="AZ18" s="100">
        <v>6</v>
      </c>
      <c r="BA18" s="100">
        <v>3916.7999999999997</v>
      </c>
      <c r="BB18" s="100">
        <v>8</v>
      </c>
      <c r="BC18" s="100">
        <v>5222.3999999999996</v>
      </c>
      <c r="BD18" s="100">
        <v>5.7463398396488063</v>
      </c>
      <c r="BE18" s="100">
        <v>3751.2106473227404</v>
      </c>
      <c r="BF18" s="100">
        <v>8.7395223387160517</v>
      </c>
      <c r="BG18" s="100">
        <v>5705.1601827138384</v>
      </c>
      <c r="BH18" s="100">
        <v>7.4413595823359815</v>
      </c>
      <c r="BI18" s="100">
        <v>4857.7195353489287</v>
      </c>
      <c r="BJ18" s="100">
        <v>6.1066343282050877</v>
      </c>
      <c r="BK18" s="100">
        <v>3986.410889452281</v>
      </c>
      <c r="BL18" s="100">
        <v>1.681001282406301</v>
      </c>
      <c r="BM18" s="100">
        <v>1097.3576371548331</v>
      </c>
      <c r="BN18" s="100">
        <v>3.7155363937557482</v>
      </c>
      <c r="BO18" s="100">
        <v>2425.5021578437522</v>
      </c>
      <c r="BP18" s="100">
        <v>9.4972712208504806</v>
      </c>
      <c r="BQ18" s="100">
        <v>6199.8186529711929</v>
      </c>
      <c r="BR18" s="100">
        <v>4.1449472790726158</v>
      </c>
      <c r="BS18" s="100">
        <v>2705.8215837786033</v>
      </c>
      <c r="BT18" s="100">
        <v>8.3520428861613034</v>
      </c>
      <c r="BU18" s="100">
        <v>5452.2135960860987</v>
      </c>
      <c r="BV18" s="100">
        <v>3.8763821250871668</v>
      </c>
      <c r="BW18" s="100">
        <v>2530.5022512569021</v>
      </c>
      <c r="BX18" s="100">
        <v>5</v>
      </c>
      <c r="BY18" s="100">
        <v>3264</v>
      </c>
      <c r="BZ18" s="100">
        <v>7.1465203872340544</v>
      </c>
      <c r="CA18" s="100">
        <v>4665.2485087863906</v>
      </c>
      <c r="CB18" s="100">
        <v>4.0924529800960068</v>
      </c>
      <c r="CC18" s="100">
        <v>2671.5533054066732</v>
      </c>
      <c r="CD18" s="100">
        <v>4.2079148068380414</v>
      </c>
      <c r="CE18" s="100">
        <v>2746.9267859038732</v>
      </c>
      <c r="CF18" s="100">
        <v>6</v>
      </c>
      <c r="CG18" s="100">
        <v>3916.7999999999997</v>
      </c>
      <c r="CH18" s="100">
        <v>6.0345118098092057</v>
      </c>
      <c r="CI18" s="100">
        <v>3939.3293094434493</v>
      </c>
      <c r="CJ18" s="100">
        <v>1.468893934851035</v>
      </c>
      <c r="CK18" s="100">
        <v>958.89396067075563</v>
      </c>
      <c r="CL18" s="100">
        <v>7</v>
      </c>
      <c r="CM18" s="100">
        <v>4569.5999999999995</v>
      </c>
      <c r="CN18" s="100">
        <v>10</v>
      </c>
      <c r="CO18" s="100">
        <v>6528</v>
      </c>
      <c r="CP18" s="100">
        <v>6</v>
      </c>
      <c r="CQ18" s="100">
        <v>3916.7999999999997</v>
      </c>
      <c r="CR18" s="100">
        <v>12</v>
      </c>
      <c r="CS18" s="100">
        <v>7833.5999999999995</v>
      </c>
      <c r="CT18" s="100">
        <v>8</v>
      </c>
      <c r="CU18" s="100">
        <v>5222.3999999999996</v>
      </c>
    </row>
    <row r="19" spans="2:99">
      <c r="C19" s="99" t="s">
        <v>185</v>
      </c>
      <c r="D19" s="100">
        <v>5.9371960901970374E-4</v>
      </c>
      <c r="E19" s="100">
        <v>0.19592747097650223</v>
      </c>
      <c r="F19" s="100">
        <v>8</v>
      </c>
      <c r="G19" s="100">
        <v>2640</v>
      </c>
      <c r="H19" s="100">
        <v>8</v>
      </c>
      <c r="I19" s="100">
        <v>2640</v>
      </c>
      <c r="J19" s="100">
        <v>6</v>
      </c>
      <c r="K19" s="100">
        <v>1980</v>
      </c>
      <c r="L19" s="100">
        <v>5</v>
      </c>
      <c r="M19" s="100">
        <v>1650</v>
      </c>
      <c r="N19" s="100">
        <v>8.1419770141195134</v>
      </c>
      <c r="O19" s="100">
        <v>2686.8524146594395</v>
      </c>
      <c r="P19" s="100">
        <v>5.9742809139133835</v>
      </c>
      <c r="Q19" s="100">
        <v>1971.5127015914165</v>
      </c>
      <c r="R19" s="100">
        <v>7</v>
      </c>
      <c r="S19" s="100">
        <v>2310</v>
      </c>
      <c r="T19" s="100">
        <v>5</v>
      </c>
      <c r="U19" s="100">
        <v>1650</v>
      </c>
      <c r="V19" s="100">
        <v>6</v>
      </c>
      <c r="W19" s="100">
        <v>1980</v>
      </c>
      <c r="X19" s="100">
        <v>8</v>
      </c>
      <c r="Y19" s="100">
        <v>2640</v>
      </c>
      <c r="Z19" s="100">
        <v>9</v>
      </c>
      <c r="AA19" s="100">
        <v>2970</v>
      </c>
      <c r="AB19" s="100">
        <v>6</v>
      </c>
      <c r="AC19" s="100">
        <v>1980</v>
      </c>
      <c r="AD19" s="100">
        <v>6.3239578283589246</v>
      </c>
      <c r="AE19" s="100">
        <v>2086.9060833584449</v>
      </c>
      <c r="AF19" s="100">
        <v>8</v>
      </c>
      <c r="AG19" s="100">
        <v>2640</v>
      </c>
      <c r="AH19" s="100">
        <v>4.67274457586488</v>
      </c>
      <c r="AI19" s="100">
        <v>1542.0057100354104</v>
      </c>
      <c r="AJ19" s="100">
        <v>6</v>
      </c>
      <c r="AK19" s="100">
        <v>1980</v>
      </c>
      <c r="AL19" s="100">
        <v>5</v>
      </c>
      <c r="AM19" s="100">
        <v>1650</v>
      </c>
      <c r="AN19" s="100">
        <v>9</v>
      </c>
      <c r="AO19" s="100">
        <v>2970</v>
      </c>
      <c r="AP19" s="100">
        <v>9</v>
      </c>
      <c r="AQ19" s="100">
        <v>2970</v>
      </c>
      <c r="AR19" s="100">
        <v>8.7058827733828146</v>
      </c>
      <c r="AS19" s="100">
        <v>2872.9413152163288</v>
      </c>
      <c r="AT19" s="100">
        <v>5.8645554550550312E-4</v>
      </c>
      <c r="AU19" s="100">
        <v>0.19353033001681602</v>
      </c>
      <c r="AV19" s="100">
        <v>10</v>
      </c>
      <c r="AW19" s="100">
        <v>3300</v>
      </c>
      <c r="AX19" s="100">
        <v>6</v>
      </c>
      <c r="AY19" s="100">
        <v>1980</v>
      </c>
      <c r="AZ19" s="100">
        <v>7</v>
      </c>
      <c r="BA19" s="100">
        <v>2310</v>
      </c>
      <c r="BB19" s="100">
        <v>9</v>
      </c>
      <c r="BC19" s="100">
        <v>2970</v>
      </c>
      <c r="BD19" s="100">
        <v>5.7463398396488063</v>
      </c>
      <c r="BE19" s="100">
        <v>1896.2921470841061</v>
      </c>
      <c r="BF19" s="100">
        <v>7.8655701048444451</v>
      </c>
      <c r="BG19" s="100">
        <v>2595.638134598667</v>
      </c>
      <c r="BH19" s="100">
        <v>8.2681773137066461</v>
      </c>
      <c r="BI19" s="100">
        <v>2728.4985135231932</v>
      </c>
      <c r="BJ19" s="100">
        <v>5.4713822413740525</v>
      </c>
      <c r="BK19" s="100">
        <v>1805.5561396534374</v>
      </c>
      <c r="BL19" s="100">
        <v>1.905831902096577</v>
      </c>
      <c r="BM19" s="100">
        <v>628.92452769187048</v>
      </c>
      <c r="BN19" s="100">
        <v>3.1847454803620696</v>
      </c>
      <c r="BO19" s="100">
        <v>1050.966008519483</v>
      </c>
      <c r="BP19" s="100">
        <v>10.497271220850481</v>
      </c>
      <c r="BQ19" s="100">
        <v>3464.0995028806587</v>
      </c>
      <c r="BR19" s="100">
        <v>4.1449472790726158</v>
      </c>
      <c r="BS19" s="100">
        <v>1367.8326020939633</v>
      </c>
      <c r="BT19" s="100">
        <v>9.2800476512903405</v>
      </c>
      <c r="BU19" s="100">
        <v>3062.4157249258124</v>
      </c>
      <c r="BV19" s="100">
        <v>4.8454776563589581</v>
      </c>
      <c r="BW19" s="100">
        <v>1599.0076265984562</v>
      </c>
      <c r="BX19" s="100">
        <v>5</v>
      </c>
      <c r="BY19" s="100">
        <v>1650</v>
      </c>
      <c r="BZ19" s="100">
        <v>8.1465203872340535</v>
      </c>
      <c r="CA19" s="100">
        <v>2688.3517277872375</v>
      </c>
      <c r="CB19" s="100">
        <v>3.531444380071064</v>
      </c>
      <c r="CC19" s="100">
        <v>1165.376645423451</v>
      </c>
      <c r="CD19" s="100">
        <v>4.6287062875218465</v>
      </c>
      <c r="CE19" s="100">
        <v>1527.4730748822094</v>
      </c>
      <c r="CF19" s="100">
        <v>6</v>
      </c>
      <c r="CG19" s="100">
        <v>1980</v>
      </c>
      <c r="CH19" s="100">
        <v>5.4385501716620812</v>
      </c>
      <c r="CI19" s="100">
        <v>1794.7215566484867</v>
      </c>
      <c r="CJ19" s="100">
        <v>1.2240782790425293</v>
      </c>
      <c r="CK19" s="100">
        <v>403.94583208403469</v>
      </c>
      <c r="CL19" s="100">
        <v>7</v>
      </c>
      <c r="CM19" s="100">
        <v>2310</v>
      </c>
      <c r="CN19" s="100">
        <v>9</v>
      </c>
      <c r="CO19" s="100">
        <v>2970</v>
      </c>
      <c r="CP19" s="100">
        <v>6</v>
      </c>
      <c r="CQ19" s="100">
        <v>1980</v>
      </c>
      <c r="CR19" s="100">
        <v>10</v>
      </c>
      <c r="CS19" s="100">
        <v>3300</v>
      </c>
      <c r="CT19" s="100">
        <v>8</v>
      </c>
      <c r="CU19" s="100">
        <v>2640</v>
      </c>
    </row>
    <row r="20" spans="2:99">
      <c r="B20" s="99" t="s">
        <v>127</v>
      </c>
      <c r="C20" s="99" t="s">
        <v>186</v>
      </c>
      <c r="D20" s="100">
        <v>5.9371960901970374E-4</v>
      </c>
      <c r="E20" s="100">
        <v>0.17027878386685105</v>
      </c>
      <c r="F20" s="100">
        <v>9</v>
      </c>
      <c r="G20" s="100">
        <v>2581.2000000000003</v>
      </c>
      <c r="H20" s="100">
        <v>8</v>
      </c>
      <c r="I20" s="100">
        <v>2294.4</v>
      </c>
      <c r="J20" s="100">
        <v>10</v>
      </c>
      <c r="K20" s="100">
        <v>2868</v>
      </c>
      <c r="L20" s="100">
        <v>13</v>
      </c>
      <c r="M20" s="100">
        <v>3728.4</v>
      </c>
      <c r="N20" s="100">
        <v>9.2839540282390285</v>
      </c>
      <c r="O20" s="100">
        <v>2662.6380152989536</v>
      </c>
      <c r="P20" s="100">
        <v>7.6812183178886357</v>
      </c>
      <c r="Q20" s="100">
        <v>2202.9734135704607</v>
      </c>
      <c r="R20" s="100">
        <v>12</v>
      </c>
      <c r="S20" s="100">
        <v>3441.6000000000004</v>
      </c>
      <c r="T20" s="100">
        <v>12</v>
      </c>
      <c r="U20" s="100">
        <v>3441.6000000000004</v>
      </c>
      <c r="V20" s="100">
        <v>11</v>
      </c>
      <c r="W20" s="100">
        <v>3154.8</v>
      </c>
      <c r="X20" s="100">
        <v>14</v>
      </c>
      <c r="Y20" s="100">
        <v>4015.2000000000003</v>
      </c>
      <c r="Z20" s="100">
        <v>13</v>
      </c>
      <c r="AA20" s="100">
        <v>3728.4</v>
      </c>
      <c r="AB20" s="100">
        <v>16</v>
      </c>
      <c r="AC20" s="100">
        <v>4588.8</v>
      </c>
      <c r="AD20" s="100">
        <v>9.1346057520740036</v>
      </c>
      <c r="AE20" s="100">
        <v>2619.8049296948243</v>
      </c>
      <c r="AF20" s="100">
        <v>13</v>
      </c>
      <c r="AG20" s="100">
        <v>3728.4</v>
      </c>
      <c r="AH20" s="100">
        <v>9.34548915172976</v>
      </c>
      <c r="AI20" s="100">
        <v>2680.2862887160954</v>
      </c>
      <c r="AJ20" s="100">
        <v>12</v>
      </c>
      <c r="AK20" s="100">
        <v>3441.6000000000004</v>
      </c>
      <c r="AL20" s="100">
        <v>10</v>
      </c>
      <c r="AM20" s="100">
        <v>2868</v>
      </c>
      <c r="AN20" s="100">
        <v>10</v>
      </c>
      <c r="AO20" s="100">
        <v>2868</v>
      </c>
      <c r="AP20" s="100">
        <v>8</v>
      </c>
      <c r="AQ20" s="100">
        <v>2294.4</v>
      </c>
      <c r="AR20" s="100">
        <v>10.640523389690106</v>
      </c>
      <c r="AS20" s="100">
        <v>3051.7021081631224</v>
      </c>
      <c r="AT20" s="100">
        <v>8.7968331825825452E-4</v>
      </c>
      <c r="AU20" s="100">
        <v>0.25229317567646742</v>
      </c>
      <c r="AV20" s="100">
        <v>11</v>
      </c>
      <c r="AW20" s="100">
        <v>3154.8</v>
      </c>
      <c r="AX20" s="100">
        <v>15</v>
      </c>
      <c r="AY20" s="100">
        <v>4302</v>
      </c>
      <c r="AZ20" s="100">
        <v>10</v>
      </c>
      <c r="BA20" s="100">
        <v>2868</v>
      </c>
      <c r="BB20" s="100">
        <v>12</v>
      </c>
      <c r="BC20" s="100">
        <v>3441.6000000000004</v>
      </c>
      <c r="BD20" s="100">
        <v>8.6195097594732104</v>
      </c>
      <c r="BE20" s="100">
        <v>2472.0753990169169</v>
      </c>
      <c r="BF20" s="100">
        <v>7.8655701048444451</v>
      </c>
      <c r="BG20" s="100">
        <v>2255.8455060693868</v>
      </c>
      <c r="BH20" s="100">
        <v>9.9218127764479753</v>
      </c>
      <c r="BI20" s="100">
        <v>2845.5759042852796</v>
      </c>
      <c r="BJ20" s="100">
        <v>11.448228054003881</v>
      </c>
      <c r="BK20" s="100">
        <v>3283.3518058883133</v>
      </c>
      <c r="BL20" s="100">
        <v>3.0210527551667612</v>
      </c>
      <c r="BM20" s="100">
        <v>866.43793018182714</v>
      </c>
      <c r="BN20" s="100">
        <v>5.307909133936783</v>
      </c>
      <c r="BO20" s="100">
        <v>1522.3083396130694</v>
      </c>
      <c r="BP20" s="100">
        <v>14.632890644718792</v>
      </c>
      <c r="BQ20" s="100">
        <v>4196.7130369053493</v>
      </c>
      <c r="BR20" s="100">
        <v>6.7355393284930001</v>
      </c>
      <c r="BS20" s="100">
        <v>1931.7526794117925</v>
      </c>
      <c r="BT20" s="100">
        <v>10.35799477586947</v>
      </c>
      <c r="BU20" s="100">
        <v>2970.6729017193638</v>
      </c>
      <c r="BV20" s="100">
        <v>4.8454776563589581</v>
      </c>
      <c r="BW20" s="100">
        <v>1389.6829918437493</v>
      </c>
      <c r="BX20" s="100">
        <v>17</v>
      </c>
      <c r="BY20" s="100">
        <v>4875.6000000000004</v>
      </c>
      <c r="BZ20" s="100">
        <v>11.46398122624117</v>
      </c>
      <c r="CA20" s="100">
        <v>3287.8698156859678</v>
      </c>
      <c r="CB20" s="100">
        <v>8.2557885801583311</v>
      </c>
      <c r="CC20" s="100">
        <v>2367.7601647894094</v>
      </c>
      <c r="CD20" s="100">
        <v>5.8910807295732583</v>
      </c>
      <c r="CE20" s="100">
        <v>1689.5619532416106</v>
      </c>
      <c r="CF20" s="100">
        <v>18</v>
      </c>
      <c r="CG20" s="100">
        <v>5162.4000000000005</v>
      </c>
      <c r="CH20" s="100">
        <v>9.4854559247953283</v>
      </c>
      <c r="CI20" s="100">
        <v>2720.4287592313003</v>
      </c>
      <c r="CJ20" s="100">
        <v>2.9377878697020701</v>
      </c>
      <c r="CK20" s="100">
        <v>842.55756103055376</v>
      </c>
      <c r="CL20" s="100">
        <v>18</v>
      </c>
      <c r="CM20" s="100">
        <v>5162.4000000000005</v>
      </c>
      <c r="CN20" s="100">
        <v>10</v>
      </c>
      <c r="CO20" s="100">
        <v>2868</v>
      </c>
      <c r="CP20" s="100">
        <v>12</v>
      </c>
      <c r="CQ20" s="100">
        <v>3441.6000000000004</v>
      </c>
      <c r="CR20" s="100">
        <v>11</v>
      </c>
      <c r="CS20" s="100">
        <v>3154.8</v>
      </c>
      <c r="CT20" s="100">
        <v>11</v>
      </c>
      <c r="CU20" s="100">
        <v>3154.8</v>
      </c>
    </row>
    <row r="21" spans="2:99">
      <c r="C21" s="99" t="s">
        <v>187</v>
      </c>
      <c r="D21" s="100">
        <v>5.9371960901970374E-4</v>
      </c>
      <c r="E21" s="100">
        <v>3.7048103602829514E-2</v>
      </c>
      <c r="F21" s="100">
        <v>10</v>
      </c>
      <c r="G21" s="100">
        <v>624</v>
      </c>
      <c r="H21" s="100">
        <v>8</v>
      </c>
      <c r="I21" s="100">
        <v>499.2</v>
      </c>
      <c r="J21" s="100">
        <v>11</v>
      </c>
      <c r="K21" s="100">
        <v>686.4</v>
      </c>
      <c r="L21" s="100">
        <v>16</v>
      </c>
      <c r="M21" s="100">
        <v>998.4</v>
      </c>
      <c r="N21" s="100">
        <v>11.258140025671844</v>
      </c>
      <c r="O21" s="100">
        <v>702.50793760192312</v>
      </c>
      <c r="P21" s="100">
        <v>8.5346870198762623</v>
      </c>
      <c r="Q21" s="100">
        <v>532.56447004027871</v>
      </c>
      <c r="R21" s="100">
        <v>13</v>
      </c>
      <c r="S21" s="100">
        <v>811.19999999999993</v>
      </c>
      <c r="T21" s="100">
        <v>11</v>
      </c>
      <c r="U21" s="100">
        <v>686.4</v>
      </c>
      <c r="V21" s="100">
        <v>11</v>
      </c>
      <c r="W21" s="100">
        <v>686.4</v>
      </c>
      <c r="X21" s="100">
        <v>14</v>
      </c>
      <c r="Y21" s="100">
        <v>873.6</v>
      </c>
      <c r="Z21" s="100">
        <v>13</v>
      </c>
      <c r="AA21" s="100">
        <v>811.19999999999993</v>
      </c>
      <c r="AB21" s="100">
        <v>15</v>
      </c>
      <c r="AC21" s="100">
        <v>936</v>
      </c>
      <c r="AD21" s="100">
        <v>10.53992971393154</v>
      </c>
      <c r="AE21" s="100">
        <v>657.69161414932807</v>
      </c>
      <c r="AF21" s="100">
        <v>14</v>
      </c>
      <c r="AG21" s="100">
        <v>873.6</v>
      </c>
      <c r="AH21" s="100">
        <v>8.1773030077635411</v>
      </c>
      <c r="AI21" s="100">
        <v>510.26370768444497</v>
      </c>
      <c r="AJ21" s="100">
        <v>11</v>
      </c>
      <c r="AK21" s="100">
        <v>686.4</v>
      </c>
      <c r="AL21" s="100">
        <v>11</v>
      </c>
      <c r="AM21" s="100">
        <v>686.4</v>
      </c>
      <c r="AN21" s="100">
        <v>12</v>
      </c>
      <c r="AO21" s="100">
        <v>748.8</v>
      </c>
      <c r="AP21" s="100">
        <v>8</v>
      </c>
      <c r="AQ21" s="100">
        <v>499.2</v>
      </c>
      <c r="AR21" s="100">
        <v>9.6732030815364585</v>
      </c>
      <c r="AS21" s="100">
        <v>603.60787228787501</v>
      </c>
      <c r="AT21" s="100">
        <v>8.2103776370770433E-4</v>
      </c>
      <c r="AU21" s="100">
        <v>5.1232756455360746E-2</v>
      </c>
      <c r="AV21" s="100">
        <v>12</v>
      </c>
      <c r="AW21" s="100">
        <v>748.8</v>
      </c>
      <c r="AX21" s="100">
        <v>14</v>
      </c>
      <c r="AY21" s="100">
        <v>873.6</v>
      </c>
      <c r="AZ21" s="100">
        <v>9</v>
      </c>
      <c r="BA21" s="100">
        <v>561.6</v>
      </c>
      <c r="BB21" s="100">
        <v>12</v>
      </c>
      <c r="BC21" s="100">
        <v>748.8</v>
      </c>
      <c r="BD21" s="100">
        <v>8.6195097594732104</v>
      </c>
      <c r="BE21" s="100">
        <v>537.8574089911283</v>
      </c>
      <c r="BF21" s="100">
        <v>6.9916178709728412</v>
      </c>
      <c r="BG21" s="100">
        <v>436.27695514870527</v>
      </c>
      <c r="BH21" s="100">
        <v>8.2681773137066461</v>
      </c>
      <c r="BI21" s="100">
        <v>515.93426437529467</v>
      </c>
      <c r="BJ21" s="100">
        <v>10.134461041816724</v>
      </c>
      <c r="BK21" s="100">
        <v>632.39036900936355</v>
      </c>
      <c r="BL21" s="100">
        <v>3.0389172459291558</v>
      </c>
      <c r="BM21" s="100">
        <v>189.62843614597932</v>
      </c>
      <c r="BN21" s="100">
        <v>5.307909133936783</v>
      </c>
      <c r="BO21" s="100">
        <v>331.21352995765523</v>
      </c>
      <c r="BP21" s="100">
        <v>15.587684170096022</v>
      </c>
      <c r="BQ21" s="100">
        <v>972.67149221399177</v>
      </c>
      <c r="BR21" s="100">
        <v>6.7355393284930001</v>
      </c>
      <c r="BS21" s="100">
        <v>420.29765409796317</v>
      </c>
      <c r="BT21" s="100">
        <v>10.417971719649511</v>
      </c>
      <c r="BU21" s="100">
        <v>650.08143530612949</v>
      </c>
      <c r="BV21" s="100">
        <v>4.8454776563589581</v>
      </c>
      <c r="BW21" s="100">
        <v>302.357805756799</v>
      </c>
      <c r="BX21" s="100">
        <v>16</v>
      </c>
      <c r="BY21" s="100">
        <v>998.4</v>
      </c>
      <c r="BZ21" s="100">
        <v>12.46398122624117</v>
      </c>
      <c r="CA21" s="100">
        <v>777.75242851744895</v>
      </c>
      <c r="CB21" s="100">
        <v>7.1337713801084446</v>
      </c>
      <c r="CC21" s="100">
        <v>445.14733411876693</v>
      </c>
      <c r="CD21" s="100">
        <v>6.3118722102570626</v>
      </c>
      <c r="CE21" s="100">
        <v>393.86082592004067</v>
      </c>
      <c r="CF21" s="100">
        <v>15</v>
      </c>
      <c r="CG21" s="100">
        <v>936</v>
      </c>
      <c r="CH21" s="100">
        <v>9.4854559247953283</v>
      </c>
      <c r="CI21" s="100">
        <v>591.89244970722848</v>
      </c>
      <c r="CJ21" s="100">
        <v>2.9377878697020701</v>
      </c>
      <c r="CK21" s="100">
        <v>183.31796306940916</v>
      </c>
      <c r="CL21" s="100">
        <v>16</v>
      </c>
      <c r="CM21" s="100">
        <v>998.4</v>
      </c>
      <c r="CN21" s="100">
        <v>10</v>
      </c>
      <c r="CO21" s="100">
        <v>624</v>
      </c>
      <c r="CP21" s="100">
        <v>12</v>
      </c>
      <c r="CQ21" s="100">
        <v>748.8</v>
      </c>
      <c r="CR21" s="100">
        <v>12</v>
      </c>
      <c r="CS21" s="100">
        <v>748.8</v>
      </c>
      <c r="CT21" s="100">
        <v>10</v>
      </c>
      <c r="CU21" s="100">
        <v>624</v>
      </c>
    </row>
    <row r="22" spans="2:99">
      <c r="C22" s="99" t="s">
        <v>188</v>
      </c>
      <c r="D22" s="100">
        <v>6.7853669602251847E-4</v>
      </c>
      <c r="E22" s="100">
        <v>0.12702206949541545</v>
      </c>
      <c r="F22" s="100">
        <v>10</v>
      </c>
      <c r="G22" s="100">
        <v>1872</v>
      </c>
      <c r="H22" s="100">
        <v>8</v>
      </c>
      <c r="I22" s="100">
        <v>1497.6</v>
      </c>
      <c r="J22" s="100">
        <v>10</v>
      </c>
      <c r="K22" s="100">
        <v>1872</v>
      </c>
      <c r="L22" s="100">
        <v>16</v>
      </c>
      <c r="M22" s="100">
        <v>2995.2</v>
      </c>
      <c r="N22" s="100">
        <v>11.271047026955436</v>
      </c>
      <c r="O22" s="100">
        <v>2109.9400034460577</v>
      </c>
      <c r="P22" s="100">
        <v>7.6812183178886357</v>
      </c>
      <c r="Q22" s="100">
        <v>1437.9240691087525</v>
      </c>
      <c r="R22" s="100">
        <v>11</v>
      </c>
      <c r="S22" s="100">
        <v>2059.1999999999998</v>
      </c>
      <c r="T22" s="100">
        <v>12</v>
      </c>
      <c r="U22" s="100">
        <v>2246.3999999999996</v>
      </c>
      <c r="V22" s="100">
        <v>11</v>
      </c>
      <c r="W22" s="100">
        <v>2059.1999999999998</v>
      </c>
      <c r="X22" s="100">
        <v>14</v>
      </c>
      <c r="Y22" s="100">
        <v>2620.7999999999997</v>
      </c>
      <c r="Z22" s="100">
        <v>12</v>
      </c>
      <c r="AA22" s="100">
        <v>2246.3999999999996</v>
      </c>
      <c r="AB22" s="100">
        <v>16</v>
      </c>
      <c r="AC22" s="100">
        <v>2995.2</v>
      </c>
      <c r="AD22" s="100">
        <v>9.837267733002772</v>
      </c>
      <c r="AE22" s="100">
        <v>1841.5365196181187</v>
      </c>
      <c r="AF22" s="100">
        <v>14</v>
      </c>
      <c r="AG22" s="100">
        <v>2620.7999999999997</v>
      </c>
      <c r="AH22" s="100">
        <v>8.1773030077635411</v>
      </c>
      <c r="AI22" s="100">
        <v>1530.7911230533348</v>
      </c>
      <c r="AJ22" s="100">
        <v>12</v>
      </c>
      <c r="AK22" s="100">
        <v>2246.3999999999996</v>
      </c>
      <c r="AL22" s="100">
        <v>10</v>
      </c>
      <c r="AM22" s="100">
        <v>1872</v>
      </c>
      <c r="AN22" s="100">
        <v>11</v>
      </c>
      <c r="AO22" s="100">
        <v>2059.1999999999998</v>
      </c>
      <c r="AP22" s="100">
        <v>9</v>
      </c>
      <c r="AQ22" s="100">
        <v>1684.8</v>
      </c>
      <c r="AR22" s="100">
        <v>9.6732030815364585</v>
      </c>
      <c r="AS22" s="100">
        <v>1810.8236168636249</v>
      </c>
      <c r="AT22" s="100">
        <v>8.7968331825825452E-4</v>
      </c>
      <c r="AU22" s="100">
        <v>0.16467671717794524</v>
      </c>
      <c r="AV22" s="100">
        <v>11</v>
      </c>
      <c r="AW22" s="100">
        <v>2059.1999999999998</v>
      </c>
      <c r="AX22" s="100">
        <v>17</v>
      </c>
      <c r="AY22" s="100">
        <v>3182.3999999999996</v>
      </c>
      <c r="AZ22" s="100">
        <v>10</v>
      </c>
      <c r="BA22" s="100">
        <v>1872</v>
      </c>
      <c r="BB22" s="100">
        <v>10</v>
      </c>
      <c r="BC22" s="100">
        <v>1872</v>
      </c>
      <c r="BD22" s="100">
        <v>7.6617864528650754</v>
      </c>
      <c r="BE22" s="100">
        <v>1434.2864239763421</v>
      </c>
      <c r="BF22" s="100">
        <v>6.9916178709728412</v>
      </c>
      <c r="BG22" s="100">
        <v>1308.8308654461157</v>
      </c>
      <c r="BH22" s="100">
        <v>9.0949950450773116</v>
      </c>
      <c r="BI22" s="100">
        <v>1702.5830724384725</v>
      </c>
      <c r="BJ22" s="100">
        <v>11.491490892528967</v>
      </c>
      <c r="BK22" s="100">
        <v>2151.2070950814223</v>
      </c>
      <c r="BL22" s="100">
        <v>2.7962221354764849</v>
      </c>
      <c r="BM22" s="100">
        <v>523.45278376119791</v>
      </c>
      <c r="BN22" s="100">
        <v>5.307909133936783</v>
      </c>
      <c r="BO22" s="100">
        <v>993.64058987296573</v>
      </c>
      <c r="BP22" s="100">
        <v>15.54247769547325</v>
      </c>
      <c r="BQ22" s="100">
        <v>2909.5518245925923</v>
      </c>
      <c r="BR22" s="100">
        <v>6.2174209186089238</v>
      </c>
      <c r="BS22" s="100">
        <v>1163.9011959635905</v>
      </c>
      <c r="BT22" s="100">
        <v>9.429990010740438</v>
      </c>
      <c r="BU22" s="100">
        <v>1765.2941300106099</v>
      </c>
      <c r="BV22" s="100">
        <v>4.360929890723062</v>
      </c>
      <c r="BW22" s="100">
        <v>816.36607554335717</v>
      </c>
      <c r="BX22" s="100">
        <v>15</v>
      </c>
      <c r="BY22" s="100">
        <v>2808</v>
      </c>
      <c r="BZ22" s="100">
        <v>12.51282135531919</v>
      </c>
      <c r="CA22" s="100">
        <v>2342.4001577157524</v>
      </c>
      <c r="CB22" s="100">
        <v>8.232161040169558</v>
      </c>
      <c r="CC22" s="100">
        <v>1541.0605467197411</v>
      </c>
      <c r="CD22" s="100">
        <v>6.3118722102570626</v>
      </c>
      <c r="CE22" s="100">
        <v>1181.5824777601219</v>
      </c>
      <c r="CF22" s="100">
        <v>16</v>
      </c>
      <c r="CG22" s="100">
        <v>2995.2</v>
      </c>
      <c r="CH22" s="100">
        <v>9.4854559247953283</v>
      </c>
      <c r="CI22" s="100">
        <v>1775.6773491216854</v>
      </c>
      <c r="CJ22" s="100">
        <v>2.9377878697020701</v>
      </c>
      <c r="CK22" s="100">
        <v>549.95388920822745</v>
      </c>
      <c r="CL22" s="100">
        <v>16</v>
      </c>
      <c r="CM22" s="100">
        <v>2995.2</v>
      </c>
      <c r="CN22" s="100">
        <v>11</v>
      </c>
      <c r="CO22" s="100">
        <v>2059.1999999999998</v>
      </c>
      <c r="CP22" s="100">
        <v>10</v>
      </c>
      <c r="CQ22" s="100">
        <v>1872</v>
      </c>
      <c r="CR22" s="100">
        <v>13</v>
      </c>
      <c r="CS22" s="100">
        <v>2433.6</v>
      </c>
      <c r="CT22" s="100">
        <v>11</v>
      </c>
      <c r="CU22" s="100">
        <v>2059.1999999999998</v>
      </c>
    </row>
    <row r="23" spans="2:99">
      <c r="C23" s="99" t="s">
        <v>189</v>
      </c>
      <c r="D23" s="100">
        <v>6.7853669602251847E-4</v>
      </c>
      <c r="E23" s="100">
        <v>0.19948978863062042</v>
      </c>
      <c r="F23" s="100">
        <v>9</v>
      </c>
      <c r="G23" s="100">
        <v>2646</v>
      </c>
      <c r="H23" s="100">
        <v>9</v>
      </c>
      <c r="I23" s="100">
        <v>2646</v>
      </c>
      <c r="J23" s="100">
        <v>10</v>
      </c>
      <c r="K23" s="100">
        <v>2940</v>
      </c>
      <c r="L23" s="100">
        <v>13</v>
      </c>
      <c r="M23" s="100">
        <v>3822</v>
      </c>
      <c r="N23" s="100">
        <v>10.283954028239028</v>
      </c>
      <c r="O23" s="100">
        <v>3023.4824843022743</v>
      </c>
      <c r="P23" s="100">
        <v>8.5346870198762623</v>
      </c>
      <c r="Q23" s="100">
        <v>2509.1979838436209</v>
      </c>
      <c r="R23" s="100">
        <v>11</v>
      </c>
      <c r="S23" s="100">
        <v>3234</v>
      </c>
      <c r="T23" s="100">
        <v>11</v>
      </c>
      <c r="U23" s="100">
        <v>3234</v>
      </c>
      <c r="V23" s="100">
        <v>10</v>
      </c>
      <c r="W23" s="100">
        <v>2940</v>
      </c>
      <c r="X23" s="100">
        <v>14</v>
      </c>
      <c r="Y23" s="100">
        <v>4116</v>
      </c>
      <c r="Z23" s="100">
        <v>14</v>
      </c>
      <c r="AA23" s="100">
        <v>4116</v>
      </c>
      <c r="AB23" s="100">
        <v>13</v>
      </c>
      <c r="AC23" s="100">
        <v>3822</v>
      </c>
      <c r="AD23" s="100">
        <v>10.53992971393154</v>
      </c>
      <c r="AE23" s="100">
        <v>3098.739335895873</v>
      </c>
      <c r="AF23" s="100">
        <v>14</v>
      </c>
      <c r="AG23" s="100">
        <v>4116</v>
      </c>
      <c r="AH23" s="100">
        <v>8.1773030077635411</v>
      </c>
      <c r="AI23" s="100">
        <v>2404.1270842824811</v>
      </c>
      <c r="AJ23" s="100">
        <v>11</v>
      </c>
      <c r="AK23" s="100">
        <v>3234</v>
      </c>
      <c r="AL23" s="100">
        <v>11</v>
      </c>
      <c r="AM23" s="100">
        <v>3234</v>
      </c>
      <c r="AN23" s="100">
        <v>11</v>
      </c>
      <c r="AO23" s="100">
        <v>3234</v>
      </c>
      <c r="AP23" s="100">
        <v>8</v>
      </c>
      <c r="AQ23" s="100">
        <v>2352</v>
      </c>
      <c r="AR23" s="100">
        <v>10.640523389690106</v>
      </c>
      <c r="AS23" s="100">
        <v>3128.3138765688909</v>
      </c>
      <c r="AT23" s="100">
        <v>7.6239220915715403E-4</v>
      </c>
      <c r="AU23" s="100">
        <v>0.22414330949220329</v>
      </c>
      <c r="AV23" s="100">
        <v>11</v>
      </c>
      <c r="AW23" s="100">
        <v>3234</v>
      </c>
      <c r="AX23" s="100">
        <v>14</v>
      </c>
      <c r="AY23" s="100">
        <v>4116</v>
      </c>
      <c r="AZ23" s="100">
        <v>9</v>
      </c>
      <c r="BA23" s="100">
        <v>2646</v>
      </c>
      <c r="BB23" s="100">
        <v>11</v>
      </c>
      <c r="BC23" s="100">
        <v>3234</v>
      </c>
      <c r="BD23" s="100">
        <v>8.6195097594732104</v>
      </c>
      <c r="BE23" s="100">
        <v>2534.135869285124</v>
      </c>
      <c r="BF23" s="100">
        <v>6.9916178709728412</v>
      </c>
      <c r="BG23" s="100">
        <v>2055.5356540660155</v>
      </c>
      <c r="BH23" s="100">
        <v>9.9218127764479753</v>
      </c>
      <c r="BI23" s="100">
        <v>2917.0129562757047</v>
      </c>
      <c r="BJ23" s="100">
        <v>10.134461041816724</v>
      </c>
      <c r="BK23" s="100">
        <v>2979.5315462941171</v>
      </c>
      <c r="BL23" s="100">
        <v>2.8051543808576822</v>
      </c>
      <c r="BM23" s="100">
        <v>824.71538797215862</v>
      </c>
      <c r="BN23" s="100">
        <v>5.8387000473304607</v>
      </c>
      <c r="BO23" s="100">
        <v>1716.5778139151555</v>
      </c>
      <c r="BP23" s="100">
        <v>16.587684170096022</v>
      </c>
      <c r="BQ23" s="100">
        <v>4876.7791460082308</v>
      </c>
      <c r="BR23" s="100">
        <v>6.7355393284930001</v>
      </c>
      <c r="BS23" s="100">
        <v>1980.248562576942</v>
      </c>
      <c r="BT23" s="100">
        <v>9.4899669545204777</v>
      </c>
      <c r="BU23" s="100">
        <v>2790.0502846290206</v>
      </c>
      <c r="BV23" s="100">
        <v>4.8454776563589581</v>
      </c>
      <c r="BW23" s="100">
        <v>1424.5704309695336</v>
      </c>
      <c r="BX23" s="100">
        <v>16</v>
      </c>
      <c r="BY23" s="100">
        <v>4704</v>
      </c>
      <c r="BZ23" s="100">
        <v>12</v>
      </c>
      <c r="CA23" s="100">
        <v>3528</v>
      </c>
      <c r="CB23" s="100">
        <v>8.2557885801583311</v>
      </c>
      <c r="CC23" s="100">
        <v>2427.2018425665492</v>
      </c>
      <c r="CD23" s="100">
        <v>5.4702892488894541</v>
      </c>
      <c r="CE23" s="100">
        <v>1608.2650391734994</v>
      </c>
      <c r="CF23" s="100">
        <v>15</v>
      </c>
      <c r="CG23" s="100">
        <v>4410</v>
      </c>
      <c r="CH23" s="100">
        <v>10.056452420163128</v>
      </c>
      <c r="CI23" s="100">
        <v>2956.5970115279597</v>
      </c>
      <c r="CJ23" s="100">
        <v>2.9377878697020701</v>
      </c>
      <c r="CK23" s="100">
        <v>863.7096336924086</v>
      </c>
      <c r="CL23" s="100">
        <v>15</v>
      </c>
      <c r="CM23" s="100">
        <v>4410</v>
      </c>
      <c r="CN23" s="100">
        <v>11</v>
      </c>
      <c r="CO23" s="100">
        <v>3234</v>
      </c>
      <c r="CP23" s="100">
        <v>10</v>
      </c>
      <c r="CQ23" s="100">
        <v>2940</v>
      </c>
      <c r="CR23" s="100">
        <v>12</v>
      </c>
      <c r="CS23" s="100">
        <v>3528</v>
      </c>
      <c r="CT23" s="100">
        <v>11</v>
      </c>
      <c r="CU23" s="100">
        <v>3234</v>
      </c>
    </row>
    <row r="24" spans="2:99">
      <c r="C24" s="99" t="s">
        <v>190</v>
      </c>
      <c r="D24" s="100">
        <v>6.7853669602251847E-4</v>
      </c>
      <c r="E24" s="100">
        <v>0.24915867477946876</v>
      </c>
      <c r="F24" s="100">
        <v>9</v>
      </c>
      <c r="G24" s="100">
        <v>3304.7999999999997</v>
      </c>
      <c r="H24" s="100">
        <v>7</v>
      </c>
      <c r="I24" s="100">
        <v>2570.4</v>
      </c>
      <c r="J24" s="100">
        <v>9</v>
      </c>
      <c r="K24" s="100">
        <v>3304.7999999999997</v>
      </c>
      <c r="L24" s="100">
        <v>13</v>
      </c>
      <c r="M24" s="100">
        <v>4773.5999999999995</v>
      </c>
      <c r="N24" s="100">
        <v>10.258140025671844</v>
      </c>
      <c r="O24" s="100">
        <v>3766.7890174267009</v>
      </c>
      <c r="P24" s="100">
        <v>7.6812183178886357</v>
      </c>
      <c r="Q24" s="100">
        <v>2820.5433663287072</v>
      </c>
      <c r="R24" s="100">
        <v>13</v>
      </c>
      <c r="S24" s="100">
        <v>4773.5999999999995</v>
      </c>
      <c r="T24" s="100">
        <v>14</v>
      </c>
      <c r="U24" s="100">
        <v>5140.8</v>
      </c>
      <c r="V24" s="100">
        <v>11</v>
      </c>
      <c r="W24" s="100">
        <v>4039.2</v>
      </c>
      <c r="X24" s="100">
        <v>12</v>
      </c>
      <c r="Y24" s="100">
        <v>4406.3999999999996</v>
      </c>
      <c r="Z24" s="100">
        <v>14</v>
      </c>
      <c r="AA24" s="100">
        <v>5140.8</v>
      </c>
      <c r="AB24" s="100">
        <v>15</v>
      </c>
      <c r="AC24" s="100">
        <v>5508</v>
      </c>
      <c r="AD24" s="100">
        <v>9.837267733002772</v>
      </c>
      <c r="AE24" s="100">
        <v>3612.2447115586178</v>
      </c>
      <c r="AF24" s="100">
        <v>14</v>
      </c>
      <c r="AG24" s="100">
        <v>5140.8</v>
      </c>
      <c r="AH24" s="100">
        <v>8.7613960797466497</v>
      </c>
      <c r="AI24" s="100">
        <v>3217.1846404829698</v>
      </c>
      <c r="AJ24" s="100">
        <v>11</v>
      </c>
      <c r="AK24" s="100">
        <v>4039.2</v>
      </c>
      <c r="AL24" s="100">
        <v>12</v>
      </c>
      <c r="AM24" s="100">
        <v>4406.3999999999996</v>
      </c>
      <c r="AN24" s="100">
        <v>12</v>
      </c>
      <c r="AO24" s="100">
        <v>4406.3999999999996</v>
      </c>
      <c r="AP24" s="100">
        <v>9</v>
      </c>
      <c r="AQ24" s="100">
        <v>3304.7999999999997</v>
      </c>
      <c r="AR24" s="100">
        <v>10.640523389690106</v>
      </c>
      <c r="AS24" s="100">
        <v>3907.2001886942066</v>
      </c>
      <c r="AT24" s="100">
        <v>7.6239220915715403E-4</v>
      </c>
      <c r="AU24" s="100">
        <v>0.27995041920250696</v>
      </c>
      <c r="AV24" s="100">
        <v>10</v>
      </c>
      <c r="AW24" s="100">
        <v>3672</v>
      </c>
      <c r="AX24" s="100">
        <v>16</v>
      </c>
      <c r="AY24" s="100">
        <v>5875.2</v>
      </c>
      <c r="AZ24" s="100">
        <v>9</v>
      </c>
      <c r="BA24" s="100">
        <v>3304.7999999999997</v>
      </c>
      <c r="BB24" s="100">
        <v>10</v>
      </c>
      <c r="BC24" s="100">
        <v>3672</v>
      </c>
      <c r="BD24" s="100">
        <v>8.6195097594732104</v>
      </c>
      <c r="BE24" s="100">
        <v>3165.0839836785626</v>
      </c>
      <c r="BF24" s="100">
        <v>7.8655701048444451</v>
      </c>
      <c r="BG24" s="100">
        <v>2888.23734249888</v>
      </c>
      <c r="BH24" s="100">
        <v>8.2681773137066461</v>
      </c>
      <c r="BI24" s="100">
        <v>3036.0747095930806</v>
      </c>
      <c r="BJ24" s="100">
        <v>9.4775775357231478</v>
      </c>
      <c r="BK24" s="100">
        <v>3480.1664711175399</v>
      </c>
      <c r="BL24" s="100">
        <v>3.0210527551667612</v>
      </c>
      <c r="BM24" s="100">
        <v>1109.3305716972347</v>
      </c>
      <c r="BN24" s="100">
        <v>5.307909133936783</v>
      </c>
      <c r="BO24" s="100">
        <v>1949.0642339815865</v>
      </c>
      <c r="BP24" s="100">
        <v>16.632890644718792</v>
      </c>
      <c r="BQ24" s="100">
        <v>6107.5974447407398</v>
      </c>
      <c r="BR24" s="100">
        <v>5.6993025087248474</v>
      </c>
      <c r="BS24" s="100">
        <v>2092.7838812037639</v>
      </c>
      <c r="BT24" s="100">
        <v>9.459978482630456</v>
      </c>
      <c r="BU24" s="100">
        <v>3473.7040988219032</v>
      </c>
      <c r="BV24" s="100">
        <v>4.8454776563589581</v>
      </c>
      <c r="BW24" s="100">
        <v>1779.2593954150093</v>
      </c>
      <c r="BX24" s="100">
        <v>16</v>
      </c>
      <c r="BY24" s="100">
        <v>5875.2</v>
      </c>
      <c r="BZ24" s="100">
        <v>12.51282135531919</v>
      </c>
      <c r="CA24" s="100">
        <v>4594.7080016732061</v>
      </c>
      <c r="CB24" s="100">
        <v>8.232161040169558</v>
      </c>
      <c r="CC24" s="100">
        <v>3022.8495339502615</v>
      </c>
      <c r="CD24" s="100">
        <v>5.4702892488894541</v>
      </c>
      <c r="CE24" s="100">
        <v>2008.6902121922076</v>
      </c>
      <c r="CF24" s="100">
        <v>15</v>
      </c>
      <c r="CG24" s="100">
        <v>5508</v>
      </c>
      <c r="CH24" s="100">
        <v>8.889494286648203</v>
      </c>
      <c r="CI24" s="100">
        <v>3264.2223020572201</v>
      </c>
      <c r="CJ24" s="100">
        <v>2.6929722138935643</v>
      </c>
      <c r="CK24" s="100">
        <v>988.8593969417168</v>
      </c>
      <c r="CL24" s="100">
        <v>16</v>
      </c>
      <c r="CM24" s="100">
        <v>5875.2</v>
      </c>
      <c r="CN24" s="100">
        <v>10</v>
      </c>
      <c r="CO24" s="100">
        <v>3672</v>
      </c>
      <c r="CP24" s="100">
        <v>10</v>
      </c>
      <c r="CQ24" s="100">
        <v>3672</v>
      </c>
      <c r="CR24" s="100">
        <v>11</v>
      </c>
      <c r="CS24" s="100">
        <v>4039.2</v>
      </c>
      <c r="CT24" s="100">
        <v>10</v>
      </c>
      <c r="CU24" s="100">
        <v>3672</v>
      </c>
    </row>
    <row r="25" spans="2:99">
      <c r="C25" s="99" t="s">
        <v>191</v>
      </c>
      <c r="D25" s="100">
        <v>5.9371960901970374E-4</v>
      </c>
      <c r="E25" s="100">
        <v>0.31490888062405087</v>
      </c>
      <c r="F25" s="100">
        <v>9</v>
      </c>
      <c r="G25" s="100">
        <v>4773.5999999999995</v>
      </c>
      <c r="H25" s="100">
        <v>8</v>
      </c>
      <c r="I25" s="100">
        <v>4243.2</v>
      </c>
      <c r="J25" s="100">
        <v>10</v>
      </c>
      <c r="K25" s="100">
        <v>5304</v>
      </c>
      <c r="L25" s="100">
        <v>15</v>
      </c>
      <c r="M25" s="100">
        <v>7956</v>
      </c>
      <c r="N25" s="100">
        <v>10.271047026955436</v>
      </c>
      <c r="O25" s="100">
        <v>5447.7633430971628</v>
      </c>
      <c r="P25" s="100">
        <v>8.5346870198762623</v>
      </c>
      <c r="Q25" s="100">
        <v>4526.7979953423692</v>
      </c>
      <c r="R25" s="100">
        <v>12</v>
      </c>
      <c r="S25" s="100">
        <v>6364.7999999999993</v>
      </c>
      <c r="T25" s="100">
        <v>12</v>
      </c>
      <c r="U25" s="100">
        <v>6364.7999999999993</v>
      </c>
      <c r="V25" s="100">
        <v>11</v>
      </c>
      <c r="W25" s="100">
        <v>5834.4</v>
      </c>
      <c r="X25" s="100">
        <v>12</v>
      </c>
      <c r="Y25" s="100">
        <v>6364.7999999999993</v>
      </c>
      <c r="Z25" s="100">
        <v>14</v>
      </c>
      <c r="AA25" s="100">
        <v>7425.5999999999995</v>
      </c>
      <c r="AB25" s="100">
        <v>13</v>
      </c>
      <c r="AC25" s="100">
        <v>6895.2</v>
      </c>
      <c r="AD25" s="100">
        <v>10.53992971393154</v>
      </c>
      <c r="AE25" s="100">
        <v>5590.3787202692893</v>
      </c>
      <c r="AF25" s="100">
        <v>13</v>
      </c>
      <c r="AG25" s="100">
        <v>6895.2</v>
      </c>
      <c r="AH25" s="100">
        <v>8.7613960797466497</v>
      </c>
      <c r="AI25" s="100">
        <v>4647.0444806976229</v>
      </c>
      <c r="AJ25" s="100">
        <v>11</v>
      </c>
      <c r="AK25" s="100">
        <v>5834.4</v>
      </c>
      <c r="AL25" s="100">
        <v>10</v>
      </c>
      <c r="AM25" s="100">
        <v>5304</v>
      </c>
      <c r="AN25" s="100">
        <v>11</v>
      </c>
      <c r="AO25" s="100">
        <v>5834.4</v>
      </c>
      <c r="AP25" s="100">
        <v>9</v>
      </c>
      <c r="AQ25" s="100">
        <v>4773.5999999999995</v>
      </c>
      <c r="AR25" s="100">
        <v>9.6732030815364585</v>
      </c>
      <c r="AS25" s="100">
        <v>5130.666914446937</v>
      </c>
      <c r="AT25" s="100">
        <v>7.6239220915715403E-4</v>
      </c>
      <c r="AU25" s="100">
        <v>0.40437282773695449</v>
      </c>
      <c r="AV25" s="100">
        <v>12</v>
      </c>
      <c r="AW25" s="100">
        <v>6364.7999999999993</v>
      </c>
      <c r="AX25" s="100">
        <v>15</v>
      </c>
      <c r="AY25" s="100">
        <v>7956</v>
      </c>
      <c r="AZ25" s="100">
        <v>10</v>
      </c>
      <c r="BA25" s="100">
        <v>5304</v>
      </c>
      <c r="BB25" s="100">
        <v>12</v>
      </c>
      <c r="BC25" s="100">
        <v>6364.7999999999993</v>
      </c>
      <c r="BD25" s="100">
        <v>7.6617864528650754</v>
      </c>
      <c r="BE25" s="100">
        <v>4063.8115345996357</v>
      </c>
      <c r="BF25" s="100">
        <v>6.9916178709728412</v>
      </c>
      <c r="BG25" s="100">
        <v>3708.3541187639948</v>
      </c>
      <c r="BH25" s="100">
        <v>8.2681773137066461</v>
      </c>
      <c r="BI25" s="100">
        <v>4385.441247190005</v>
      </c>
      <c r="BJ25" s="100">
        <v>10.177723880341812</v>
      </c>
      <c r="BK25" s="100">
        <v>5398.2647461332972</v>
      </c>
      <c r="BL25" s="100">
        <v>2.5803237611674059</v>
      </c>
      <c r="BM25" s="100">
        <v>1368.603722923192</v>
      </c>
      <c r="BN25" s="100">
        <v>5.8387000473304607</v>
      </c>
      <c r="BO25" s="100">
        <v>3096.8465051040762</v>
      </c>
      <c r="BP25" s="100">
        <v>17.632890644718792</v>
      </c>
      <c r="BQ25" s="100">
        <v>9352.4851979588475</v>
      </c>
      <c r="BR25" s="100">
        <v>6.2174209186089238</v>
      </c>
      <c r="BS25" s="100">
        <v>3297.7200552301729</v>
      </c>
      <c r="BT25" s="100">
        <v>9.459978482630456</v>
      </c>
      <c r="BU25" s="100">
        <v>5017.5725871871937</v>
      </c>
      <c r="BV25" s="100">
        <v>4.8454776563589581</v>
      </c>
      <c r="BW25" s="100">
        <v>2570.0413489327912</v>
      </c>
      <c r="BX25" s="100">
        <v>15</v>
      </c>
      <c r="BY25" s="100">
        <v>7956</v>
      </c>
      <c r="BZ25" s="100">
        <v>11.439561161702162</v>
      </c>
      <c r="CA25" s="100">
        <v>6067.5432401668268</v>
      </c>
      <c r="CB25" s="100">
        <v>7.1101438401196733</v>
      </c>
      <c r="CC25" s="100">
        <v>3771.2202927994745</v>
      </c>
      <c r="CD25" s="100">
        <v>5.4702892488894541</v>
      </c>
      <c r="CE25" s="100">
        <v>2901.4414176109663</v>
      </c>
      <c r="CF25" s="100">
        <v>17</v>
      </c>
      <c r="CG25" s="100">
        <v>9016.7999999999993</v>
      </c>
      <c r="CH25" s="100">
        <v>8.889494286648203</v>
      </c>
      <c r="CI25" s="100">
        <v>4714.9877696382064</v>
      </c>
      <c r="CJ25" s="100">
        <v>2.4481565580850586</v>
      </c>
      <c r="CK25" s="100">
        <v>1298.502238408315</v>
      </c>
      <c r="CL25" s="100">
        <v>15</v>
      </c>
      <c r="CM25" s="100">
        <v>7956</v>
      </c>
      <c r="CN25" s="100">
        <v>11</v>
      </c>
      <c r="CO25" s="100">
        <v>5834.4</v>
      </c>
      <c r="CP25" s="100">
        <v>10</v>
      </c>
      <c r="CQ25" s="100">
        <v>5304</v>
      </c>
      <c r="CR25" s="100">
        <v>12</v>
      </c>
      <c r="CS25" s="100">
        <v>6364.7999999999993</v>
      </c>
      <c r="CT25" s="100">
        <v>11</v>
      </c>
      <c r="CU25" s="100">
        <v>5834.4</v>
      </c>
    </row>
    <row r="26" spans="2:99">
      <c r="C26" s="99" t="s">
        <v>192</v>
      </c>
      <c r="D26" s="100">
        <v>5.9371960901970374E-4</v>
      </c>
      <c r="E26" s="100">
        <v>0.28854772998357603</v>
      </c>
      <c r="F26" s="100">
        <v>9</v>
      </c>
      <c r="G26" s="100">
        <v>4374</v>
      </c>
      <c r="H26" s="100">
        <v>9</v>
      </c>
      <c r="I26" s="100">
        <v>4374</v>
      </c>
      <c r="J26" s="100">
        <v>9</v>
      </c>
      <c r="K26" s="100">
        <v>4374</v>
      </c>
      <c r="L26" s="100">
        <v>14</v>
      </c>
      <c r="M26" s="100">
        <v>6804</v>
      </c>
      <c r="N26" s="100">
        <v>11.258140025671844</v>
      </c>
      <c r="O26" s="100">
        <v>5471.4560524765166</v>
      </c>
      <c r="P26" s="100">
        <v>8.5346870198762623</v>
      </c>
      <c r="Q26" s="100">
        <v>4147.8578916598635</v>
      </c>
      <c r="R26" s="100">
        <v>13</v>
      </c>
      <c r="S26" s="100">
        <v>6318</v>
      </c>
      <c r="T26" s="100">
        <v>12</v>
      </c>
      <c r="U26" s="100">
        <v>5832</v>
      </c>
      <c r="V26" s="100">
        <v>10</v>
      </c>
      <c r="W26" s="100">
        <v>4860</v>
      </c>
      <c r="X26" s="100">
        <v>14</v>
      </c>
      <c r="Y26" s="100">
        <v>6804</v>
      </c>
      <c r="Z26" s="100">
        <v>14</v>
      </c>
      <c r="AA26" s="100">
        <v>6804</v>
      </c>
      <c r="AB26" s="100">
        <v>13</v>
      </c>
      <c r="AC26" s="100">
        <v>6318</v>
      </c>
      <c r="AD26" s="100">
        <v>9.837267733002772</v>
      </c>
      <c r="AE26" s="100">
        <v>4780.9121182393474</v>
      </c>
      <c r="AF26" s="100">
        <v>14</v>
      </c>
      <c r="AG26" s="100">
        <v>6804</v>
      </c>
      <c r="AH26" s="100">
        <v>8.7613960797466497</v>
      </c>
      <c r="AI26" s="100">
        <v>4258.0384947568718</v>
      </c>
      <c r="AJ26" s="100">
        <v>11</v>
      </c>
      <c r="AK26" s="100">
        <v>5346</v>
      </c>
      <c r="AL26" s="100">
        <v>11</v>
      </c>
      <c r="AM26" s="100">
        <v>5346</v>
      </c>
      <c r="AN26" s="100">
        <v>12</v>
      </c>
      <c r="AO26" s="100">
        <v>5832</v>
      </c>
      <c r="AP26" s="100">
        <v>8</v>
      </c>
      <c r="AQ26" s="100">
        <v>3888</v>
      </c>
      <c r="AR26" s="100">
        <v>9.6732030815364585</v>
      </c>
      <c r="AS26" s="100">
        <v>4701.176697626719</v>
      </c>
      <c r="AT26" s="100">
        <v>8.7968331825825452E-4</v>
      </c>
      <c r="AU26" s="100">
        <v>0.42752609267351172</v>
      </c>
      <c r="AV26" s="100">
        <v>10</v>
      </c>
      <c r="AW26" s="100">
        <v>4860</v>
      </c>
      <c r="AX26" s="100">
        <v>16</v>
      </c>
      <c r="AY26" s="100">
        <v>7776</v>
      </c>
      <c r="AZ26" s="100">
        <v>10</v>
      </c>
      <c r="BA26" s="100">
        <v>4860</v>
      </c>
      <c r="BB26" s="100">
        <v>11</v>
      </c>
      <c r="BC26" s="100">
        <v>5346</v>
      </c>
      <c r="BD26" s="100">
        <v>8.6195097594732104</v>
      </c>
      <c r="BE26" s="100">
        <v>4189.0817431039804</v>
      </c>
      <c r="BF26" s="100">
        <v>6.1176656371012355</v>
      </c>
      <c r="BG26" s="100">
        <v>2973.1854996312004</v>
      </c>
      <c r="BH26" s="100">
        <v>9.0949950450773116</v>
      </c>
      <c r="BI26" s="100">
        <v>4420.1675919075733</v>
      </c>
      <c r="BJ26" s="100">
        <v>9.4775775357231478</v>
      </c>
      <c r="BK26" s="100">
        <v>4606.1026823614502</v>
      </c>
      <c r="BL26" s="100">
        <v>2.8051543808576822</v>
      </c>
      <c r="BM26" s="100">
        <v>1363.3050290968336</v>
      </c>
      <c r="BN26" s="100">
        <v>5.8387000473304607</v>
      </c>
      <c r="BO26" s="100">
        <v>2837.6082230026041</v>
      </c>
      <c r="BP26" s="100">
        <v>17.632890644718792</v>
      </c>
      <c r="BQ26" s="100">
        <v>8569.5848533333337</v>
      </c>
      <c r="BR26" s="100">
        <v>6.2174209186089238</v>
      </c>
      <c r="BS26" s="100">
        <v>3021.666566443937</v>
      </c>
      <c r="BT26" s="100">
        <v>9.4000015388504163</v>
      </c>
      <c r="BU26" s="100">
        <v>4568.4007478813028</v>
      </c>
      <c r="BV26" s="100">
        <v>4.8454776563589581</v>
      </c>
      <c r="BW26" s="100">
        <v>2354.9021409904535</v>
      </c>
      <c r="BX26" s="100">
        <v>16</v>
      </c>
      <c r="BY26" s="100">
        <v>7776</v>
      </c>
      <c r="BZ26" s="100">
        <v>12.46398122624117</v>
      </c>
      <c r="CA26" s="100">
        <v>6057.494875953209</v>
      </c>
      <c r="CB26" s="100">
        <v>6.5255077001059583</v>
      </c>
      <c r="CC26" s="100">
        <v>3171.3967422514957</v>
      </c>
      <c r="CD26" s="100">
        <v>6.3118722102570626</v>
      </c>
      <c r="CE26" s="100">
        <v>3067.5698941849323</v>
      </c>
      <c r="CF26" s="100">
        <v>17</v>
      </c>
      <c r="CG26" s="100">
        <v>8262</v>
      </c>
      <c r="CH26" s="100">
        <v>9.4604907820160058</v>
      </c>
      <c r="CI26" s="100">
        <v>4597.7985200597786</v>
      </c>
      <c r="CJ26" s="100">
        <v>2.6929722138935643</v>
      </c>
      <c r="CK26" s="100">
        <v>1308.7844959522722</v>
      </c>
      <c r="CL26" s="100">
        <v>17</v>
      </c>
      <c r="CM26" s="100">
        <v>8262</v>
      </c>
      <c r="CN26" s="100">
        <v>11</v>
      </c>
      <c r="CO26" s="100">
        <v>5346</v>
      </c>
      <c r="CP26" s="100">
        <v>11</v>
      </c>
      <c r="CQ26" s="100">
        <v>5346</v>
      </c>
      <c r="CR26" s="100">
        <v>13</v>
      </c>
      <c r="CS26" s="100">
        <v>6318</v>
      </c>
      <c r="CT26" s="100">
        <v>11</v>
      </c>
      <c r="CU26" s="100">
        <v>5346</v>
      </c>
    </row>
    <row r="27" spans="2:99">
      <c r="C27" s="99" t="s">
        <v>193</v>
      </c>
      <c r="D27" s="100">
        <v>6.7853669602251847E-4</v>
      </c>
      <c r="E27" s="100">
        <v>0.28987087654081989</v>
      </c>
      <c r="F27" s="100">
        <v>10</v>
      </c>
      <c r="G27" s="100">
        <v>4272</v>
      </c>
      <c r="H27" s="100">
        <v>8</v>
      </c>
      <c r="I27" s="100">
        <v>3417.6</v>
      </c>
      <c r="J27" s="100">
        <v>10</v>
      </c>
      <c r="K27" s="100">
        <v>4272</v>
      </c>
      <c r="L27" s="100">
        <v>13</v>
      </c>
      <c r="M27" s="100">
        <v>5553.5999999999995</v>
      </c>
      <c r="N27" s="100">
        <v>10.23232602310466</v>
      </c>
      <c r="O27" s="100">
        <v>4371.249677070311</v>
      </c>
      <c r="P27" s="100">
        <v>7.6812183178886357</v>
      </c>
      <c r="Q27" s="100">
        <v>3281.4164654020251</v>
      </c>
      <c r="R27" s="100">
        <v>13</v>
      </c>
      <c r="S27" s="100">
        <v>5553.5999999999995</v>
      </c>
      <c r="T27" s="100">
        <v>13</v>
      </c>
      <c r="U27" s="100">
        <v>5553.5999999999995</v>
      </c>
      <c r="V27" s="100">
        <v>10</v>
      </c>
      <c r="W27" s="100">
        <v>4272</v>
      </c>
      <c r="X27" s="100">
        <v>12</v>
      </c>
      <c r="Y27" s="100">
        <v>5126.3999999999996</v>
      </c>
      <c r="Z27" s="100">
        <v>14</v>
      </c>
      <c r="AA27" s="100">
        <v>5980.8</v>
      </c>
      <c r="AB27" s="100">
        <v>15</v>
      </c>
      <c r="AC27" s="100">
        <v>6408</v>
      </c>
      <c r="AD27" s="100">
        <v>9.1346057520740036</v>
      </c>
      <c r="AE27" s="100">
        <v>3902.3035772860144</v>
      </c>
      <c r="AF27" s="100">
        <v>13</v>
      </c>
      <c r="AG27" s="100">
        <v>5553.5999999999995</v>
      </c>
      <c r="AH27" s="100">
        <v>8.1773030077635411</v>
      </c>
      <c r="AI27" s="100">
        <v>3493.3438449165847</v>
      </c>
      <c r="AJ27" s="100">
        <v>12</v>
      </c>
      <c r="AK27" s="100">
        <v>5126.3999999999996</v>
      </c>
      <c r="AL27" s="100">
        <v>10</v>
      </c>
      <c r="AM27" s="100">
        <v>4272</v>
      </c>
      <c r="AN27" s="100">
        <v>11</v>
      </c>
      <c r="AO27" s="100">
        <v>4699.2</v>
      </c>
      <c r="AP27" s="100">
        <v>9</v>
      </c>
      <c r="AQ27" s="100">
        <v>3844.7999999999997</v>
      </c>
      <c r="AR27" s="100">
        <v>9.6732030815364585</v>
      </c>
      <c r="AS27" s="100">
        <v>4132.392356432375</v>
      </c>
      <c r="AT27" s="100">
        <v>9.3832887280880482E-4</v>
      </c>
      <c r="AU27" s="100">
        <v>0.4008540944639214</v>
      </c>
      <c r="AV27" s="100">
        <v>11</v>
      </c>
      <c r="AW27" s="100">
        <v>4699.2</v>
      </c>
      <c r="AX27" s="100">
        <v>14</v>
      </c>
      <c r="AY27" s="100">
        <v>5980.8</v>
      </c>
      <c r="AZ27" s="100">
        <v>9</v>
      </c>
      <c r="BA27" s="100">
        <v>3844.7999999999997</v>
      </c>
      <c r="BB27" s="100">
        <v>10</v>
      </c>
      <c r="BC27" s="100">
        <v>4272</v>
      </c>
      <c r="BD27" s="100">
        <v>7.6617864528650754</v>
      </c>
      <c r="BE27" s="100">
        <v>3273.11517266396</v>
      </c>
      <c r="BF27" s="100">
        <v>7.8655701048444451</v>
      </c>
      <c r="BG27" s="100">
        <v>3360.1715487895467</v>
      </c>
      <c r="BH27" s="100">
        <v>8.2681773137066461</v>
      </c>
      <c r="BI27" s="100">
        <v>3532.165348415479</v>
      </c>
      <c r="BJ27" s="100">
        <v>10.156092461079268</v>
      </c>
      <c r="BK27" s="100">
        <v>4338.6826993730629</v>
      </c>
      <c r="BL27" s="100">
        <v>2.5803237611674059</v>
      </c>
      <c r="BM27" s="100">
        <v>1102.3143107707158</v>
      </c>
      <c r="BN27" s="100">
        <v>5.307909133936783</v>
      </c>
      <c r="BO27" s="100">
        <v>2267.5387820177934</v>
      </c>
      <c r="BP27" s="100">
        <v>15.54247769547325</v>
      </c>
      <c r="BQ27" s="100">
        <v>6639.7464715061724</v>
      </c>
      <c r="BR27" s="100">
        <v>6.2174209186089238</v>
      </c>
      <c r="BS27" s="100">
        <v>2656.0822164297319</v>
      </c>
      <c r="BT27" s="100">
        <v>11.226022597218464</v>
      </c>
      <c r="BU27" s="100">
        <v>4795.7568535317278</v>
      </c>
      <c r="BV27" s="100">
        <v>4.8454776563589581</v>
      </c>
      <c r="BW27" s="100">
        <v>2069.9880547965467</v>
      </c>
      <c r="BX27" s="100">
        <v>15</v>
      </c>
      <c r="BY27" s="100">
        <v>6408</v>
      </c>
      <c r="BZ27" s="100">
        <v>11.51282135531919</v>
      </c>
      <c r="CA27" s="100">
        <v>4918.2772829923579</v>
      </c>
      <c r="CB27" s="100">
        <v>7.6711524401446161</v>
      </c>
      <c r="CC27" s="100">
        <v>3277.1163224297798</v>
      </c>
      <c r="CD27" s="100">
        <v>6.3118722102570626</v>
      </c>
      <c r="CE27" s="100">
        <v>2696.4318082218169</v>
      </c>
      <c r="CF27" s="100">
        <v>17</v>
      </c>
      <c r="CG27" s="100">
        <v>7262.4</v>
      </c>
      <c r="CH27" s="100">
        <v>8.9144594294275272</v>
      </c>
      <c r="CI27" s="100">
        <v>3808.2570682514397</v>
      </c>
      <c r="CJ27" s="100">
        <v>2.4481565580850586</v>
      </c>
      <c r="CK27" s="100">
        <v>1045.852481613937</v>
      </c>
      <c r="CL27" s="100">
        <v>15</v>
      </c>
      <c r="CM27" s="100">
        <v>6408</v>
      </c>
      <c r="CN27" s="100">
        <v>10</v>
      </c>
      <c r="CO27" s="100">
        <v>4272</v>
      </c>
      <c r="CP27" s="100">
        <v>11</v>
      </c>
      <c r="CQ27" s="100">
        <v>4699.2</v>
      </c>
      <c r="CR27" s="100">
        <v>13</v>
      </c>
      <c r="CS27" s="100">
        <v>5553.5999999999995</v>
      </c>
      <c r="CT27" s="100">
        <v>10</v>
      </c>
      <c r="CU27" s="100">
        <v>4272</v>
      </c>
    </row>
    <row r="28" spans="2:99">
      <c r="C28" s="99" t="s">
        <v>194</v>
      </c>
      <c r="D28" s="100">
        <v>5.9371960901970374E-4</v>
      </c>
      <c r="E28" s="100">
        <v>0.43816507145654138</v>
      </c>
      <c r="F28" s="100">
        <v>10</v>
      </c>
      <c r="G28" s="100">
        <v>7380</v>
      </c>
      <c r="H28" s="100">
        <v>7</v>
      </c>
      <c r="I28" s="100">
        <v>5166</v>
      </c>
      <c r="J28" s="100">
        <v>9</v>
      </c>
      <c r="K28" s="100">
        <v>6642</v>
      </c>
      <c r="L28" s="100">
        <v>14</v>
      </c>
      <c r="M28" s="100">
        <v>10332</v>
      </c>
      <c r="N28" s="100">
        <v>10.258140025671844</v>
      </c>
      <c r="O28" s="100">
        <v>7570.5073389458212</v>
      </c>
      <c r="P28" s="100">
        <v>7.6812183178886357</v>
      </c>
      <c r="Q28" s="100">
        <v>5668.7391186018131</v>
      </c>
      <c r="R28" s="100">
        <v>11</v>
      </c>
      <c r="S28" s="100">
        <v>8118</v>
      </c>
      <c r="T28" s="100">
        <v>12</v>
      </c>
      <c r="U28" s="100">
        <v>8856</v>
      </c>
      <c r="V28" s="100">
        <v>11</v>
      </c>
      <c r="W28" s="100">
        <v>8118</v>
      </c>
      <c r="X28" s="100">
        <v>14</v>
      </c>
      <c r="Y28" s="100">
        <v>10332</v>
      </c>
      <c r="Z28" s="100">
        <v>12</v>
      </c>
      <c r="AA28" s="100">
        <v>8856</v>
      </c>
      <c r="AB28" s="100">
        <v>15</v>
      </c>
      <c r="AC28" s="100">
        <v>11070</v>
      </c>
      <c r="AD28" s="100">
        <v>9.837267733002772</v>
      </c>
      <c r="AE28" s="100">
        <v>7259.9035869560457</v>
      </c>
      <c r="AF28" s="100">
        <v>14</v>
      </c>
      <c r="AG28" s="100">
        <v>10332</v>
      </c>
      <c r="AH28" s="100">
        <v>8.1773030077635411</v>
      </c>
      <c r="AI28" s="100">
        <v>6034.8496197294935</v>
      </c>
      <c r="AJ28" s="100">
        <v>10</v>
      </c>
      <c r="AK28" s="100">
        <v>7380</v>
      </c>
      <c r="AL28" s="100">
        <v>10</v>
      </c>
      <c r="AM28" s="100">
        <v>7380</v>
      </c>
      <c r="AN28" s="100">
        <v>12</v>
      </c>
      <c r="AO28" s="100">
        <v>8856</v>
      </c>
      <c r="AP28" s="100">
        <v>9</v>
      </c>
      <c r="AQ28" s="100">
        <v>6642</v>
      </c>
      <c r="AR28" s="100">
        <v>10.640523389690106</v>
      </c>
      <c r="AS28" s="100">
        <v>7852.7062615912982</v>
      </c>
      <c r="AT28" s="100">
        <v>8.7968331825825452E-4</v>
      </c>
      <c r="AU28" s="100">
        <v>0.64920628887459186</v>
      </c>
      <c r="AV28" s="100">
        <v>12</v>
      </c>
      <c r="AW28" s="100">
        <v>8856</v>
      </c>
      <c r="AX28" s="100">
        <v>15</v>
      </c>
      <c r="AY28" s="100">
        <v>11070</v>
      </c>
      <c r="AZ28" s="100">
        <v>9</v>
      </c>
      <c r="BA28" s="100">
        <v>6642</v>
      </c>
      <c r="BB28" s="100">
        <v>12</v>
      </c>
      <c r="BC28" s="100">
        <v>8856</v>
      </c>
      <c r="BD28" s="100">
        <v>8.6195097594732104</v>
      </c>
      <c r="BE28" s="100">
        <v>6361.1982024912295</v>
      </c>
      <c r="BF28" s="100">
        <v>6.9916178709728412</v>
      </c>
      <c r="BG28" s="100">
        <v>5159.8139887779571</v>
      </c>
      <c r="BH28" s="100">
        <v>9.0949950450773116</v>
      </c>
      <c r="BI28" s="100">
        <v>6712.1063432670562</v>
      </c>
      <c r="BJ28" s="100">
        <v>9.4775775357231478</v>
      </c>
      <c r="BK28" s="100">
        <v>6994.4522213636828</v>
      </c>
      <c r="BL28" s="100">
        <v>2.5803237611674059</v>
      </c>
      <c r="BM28" s="100">
        <v>1904.2789357415456</v>
      </c>
      <c r="BN28" s="100">
        <v>5.8387000473304607</v>
      </c>
      <c r="BO28" s="100">
        <v>4308.9606349298801</v>
      </c>
      <c r="BP28" s="100">
        <v>16.542477695473252</v>
      </c>
      <c r="BQ28" s="100">
        <v>12208.348539259259</v>
      </c>
      <c r="BR28" s="100">
        <v>6.2174209186089238</v>
      </c>
      <c r="BS28" s="100">
        <v>4588.4566379333855</v>
      </c>
      <c r="BT28" s="100">
        <v>9.4899669545204777</v>
      </c>
      <c r="BU28" s="100">
        <v>7003.5956124361128</v>
      </c>
      <c r="BV28" s="100">
        <v>4.360929890723062</v>
      </c>
      <c r="BW28" s="100">
        <v>3218.3662593536196</v>
      </c>
      <c r="BX28" s="100">
        <v>14</v>
      </c>
      <c r="BY28" s="100">
        <v>10332</v>
      </c>
      <c r="BZ28" s="100">
        <v>12.51282135531919</v>
      </c>
      <c r="CA28" s="100">
        <v>9234.4621602255629</v>
      </c>
      <c r="CB28" s="100">
        <v>7.6947799801333883</v>
      </c>
      <c r="CC28" s="100">
        <v>5678.7476253384402</v>
      </c>
      <c r="CD28" s="100">
        <v>5.8910807295732583</v>
      </c>
      <c r="CE28" s="100">
        <v>4347.6175784250645</v>
      </c>
      <c r="CF28" s="100">
        <v>15</v>
      </c>
      <c r="CG28" s="100">
        <v>11070</v>
      </c>
      <c r="CH28" s="100">
        <v>8.3434629340597279</v>
      </c>
      <c r="CI28" s="100">
        <v>6157.4756453360797</v>
      </c>
      <c r="CJ28" s="100">
        <v>2.4481565580850586</v>
      </c>
      <c r="CK28" s="100">
        <v>1806.7395398667732</v>
      </c>
      <c r="CL28" s="100">
        <v>15</v>
      </c>
      <c r="CM28" s="100">
        <v>11070</v>
      </c>
      <c r="CN28" s="100">
        <v>9</v>
      </c>
      <c r="CO28" s="100">
        <v>6642</v>
      </c>
      <c r="CP28" s="100">
        <v>11</v>
      </c>
      <c r="CQ28" s="100">
        <v>8118</v>
      </c>
      <c r="CR28" s="100">
        <v>12</v>
      </c>
      <c r="CS28" s="100">
        <v>8856</v>
      </c>
      <c r="CT28" s="100">
        <v>10</v>
      </c>
      <c r="CU28" s="100">
        <v>7380</v>
      </c>
    </row>
    <row r="29" spans="2:99">
      <c r="C29" s="99" t="s">
        <v>195</v>
      </c>
      <c r="D29" s="100">
        <v>5.9371960901970374E-4</v>
      </c>
      <c r="E29" s="100">
        <v>0.20091471569226774</v>
      </c>
      <c r="F29" s="100">
        <v>9</v>
      </c>
      <c r="G29" s="100">
        <v>3045.6</v>
      </c>
      <c r="H29" s="100">
        <v>8</v>
      </c>
      <c r="I29" s="100">
        <v>2707.2</v>
      </c>
      <c r="J29" s="100">
        <v>10</v>
      </c>
      <c r="K29" s="100">
        <v>3384</v>
      </c>
      <c r="L29" s="100">
        <v>13</v>
      </c>
      <c r="M29" s="100">
        <v>4399.2</v>
      </c>
      <c r="N29" s="100">
        <v>10.271047026955436</v>
      </c>
      <c r="O29" s="100">
        <v>3475.7223139217194</v>
      </c>
      <c r="P29" s="100">
        <v>8.5346870198762623</v>
      </c>
      <c r="Q29" s="100">
        <v>2888.138087526127</v>
      </c>
      <c r="R29" s="100">
        <v>11</v>
      </c>
      <c r="S29" s="100">
        <v>3722.3999999999996</v>
      </c>
      <c r="T29" s="100">
        <v>12</v>
      </c>
      <c r="U29" s="100">
        <v>4060.7999999999997</v>
      </c>
      <c r="V29" s="100">
        <v>11</v>
      </c>
      <c r="W29" s="100">
        <v>3722.3999999999996</v>
      </c>
      <c r="X29" s="100">
        <v>13</v>
      </c>
      <c r="Y29" s="100">
        <v>4399.2</v>
      </c>
      <c r="Z29" s="100">
        <v>12</v>
      </c>
      <c r="AA29" s="100">
        <v>4060.7999999999997</v>
      </c>
      <c r="AB29" s="100">
        <v>14</v>
      </c>
      <c r="AC29" s="100">
        <v>4737.5999999999995</v>
      </c>
      <c r="AD29" s="100">
        <v>9.837267733002772</v>
      </c>
      <c r="AE29" s="100">
        <v>3328.9314008481379</v>
      </c>
      <c r="AF29" s="100">
        <v>12</v>
      </c>
      <c r="AG29" s="100">
        <v>4060.7999999999997</v>
      </c>
      <c r="AH29" s="100">
        <v>8.7613960797466497</v>
      </c>
      <c r="AI29" s="100">
        <v>2964.856433386266</v>
      </c>
      <c r="AJ29" s="100">
        <v>11</v>
      </c>
      <c r="AK29" s="100">
        <v>3722.3999999999996</v>
      </c>
      <c r="AL29" s="100">
        <v>10</v>
      </c>
      <c r="AM29" s="100">
        <v>3384</v>
      </c>
      <c r="AN29" s="100">
        <v>12</v>
      </c>
      <c r="AO29" s="100">
        <v>4060.7999999999997</v>
      </c>
      <c r="AP29" s="100">
        <v>8</v>
      </c>
      <c r="AQ29" s="100">
        <v>2707.2</v>
      </c>
      <c r="AR29" s="100">
        <v>8.7058827733828146</v>
      </c>
      <c r="AS29" s="100">
        <v>2946.0707305127444</v>
      </c>
      <c r="AT29" s="100">
        <v>8.2103776370770433E-4</v>
      </c>
      <c r="AU29" s="100">
        <v>0.27783917923868712</v>
      </c>
      <c r="AV29" s="100">
        <v>10</v>
      </c>
      <c r="AW29" s="100">
        <v>3384</v>
      </c>
      <c r="AX29" s="100">
        <v>14</v>
      </c>
      <c r="AY29" s="100">
        <v>4737.5999999999995</v>
      </c>
      <c r="AZ29" s="100">
        <v>10</v>
      </c>
      <c r="BA29" s="100">
        <v>3384</v>
      </c>
      <c r="BB29" s="100">
        <v>11</v>
      </c>
      <c r="BC29" s="100">
        <v>3722.3999999999996</v>
      </c>
      <c r="BD29" s="100">
        <v>8.6195097594732104</v>
      </c>
      <c r="BE29" s="100">
        <v>2916.842102605734</v>
      </c>
      <c r="BF29" s="100">
        <v>6.9916178709728412</v>
      </c>
      <c r="BG29" s="100">
        <v>2365.9634875372094</v>
      </c>
      <c r="BH29" s="100">
        <v>9.0949950450773116</v>
      </c>
      <c r="BI29" s="100">
        <v>3077.7463232541622</v>
      </c>
      <c r="BJ29" s="100">
        <v>9.49920895498569</v>
      </c>
      <c r="BK29" s="100">
        <v>3214.5323103671572</v>
      </c>
      <c r="BL29" s="100">
        <v>2.7962221354764849</v>
      </c>
      <c r="BM29" s="100">
        <v>946.2415706452424</v>
      </c>
      <c r="BN29" s="100">
        <v>5.8387000473304607</v>
      </c>
      <c r="BO29" s="100">
        <v>1975.8160960166279</v>
      </c>
      <c r="BP29" s="100">
        <v>15.587684170096022</v>
      </c>
      <c r="BQ29" s="100">
        <v>5274.8723231604936</v>
      </c>
      <c r="BR29" s="100">
        <v>6.7355393284930001</v>
      </c>
      <c r="BS29" s="100">
        <v>2279.3065087620312</v>
      </c>
      <c r="BT29" s="100">
        <v>10.387983247759491</v>
      </c>
      <c r="BU29" s="100">
        <v>3515.2935310418115</v>
      </c>
      <c r="BV29" s="100">
        <v>4.360929890723062</v>
      </c>
      <c r="BW29" s="100">
        <v>1475.738675020684</v>
      </c>
      <c r="BX29" s="100">
        <v>15</v>
      </c>
      <c r="BY29" s="100">
        <v>5076</v>
      </c>
      <c r="BZ29" s="100">
        <v>12.439561161702162</v>
      </c>
      <c r="CA29" s="100">
        <v>4209.547497120011</v>
      </c>
      <c r="CB29" s="100">
        <v>7.6947799801333883</v>
      </c>
      <c r="CC29" s="100">
        <v>2603.9135452771384</v>
      </c>
      <c r="CD29" s="100">
        <v>5.4702892488894541</v>
      </c>
      <c r="CE29" s="100">
        <v>1851.1458818241911</v>
      </c>
      <c r="CF29" s="100">
        <v>16</v>
      </c>
      <c r="CG29" s="100">
        <v>5414.4</v>
      </c>
      <c r="CH29" s="100">
        <v>10.031487277383803</v>
      </c>
      <c r="CI29" s="100">
        <v>3394.6552946666789</v>
      </c>
      <c r="CJ29" s="100">
        <v>2.9377878697020701</v>
      </c>
      <c r="CK29" s="100">
        <v>994.14741510718045</v>
      </c>
      <c r="CL29" s="100">
        <v>15</v>
      </c>
      <c r="CM29" s="100">
        <v>5076</v>
      </c>
      <c r="CN29" s="100">
        <v>11</v>
      </c>
      <c r="CO29" s="100">
        <v>3722.3999999999996</v>
      </c>
      <c r="CP29" s="100">
        <v>11</v>
      </c>
      <c r="CQ29" s="100">
        <v>3722.3999999999996</v>
      </c>
      <c r="CR29" s="100">
        <v>12</v>
      </c>
      <c r="CS29" s="100">
        <v>4060.7999999999997</v>
      </c>
      <c r="CT29" s="100">
        <v>10</v>
      </c>
      <c r="CU29" s="100">
        <v>3384</v>
      </c>
    </row>
    <row r="30" spans="2:99">
      <c r="C30" s="99" t="s">
        <v>196</v>
      </c>
      <c r="D30" s="100">
        <v>6.7853669602251847E-4</v>
      </c>
      <c r="E30" s="100">
        <v>9.4452308086334563E-2</v>
      </c>
      <c r="F30" s="100">
        <v>9</v>
      </c>
      <c r="G30" s="100">
        <v>1252.8</v>
      </c>
      <c r="H30" s="100">
        <v>8</v>
      </c>
      <c r="I30" s="100">
        <v>1113.5999999999999</v>
      </c>
      <c r="J30" s="100">
        <v>10</v>
      </c>
      <c r="K30" s="100">
        <v>1392</v>
      </c>
      <c r="L30" s="100">
        <v>16</v>
      </c>
      <c r="M30" s="100">
        <v>2227.1999999999998</v>
      </c>
      <c r="N30" s="100">
        <v>10.271047026955436</v>
      </c>
      <c r="O30" s="100">
        <v>1429.7297461521966</v>
      </c>
      <c r="P30" s="100">
        <v>7.6812183178886357</v>
      </c>
      <c r="Q30" s="100">
        <v>1069.225589850098</v>
      </c>
      <c r="R30" s="100">
        <v>12</v>
      </c>
      <c r="S30" s="100">
        <v>1670.3999999999999</v>
      </c>
      <c r="T30" s="100">
        <v>11</v>
      </c>
      <c r="U30" s="100">
        <v>1531.1999999999998</v>
      </c>
      <c r="V30" s="100">
        <v>10</v>
      </c>
      <c r="W30" s="100">
        <v>1392</v>
      </c>
      <c r="X30" s="100">
        <v>13</v>
      </c>
      <c r="Y30" s="100">
        <v>1809.6</v>
      </c>
      <c r="Z30" s="100">
        <v>12</v>
      </c>
      <c r="AA30" s="100">
        <v>1670.3999999999999</v>
      </c>
      <c r="AB30" s="100">
        <v>15</v>
      </c>
      <c r="AC30" s="100">
        <v>2088</v>
      </c>
      <c r="AD30" s="100">
        <v>9.837267733002772</v>
      </c>
      <c r="AE30" s="100">
        <v>1369.3476684339857</v>
      </c>
      <c r="AF30" s="100">
        <v>13</v>
      </c>
      <c r="AG30" s="100">
        <v>1809.6</v>
      </c>
      <c r="AH30" s="100">
        <v>7.5932099357804308</v>
      </c>
      <c r="AI30" s="100">
        <v>1056.9748230606358</v>
      </c>
      <c r="AJ30" s="100">
        <v>11</v>
      </c>
      <c r="AK30" s="100">
        <v>1531.1999999999998</v>
      </c>
      <c r="AL30" s="100">
        <v>12</v>
      </c>
      <c r="AM30" s="100">
        <v>1670.3999999999999</v>
      </c>
      <c r="AN30" s="100">
        <v>12</v>
      </c>
      <c r="AO30" s="100">
        <v>1670.3999999999999</v>
      </c>
      <c r="AP30" s="100">
        <v>9</v>
      </c>
      <c r="AQ30" s="100">
        <v>1252.8</v>
      </c>
      <c r="AR30" s="100">
        <v>10.640523389690106</v>
      </c>
      <c r="AS30" s="100">
        <v>1481.1608558448627</v>
      </c>
      <c r="AT30" s="100">
        <v>7.6239220915715403E-4</v>
      </c>
      <c r="AU30" s="100">
        <v>0.10612499551467583</v>
      </c>
      <c r="AV30" s="100">
        <v>12</v>
      </c>
      <c r="AW30" s="100">
        <v>1670.3999999999999</v>
      </c>
      <c r="AX30" s="100">
        <v>15</v>
      </c>
      <c r="AY30" s="100">
        <v>2088</v>
      </c>
      <c r="AZ30" s="100">
        <v>10</v>
      </c>
      <c r="BA30" s="100">
        <v>1392</v>
      </c>
      <c r="BB30" s="100">
        <v>12</v>
      </c>
      <c r="BC30" s="100">
        <v>1670.3999999999999</v>
      </c>
      <c r="BD30" s="100">
        <v>8.6195097594732104</v>
      </c>
      <c r="BE30" s="100">
        <v>1199.8357585186709</v>
      </c>
      <c r="BF30" s="100">
        <v>6.9916178709728412</v>
      </c>
      <c r="BG30" s="100">
        <v>973.23320763941945</v>
      </c>
      <c r="BH30" s="100">
        <v>9.0949950450773116</v>
      </c>
      <c r="BI30" s="100">
        <v>1266.0233102747616</v>
      </c>
      <c r="BJ30" s="100">
        <v>10.177723880341812</v>
      </c>
      <c r="BK30" s="100">
        <v>1416.7391641435802</v>
      </c>
      <c r="BL30" s="100">
        <v>2.8051543808576822</v>
      </c>
      <c r="BM30" s="100">
        <v>390.47748981538933</v>
      </c>
      <c r="BN30" s="100">
        <v>5.307909133936783</v>
      </c>
      <c r="BO30" s="100">
        <v>738.86095144400008</v>
      </c>
      <c r="BP30" s="100">
        <v>15.632890644718792</v>
      </c>
      <c r="BQ30" s="100">
        <v>2176.0983777448555</v>
      </c>
      <c r="BR30" s="100">
        <v>6.2174209186089238</v>
      </c>
      <c r="BS30" s="100">
        <v>865.46499187036216</v>
      </c>
      <c r="BT30" s="100">
        <v>10.35799477586947</v>
      </c>
      <c r="BU30" s="100">
        <v>1441.8328728010301</v>
      </c>
      <c r="BV30" s="100">
        <v>4.8454776563589581</v>
      </c>
      <c r="BW30" s="100">
        <v>674.4904897651669</v>
      </c>
      <c r="BX30" s="100">
        <v>16</v>
      </c>
      <c r="BY30" s="100">
        <v>2227.1999999999998</v>
      </c>
      <c r="BZ30" s="100">
        <v>11.439561161702162</v>
      </c>
      <c r="CA30" s="100">
        <v>1592.3869137089409</v>
      </c>
      <c r="CB30" s="100">
        <v>7.1101438401196733</v>
      </c>
      <c r="CC30" s="100">
        <v>989.73202254465843</v>
      </c>
      <c r="CD30" s="100">
        <v>6.3118722102570626</v>
      </c>
      <c r="CE30" s="100">
        <v>878.61261166778309</v>
      </c>
      <c r="CF30" s="100">
        <v>18</v>
      </c>
      <c r="CG30" s="100">
        <v>2505.6</v>
      </c>
      <c r="CH30" s="100">
        <v>8.889494286648203</v>
      </c>
      <c r="CI30" s="100">
        <v>1237.4176047014298</v>
      </c>
      <c r="CJ30" s="100">
        <v>2.6929722138935643</v>
      </c>
      <c r="CK30" s="100">
        <v>374.86173217398414</v>
      </c>
      <c r="CL30" s="100">
        <v>17</v>
      </c>
      <c r="CM30" s="100">
        <v>2366.3999999999996</v>
      </c>
      <c r="CN30" s="100">
        <v>11</v>
      </c>
      <c r="CO30" s="100">
        <v>1531.1999999999998</v>
      </c>
      <c r="CP30" s="100">
        <v>11</v>
      </c>
      <c r="CQ30" s="100">
        <v>1531.1999999999998</v>
      </c>
      <c r="CR30" s="100">
        <v>12</v>
      </c>
      <c r="CS30" s="100">
        <v>1670.3999999999999</v>
      </c>
      <c r="CT30" s="100">
        <v>10</v>
      </c>
      <c r="CU30" s="100">
        <v>1392</v>
      </c>
    </row>
    <row r="31" spans="2:99">
      <c r="C31" s="99" t="s">
        <v>197</v>
      </c>
      <c r="D31" s="100">
        <v>5.9371960901970374E-4</v>
      </c>
      <c r="E31" s="100">
        <v>0.20233964275391503</v>
      </c>
      <c r="F31" s="100">
        <v>9</v>
      </c>
      <c r="G31" s="100">
        <v>3067.2000000000003</v>
      </c>
      <c r="H31" s="100">
        <v>8</v>
      </c>
      <c r="I31" s="100">
        <v>2726.4</v>
      </c>
      <c r="J31" s="100">
        <v>10</v>
      </c>
      <c r="K31" s="100">
        <v>3408</v>
      </c>
      <c r="L31" s="100">
        <v>15</v>
      </c>
      <c r="M31" s="100">
        <v>5112</v>
      </c>
      <c r="N31" s="100">
        <v>10.271047026955436</v>
      </c>
      <c r="O31" s="100">
        <v>3500.372826786413</v>
      </c>
      <c r="P31" s="100">
        <v>7.6812183178886357</v>
      </c>
      <c r="Q31" s="100">
        <v>2617.7592027364472</v>
      </c>
      <c r="R31" s="100">
        <v>12</v>
      </c>
      <c r="S31" s="100">
        <v>4089.6000000000004</v>
      </c>
      <c r="T31" s="100">
        <v>13</v>
      </c>
      <c r="U31" s="100">
        <v>4430.4000000000005</v>
      </c>
      <c r="V31" s="100">
        <v>11</v>
      </c>
      <c r="W31" s="100">
        <v>3748.8</v>
      </c>
      <c r="X31" s="100">
        <v>14</v>
      </c>
      <c r="Y31" s="100">
        <v>4771.2</v>
      </c>
      <c r="Z31" s="100">
        <v>14</v>
      </c>
      <c r="AA31" s="100">
        <v>4771.2</v>
      </c>
      <c r="AB31" s="100">
        <v>13</v>
      </c>
      <c r="AC31" s="100">
        <v>4430.4000000000005</v>
      </c>
      <c r="AD31" s="100">
        <v>10.53992971393154</v>
      </c>
      <c r="AE31" s="100">
        <v>3592.008046507869</v>
      </c>
      <c r="AF31" s="100">
        <v>12</v>
      </c>
      <c r="AG31" s="100">
        <v>4089.6000000000004</v>
      </c>
      <c r="AH31" s="100">
        <v>8.1773030077635411</v>
      </c>
      <c r="AI31" s="100">
        <v>2786.8248650458149</v>
      </c>
      <c r="AJ31" s="100">
        <v>12</v>
      </c>
      <c r="AK31" s="100">
        <v>4089.6000000000004</v>
      </c>
      <c r="AL31" s="100">
        <v>10</v>
      </c>
      <c r="AM31" s="100">
        <v>3408</v>
      </c>
      <c r="AN31" s="100">
        <v>12</v>
      </c>
      <c r="AO31" s="100">
        <v>4089.6000000000004</v>
      </c>
      <c r="AP31" s="100">
        <v>8</v>
      </c>
      <c r="AQ31" s="100">
        <v>2726.4</v>
      </c>
      <c r="AR31" s="100">
        <v>9.6732030815364585</v>
      </c>
      <c r="AS31" s="100">
        <v>3296.6276101876251</v>
      </c>
      <c r="AT31" s="100">
        <v>8.2103776370770433E-4</v>
      </c>
      <c r="AU31" s="100">
        <v>0.27980966987158562</v>
      </c>
      <c r="AV31" s="100">
        <v>12</v>
      </c>
      <c r="AW31" s="100">
        <v>4089.6000000000004</v>
      </c>
      <c r="AX31" s="100">
        <v>15</v>
      </c>
      <c r="AY31" s="100">
        <v>5112</v>
      </c>
      <c r="AZ31" s="100">
        <v>9</v>
      </c>
      <c r="BA31" s="100">
        <v>3067.2000000000003</v>
      </c>
      <c r="BB31" s="100">
        <v>11</v>
      </c>
      <c r="BC31" s="100">
        <v>3748.8</v>
      </c>
      <c r="BD31" s="100">
        <v>8.6195097594732104</v>
      </c>
      <c r="BE31" s="100">
        <v>2937.5289260284703</v>
      </c>
      <c r="BF31" s="100">
        <v>6.9916178709728412</v>
      </c>
      <c r="BG31" s="100">
        <v>2382.7433704275445</v>
      </c>
      <c r="BH31" s="100">
        <v>8.2681773137066461</v>
      </c>
      <c r="BI31" s="100">
        <v>2817.7948285112252</v>
      </c>
      <c r="BJ31" s="100">
        <v>10.156092461079268</v>
      </c>
      <c r="BK31" s="100">
        <v>3461.1963107358147</v>
      </c>
      <c r="BL31" s="100">
        <v>2.8051543808576822</v>
      </c>
      <c r="BM31" s="100">
        <v>955.99661299629815</v>
      </c>
      <c r="BN31" s="100">
        <v>5.307909133936783</v>
      </c>
      <c r="BO31" s="100">
        <v>1808.9354328456557</v>
      </c>
      <c r="BP31" s="100">
        <v>17.542477695473252</v>
      </c>
      <c r="BQ31" s="100">
        <v>5978.4763986172848</v>
      </c>
      <c r="BR31" s="100">
        <v>6.7355393284930001</v>
      </c>
      <c r="BS31" s="100">
        <v>2295.4718031504144</v>
      </c>
      <c r="BT31" s="100">
        <v>10.32800630397945</v>
      </c>
      <c r="BU31" s="100">
        <v>3519.7845483961964</v>
      </c>
      <c r="BV31" s="100">
        <v>4.360929890723062</v>
      </c>
      <c r="BW31" s="100">
        <v>1486.2049067584196</v>
      </c>
      <c r="BX31" s="100">
        <v>15</v>
      </c>
      <c r="BY31" s="100">
        <v>5112</v>
      </c>
      <c r="BZ31" s="100">
        <v>10.51282135531919</v>
      </c>
      <c r="CA31" s="100">
        <v>3582.7695178927802</v>
      </c>
      <c r="CB31" s="100">
        <v>7.1101438401196733</v>
      </c>
      <c r="CC31" s="100">
        <v>2423.1370207127848</v>
      </c>
      <c r="CD31" s="100">
        <v>6.7326636909408668</v>
      </c>
      <c r="CE31" s="100">
        <v>2294.4917858726476</v>
      </c>
      <c r="CF31" s="100">
        <v>16</v>
      </c>
      <c r="CG31" s="100">
        <v>5452.8</v>
      </c>
      <c r="CH31" s="100">
        <v>8.3184977912804037</v>
      </c>
      <c r="CI31" s="100">
        <v>2834.9440472683618</v>
      </c>
      <c r="CJ31" s="100">
        <v>2.4481565580850586</v>
      </c>
      <c r="CK31" s="100">
        <v>834.331754995388</v>
      </c>
      <c r="CL31" s="100">
        <v>18</v>
      </c>
      <c r="CM31" s="100">
        <v>6134.4000000000005</v>
      </c>
      <c r="CN31" s="100">
        <v>11</v>
      </c>
      <c r="CO31" s="100">
        <v>3748.8</v>
      </c>
      <c r="CP31" s="100">
        <v>11</v>
      </c>
      <c r="CQ31" s="100">
        <v>3748.8</v>
      </c>
      <c r="CR31" s="100">
        <v>12</v>
      </c>
      <c r="CS31" s="100">
        <v>4089.6000000000004</v>
      </c>
      <c r="CT31" s="100">
        <v>11</v>
      </c>
      <c r="CU31" s="100">
        <v>3748.8</v>
      </c>
    </row>
    <row r="32" spans="2:99">
      <c r="C32" s="99" t="s">
        <v>198</v>
      </c>
      <c r="D32" s="100">
        <v>6.7853669602251847E-4</v>
      </c>
      <c r="E32" s="100">
        <v>0.56997082465891546</v>
      </c>
      <c r="F32" s="100">
        <v>9</v>
      </c>
      <c r="G32" s="100">
        <v>7560</v>
      </c>
      <c r="H32" s="100">
        <v>9</v>
      </c>
      <c r="I32" s="100">
        <v>7560</v>
      </c>
      <c r="J32" s="100">
        <v>10</v>
      </c>
      <c r="K32" s="100">
        <v>8400</v>
      </c>
      <c r="L32" s="100">
        <v>15</v>
      </c>
      <c r="M32" s="100">
        <v>12600</v>
      </c>
      <c r="N32" s="100">
        <v>10.23232602310466</v>
      </c>
      <c r="O32" s="100">
        <v>8595.1538594079138</v>
      </c>
      <c r="P32" s="100">
        <v>8.5346870198762623</v>
      </c>
      <c r="Q32" s="100">
        <v>7169.1370966960603</v>
      </c>
      <c r="R32" s="100">
        <v>11</v>
      </c>
      <c r="S32" s="100">
        <v>9240</v>
      </c>
      <c r="T32" s="100">
        <v>13</v>
      </c>
      <c r="U32" s="100">
        <v>10920</v>
      </c>
      <c r="V32" s="100">
        <v>11</v>
      </c>
      <c r="W32" s="100">
        <v>9240</v>
      </c>
      <c r="X32" s="100">
        <v>13</v>
      </c>
      <c r="Y32" s="100">
        <v>10920</v>
      </c>
      <c r="Z32" s="100">
        <v>13</v>
      </c>
      <c r="AA32" s="100">
        <v>10920</v>
      </c>
      <c r="AB32" s="100">
        <v>13</v>
      </c>
      <c r="AC32" s="100">
        <v>10920</v>
      </c>
      <c r="AD32" s="100">
        <v>9.1346057520740036</v>
      </c>
      <c r="AE32" s="100">
        <v>7673.0688317421627</v>
      </c>
      <c r="AF32" s="100">
        <v>12</v>
      </c>
      <c r="AG32" s="100">
        <v>10080</v>
      </c>
      <c r="AH32" s="100">
        <v>7.5932099357804308</v>
      </c>
      <c r="AI32" s="100">
        <v>6378.296346055562</v>
      </c>
      <c r="AJ32" s="100">
        <v>11</v>
      </c>
      <c r="AK32" s="100">
        <v>9240</v>
      </c>
      <c r="AL32" s="100">
        <v>11</v>
      </c>
      <c r="AM32" s="100">
        <v>9240</v>
      </c>
      <c r="AN32" s="100">
        <v>10</v>
      </c>
      <c r="AO32" s="100">
        <v>8400</v>
      </c>
      <c r="AP32" s="100">
        <v>8</v>
      </c>
      <c r="AQ32" s="100">
        <v>6720</v>
      </c>
      <c r="AR32" s="100">
        <v>8.7058827733828146</v>
      </c>
      <c r="AS32" s="100">
        <v>7312.9415296415646</v>
      </c>
      <c r="AT32" s="100">
        <v>8.7968331825825452E-4</v>
      </c>
      <c r="AU32" s="100">
        <v>0.73893398733693383</v>
      </c>
      <c r="AV32" s="100">
        <v>12</v>
      </c>
      <c r="AW32" s="100">
        <v>10080</v>
      </c>
      <c r="AX32" s="100">
        <v>15</v>
      </c>
      <c r="AY32" s="100">
        <v>12600</v>
      </c>
      <c r="AZ32" s="100">
        <v>9</v>
      </c>
      <c r="BA32" s="100">
        <v>7560</v>
      </c>
      <c r="BB32" s="100">
        <v>10</v>
      </c>
      <c r="BC32" s="100">
        <v>8400</v>
      </c>
      <c r="BD32" s="100">
        <v>8.6195097594732104</v>
      </c>
      <c r="BE32" s="100">
        <v>7240.3881979574971</v>
      </c>
      <c r="BF32" s="100">
        <v>6.9916178709728412</v>
      </c>
      <c r="BG32" s="100">
        <v>5872.9590116171867</v>
      </c>
      <c r="BH32" s="100">
        <v>9.0949950450773116</v>
      </c>
      <c r="BI32" s="100">
        <v>7639.7958378649419</v>
      </c>
      <c r="BJ32" s="100">
        <v>9.4775775357231478</v>
      </c>
      <c r="BK32" s="100">
        <v>7961.1651300074445</v>
      </c>
      <c r="BL32" s="100">
        <v>2.5803237611674059</v>
      </c>
      <c r="BM32" s="100">
        <v>2167.4719593806208</v>
      </c>
      <c r="BN32" s="100">
        <v>5.8387000473304607</v>
      </c>
      <c r="BO32" s="100">
        <v>4904.5080397575866</v>
      </c>
      <c r="BP32" s="100">
        <v>14.54247769547325</v>
      </c>
      <c r="BQ32" s="100">
        <v>12215.68126419753</v>
      </c>
      <c r="BR32" s="100">
        <v>5.6993025087248474</v>
      </c>
      <c r="BS32" s="100">
        <v>4787.414107328872</v>
      </c>
      <c r="BT32" s="100">
        <v>9.4899669545204777</v>
      </c>
      <c r="BU32" s="100">
        <v>7971.5722417972011</v>
      </c>
      <c r="BV32" s="100">
        <v>4.360929890723062</v>
      </c>
      <c r="BW32" s="100">
        <v>3663.1811082073723</v>
      </c>
      <c r="BX32" s="100">
        <v>15</v>
      </c>
      <c r="BY32" s="100">
        <v>12600</v>
      </c>
      <c r="BZ32" s="100">
        <v>10.415141097163152</v>
      </c>
      <c r="CA32" s="100">
        <v>8748.7185216170474</v>
      </c>
      <c r="CB32" s="100">
        <v>7.1337713801084446</v>
      </c>
      <c r="CC32" s="100">
        <v>5992.367959291093</v>
      </c>
      <c r="CD32" s="100">
        <v>6.3118722102570626</v>
      </c>
      <c r="CE32" s="100">
        <v>5301.9726566159325</v>
      </c>
      <c r="CF32" s="100">
        <v>16</v>
      </c>
      <c r="CG32" s="100">
        <v>13440</v>
      </c>
      <c r="CH32" s="100">
        <v>10.031487277383803</v>
      </c>
      <c r="CI32" s="100">
        <v>8426.4493130023948</v>
      </c>
      <c r="CJ32" s="100">
        <v>2.4481565580850586</v>
      </c>
      <c r="CK32" s="100">
        <v>2056.4515087914492</v>
      </c>
      <c r="CL32" s="100">
        <v>16</v>
      </c>
      <c r="CM32" s="100">
        <v>13440</v>
      </c>
      <c r="CN32" s="100">
        <v>11</v>
      </c>
      <c r="CO32" s="100">
        <v>9240</v>
      </c>
      <c r="CP32" s="100">
        <v>11</v>
      </c>
      <c r="CQ32" s="100">
        <v>9240</v>
      </c>
      <c r="CR32" s="100">
        <v>12</v>
      </c>
      <c r="CS32" s="100">
        <v>10080</v>
      </c>
      <c r="CT32" s="100">
        <v>10</v>
      </c>
      <c r="CU32" s="100">
        <v>8400</v>
      </c>
    </row>
    <row r="33" spans="2:99">
      <c r="C33" s="99" t="s">
        <v>199</v>
      </c>
      <c r="D33" s="100">
        <v>5.9371960901970374E-4</v>
      </c>
      <c r="E33" s="100">
        <v>0.28142309467533955</v>
      </c>
      <c r="F33" s="100">
        <v>10</v>
      </c>
      <c r="G33" s="100">
        <v>4740</v>
      </c>
      <c r="H33" s="100">
        <v>8</v>
      </c>
      <c r="I33" s="100">
        <v>3792</v>
      </c>
      <c r="J33" s="100">
        <v>10</v>
      </c>
      <c r="K33" s="100">
        <v>4740</v>
      </c>
      <c r="L33" s="100">
        <v>14</v>
      </c>
      <c r="M33" s="100">
        <v>6636</v>
      </c>
      <c r="N33" s="100">
        <v>9.2581400256718442</v>
      </c>
      <c r="O33" s="100">
        <v>4388.3583721684545</v>
      </c>
      <c r="P33" s="100">
        <v>7.6812183178886357</v>
      </c>
      <c r="Q33" s="100">
        <v>3640.8974826792132</v>
      </c>
      <c r="R33" s="100">
        <v>11</v>
      </c>
      <c r="S33" s="100">
        <v>5214</v>
      </c>
      <c r="T33" s="100">
        <v>12</v>
      </c>
      <c r="U33" s="100">
        <v>5688</v>
      </c>
      <c r="V33" s="100">
        <v>10</v>
      </c>
      <c r="W33" s="100">
        <v>4740</v>
      </c>
      <c r="X33" s="100">
        <v>12</v>
      </c>
      <c r="Y33" s="100">
        <v>5688</v>
      </c>
      <c r="Z33" s="100">
        <v>14</v>
      </c>
      <c r="AA33" s="100">
        <v>6636</v>
      </c>
      <c r="AB33" s="100">
        <v>14</v>
      </c>
      <c r="AC33" s="100">
        <v>6636</v>
      </c>
      <c r="AD33" s="100">
        <v>9.1346057520740036</v>
      </c>
      <c r="AE33" s="100">
        <v>4329.8031264830779</v>
      </c>
      <c r="AF33" s="100">
        <v>13</v>
      </c>
      <c r="AG33" s="100">
        <v>6162</v>
      </c>
      <c r="AH33" s="100">
        <v>9.34548915172976</v>
      </c>
      <c r="AI33" s="100">
        <v>4429.7618579199061</v>
      </c>
      <c r="AJ33" s="100">
        <v>12</v>
      </c>
      <c r="AK33" s="100">
        <v>5688</v>
      </c>
      <c r="AL33" s="100">
        <v>10</v>
      </c>
      <c r="AM33" s="100">
        <v>4740</v>
      </c>
      <c r="AN33" s="100">
        <v>10</v>
      </c>
      <c r="AO33" s="100">
        <v>4740</v>
      </c>
      <c r="AP33" s="100">
        <v>9</v>
      </c>
      <c r="AQ33" s="100">
        <v>4266</v>
      </c>
      <c r="AR33" s="100">
        <v>10.640523389690106</v>
      </c>
      <c r="AS33" s="100">
        <v>5043.6080867131104</v>
      </c>
      <c r="AT33" s="100">
        <v>8.2103776370770433E-4</v>
      </c>
      <c r="AU33" s="100">
        <v>0.38917189999745183</v>
      </c>
      <c r="AV33" s="100">
        <v>12</v>
      </c>
      <c r="AW33" s="100">
        <v>5688</v>
      </c>
      <c r="AX33" s="100">
        <v>16</v>
      </c>
      <c r="AY33" s="100">
        <v>7584</v>
      </c>
      <c r="AZ33" s="100">
        <v>10</v>
      </c>
      <c r="BA33" s="100">
        <v>4740</v>
      </c>
      <c r="BB33" s="100">
        <v>12</v>
      </c>
      <c r="BC33" s="100">
        <v>5688</v>
      </c>
      <c r="BD33" s="100">
        <v>7.6617864528650754</v>
      </c>
      <c r="BE33" s="100">
        <v>3631.6867786580456</v>
      </c>
      <c r="BF33" s="100">
        <v>6.9916178709728412</v>
      </c>
      <c r="BG33" s="100">
        <v>3314.0268708411268</v>
      </c>
      <c r="BH33" s="100">
        <v>9.0949950450773116</v>
      </c>
      <c r="BI33" s="100">
        <v>4311.0276513666458</v>
      </c>
      <c r="BJ33" s="100">
        <v>9.4775775357231478</v>
      </c>
      <c r="BK33" s="100">
        <v>4492.371751932772</v>
      </c>
      <c r="BL33" s="100">
        <v>2.5713915157862086</v>
      </c>
      <c r="BM33" s="100">
        <v>1218.8395784826628</v>
      </c>
      <c r="BN33" s="100">
        <v>5.307909133936783</v>
      </c>
      <c r="BO33" s="100">
        <v>2515.948929486035</v>
      </c>
      <c r="BP33" s="100">
        <v>16.632890644718792</v>
      </c>
      <c r="BQ33" s="100">
        <v>7883.9901655967069</v>
      </c>
      <c r="BR33" s="100">
        <v>6.7355393284930001</v>
      </c>
      <c r="BS33" s="100">
        <v>3192.645641705682</v>
      </c>
      <c r="BT33" s="100">
        <v>10.387983247759491</v>
      </c>
      <c r="BU33" s="100">
        <v>4923.9040594379985</v>
      </c>
      <c r="BV33" s="100">
        <v>4.360929890723062</v>
      </c>
      <c r="BW33" s="100">
        <v>2067.0807682027312</v>
      </c>
      <c r="BX33" s="100">
        <v>16</v>
      </c>
      <c r="BY33" s="100">
        <v>7584</v>
      </c>
      <c r="BZ33" s="100">
        <v>11</v>
      </c>
      <c r="CA33" s="100">
        <v>5214</v>
      </c>
      <c r="CB33" s="100">
        <v>8.2557885801583311</v>
      </c>
      <c r="CC33" s="100">
        <v>3913.243786995049</v>
      </c>
      <c r="CD33" s="100">
        <v>5.8910807295732583</v>
      </c>
      <c r="CE33" s="100">
        <v>2792.3722658177244</v>
      </c>
      <c r="CF33" s="100">
        <v>16</v>
      </c>
      <c r="CG33" s="100">
        <v>7584</v>
      </c>
      <c r="CH33" s="100">
        <v>10.031487277383803</v>
      </c>
      <c r="CI33" s="100">
        <v>4754.9249694799228</v>
      </c>
      <c r="CJ33" s="100">
        <v>2.6929722138935643</v>
      </c>
      <c r="CK33" s="100">
        <v>1276.4688293855495</v>
      </c>
      <c r="CL33" s="100">
        <v>15</v>
      </c>
      <c r="CM33" s="100">
        <v>7110</v>
      </c>
      <c r="CN33" s="100">
        <v>11</v>
      </c>
      <c r="CO33" s="100">
        <v>5214</v>
      </c>
      <c r="CP33" s="100">
        <v>11</v>
      </c>
      <c r="CQ33" s="100">
        <v>5214</v>
      </c>
      <c r="CR33" s="100">
        <v>13</v>
      </c>
      <c r="CS33" s="100">
        <v>6162</v>
      </c>
      <c r="CT33" s="100">
        <v>11</v>
      </c>
      <c r="CU33" s="100">
        <v>5214</v>
      </c>
    </row>
    <row r="34" spans="2:99">
      <c r="C34" s="99" t="s">
        <v>200</v>
      </c>
      <c r="D34" s="100">
        <v>5.9371960901970374E-4</v>
      </c>
      <c r="E34" s="100">
        <v>0.32559583358640554</v>
      </c>
      <c r="F34" s="100">
        <v>9</v>
      </c>
      <c r="G34" s="100">
        <v>4935.5999999999995</v>
      </c>
      <c r="H34" s="100">
        <v>9</v>
      </c>
      <c r="I34" s="100">
        <v>4935.5999999999995</v>
      </c>
      <c r="J34" s="100">
        <v>10</v>
      </c>
      <c r="K34" s="100">
        <v>5484</v>
      </c>
      <c r="L34" s="100">
        <v>13</v>
      </c>
      <c r="M34" s="100">
        <v>7129.2</v>
      </c>
      <c r="N34" s="100">
        <v>9.2581400256718442</v>
      </c>
      <c r="O34" s="100">
        <v>5077.1639900784394</v>
      </c>
      <c r="P34" s="100">
        <v>7.6812183178886357</v>
      </c>
      <c r="Q34" s="100">
        <v>4212.3801255301278</v>
      </c>
      <c r="R34" s="100">
        <v>11</v>
      </c>
      <c r="S34" s="100">
        <v>6032.4</v>
      </c>
      <c r="T34" s="100">
        <v>11</v>
      </c>
      <c r="U34" s="100">
        <v>6032.4</v>
      </c>
      <c r="V34" s="100">
        <v>11</v>
      </c>
      <c r="W34" s="100">
        <v>6032.4</v>
      </c>
      <c r="X34" s="100">
        <v>12</v>
      </c>
      <c r="Y34" s="100">
        <v>6580.7999999999993</v>
      </c>
      <c r="Z34" s="100">
        <v>13</v>
      </c>
      <c r="AA34" s="100">
        <v>7129.2</v>
      </c>
      <c r="AB34" s="100">
        <v>14</v>
      </c>
      <c r="AC34" s="100">
        <v>7677.5999999999995</v>
      </c>
      <c r="AD34" s="100">
        <v>9.1346057520740036</v>
      </c>
      <c r="AE34" s="100">
        <v>5009.4177944373832</v>
      </c>
      <c r="AF34" s="100">
        <v>12</v>
      </c>
      <c r="AG34" s="100">
        <v>6580.7999999999993</v>
      </c>
      <c r="AH34" s="100">
        <v>8.7613960797466497</v>
      </c>
      <c r="AI34" s="100">
        <v>4804.7496101330626</v>
      </c>
      <c r="AJ34" s="100">
        <v>10</v>
      </c>
      <c r="AK34" s="100">
        <v>5484</v>
      </c>
      <c r="AL34" s="100">
        <v>11</v>
      </c>
      <c r="AM34" s="100">
        <v>6032.4</v>
      </c>
      <c r="AN34" s="100">
        <v>12</v>
      </c>
      <c r="AO34" s="100">
        <v>6580.7999999999993</v>
      </c>
      <c r="AP34" s="100">
        <v>9</v>
      </c>
      <c r="AQ34" s="100">
        <v>4935.5999999999995</v>
      </c>
      <c r="AR34" s="100">
        <v>9.6732030815364585</v>
      </c>
      <c r="AS34" s="100">
        <v>5304.7845699145937</v>
      </c>
      <c r="AT34" s="100">
        <v>8.2103776370770433E-4</v>
      </c>
      <c r="AU34" s="100">
        <v>0.45025710961730503</v>
      </c>
      <c r="AV34" s="100">
        <v>12</v>
      </c>
      <c r="AW34" s="100">
        <v>6580.7999999999993</v>
      </c>
      <c r="AX34" s="100">
        <v>15</v>
      </c>
      <c r="AY34" s="100">
        <v>8226</v>
      </c>
      <c r="AZ34" s="100">
        <v>9</v>
      </c>
      <c r="BA34" s="100">
        <v>4935.5999999999995</v>
      </c>
      <c r="BB34" s="100">
        <v>10</v>
      </c>
      <c r="BC34" s="100">
        <v>5484</v>
      </c>
      <c r="BD34" s="100">
        <v>8.6195097594732104</v>
      </c>
      <c r="BE34" s="100">
        <v>4726.9391520951085</v>
      </c>
      <c r="BF34" s="100">
        <v>6.9916178709728412</v>
      </c>
      <c r="BG34" s="100">
        <v>3834.2032404415058</v>
      </c>
      <c r="BH34" s="100">
        <v>9.0949950450773116</v>
      </c>
      <c r="BI34" s="100">
        <v>4987.6952827203977</v>
      </c>
      <c r="BJ34" s="100">
        <v>11.491490892528967</v>
      </c>
      <c r="BK34" s="100">
        <v>6301.9336054628848</v>
      </c>
      <c r="BL34" s="100">
        <v>2.8051543808576822</v>
      </c>
      <c r="BM34" s="100">
        <v>1538.3466624623529</v>
      </c>
      <c r="BN34" s="100">
        <v>5.8387000473304607</v>
      </c>
      <c r="BO34" s="100">
        <v>3201.9431059560243</v>
      </c>
      <c r="BP34" s="100">
        <v>17.632890644718792</v>
      </c>
      <c r="BQ34" s="100">
        <v>9669.8772295637846</v>
      </c>
      <c r="BR34" s="100">
        <v>5.6993025087248474</v>
      </c>
      <c r="BS34" s="100">
        <v>3125.4974957847062</v>
      </c>
      <c r="BT34" s="100">
        <v>9.4899669545204777</v>
      </c>
      <c r="BU34" s="100">
        <v>5204.2978778590295</v>
      </c>
      <c r="BV34" s="100">
        <v>4.8454776563589581</v>
      </c>
      <c r="BW34" s="100">
        <v>2657.2599467472523</v>
      </c>
      <c r="BX34" s="100">
        <v>15</v>
      </c>
      <c r="BY34" s="100">
        <v>8226</v>
      </c>
      <c r="BZ34" s="100">
        <v>11.439561161702162</v>
      </c>
      <c r="CA34" s="100">
        <v>6273.4553410774652</v>
      </c>
      <c r="CB34" s="100">
        <v>7.6947799801333883</v>
      </c>
      <c r="CC34" s="100">
        <v>4219.8173411051503</v>
      </c>
      <c r="CD34" s="100">
        <v>6.3118722102570626</v>
      </c>
      <c r="CE34" s="100">
        <v>3461.4307201049728</v>
      </c>
      <c r="CF34" s="100">
        <v>17</v>
      </c>
      <c r="CG34" s="100">
        <v>9322.7999999999993</v>
      </c>
      <c r="CH34" s="100">
        <v>9.4604907820160058</v>
      </c>
      <c r="CI34" s="100">
        <v>5188.1331448575775</v>
      </c>
      <c r="CJ34" s="100">
        <v>2.9377878697020701</v>
      </c>
      <c r="CK34" s="100">
        <v>1611.0828677446152</v>
      </c>
      <c r="CL34" s="100">
        <v>17</v>
      </c>
      <c r="CM34" s="100">
        <v>9322.7999999999993</v>
      </c>
      <c r="CN34" s="100">
        <v>10</v>
      </c>
      <c r="CO34" s="100">
        <v>5484</v>
      </c>
      <c r="CP34" s="100">
        <v>10</v>
      </c>
      <c r="CQ34" s="100">
        <v>5484</v>
      </c>
      <c r="CR34" s="100">
        <v>13</v>
      </c>
      <c r="CS34" s="100">
        <v>7129.2</v>
      </c>
      <c r="CT34" s="100">
        <v>10</v>
      </c>
      <c r="CU34" s="100">
        <v>5484</v>
      </c>
    </row>
    <row r="35" spans="2:99">
      <c r="C35" s="99" t="s">
        <v>201</v>
      </c>
      <c r="D35" s="100">
        <v>5.9371960901970374E-4</v>
      </c>
      <c r="E35" s="100">
        <v>0.29852221941510698</v>
      </c>
      <c r="F35" s="100">
        <v>10</v>
      </c>
      <c r="G35" s="100">
        <v>5027.9999999999991</v>
      </c>
      <c r="H35" s="100">
        <v>7</v>
      </c>
      <c r="I35" s="100">
        <v>3519.5999999999995</v>
      </c>
      <c r="J35" s="100">
        <v>10</v>
      </c>
      <c r="K35" s="100">
        <v>5027.9999999999991</v>
      </c>
      <c r="L35" s="100">
        <v>14</v>
      </c>
      <c r="M35" s="100">
        <v>7039.1999999999989</v>
      </c>
      <c r="N35" s="100">
        <v>10.258140025671844</v>
      </c>
      <c r="O35" s="100">
        <v>5157.7928049078018</v>
      </c>
      <c r="P35" s="100">
        <v>8.5346870198762623</v>
      </c>
      <c r="Q35" s="100">
        <v>4291.240633593784</v>
      </c>
      <c r="R35" s="100">
        <v>13</v>
      </c>
      <c r="S35" s="100">
        <v>6536.3999999999987</v>
      </c>
      <c r="T35" s="100">
        <v>13</v>
      </c>
      <c r="U35" s="100">
        <v>6536.3999999999987</v>
      </c>
      <c r="V35" s="100">
        <v>12</v>
      </c>
      <c r="W35" s="100">
        <v>6033.5999999999985</v>
      </c>
      <c r="X35" s="100">
        <v>14</v>
      </c>
      <c r="Y35" s="100">
        <v>7039.1999999999989</v>
      </c>
      <c r="Z35" s="100">
        <v>14</v>
      </c>
      <c r="AA35" s="100">
        <v>7039.1999999999989</v>
      </c>
      <c r="AB35" s="100">
        <v>15</v>
      </c>
      <c r="AC35" s="100">
        <v>7541.9999999999982</v>
      </c>
      <c r="AD35" s="100">
        <v>9.1346057520740036</v>
      </c>
      <c r="AE35" s="100">
        <v>4592.8797721428082</v>
      </c>
      <c r="AF35" s="100">
        <v>12</v>
      </c>
      <c r="AG35" s="100">
        <v>6033.5999999999985</v>
      </c>
      <c r="AH35" s="100">
        <v>8.7613960797466497</v>
      </c>
      <c r="AI35" s="100">
        <v>4405.2299488966146</v>
      </c>
      <c r="AJ35" s="100">
        <v>10</v>
      </c>
      <c r="AK35" s="100">
        <v>5027.9999999999991</v>
      </c>
      <c r="AL35" s="100">
        <v>11</v>
      </c>
      <c r="AM35" s="100">
        <v>5530.7999999999993</v>
      </c>
      <c r="AN35" s="100">
        <v>10</v>
      </c>
      <c r="AO35" s="100">
        <v>5027.9999999999991</v>
      </c>
      <c r="AP35" s="100">
        <v>8</v>
      </c>
      <c r="AQ35" s="100">
        <v>4022.3999999999992</v>
      </c>
      <c r="AR35" s="100">
        <v>9.6732030815364585</v>
      </c>
      <c r="AS35" s="100">
        <v>4863.6865093965307</v>
      </c>
      <c r="AT35" s="100">
        <v>7.6239220915715403E-4</v>
      </c>
      <c r="AU35" s="100">
        <v>0.38333080276421699</v>
      </c>
      <c r="AV35" s="100">
        <v>10</v>
      </c>
      <c r="AW35" s="100">
        <v>5027.9999999999991</v>
      </c>
      <c r="AX35" s="100">
        <v>14</v>
      </c>
      <c r="AY35" s="100">
        <v>7039.1999999999989</v>
      </c>
      <c r="AZ35" s="100">
        <v>9</v>
      </c>
      <c r="BA35" s="100">
        <v>4525.1999999999989</v>
      </c>
      <c r="BB35" s="100">
        <v>11</v>
      </c>
      <c r="BC35" s="100">
        <v>5530.7999999999993</v>
      </c>
      <c r="BD35" s="100">
        <v>7.6617864528650754</v>
      </c>
      <c r="BE35" s="100">
        <v>3852.3462285005589</v>
      </c>
      <c r="BF35" s="100">
        <v>6.9916178709728412</v>
      </c>
      <c r="BG35" s="100">
        <v>3515.3854655251439</v>
      </c>
      <c r="BH35" s="100">
        <v>8.2681773137066461</v>
      </c>
      <c r="BI35" s="100">
        <v>4157.2395533317012</v>
      </c>
      <c r="BJ35" s="100">
        <v>10.177723880341812</v>
      </c>
      <c r="BK35" s="100">
        <v>5117.3595670358618</v>
      </c>
      <c r="BL35" s="100">
        <v>2.8140866262388795</v>
      </c>
      <c r="BM35" s="100">
        <v>1414.9227556729084</v>
      </c>
      <c r="BN35" s="100">
        <v>5.307909133936783</v>
      </c>
      <c r="BO35" s="100">
        <v>2668.8167125434138</v>
      </c>
      <c r="BP35" s="100">
        <v>15.587684170096022</v>
      </c>
      <c r="BQ35" s="100">
        <v>7837.4876007242783</v>
      </c>
      <c r="BR35" s="100">
        <v>6.2174209186089238</v>
      </c>
      <c r="BS35" s="100">
        <v>3126.1192378765663</v>
      </c>
      <c r="BT35" s="100">
        <v>10.298017832089432</v>
      </c>
      <c r="BU35" s="100">
        <v>5177.8433659745651</v>
      </c>
      <c r="BV35" s="100">
        <v>4.8454776563589581</v>
      </c>
      <c r="BW35" s="100">
        <v>2436.3061656172836</v>
      </c>
      <c r="BX35" s="100">
        <v>16</v>
      </c>
      <c r="BY35" s="100">
        <v>8044.7999999999984</v>
      </c>
      <c r="BZ35" s="100">
        <v>11.439561161702162</v>
      </c>
      <c r="CA35" s="100">
        <v>5751.8113521038458</v>
      </c>
      <c r="CB35" s="100">
        <v>6.5727627800835027</v>
      </c>
      <c r="CC35" s="100">
        <v>3304.7851258259843</v>
      </c>
      <c r="CD35" s="100">
        <v>6.3118722102570626</v>
      </c>
      <c r="CE35" s="100">
        <v>3173.6093473172505</v>
      </c>
      <c r="CF35" s="100">
        <v>16</v>
      </c>
      <c r="CG35" s="100">
        <v>8044.7999999999984</v>
      </c>
      <c r="CH35" s="100">
        <v>8.8645291438688805</v>
      </c>
      <c r="CI35" s="100">
        <v>4457.0852535372724</v>
      </c>
      <c r="CJ35" s="100">
        <v>2.6929722138935643</v>
      </c>
      <c r="CK35" s="100">
        <v>1354.0264291456838</v>
      </c>
      <c r="CL35" s="100">
        <v>17</v>
      </c>
      <c r="CM35" s="100">
        <v>8547.5999999999985</v>
      </c>
      <c r="CN35" s="100">
        <v>11</v>
      </c>
      <c r="CO35" s="100">
        <v>5530.7999999999993</v>
      </c>
      <c r="CP35" s="100">
        <v>11</v>
      </c>
      <c r="CQ35" s="100">
        <v>5530.7999999999993</v>
      </c>
      <c r="CR35" s="100">
        <v>12</v>
      </c>
      <c r="CS35" s="100">
        <v>6033.5999999999985</v>
      </c>
      <c r="CT35" s="100">
        <v>11</v>
      </c>
      <c r="CU35" s="100">
        <v>5530.7999999999993</v>
      </c>
    </row>
    <row r="36" spans="2:99">
      <c r="C36" s="99" t="s">
        <v>202</v>
      </c>
      <c r="D36" s="100">
        <v>6.7853669602251847E-4</v>
      </c>
      <c r="E36" s="100">
        <v>0.51623071833393197</v>
      </c>
      <c r="F36" s="100">
        <v>10</v>
      </c>
      <c r="G36" s="100">
        <v>7608</v>
      </c>
      <c r="H36" s="100">
        <v>7</v>
      </c>
      <c r="I36" s="100">
        <v>5325.5999999999995</v>
      </c>
      <c r="J36" s="100">
        <v>11</v>
      </c>
      <c r="K36" s="100">
        <v>8368.7999999999993</v>
      </c>
      <c r="L36" s="100">
        <v>15</v>
      </c>
      <c r="M36" s="100">
        <v>11412</v>
      </c>
      <c r="N36" s="100">
        <v>10.271047026955436</v>
      </c>
      <c r="O36" s="100">
        <v>7814.2125781076957</v>
      </c>
      <c r="P36" s="100">
        <v>8.5346870198762623</v>
      </c>
      <c r="Q36" s="100">
        <v>6493.1898847218599</v>
      </c>
      <c r="R36" s="100">
        <v>11</v>
      </c>
      <c r="S36" s="100">
        <v>8368.7999999999993</v>
      </c>
      <c r="T36" s="100">
        <v>13</v>
      </c>
      <c r="U36" s="100">
        <v>9890.4</v>
      </c>
      <c r="V36" s="100">
        <v>11</v>
      </c>
      <c r="W36" s="100">
        <v>8368.7999999999993</v>
      </c>
      <c r="X36" s="100">
        <v>12</v>
      </c>
      <c r="Y36" s="100">
        <v>9129.5999999999985</v>
      </c>
      <c r="Z36" s="100">
        <v>13</v>
      </c>
      <c r="AA36" s="100">
        <v>9890.4</v>
      </c>
      <c r="AB36" s="100">
        <v>13</v>
      </c>
      <c r="AC36" s="100">
        <v>9890.4</v>
      </c>
      <c r="AD36" s="100">
        <v>8.4319437711452334</v>
      </c>
      <c r="AE36" s="100">
        <v>6415.0228210872929</v>
      </c>
      <c r="AF36" s="100">
        <v>14</v>
      </c>
      <c r="AG36" s="100">
        <v>10651.199999999999</v>
      </c>
      <c r="AH36" s="100">
        <v>8.1773030077635411</v>
      </c>
      <c r="AI36" s="100">
        <v>6221.2921283065016</v>
      </c>
      <c r="AJ36" s="100">
        <v>10</v>
      </c>
      <c r="AK36" s="100">
        <v>7608</v>
      </c>
      <c r="AL36" s="100">
        <v>10</v>
      </c>
      <c r="AM36" s="100">
        <v>7608</v>
      </c>
      <c r="AN36" s="100">
        <v>12</v>
      </c>
      <c r="AO36" s="100">
        <v>9129.5999999999985</v>
      </c>
      <c r="AP36" s="100">
        <v>8</v>
      </c>
      <c r="AQ36" s="100">
        <v>6086.4</v>
      </c>
      <c r="AR36" s="100">
        <v>9.6732030815364585</v>
      </c>
      <c r="AS36" s="100">
        <v>7359.3729044329375</v>
      </c>
      <c r="AT36" s="100">
        <v>7.6239220915715403E-4</v>
      </c>
      <c r="AU36" s="100">
        <v>0.58002799272676275</v>
      </c>
      <c r="AV36" s="100">
        <v>11</v>
      </c>
      <c r="AW36" s="100">
        <v>8368.7999999999993</v>
      </c>
      <c r="AX36" s="100">
        <v>13</v>
      </c>
      <c r="AY36" s="100">
        <v>9890.4</v>
      </c>
      <c r="AZ36" s="100">
        <v>9</v>
      </c>
      <c r="BA36" s="100">
        <v>6847.2</v>
      </c>
      <c r="BB36" s="100">
        <v>10</v>
      </c>
      <c r="BC36" s="100">
        <v>7608</v>
      </c>
      <c r="BD36" s="100">
        <v>8.6195097594732104</v>
      </c>
      <c r="BE36" s="100">
        <v>6557.723025007218</v>
      </c>
      <c r="BF36" s="100">
        <v>6.9916178709728412</v>
      </c>
      <c r="BG36" s="100">
        <v>5319.2228762361374</v>
      </c>
      <c r="BH36" s="100">
        <v>9.0949950450773116</v>
      </c>
      <c r="BI36" s="100">
        <v>6919.4722302948185</v>
      </c>
      <c r="BJ36" s="100">
        <v>9.4559461164606056</v>
      </c>
      <c r="BK36" s="100">
        <v>7194.0838054032283</v>
      </c>
      <c r="BL36" s="100">
        <v>2.5713915157862086</v>
      </c>
      <c r="BM36" s="100">
        <v>1956.3146652101475</v>
      </c>
      <c r="BN36" s="100">
        <v>5.8387000473304607</v>
      </c>
      <c r="BO36" s="100">
        <v>4442.0829960090141</v>
      </c>
      <c r="BP36" s="100">
        <v>14.497271220850481</v>
      </c>
      <c r="BQ36" s="100">
        <v>11029.523944823044</v>
      </c>
      <c r="BR36" s="100">
        <v>6.2174209186089238</v>
      </c>
      <c r="BS36" s="100">
        <v>4730.2138348776689</v>
      </c>
      <c r="BT36" s="100">
        <v>9.4000015388504163</v>
      </c>
      <c r="BU36" s="100">
        <v>7151.5211707573962</v>
      </c>
      <c r="BV36" s="100">
        <v>4.360929890723062</v>
      </c>
      <c r="BW36" s="100">
        <v>3317.7954608621053</v>
      </c>
      <c r="BX36" s="100">
        <v>15</v>
      </c>
      <c r="BY36" s="100">
        <v>11412</v>
      </c>
      <c r="BZ36" s="100">
        <v>12.415141097163152</v>
      </c>
      <c r="CA36" s="100">
        <v>9445.4393467217251</v>
      </c>
      <c r="CB36" s="100">
        <v>7.1337713801084446</v>
      </c>
      <c r="CC36" s="100">
        <v>5427.3732659865045</v>
      </c>
      <c r="CD36" s="100">
        <v>6.3118722102570626</v>
      </c>
      <c r="CE36" s="100">
        <v>4802.0723775635734</v>
      </c>
      <c r="CF36" s="100">
        <v>17</v>
      </c>
      <c r="CG36" s="100">
        <v>12933.599999999999</v>
      </c>
      <c r="CH36" s="100">
        <v>8.8645291438688805</v>
      </c>
      <c r="CI36" s="100">
        <v>6744.1337726554439</v>
      </c>
      <c r="CJ36" s="100">
        <v>2.6929722138935643</v>
      </c>
      <c r="CK36" s="100">
        <v>2048.8132603302238</v>
      </c>
      <c r="CL36" s="100">
        <v>17</v>
      </c>
      <c r="CM36" s="100">
        <v>12933.599999999999</v>
      </c>
      <c r="CN36" s="100">
        <v>11</v>
      </c>
      <c r="CO36" s="100">
        <v>8368.7999999999993</v>
      </c>
      <c r="CP36" s="100">
        <v>11</v>
      </c>
      <c r="CQ36" s="100">
        <v>8368.7999999999993</v>
      </c>
      <c r="CR36" s="100">
        <v>11</v>
      </c>
      <c r="CS36" s="100">
        <v>8368.7999999999993</v>
      </c>
      <c r="CT36" s="100">
        <v>11</v>
      </c>
      <c r="CU36" s="100">
        <v>8368.7999999999993</v>
      </c>
    </row>
    <row r="37" spans="2:99">
      <c r="B37" s="99" t="s">
        <v>128</v>
      </c>
      <c r="C37" s="99" t="s">
        <v>203</v>
      </c>
      <c r="D37" s="100">
        <v>4.2408543501407407E-4</v>
      </c>
      <c r="E37" s="100">
        <v>0.36488310828610931</v>
      </c>
      <c r="F37" s="100">
        <v>9</v>
      </c>
      <c r="G37" s="100">
        <v>7743.5999999999995</v>
      </c>
      <c r="H37" s="100">
        <v>7</v>
      </c>
      <c r="I37" s="100">
        <v>6022.8</v>
      </c>
      <c r="J37" s="100">
        <v>7</v>
      </c>
      <c r="K37" s="100">
        <v>6022.8</v>
      </c>
      <c r="L37" s="100">
        <v>6</v>
      </c>
      <c r="M37" s="100">
        <v>5162.3999999999996</v>
      </c>
      <c r="N37" s="100">
        <v>6.11616301155233</v>
      </c>
      <c r="O37" s="100">
        <v>5262.346655139625</v>
      </c>
      <c r="P37" s="100">
        <v>4.2673435099381312</v>
      </c>
      <c r="Q37" s="100">
        <v>3671.622355950768</v>
      </c>
      <c r="R37" s="100">
        <v>10</v>
      </c>
      <c r="S37" s="100">
        <v>8604</v>
      </c>
      <c r="T37" s="100">
        <v>6</v>
      </c>
      <c r="U37" s="100">
        <v>5162.3999999999996</v>
      </c>
      <c r="V37" s="100">
        <v>9</v>
      </c>
      <c r="W37" s="100">
        <v>7743.5999999999995</v>
      </c>
      <c r="X37" s="100">
        <v>6</v>
      </c>
      <c r="Y37" s="100">
        <v>5162.3999999999996</v>
      </c>
      <c r="Z37" s="100">
        <v>10</v>
      </c>
      <c r="AA37" s="100">
        <v>8604</v>
      </c>
      <c r="AB37" s="100">
        <v>6</v>
      </c>
      <c r="AC37" s="100">
        <v>5162.3999999999996</v>
      </c>
      <c r="AD37" s="100">
        <v>4.2159718855726167</v>
      </c>
      <c r="AE37" s="100">
        <v>3627.4222103466791</v>
      </c>
      <c r="AF37" s="100">
        <v>8</v>
      </c>
      <c r="AG37" s="100">
        <v>6883.2</v>
      </c>
      <c r="AH37" s="100">
        <v>3.5045584318986602</v>
      </c>
      <c r="AI37" s="100">
        <v>3015.3220748056074</v>
      </c>
      <c r="AJ37" s="100">
        <v>9</v>
      </c>
      <c r="AK37" s="100">
        <v>7743.5999999999995</v>
      </c>
      <c r="AL37" s="100">
        <v>5</v>
      </c>
      <c r="AM37" s="100">
        <v>4302</v>
      </c>
      <c r="AN37" s="100">
        <v>8</v>
      </c>
      <c r="AO37" s="100">
        <v>6883.2</v>
      </c>
      <c r="AP37" s="100">
        <v>6</v>
      </c>
      <c r="AQ37" s="100">
        <v>5162.3999999999996</v>
      </c>
      <c r="AR37" s="100">
        <v>5.8039218489218758</v>
      </c>
      <c r="AS37" s="100">
        <v>4993.6943588123822</v>
      </c>
      <c r="AT37" s="100">
        <v>4.6916443640440241E-4</v>
      </c>
      <c r="AU37" s="100">
        <v>0.40366908108234784</v>
      </c>
      <c r="AV37" s="100">
        <v>7</v>
      </c>
      <c r="AW37" s="100">
        <v>6022.8</v>
      </c>
      <c r="AX37" s="100">
        <v>8</v>
      </c>
      <c r="AY37" s="100">
        <v>6883.2</v>
      </c>
      <c r="AZ37" s="100">
        <v>6</v>
      </c>
      <c r="BA37" s="100">
        <v>5162.3999999999996</v>
      </c>
      <c r="BB37" s="100">
        <v>6</v>
      </c>
      <c r="BC37" s="100">
        <v>5162.3999999999996</v>
      </c>
      <c r="BD37" s="100">
        <v>7.6617864528650754</v>
      </c>
      <c r="BE37" s="100">
        <v>6592.2010640451108</v>
      </c>
      <c r="BF37" s="100">
        <v>5.2437134032296306</v>
      </c>
      <c r="BG37" s="100">
        <v>4511.6910121387737</v>
      </c>
      <c r="BH37" s="100">
        <v>4.1340886568533231</v>
      </c>
      <c r="BI37" s="100">
        <v>3556.9698803565989</v>
      </c>
      <c r="BJ37" s="100">
        <v>4.1143523906618107</v>
      </c>
      <c r="BK37" s="100">
        <v>3539.9887969254219</v>
      </c>
      <c r="BL37" s="100">
        <v>1.6899335277874983</v>
      </c>
      <c r="BM37" s="100">
        <v>1454.0188073083634</v>
      </c>
      <c r="BN37" s="100">
        <v>4.2463273071494267</v>
      </c>
      <c r="BO37" s="100">
        <v>3653.5400150713667</v>
      </c>
      <c r="BP37" s="100">
        <v>6.5424776954732504</v>
      </c>
      <c r="BQ37" s="100">
        <v>5629.1478091851841</v>
      </c>
      <c r="BR37" s="100">
        <v>3.1087104593044619</v>
      </c>
      <c r="BS37" s="100">
        <v>2674.7344791855589</v>
      </c>
      <c r="BT37" s="100">
        <v>7.3940496491422509</v>
      </c>
      <c r="BU37" s="100">
        <v>6361.8403181219928</v>
      </c>
      <c r="BV37" s="100">
        <v>4.360929890723062</v>
      </c>
      <c r="BW37" s="100">
        <v>3752.1440779781224</v>
      </c>
      <c r="BX37" s="100">
        <v>9</v>
      </c>
      <c r="BY37" s="100">
        <v>7743.5999999999995</v>
      </c>
      <c r="BZ37" s="100">
        <v>6.3174608390071167</v>
      </c>
      <c r="CA37" s="100">
        <v>5435.5433058817234</v>
      </c>
      <c r="CB37" s="100">
        <v>5.3326078800897543</v>
      </c>
      <c r="CC37" s="100">
        <v>4588.1758200292243</v>
      </c>
      <c r="CD37" s="100">
        <v>3.7871233261542376</v>
      </c>
      <c r="CE37" s="100">
        <v>3258.4409098231058</v>
      </c>
      <c r="CF37" s="100">
        <v>6</v>
      </c>
      <c r="CG37" s="100">
        <v>5162.3999999999996</v>
      </c>
      <c r="CH37" s="100">
        <v>4.9174839618529287</v>
      </c>
      <c r="CI37" s="100">
        <v>4231.0032007782602</v>
      </c>
      <c r="CJ37" s="100">
        <v>2.2033409022765529</v>
      </c>
      <c r="CK37" s="100">
        <v>1895.754512318746</v>
      </c>
      <c r="CL37" s="100">
        <v>8</v>
      </c>
      <c r="CM37" s="100">
        <v>6883.2</v>
      </c>
      <c r="CN37" s="100">
        <v>5</v>
      </c>
      <c r="CO37" s="100">
        <v>4302</v>
      </c>
      <c r="CP37" s="100">
        <v>5</v>
      </c>
      <c r="CQ37" s="100">
        <v>4302</v>
      </c>
      <c r="CR37" s="100">
        <v>5</v>
      </c>
      <c r="CS37" s="100">
        <v>4302</v>
      </c>
      <c r="CT37" s="100">
        <v>9</v>
      </c>
      <c r="CU37" s="100">
        <v>7743.5999999999995</v>
      </c>
    </row>
    <row r="38" spans="2:99">
      <c r="C38" s="99" t="s">
        <v>204</v>
      </c>
      <c r="D38" s="100">
        <v>3.3926834801125923E-4</v>
      </c>
      <c r="E38" s="100">
        <v>0.42137128822998399</v>
      </c>
      <c r="F38" s="100">
        <v>9</v>
      </c>
      <c r="G38" s="100">
        <v>11178</v>
      </c>
      <c r="H38" s="100">
        <v>6</v>
      </c>
      <c r="I38" s="100">
        <v>7452</v>
      </c>
      <c r="J38" s="100">
        <v>6</v>
      </c>
      <c r="K38" s="100">
        <v>7452</v>
      </c>
      <c r="L38" s="100">
        <v>6</v>
      </c>
      <c r="M38" s="100">
        <v>7452</v>
      </c>
      <c r="N38" s="100">
        <v>6.103256010268737</v>
      </c>
      <c r="O38" s="100">
        <v>7580.2439647537713</v>
      </c>
      <c r="P38" s="100">
        <v>4.2673435099381312</v>
      </c>
      <c r="Q38" s="100">
        <v>5300.0406393431585</v>
      </c>
      <c r="R38" s="100">
        <v>9</v>
      </c>
      <c r="S38" s="100">
        <v>11178</v>
      </c>
      <c r="T38" s="100">
        <v>5</v>
      </c>
      <c r="U38" s="100">
        <v>6210</v>
      </c>
      <c r="V38" s="100">
        <v>8</v>
      </c>
      <c r="W38" s="100">
        <v>9936</v>
      </c>
      <c r="X38" s="100">
        <v>7</v>
      </c>
      <c r="Y38" s="100">
        <v>8694</v>
      </c>
      <c r="Z38" s="100">
        <v>9</v>
      </c>
      <c r="AA38" s="100">
        <v>11178</v>
      </c>
      <c r="AB38" s="100">
        <v>7</v>
      </c>
      <c r="AC38" s="100">
        <v>8694</v>
      </c>
      <c r="AD38" s="100">
        <v>4.918633866501386</v>
      </c>
      <c r="AE38" s="100">
        <v>6108.9432621947217</v>
      </c>
      <c r="AF38" s="100">
        <v>9</v>
      </c>
      <c r="AG38" s="100">
        <v>11178</v>
      </c>
      <c r="AH38" s="100">
        <v>2.9204653599155503</v>
      </c>
      <c r="AI38" s="100">
        <v>3627.2179770151133</v>
      </c>
      <c r="AJ38" s="100">
        <v>8</v>
      </c>
      <c r="AK38" s="100">
        <v>9936</v>
      </c>
      <c r="AL38" s="100">
        <v>4</v>
      </c>
      <c r="AM38" s="100">
        <v>4968</v>
      </c>
      <c r="AN38" s="100">
        <v>8</v>
      </c>
      <c r="AO38" s="100">
        <v>9936</v>
      </c>
      <c r="AP38" s="100">
        <v>5</v>
      </c>
      <c r="AQ38" s="100">
        <v>6210</v>
      </c>
      <c r="AR38" s="100">
        <v>5.8039218489218758</v>
      </c>
      <c r="AS38" s="100">
        <v>7208.47093636097</v>
      </c>
      <c r="AT38" s="100">
        <v>4.6916443640440241E-4</v>
      </c>
      <c r="AU38" s="100">
        <v>0.5827022300142678</v>
      </c>
      <c r="AV38" s="100">
        <v>8</v>
      </c>
      <c r="AW38" s="100">
        <v>9936</v>
      </c>
      <c r="AX38" s="100">
        <v>8</v>
      </c>
      <c r="AY38" s="100">
        <v>9936</v>
      </c>
      <c r="AZ38" s="100">
        <v>6</v>
      </c>
      <c r="BA38" s="100">
        <v>7452</v>
      </c>
      <c r="BB38" s="100">
        <v>5</v>
      </c>
      <c r="BC38" s="100">
        <v>6210</v>
      </c>
      <c r="BD38" s="100">
        <v>8.6195097594732104</v>
      </c>
      <c r="BE38" s="100">
        <v>10705.431121265727</v>
      </c>
      <c r="BF38" s="100">
        <v>4.3697611693580258</v>
      </c>
      <c r="BG38" s="100">
        <v>5427.2433723426684</v>
      </c>
      <c r="BH38" s="100">
        <v>4.1340886568533231</v>
      </c>
      <c r="BI38" s="100">
        <v>5134.5381118118275</v>
      </c>
      <c r="BJ38" s="100">
        <v>4.1143523906618107</v>
      </c>
      <c r="BK38" s="100">
        <v>5110.0256692019693</v>
      </c>
      <c r="BL38" s="100">
        <v>1.905831902096577</v>
      </c>
      <c r="BM38" s="100">
        <v>2367.0432224039487</v>
      </c>
      <c r="BN38" s="100">
        <v>4.2463273071494267</v>
      </c>
      <c r="BO38" s="100">
        <v>5273.9385154795882</v>
      </c>
      <c r="BP38" s="100">
        <v>6.4972712208504797</v>
      </c>
      <c r="BQ38" s="100">
        <v>8069.6108562962954</v>
      </c>
      <c r="BR38" s="100">
        <v>2.5905920494203847</v>
      </c>
      <c r="BS38" s="100">
        <v>3217.5153253801177</v>
      </c>
      <c r="BT38" s="100">
        <v>6.4960333559032373</v>
      </c>
      <c r="BU38" s="100">
        <v>8068.0734280318211</v>
      </c>
      <c r="BV38" s="100">
        <v>3.8763821250871668</v>
      </c>
      <c r="BW38" s="100">
        <v>4814.4665993582612</v>
      </c>
      <c r="BX38" s="100">
        <v>9</v>
      </c>
      <c r="BY38" s="100">
        <v>11178</v>
      </c>
      <c r="BZ38" s="100">
        <v>6</v>
      </c>
      <c r="CA38" s="100">
        <v>7452</v>
      </c>
      <c r="CB38" s="100">
        <v>5.3326078800897543</v>
      </c>
      <c r="CC38" s="100">
        <v>6623.0989870714748</v>
      </c>
      <c r="CD38" s="100">
        <v>3.7871233261542376</v>
      </c>
      <c r="CE38" s="100">
        <v>4703.6071710835631</v>
      </c>
      <c r="CF38" s="100">
        <v>6</v>
      </c>
      <c r="CG38" s="100">
        <v>7452</v>
      </c>
      <c r="CH38" s="100">
        <v>4.8925188190736053</v>
      </c>
      <c r="CI38" s="100">
        <v>6076.5083732894182</v>
      </c>
      <c r="CJ38" s="100">
        <v>2.2033409022765529</v>
      </c>
      <c r="CK38" s="100">
        <v>2736.5494006274785</v>
      </c>
      <c r="CL38" s="100">
        <v>7</v>
      </c>
      <c r="CM38" s="100">
        <v>8694</v>
      </c>
      <c r="CN38" s="100">
        <v>5</v>
      </c>
      <c r="CO38" s="100">
        <v>6210</v>
      </c>
      <c r="CP38" s="100">
        <v>5</v>
      </c>
      <c r="CQ38" s="100">
        <v>6210</v>
      </c>
      <c r="CR38" s="100">
        <v>5</v>
      </c>
      <c r="CS38" s="100">
        <v>6210</v>
      </c>
      <c r="CT38" s="100">
        <v>9</v>
      </c>
      <c r="CU38" s="100">
        <v>11178</v>
      </c>
    </row>
    <row r="39" spans="2:99">
      <c r="C39" s="99" t="s">
        <v>205</v>
      </c>
      <c r="D39" s="100">
        <v>3.3926834801125923E-4</v>
      </c>
      <c r="E39" s="100">
        <v>0.48284671288962416</v>
      </c>
      <c r="F39" s="100">
        <v>8</v>
      </c>
      <c r="G39" s="100">
        <v>11385.6</v>
      </c>
      <c r="H39" s="100">
        <v>6</v>
      </c>
      <c r="I39" s="100">
        <v>8539.2000000000007</v>
      </c>
      <c r="J39" s="100">
        <v>7</v>
      </c>
      <c r="K39" s="100">
        <v>9962.4</v>
      </c>
      <c r="L39" s="100">
        <v>6</v>
      </c>
      <c r="M39" s="100">
        <v>8539.2000000000007</v>
      </c>
      <c r="N39" s="100">
        <v>6.11616301155233</v>
      </c>
      <c r="O39" s="100">
        <v>8704.5231980412755</v>
      </c>
      <c r="P39" s="100">
        <v>3.4138748079505046</v>
      </c>
      <c r="Q39" s="100">
        <v>4858.6266266751581</v>
      </c>
      <c r="R39" s="100">
        <v>9</v>
      </c>
      <c r="S39" s="100">
        <v>12808.800000000001</v>
      </c>
      <c r="T39" s="100">
        <v>6</v>
      </c>
      <c r="U39" s="100">
        <v>8539.2000000000007</v>
      </c>
      <c r="V39" s="100">
        <v>8</v>
      </c>
      <c r="W39" s="100">
        <v>11385.6</v>
      </c>
      <c r="X39" s="100">
        <v>6</v>
      </c>
      <c r="Y39" s="100">
        <v>8539.2000000000007</v>
      </c>
      <c r="Z39" s="100">
        <v>9</v>
      </c>
      <c r="AA39" s="100">
        <v>12808.800000000001</v>
      </c>
      <c r="AB39" s="100">
        <v>6</v>
      </c>
      <c r="AC39" s="100">
        <v>8539.2000000000007</v>
      </c>
      <c r="AD39" s="100">
        <v>4.918633866501386</v>
      </c>
      <c r="AE39" s="100">
        <v>7000.1997188047726</v>
      </c>
      <c r="AF39" s="100">
        <v>9</v>
      </c>
      <c r="AG39" s="100">
        <v>12808.800000000001</v>
      </c>
      <c r="AH39" s="100">
        <v>3.5045584318986602</v>
      </c>
      <c r="AI39" s="100">
        <v>4987.6875602781738</v>
      </c>
      <c r="AJ39" s="100">
        <v>8</v>
      </c>
      <c r="AK39" s="100">
        <v>11385.6</v>
      </c>
      <c r="AL39" s="100">
        <v>5</v>
      </c>
      <c r="AM39" s="100">
        <v>7116</v>
      </c>
      <c r="AN39" s="100">
        <v>8</v>
      </c>
      <c r="AO39" s="100">
        <v>11385.6</v>
      </c>
      <c r="AP39" s="100">
        <v>5</v>
      </c>
      <c r="AQ39" s="100">
        <v>7116</v>
      </c>
      <c r="AR39" s="100">
        <v>5.8039218489218758</v>
      </c>
      <c r="AS39" s="100">
        <v>8260.1415753856145</v>
      </c>
      <c r="AT39" s="100">
        <v>5.2780999095495282E-4</v>
      </c>
      <c r="AU39" s="100">
        <v>0.75117917912708887</v>
      </c>
      <c r="AV39" s="100">
        <v>8</v>
      </c>
      <c r="AW39" s="100">
        <v>11385.6</v>
      </c>
      <c r="AX39" s="100">
        <v>9</v>
      </c>
      <c r="AY39" s="100">
        <v>12808.800000000001</v>
      </c>
      <c r="AZ39" s="100">
        <v>6</v>
      </c>
      <c r="BA39" s="100">
        <v>8539.2000000000007</v>
      </c>
      <c r="BB39" s="100">
        <v>6</v>
      </c>
      <c r="BC39" s="100">
        <v>8539.2000000000007</v>
      </c>
      <c r="BD39" s="100">
        <v>8.6195097594732104</v>
      </c>
      <c r="BE39" s="100">
        <v>12267.286289682273</v>
      </c>
      <c r="BF39" s="100">
        <v>5.2437134032296306</v>
      </c>
      <c r="BG39" s="100">
        <v>7462.852915476411</v>
      </c>
      <c r="BH39" s="100">
        <v>4.1340886568533231</v>
      </c>
      <c r="BI39" s="100">
        <v>5883.6349764336492</v>
      </c>
      <c r="BJ39" s="100">
        <v>4.1143523906618107</v>
      </c>
      <c r="BK39" s="100">
        <v>5855.5463223898896</v>
      </c>
      <c r="BL39" s="100">
        <v>1.905831902096577</v>
      </c>
      <c r="BM39" s="100">
        <v>2712.3799630638487</v>
      </c>
      <c r="BN39" s="100">
        <v>4.2463273071494267</v>
      </c>
      <c r="BO39" s="100">
        <v>6043.373023535064</v>
      </c>
      <c r="BP39" s="100">
        <v>7.5424776954732504</v>
      </c>
      <c r="BQ39" s="100">
        <v>10734.45425619753</v>
      </c>
      <c r="BR39" s="100">
        <v>3.1087104593044619</v>
      </c>
      <c r="BS39" s="100">
        <v>4424.3167256821107</v>
      </c>
      <c r="BT39" s="100">
        <v>7.4240381210322708</v>
      </c>
      <c r="BU39" s="100">
        <v>10565.891053853127</v>
      </c>
      <c r="BV39" s="100">
        <v>4.8454776563589581</v>
      </c>
      <c r="BW39" s="100">
        <v>6896.0838005300693</v>
      </c>
      <c r="BX39" s="100">
        <v>8</v>
      </c>
      <c r="BY39" s="100">
        <v>11385.6</v>
      </c>
      <c r="BZ39" s="100">
        <v>6.2930407744681078</v>
      </c>
      <c r="CA39" s="100">
        <v>8956.2556302230114</v>
      </c>
      <c r="CB39" s="100">
        <v>5.3326078800897543</v>
      </c>
      <c r="CC39" s="100">
        <v>7589.367534943739</v>
      </c>
      <c r="CD39" s="100">
        <v>3.3663318454704334</v>
      </c>
      <c r="CE39" s="100">
        <v>4790.9634824735213</v>
      </c>
      <c r="CF39" s="100">
        <v>5</v>
      </c>
      <c r="CG39" s="100">
        <v>7116</v>
      </c>
      <c r="CH39" s="100">
        <v>4.8925188190736053</v>
      </c>
      <c r="CI39" s="100">
        <v>6963.0327833055553</v>
      </c>
      <c r="CJ39" s="100">
        <v>1.9585252464680467</v>
      </c>
      <c r="CK39" s="100">
        <v>2787.3731307733242</v>
      </c>
      <c r="CL39" s="100">
        <v>7</v>
      </c>
      <c r="CM39" s="100">
        <v>9962.4</v>
      </c>
      <c r="CN39" s="100">
        <v>5</v>
      </c>
      <c r="CO39" s="100">
        <v>7116</v>
      </c>
      <c r="CP39" s="100">
        <v>6</v>
      </c>
      <c r="CQ39" s="100">
        <v>8539.2000000000007</v>
      </c>
      <c r="CR39" s="100">
        <v>4</v>
      </c>
      <c r="CS39" s="100">
        <v>5692.8</v>
      </c>
      <c r="CT39" s="100">
        <v>8</v>
      </c>
      <c r="CU39" s="100">
        <v>11385.6</v>
      </c>
    </row>
    <row r="40" spans="2:99">
      <c r="C40" s="99" t="s">
        <v>206</v>
      </c>
      <c r="D40" s="100">
        <v>4.2408543501407407E-4</v>
      </c>
      <c r="E40" s="100">
        <v>0.30737712329820088</v>
      </c>
      <c r="F40" s="100">
        <v>9</v>
      </c>
      <c r="G40" s="100">
        <v>6523.2</v>
      </c>
      <c r="H40" s="100">
        <v>7</v>
      </c>
      <c r="I40" s="100">
        <v>5073.5999999999995</v>
      </c>
      <c r="J40" s="100">
        <v>7</v>
      </c>
      <c r="K40" s="100">
        <v>5073.5999999999995</v>
      </c>
      <c r="L40" s="100">
        <v>6</v>
      </c>
      <c r="M40" s="100">
        <v>4348.7999999999993</v>
      </c>
      <c r="N40" s="100">
        <v>6.103256010268737</v>
      </c>
      <c r="O40" s="100">
        <v>4423.6399562427805</v>
      </c>
      <c r="P40" s="100">
        <v>3.4138748079505046</v>
      </c>
      <c r="Q40" s="100">
        <v>2474.3764608025253</v>
      </c>
      <c r="R40" s="100">
        <v>10</v>
      </c>
      <c r="S40" s="100">
        <v>7248</v>
      </c>
      <c r="T40" s="100">
        <v>6</v>
      </c>
      <c r="U40" s="100">
        <v>4348.7999999999993</v>
      </c>
      <c r="V40" s="100">
        <v>8</v>
      </c>
      <c r="W40" s="100">
        <v>5798.4</v>
      </c>
      <c r="X40" s="100">
        <v>6</v>
      </c>
      <c r="Y40" s="100">
        <v>4348.7999999999993</v>
      </c>
      <c r="Z40" s="100">
        <v>10</v>
      </c>
      <c r="AA40" s="100">
        <v>7248</v>
      </c>
      <c r="AB40" s="100">
        <v>7</v>
      </c>
      <c r="AC40" s="100">
        <v>5073.5999999999995</v>
      </c>
      <c r="AD40" s="100">
        <v>4.918633866501386</v>
      </c>
      <c r="AE40" s="100">
        <v>3565.0258264402046</v>
      </c>
      <c r="AF40" s="100">
        <v>8</v>
      </c>
      <c r="AG40" s="100">
        <v>5798.4</v>
      </c>
      <c r="AH40" s="100">
        <v>3.5045584318986602</v>
      </c>
      <c r="AI40" s="100">
        <v>2540.1039514401486</v>
      </c>
      <c r="AJ40" s="100">
        <v>10</v>
      </c>
      <c r="AK40" s="100">
        <v>7248</v>
      </c>
      <c r="AL40" s="100">
        <v>5</v>
      </c>
      <c r="AM40" s="100">
        <v>3624</v>
      </c>
      <c r="AN40" s="100">
        <v>7</v>
      </c>
      <c r="AO40" s="100">
        <v>5073.5999999999995</v>
      </c>
      <c r="AP40" s="100">
        <v>5</v>
      </c>
      <c r="AQ40" s="100">
        <v>3624</v>
      </c>
      <c r="AR40" s="100">
        <v>4.8366015407682292</v>
      </c>
      <c r="AS40" s="100">
        <v>3505.5687967488125</v>
      </c>
      <c r="AT40" s="100">
        <v>5.2780999095495282E-4</v>
      </c>
      <c r="AU40" s="100">
        <v>0.38255668144414978</v>
      </c>
      <c r="AV40" s="100">
        <v>8</v>
      </c>
      <c r="AW40" s="100">
        <v>5798.4</v>
      </c>
      <c r="AX40" s="100">
        <v>10</v>
      </c>
      <c r="AY40" s="100">
        <v>7248</v>
      </c>
      <c r="AZ40" s="100">
        <v>6</v>
      </c>
      <c r="BA40" s="100">
        <v>4348.7999999999993</v>
      </c>
      <c r="BB40" s="100">
        <v>6</v>
      </c>
      <c r="BC40" s="100">
        <v>4348.7999999999993</v>
      </c>
      <c r="BD40" s="100">
        <v>8.6195097594732104</v>
      </c>
      <c r="BE40" s="100">
        <v>6247.4206736661827</v>
      </c>
      <c r="BF40" s="100">
        <v>5.2437134032296306</v>
      </c>
      <c r="BG40" s="100">
        <v>3800.6434746608361</v>
      </c>
      <c r="BH40" s="100">
        <v>4.9609063882239877</v>
      </c>
      <c r="BI40" s="100">
        <v>3595.664950184746</v>
      </c>
      <c r="BJ40" s="100">
        <v>4.1143523906618107</v>
      </c>
      <c r="BK40" s="100">
        <v>2982.0826127516802</v>
      </c>
      <c r="BL40" s="100">
        <v>1.9236963928589719</v>
      </c>
      <c r="BM40" s="100">
        <v>1394.2951455441828</v>
      </c>
      <c r="BN40" s="100">
        <v>4.2463273071494267</v>
      </c>
      <c r="BO40" s="100">
        <v>3077.7380322219042</v>
      </c>
      <c r="BP40" s="100">
        <v>7.4972712208504797</v>
      </c>
      <c r="BQ40" s="100">
        <v>5434.0221808724273</v>
      </c>
      <c r="BR40" s="100">
        <v>2.5905920494203847</v>
      </c>
      <c r="BS40" s="100">
        <v>1877.6611174198947</v>
      </c>
      <c r="BT40" s="100">
        <v>7.4540265929222898</v>
      </c>
      <c r="BU40" s="100">
        <v>5402.6784745500754</v>
      </c>
      <c r="BV40" s="100">
        <v>4.360929890723062</v>
      </c>
      <c r="BW40" s="100">
        <v>3160.801984796075</v>
      </c>
      <c r="BX40" s="100">
        <v>8</v>
      </c>
      <c r="BY40" s="100">
        <v>5798.4</v>
      </c>
      <c r="BZ40" s="100">
        <v>7.2930407744681078</v>
      </c>
      <c r="CA40" s="100">
        <v>5285.9959533344845</v>
      </c>
      <c r="CB40" s="100">
        <v>5.9172440201034693</v>
      </c>
      <c r="CC40" s="100">
        <v>4288.8184657709944</v>
      </c>
      <c r="CD40" s="100">
        <v>3.3663318454704334</v>
      </c>
      <c r="CE40" s="100">
        <v>2439.9173215969699</v>
      </c>
      <c r="CF40" s="100">
        <v>6</v>
      </c>
      <c r="CG40" s="100">
        <v>4348.7999999999993</v>
      </c>
      <c r="CH40" s="100">
        <v>4.942449104632253</v>
      </c>
      <c r="CI40" s="100">
        <v>3582.2871110374567</v>
      </c>
      <c r="CJ40" s="100">
        <v>2.2033409022765529</v>
      </c>
      <c r="CK40" s="100">
        <v>1596.9814859700455</v>
      </c>
      <c r="CL40" s="100">
        <v>7</v>
      </c>
      <c r="CM40" s="100">
        <v>5073.5999999999995</v>
      </c>
      <c r="CN40" s="100">
        <v>6</v>
      </c>
      <c r="CO40" s="100">
        <v>4348.7999999999993</v>
      </c>
      <c r="CP40" s="100">
        <v>5</v>
      </c>
      <c r="CQ40" s="100">
        <v>3624</v>
      </c>
      <c r="CR40" s="100">
        <v>5</v>
      </c>
      <c r="CS40" s="100">
        <v>3624</v>
      </c>
      <c r="CT40" s="100">
        <v>9</v>
      </c>
      <c r="CU40" s="100">
        <v>6523.2</v>
      </c>
    </row>
    <row r="41" spans="2:99">
      <c r="C41" s="99" t="s">
        <v>207</v>
      </c>
      <c r="D41" s="100">
        <v>4.2408543501407407E-4</v>
      </c>
      <c r="E41" s="100">
        <v>0.27989638710928888</v>
      </c>
      <c r="F41" s="100">
        <v>9</v>
      </c>
      <c r="G41" s="100">
        <v>5940</v>
      </c>
      <c r="H41" s="100">
        <v>7</v>
      </c>
      <c r="I41" s="100">
        <v>4620</v>
      </c>
      <c r="J41" s="100">
        <v>7</v>
      </c>
      <c r="K41" s="100">
        <v>4620</v>
      </c>
      <c r="L41" s="100">
        <v>6</v>
      </c>
      <c r="M41" s="100">
        <v>3960</v>
      </c>
      <c r="N41" s="100">
        <v>6.103256010268737</v>
      </c>
      <c r="O41" s="100">
        <v>4028.1489667773662</v>
      </c>
      <c r="P41" s="100">
        <v>4.2673435099381312</v>
      </c>
      <c r="Q41" s="100">
        <v>2816.4467165591664</v>
      </c>
      <c r="R41" s="100">
        <v>9</v>
      </c>
      <c r="S41" s="100">
        <v>5940</v>
      </c>
      <c r="T41" s="100">
        <v>6</v>
      </c>
      <c r="U41" s="100">
        <v>3960</v>
      </c>
      <c r="V41" s="100">
        <v>9</v>
      </c>
      <c r="W41" s="100">
        <v>5940</v>
      </c>
      <c r="X41" s="100">
        <v>7</v>
      </c>
      <c r="Y41" s="100">
        <v>4620</v>
      </c>
      <c r="Z41" s="100">
        <v>10</v>
      </c>
      <c r="AA41" s="100">
        <v>6600</v>
      </c>
      <c r="AB41" s="100">
        <v>7</v>
      </c>
      <c r="AC41" s="100">
        <v>4620</v>
      </c>
      <c r="AD41" s="100">
        <v>4.918633866501386</v>
      </c>
      <c r="AE41" s="100">
        <v>3246.2983518909145</v>
      </c>
      <c r="AF41" s="100">
        <v>8</v>
      </c>
      <c r="AG41" s="100">
        <v>5280</v>
      </c>
      <c r="AH41" s="100">
        <v>3.5045584318986602</v>
      </c>
      <c r="AI41" s="100">
        <v>2313.0085650531159</v>
      </c>
      <c r="AJ41" s="100">
        <v>8</v>
      </c>
      <c r="AK41" s="100">
        <v>5280</v>
      </c>
      <c r="AL41" s="100">
        <v>5</v>
      </c>
      <c r="AM41" s="100">
        <v>3300</v>
      </c>
      <c r="AN41" s="100">
        <v>8</v>
      </c>
      <c r="AO41" s="100">
        <v>5280</v>
      </c>
      <c r="AP41" s="100">
        <v>5</v>
      </c>
      <c r="AQ41" s="100">
        <v>3300</v>
      </c>
      <c r="AR41" s="100">
        <v>5.8039218489218758</v>
      </c>
      <c r="AS41" s="100">
        <v>3830.5884202884381</v>
      </c>
      <c r="AT41" s="100">
        <v>5.2780999095495282E-4</v>
      </c>
      <c r="AU41" s="100">
        <v>0.34835459403026886</v>
      </c>
      <c r="AV41" s="100">
        <v>7</v>
      </c>
      <c r="AW41" s="100">
        <v>4620</v>
      </c>
      <c r="AX41" s="100">
        <v>9</v>
      </c>
      <c r="AY41" s="100">
        <v>5940</v>
      </c>
      <c r="AZ41" s="100">
        <v>6</v>
      </c>
      <c r="BA41" s="100">
        <v>3960</v>
      </c>
      <c r="BB41" s="100">
        <v>6</v>
      </c>
      <c r="BC41" s="100">
        <v>3960</v>
      </c>
      <c r="BD41" s="100">
        <v>8.6195097594732104</v>
      </c>
      <c r="BE41" s="100">
        <v>5688.8764412523187</v>
      </c>
      <c r="BF41" s="100">
        <v>6.1176656371012355</v>
      </c>
      <c r="BG41" s="100">
        <v>4037.6593204868154</v>
      </c>
      <c r="BH41" s="100">
        <v>4.1340886568533231</v>
      </c>
      <c r="BI41" s="100">
        <v>2728.4985135231932</v>
      </c>
      <c r="BJ41" s="100">
        <v>4.1143523906618107</v>
      </c>
      <c r="BK41" s="100">
        <v>2715.4725778367952</v>
      </c>
      <c r="BL41" s="100">
        <v>1.9236963928589719</v>
      </c>
      <c r="BM41" s="100">
        <v>1269.6396192869215</v>
      </c>
      <c r="BN41" s="100">
        <v>4.2463273071494267</v>
      </c>
      <c r="BO41" s="100">
        <v>2802.5760227186215</v>
      </c>
      <c r="BP41" s="100">
        <v>7.4972712208504797</v>
      </c>
      <c r="BQ41" s="100">
        <v>4948.1990057613166</v>
      </c>
      <c r="BR41" s="100">
        <v>3.1087104593044619</v>
      </c>
      <c r="BS41" s="100">
        <v>2051.748903140945</v>
      </c>
      <c r="BT41" s="100">
        <v>8.3220544142712853</v>
      </c>
      <c r="BU41" s="100">
        <v>5492.555913419048</v>
      </c>
      <c r="BV41" s="100">
        <v>4.8454776563589581</v>
      </c>
      <c r="BW41" s="100">
        <v>3198.0152531969125</v>
      </c>
      <c r="BX41" s="100">
        <v>9</v>
      </c>
      <c r="BY41" s="100">
        <v>5940</v>
      </c>
      <c r="BZ41" s="100">
        <v>6.2930407744681078</v>
      </c>
      <c r="CA41" s="100">
        <v>4153.4069111489516</v>
      </c>
      <c r="CB41" s="100">
        <v>5.9172440201034693</v>
      </c>
      <c r="CC41" s="100">
        <v>3905.3810532682896</v>
      </c>
      <c r="CD41" s="100">
        <v>3.7871233261542376</v>
      </c>
      <c r="CE41" s="100">
        <v>2499.5013952617969</v>
      </c>
      <c r="CF41" s="100">
        <v>7</v>
      </c>
      <c r="CG41" s="100">
        <v>4620</v>
      </c>
      <c r="CH41" s="100">
        <v>5.5134456000000522</v>
      </c>
      <c r="CI41" s="100">
        <v>3638.8740960000346</v>
      </c>
      <c r="CJ41" s="100">
        <v>2.2033409022765529</v>
      </c>
      <c r="CK41" s="100">
        <v>1454.204995502525</v>
      </c>
      <c r="CL41" s="100">
        <v>8</v>
      </c>
      <c r="CM41" s="100">
        <v>5280</v>
      </c>
      <c r="CN41" s="100">
        <v>5</v>
      </c>
      <c r="CO41" s="100">
        <v>3300</v>
      </c>
      <c r="CP41" s="100">
        <v>6</v>
      </c>
      <c r="CQ41" s="100">
        <v>3960</v>
      </c>
      <c r="CR41" s="100">
        <v>5</v>
      </c>
      <c r="CS41" s="100">
        <v>3300</v>
      </c>
      <c r="CT41" s="100">
        <v>9</v>
      </c>
      <c r="CU41" s="100">
        <v>5940</v>
      </c>
    </row>
    <row r="42" spans="2:99">
      <c r="C42" s="99" t="s">
        <v>208</v>
      </c>
      <c r="D42" s="100">
        <v>4.2408543501407407E-4</v>
      </c>
      <c r="E42" s="100">
        <v>0.35877627802190665</v>
      </c>
      <c r="F42" s="100">
        <v>10</v>
      </c>
      <c r="G42" s="100">
        <v>8460</v>
      </c>
      <c r="H42" s="100">
        <v>6</v>
      </c>
      <c r="I42" s="100">
        <v>5076</v>
      </c>
      <c r="J42" s="100">
        <v>6</v>
      </c>
      <c r="K42" s="100">
        <v>5076</v>
      </c>
      <c r="L42" s="100">
        <v>6</v>
      </c>
      <c r="M42" s="100">
        <v>5076</v>
      </c>
      <c r="N42" s="100">
        <v>6.11616301155233</v>
      </c>
      <c r="O42" s="100">
        <v>5174.2739077732713</v>
      </c>
      <c r="P42" s="100">
        <v>4.2673435099381312</v>
      </c>
      <c r="Q42" s="100">
        <v>3610.1726094076589</v>
      </c>
      <c r="R42" s="100">
        <v>8</v>
      </c>
      <c r="S42" s="100">
        <v>6768</v>
      </c>
      <c r="T42" s="100">
        <v>5</v>
      </c>
      <c r="U42" s="100">
        <v>4230</v>
      </c>
      <c r="V42" s="100">
        <v>9</v>
      </c>
      <c r="W42" s="100">
        <v>7614</v>
      </c>
      <c r="X42" s="100">
        <v>6</v>
      </c>
      <c r="Y42" s="100">
        <v>5076</v>
      </c>
      <c r="Z42" s="100">
        <v>9</v>
      </c>
      <c r="AA42" s="100">
        <v>7614</v>
      </c>
      <c r="AB42" s="100">
        <v>7</v>
      </c>
      <c r="AC42" s="100">
        <v>5922</v>
      </c>
      <c r="AD42" s="100">
        <v>4.918633866501386</v>
      </c>
      <c r="AE42" s="100">
        <v>4161.1642510601723</v>
      </c>
      <c r="AF42" s="100">
        <v>8</v>
      </c>
      <c r="AG42" s="100">
        <v>6768</v>
      </c>
      <c r="AH42" s="100">
        <v>3.5045584318986602</v>
      </c>
      <c r="AI42" s="100">
        <v>2964.8564333862664</v>
      </c>
      <c r="AJ42" s="100">
        <v>9</v>
      </c>
      <c r="AK42" s="100">
        <v>7614</v>
      </c>
      <c r="AL42" s="100">
        <v>5</v>
      </c>
      <c r="AM42" s="100">
        <v>4230</v>
      </c>
      <c r="AN42" s="100">
        <v>8</v>
      </c>
      <c r="AO42" s="100">
        <v>6768</v>
      </c>
      <c r="AP42" s="100">
        <v>5</v>
      </c>
      <c r="AQ42" s="100">
        <v>4230</v>
      </c>
      <c r="AR42" s="100">
        <v>5.8039218489218758</v>
      </c>
      <c r="AS42" s="100">
        <v>4910.1178841879073</v>
      </c>
      <c r="AT42" s="100">
        <v>5.8645554550550312E-4</v>
      </c>
      <c r="AU42" s="100">
        <v>0.49614139149765563</v>
      </c>
      <c r="AV42" s="100">
        <v>8</v>
      </c>
      <c r="AW42" s="100">
        <v>6768</v>
      </c>
      <c r="AX42" s="100">
        <v>8</v>
      </c>
      <c r="AY42" s="100">
        <v>6768</v>
      </c>
      <c r="AZ42" s="100">
        <v>6</v>
      </c>
      <c r="BA42" s="100">
        <v>5076</v>
      </c>
      <c r="BB42" s="100">
        <v>6</v>
      </c>
      <c r="BC42" s="100">
        <v>5076</v>
      </c>
      <c r="BD42" s="100">
        <v>8.6195097594732104</v>
      </c>
      <c r="BE42" s="100">
        <v>7292.1052565143364</v>
      </c>
      <c r="BF42" s="100">
        <v>5.2437134032296306</v>
      </c>
      <c r="BG42" s="100">
        <v>4436.181539132268</v>
      </c>
      <c r="BH42" s="100">
        <v>4.9609063882239877</v>
      </c>
      <c r="BI42" s="100">
        <v>4196.926804437494</v>
      </c>
      <c r="BJ42" s="100">
        <v>4.1143523906618107</v>
      </c>
      <c r="BK42" s="100">
        <v>3480.742122499892</v>
      </c>
      <c r="BL42" s="100">
        <v>1.9236963928589719</v>
      </c>
      <c r="BM42" s="100">
        <v>1627.4471483586901</v>
      </c>
      <c r="BN42" s="100">
        <v>4.2463273071494267</v>
      </c>
      <c r="BO42" s="100">
        <v>3592.392901848415</v>
      </c>
      <c r="BP42" s="100">
        <v>7.4972712208504797</v>
      </c>
      <c r="BQ42" s="100">
        <v>6342.6914528395055</v>
      </c>
      <c r="BR42" s="100">
        <v>3.1087104593044619</v>
      </c>
      <c r="BS42" s="100">
        <v>2629.9690485715746</v>
      </c>
      <c r="BT42" s="100">
        <v>7.4540265929222898</v>
      </c>
      <c r="BU42" s="100">
        <v>6306.106497612257</v>
      </c>
      <c r="BV42" s="100">
        <v>4.8454776563589581</v>
      </c>
      <c r="BW42" s="100">
        <v>4099.2740972796782</v>
      </c>
      <c r="BX42" s="100">
        <v>9</v>
      </c>
      <c r="BY42" s="100">
        <v>7614</v>
      </c>
      <c r="BZ42" s="100">
        <v>6.2930407744681078</v>
      </c>
      <c r="CA42" s="100">
        <v>5323.9124952000193</v>
      </c>
      <c r="CB42" s="100">
        <v>5.3326078800897543</v>
      </c>
      <c r="CC42" s="100">
        <v>4511.3862665559318</v>
      </c>
      <c r="CD42" s="100">
        <v>4.2079148068380414</v>
      </c>
      <c r="CE42" s="100">
        <v>3559.895926584983</v>
      </c>
      <c r="CF42" s="100">
        <v>6</v>
      </c>
      <c r="CG42" s="100">
        <v>5076</v>
      </c>
      <c r="CH42" s="100">
        <v>5.4884804572207289</v>
      </c>
      <c r="CI42" s="100">
        <v>4643.2544668087367</v>
      </c>
      <c r="CJ42" s="100">
        <v>2.2033409022765529</v>
      </c>
      <c r="CK42" s="100">
        <v>1864.0264033259637</v>
      </c>
      <c r="CL42" s="100">
        <v>7</v>
      </c>
      <c r="CM42" s="100">
        <v>5922</v>
      </c>
      <c r="CN42" s="100">
        <v>6</v>
      </c>
      <c r="CO42" s="100">
        <v>5076</v>
      </c>
      <c r="CP42" s="100">
        <v>6</v>
      </c>
      <c r="CQ42" s="100">
        <v>5076</v>
      </c>
      <c r="CR42" s="100">
        <v>4</v>
      </c>
      <c r="CS42" s="100">
        <v>3384</v>
      </c>
      <c r="CT42" s="100">
        <v>9</v>
      </c>
      <c r="CU42" s="100">
        <v>7614</v>
      </c>
    </row>
    <row r="43" spans="2:99">
      <c r="C43" s="99" t="s">
        <v>209</v>
      </c>
      <c r="D43" s="100">
        <v>4.2408543501407407E-4</v>
      </c>
      <c r="E43" s="100">
        <v>0.43358494875838932</v>
      </c>
      <c r="F43" s="100">
        <v>9</v>
      </c>
      <c r="G43" s="100">
        <v>9201.6</v>
      </c>
      <c r="H43" s="100">
        <v>6</v>
      </c>
      <c r="I43" s="100">
        <v>6134.4</v>
      </c>
      <c r="J43" s="100">
        <v>7</v>
      </c>
      <c r="K43" s="100">
        <v>7156.8</v>
      </c>
      <c r="L43" s="100">
        <v>5</v>
      </c>
      <c r="M43" s="100">
        <v>5112</v>
      </c>
      <c r="N43" s="100">
        <v>6.103256010268737</v>
      </c>
      <c r="O43" s="100">
        <v>6239.9689448987565</v>
      </c>
      <c r="P43" s="100">
        <v>4.2673435099381312</v>
      </c>
      <c r="Q43" s="100">
        <v>4362.9320045607456</v>
      </c>
      <c r="R43" s="100">
        <v>8</v>
      </c>
      <c r="S43" s="100">
        <v>8179.2</v>
      </c>
      <c r="T43" s="100">
        <v>5</v>
      </c>
      <c r="U43" s="100">
        <v>5112</v>
      </c>
      <c r="V43" s="100">
        <v>8</v>
      </c>
      <c r="W43" s="100">
        <v>8179.2</v>
      </c>
      <c r="X43" s="100">
        <v>6</v>
      </c>
      <c r="Y43" s="100">
        <v>6134.4</v>
      </c>
      <c r="Z43" s="100">
        <v>10</v>
      </c>
      <c r="AA43" s="100">
        <v>10224</v>
      </c>
      <c r="AB43" s="100">
        <v>7</v>
      </c>
      <c r="AC43" s="100">
        <v>7156.8</v>
      </c>
      <c r="AD43" s="100">
        <v>4.2159718855726167</v>
      </c>
      <c r="AE43" s="100">
        <v>4310.4096558094434</v>
      </c>
      <c r="AF43" s="100">
        <v>8</v>
      </c>
      <c r="AG43" s="100">
        <v>8179.2</v>
      </c>
      <c r="AH43" s="100">
        <v>3.5045584318986602</v>
      </c>
      <c r="AI43" s="100">
        <v>3583.06054077319</v>
      </c>
      <c r="AJ43" s="100">
        <v>8</v>
      </c>
      <c r="AK43" s="100">
        <v>8179.2</v>
      </c>
      <c r="AL43" s="100">
        <v>5</v>
      </c>
      <c r="AM43" s="100">
        <v>5112</v>
      </c>
      <c r="AN43" s="100">
        <v>8</v>
      </c>
      <c r="AO43" s="100">
        <v>8179.2</v>
      </c>
      <c r="AP43" s="100">
        <v>6</v>
      </c>
      <c r="AQ43" s="100">
        <v>6134.4</v>
      </c>
      <c r="AR43" s="100">
        <v>5.8039218489218758</v>
      </c>
      <c r="AS43" s="100">
        <v>5933.9296983377253</v>
      </c>
      <c r="AT43" s="100">
        <v>5.2780999095495282E-4</v>
      </c>
      <c r="AU43" s="100">
        <v>0.53963293475234375</v>
      </c>
      <c r="AV43" s="100">
        <v>8</v>
      </c>
      <c r="AW43" s="100">
        <v>8179.2</v>
      </c>
      <c r="AX43" s="100">
        <v>9</v>
      </c>
      <c r="AY43" s="100">
        <v>9201.6</v>
      </c>
      <c r="AZ43" s="100">
        <v>7</v>
      </c>
      <c r="BA43" s="100">
        <v>7156.8</v>
      </c>
      <c r="BB43" s="100">
        <v>6</v>
      </c>
      <c r="BC43" s="100">
        <v>6134.4</v>
      </c>
      <c r="BD43" s="100">
        <v>8.6195097594732104</v>
      </c>
      <c r="BE43" s="100">
        <v>8812.5867780854096</v>
      </c>
      <c r="BF43" s="100">
        <v>5.2437134032296306</v>
      </c>
      <c r="BG43" s="100">
        <v>5361.1725834619747</v>
      </c>
      <c r="BH43" s="100">
        <v>4.1340886568533231</v>
      </c>
      <c r="BI43" s="100">
        <v>4226.6922427668378</v>
      </c>
      <c r="BJ43" s="100">
        <v>4.0927209713992676</v>
      </c>
      <c r="BK43" s="100">
        <v>4184.3979211586111</v>
      </c>
      <c r="BL43" s="100">
        <v>1.681001282406301</v>
      </c>
      <c r="BM43" s="100">
        <v>1718.655711132202</v>
      </c>
      <c r="BN43" s="100">
        <v>3.7155363937557482</v>
      </c>
      <c r="BO43" s="100">
        <v>3798.7644089758769</v>
      </c>
      <c r="BP43" s="100">
        <v>7.5424776954732504</v>
      </c>
      <c r="BQ43" s="100">
        <v>7711.4291958518506</v>
      </c>
      <c r="BR43" s="100">
        <v>3.1087104593044619</v>
      </c>
      <c r="BS43" s="100">
        <v>3178.3455735928819</v>
      </c>
      <c r="BT43" s="100">
        <v>7.4240381210322708</v>
      </c>
      <c r="BU43" s="100">
        <v>7590.3365749433933</v>
      </c>
      <c r="BV43" s="100">
        <v>4.8454776563589581</v>
      </c>
      <c r="BW43" s="100">
        <v>4954.0163558613986</v>
      </c>
      <c r="BX43" s="100">
        <v>9</v>
      </c>
      <c r="BY43" s="100">
        <v>9201.6</v>
      </c>
      <c r="BZ43" s="100">
        <v>7.2686207099290989</v>
      </c>
      <c r="CA43" s="100">
        <v>7431.4378138315105</v>
      </c>
      <c r="CB43" s="100">
        <v>4.7715992800648115</v>
      </c>
      <c r="CC43" s="100">
        <v>4878.4831039382634</v>
      </c>
      <c r="CD43" s="100">
        <v>3.3663318454704334</v>
      </c>
      <c r="CE43" s="100">
        <v>3441.7376788089709</v>
      </c>
      <c r="CF43" s="100">
        <v>6</v>
      </c>
      <c r="CG43" s="100">
        <v>6134.4</v>
      </c>
      <c r="CH43" s="100">
        <v>5.4635153144414055</v>
      </c>
      <c r="CI43" s="100">
        <v>5585.8980574848929</v>
      </c>
      <c r="CJ43" s="100">
        <v>2.2033409022765529</v>
      </c>
      <c r="CK43" s="100">
        <v>2252.6957384875477</v>
      </c>
      <c r="CL43" s="100">
        <v>7</v>
      </c>
      <c r="CM43" s="100">
        <v>7156.8</v>
      </c>
      <c r="CN43" s="100">
        <v>5</v>
      </c>
      <c r="CO43" s="100">
        <v>5112</v>
      </c>
      <c r="CP43" s="100">
        <v>5</v>
      </c>
      <c r="CQ43" s="100">
        <v>5112</v>
      </c>
      <c r="CR43" s="100">
        <v>5</v>
      </c>
      <c r="CS43" s="100">
        <v>5112</v>
      </c>
      <c r="CT43" s="100">
        <v>9</v>
      </c>
      <c r="CU43" s="100">
        <v>9201.6</v>
      </c>
    </row>
    <row r="44" spans="2:99">
      <c r="C44" s="99" t="s">
        <v>210</v>
      </c>
      <c r="D44" s="100">
        <v>4.2408543501407407E-4</v>
      </c>
      <c r="E44" s="100">
        <v>0.43358494875838932</v>
      </c>
      <c r="F44" s="100">
        <v>8</v>
      </c>
      <c r="G44" s="100">
        <v>8179.2</v>
      </c>
      <c r="H44" s="100">
        <v>7</v>
      </c>
      <c r="I44" s="100">
        <v>7156.8</v>
      </c>
      <c r="J44" s="100">
        <v>7</v>
      </c>
      <c r="K44" s="100">
        <v>7156.8</v>
      </c>
      <c r="L44" s="100">
        <v>5</v>
      </c>
      <c r="M44" s="100">
        <v>5112</v>
      </c>
      <c r="N44" s="100">
        <v>6.103256010268737</v>
      </c>
      <c r="O44" s="100">
        <v>6239.9689448987565</v>
      </c>
      <c r="P44" s="100">
        <v>4.2673435099381312</v>
      </c>
      <c r="Q44" s="100">
        <v>4362.9320045607456</v>
      </c>
      <c r="R44" s="100">
        <v>10</v>
      </c>
      <c r="S44" s="100">
        <v>10224</v>
      </c>
      <c r="T44" s="100">
        <v>6</v>
      </c>
      <c r="U44" s="100">
        <v>6134.4</v>
      </c>
      <c r="V44" s="100">
        <v>9</v>
      </c>
      <c r="W44" s="100">
        <v>9201.6</v>
      </c>
      <c r="X44" s="100">
        <v>7</v>
      </c>
      <c r="Y44" s="100">
        <v>7156.8</v>
      </c>
      <c r="Z44" s="100">
        <v>10</v>
      </c>
      <c r="AA44" s="100">
        <v>10224</v>
      </c>
      <c r="AB44" s="100">
        <v>7</v>
      </c>
      <c r="AC44" s="100">
        <v>7156.8</v>
      </c>
      <c r="AD44" s="100">
        <v>4.918633866501386</v>
      </c>
      <c r="AE44" s="100">
        <v>5028.8112651110168</v>
      </c>
      <c r="AF44" s="100">
        <v>8</v>
      </c>
      <c r="AG44" s="100">
        <v>8179.2</v>
      </c>
      <c r="AH44" s="100">
        <v>3.5045584318986602</v>
      </c>
      <c r="AI44" s="100">
        <v>3583.06054077319</v>
      </c>
      <c r="AJ44" s="100">
        <v>9</v>
      </c>
      <c r="AK44" s="100">
        <v>9201.6</v>
      </c>
      <c r="AL44" s="100">
        <v>5</v>
      </c>
      <c r="AM44" s="100">
        <v>5112</v>
      </c>
      <c r="AN44" s="100">
        <v>8</v>
      </c>
      <c r="AO44" s="100">
        <v>8179.2</v>
      </c>
      <c r="AP44" s="100">
        <v>5</v>
      </c>
      <c r="AQ44" s="100">
        <v>5112</v>
      </c>
      <c r="AR44" s="100">
        <v>4.8366015407682292</v>
      </c>
      <c r="AS44" s="100">
        <v>4944.9414152814379</v>
      </c>
      <c r="AT44" s="100">
        <v>5.8645554550550312E-4</v>
      </c>
      <c r="AU44" s="100">
        <v>0.59959214972482633</v>
      </c>
      <c r="AV44" s="100">
        <v>8</v>
      </c>
      <c r="AW44" s="100">
        <v>8179.2</v>
      </c>
      <c r="AX44" s="100">
        <v>9</v>
      </c>
      <c r="AY44" s="100">
        <v>9201.6</v>
      </c>
      <c r="AZ44" s="100">
        <v>6</v>
      </c>
      <c r="BA44" s="100">
        <v>6134.4</v>
      </c>
      <c r="BB44" s="100">
        <v>6</v>
      </c>
      <c r="BC44" s="100">
        <v>6134.4</v>
      </c>
      <c r="BD44" s="100">
        <v>8.6195097594732104</v>
      </c>
      <c r="BE44" s="100">
        <v>8812.5867780854096</v>
      </c>
      <c r="BF44" s="100">
        <v>4.3697611693580258</v>
      </c>
      <c r="BG44" s="100">
        <v>4467.6438195516457</v>
      </c>
      <c r="BH44" s="100">
        <v>4.1340886568533231</v>
      </c>
      <c r="BI44" s="100">
        <v>4226.6922427668378</v>
      </c>
      <c r="BJ44" s="100">
        <v>4.0927209713992676</v>
      </c>
      <c r="BK44" s="100">
        <v>4184.3979211586111</v>
      </c>
      <c r="BL44" s="100">
        <v>1.905831902096577</v>
      </c>
      <c r="BM44" s="100">
        <v>1948.5225367035403</v>
      </c>
      <c r="BN44" s="100">
        <v>4.2463273071494267</v>
      </c>
      <c r="BO44" s="100">
        <v>4341.4450388295736</v>
      </c>
      <c r="BP44" s="100">
        <v>7.5424776954732504</v>
      </c>
      <c r="BQ44" s="100">
        <v>7711.4291958518506</v>
      </c>
      <c r="BR44" s="100">
        <v>2.5905920494203847</v>
      </c>
      <c r="BS44" s="100">
        <v>2648.6213113274011</v>
      </c>
      <c r="BT44" s="100">
        <v>7.3940496491422509</v>
      </c>
      <c r="BU44" s="100">
        <v>7559.6763612830373</v>
      </c>
      <c r="BV44" s="100">
        <v>4.360929890723062</v>
      </c>
      <c r="BW44" s="100">
        <v>4458.6147202752582</v>
      </c>
      <c r="BX44" s="100">
        <v>9</v>
      </c>
      <c r="BY44" s="100">
        <v>9201.6</v>
      </c>
      <c r="BZ44" s="100">
        <v>6.3174608390071167</v>
      </c>
      <c r="CA44" s="100">
        <v>6458.9719618008758</v>
      </c>
      <c r="CB44" s="100">
        <v>5.9172440201034693</v>
      </c>
      <c r="CC44" s="100">
        <v>6049.7902861537868</v>
      </c>
      <c r="CD44" s="100">
        <v>3.3663318454704334</v>
      </c>
      <c r="CE44" s="100">
        <v>3441.7376788089709</v>
      </c>
      <c r="CF44" s="100">
        <v>6</v>
      </c>
      <c r="CG44" s="100">
        <v>6134.4</v>
      </c>
      <c r="CH44" s="100">
        <v>5.5134456000000522</v>
      </c>
      <c r="CI44" s="100">
        <v>5636.9467814400532</v>
      </c>
      <c r="CJ44" s="100">
        <v>2.4481565580850586</v>
      </c>
      <c r="CK44" s="100">
        <v>2502.9952649861639</v>
      </c>
      <c r="CL44" s="100">
        <v>7</v>
      </c>
      <c r="CM44" s="100">
        <v>7156.8</v>
      </c>
      <c r="CN44" s="100">
        <v>5</v>
      </c>
      <c r="CO44" s="100">
        <v>5112</v>
      </c>
      <c r="CP44" s="100">
        <v>5</v>
      </c>
      <c r="CQ44" s="100">
        <v>5112</v>
      </c>
      <c r="CR44" s="100">
        <v>5</v>
      </c>
      <c r="CS44" s="100">
        <v>5112</v>
      </c>
      <c r="CT44" s="100">
        <v>9</v>
      </c>
      <c r="CU44" s="100">
        <v>9201.6</v>
      </c>
    </row>
    <row r="45" spans="2:99">
      <c r="C45" s="99" t="s">
        <v>211</v>
      </c>
      <c r="D45" s="100">
        <v>4.2408543501407407E-4</v>
      </c>
      <c r="E45" s="100">
        <v>0.52976752541958139</v>
      </c>
      <c r="F45" s="100">
        <v>8</v>
      </c>
      <c r="G45" s="100">
        <v>9993.6</v>
      </c>
      <c r="H45" s="100">
        <v>7</v>
      </c>
      <c r="I45" s="100">
        <v>8744.4</v>
      </c>
      <c r="J45" s="100">
        <v>6</v>
      </c>
      <c r="K45" s="100">
        <v>7495.2000000000007</v>
      </c>
      <c r="L45" s="100">
        <v>6</v>
      </c>
      <c r="M45" s="100">
        <v>7495.2000000000007</v>
      </c>
      <c r="N45" s="100">
        <v>7.11616301155233</v>
      </c>
      <c r="O45" s="100">
        <v>8889.5108340311708</v>
      </c>
      <c r="P45" s="100">
        <v>4.2673435099381312</v>
      </c>
      <c r="Q45" s="100">
        <v>5330.7655126147138</v>
      </c>
      <c r="R45" s="100">
        <v>9</v>
      </c>
      <c r="S45" s="100">
        <v>11242.800000000001</v>
      </c>
      <c r="T45" s="100">
        <v>6</v>
      </c>
      <c r="U45" s="100">
        <v>7495.2000000000007</v>
      </c>
      <c r="V45" s="100">
        <v>8</v>
      </c>
      <c r="W45" s="100">
        <v>9993.6</v>
      </c>
      <c r="X45" s="100">
        <v>5</v>
      </c>
      <c r="Y45" s="100">
        <v>6246</v>
      </c>
      <c r="Z45" s="100">
        <v>8</v>
      </c>
      <c r="AA45" s="100">
        <v>9993.6</v>
      </c>
      <c r="AB45" s="100">
        <v>7</v>
      </c>
      <c r="AC45" s="100">
        <v>8744.4</v>
      </c>
      <c r="AD45" s="100">
        <v>4.918633866501386</v>
      </c>
      <c r="AE45" s="100">
        <v>6144.3574260335317</v>
      </c>
      <c r="AF45" s="100">
        <v>8</v>
      </c>
      <c r="AG45" s="100">
        <v>9993.6</v>
      </c>
      <c r="AH45" s="100">
        <v>3.5045584318986602</v>
      </c>
      <c r="AI45" s="100">
        <v>4377.8943931278063</v>
      </c>
      <c r="AJ45" s="100">
        <v>8</v>
      </c>
      <c r="AK45" s="100">
        <v>9993.6</v>
      </c>
      <c r="AL45" s="100">
        <v>4</v>
      </c>
      <c r="AM45" s="100">
        <v>4996.8</v>
      </c>
      <c r="AN45" s="100">
        <v>8</v>
      </c>
      <c r="AO45" s="100">
        <v>9993.6</v>
      </c>
      <c r="AP45" s="100">
        <v>6</v>
      </c>
      <c r="AQ45" s="100">
        <v>7495.2000000000007</v>
      </c>
      <c r="AR45" s="100">
        <v>5.8039218489218758</v>
      </c>
      <c r="AS45" s="100">
        <v>7250.2591736732074</v>
      </c>
      <c r="AT45" s="100">
        <v>5.8645554550550312E-4</v>
      </c>
      <c r="AU45" s="100">
        <v>0.73260026744547457</v>
      </c>
      <c r="AV45" s="100">
        <v>8</v>
      </c>
      <c r="AW45" s="100">
        <v>9993.6</v>
      </c>
      <c r="AX45" s="100">
        <v>9</v>
      </c>
      <c r="AY45" s="100">
        <v>11242.800000000001</v>
      </c>
      <c r="AZ45" s="100">
        <v>6</v>
      </c>
      <c r="BA45" s="100">
        <v>7495.2000000000007</v>
      </c>
      <c r="BB45" s="100">
        <v>5</v>
      </c>
      <c r="BC45" s="100">
        <v>6246</v>
      </c>
      <c r="BD45" s="100">
        <v>7.6617864528650754</v>
      </c>
      <c r="BE45" s="100">
        <v>9571.1036369190533</v>
      </c>
      <c r="BF45" s="100">
        <v>4.3697611693580258</v>
      </c>
      <c r="BG45" s="100">
        <v>5458.7056527620462</v>
      </c>
      <c r="BH45" s="100">
        <v>4.9609063882239877</v>
      </c>
      <c r="BI45" s="100">
        <v>6197.1642601694057</v>
      </c>
      <c r="BJ45" s="100">
        <v>3.4574688845682333</v>
      </c>
      <c r="BK45" s="100">
        <v>4319.0701306026376</v>
      </c>
      <c r="BL45" s="100">
        <v>1.681001282406301</v>
      </c>
      <c r="BM45" s="100">
        <v>2099.906801981951</v>
      </c>
      <c r="BN45" s="100">
        <v>4.2463273071494267</v>
      </c>
      <c r="BO45" s="100">
        <v>5304.5120720910645</v>
      </c>
      <c r="BP45" s="100">
        <v>6.587684170096022</v>
      </c>
      <c r="BQ45" s="100">
        <v>8229.3350652839508</v>
      </c>
      <c r="BR45" s="100">
        <v>2.5905920494203847</v>
      </c>
      <c r="BS45" s="100">
        <v>3236.1675881359447</v>
      </c>
      <c r="BT45" s="100">
        <v>7.4540265929222898</v>
      </c>
      <c r="BU45" s="100">
        <v>9311.5700198785253</v>
      </c>
      <c r="BV45" s="100">
        <v>3.8763821250871668</v>
      </c>
      <c r="BW45" s="100">
        <v>4842.3765506588888</v>
      </c>
      <c r="BX45" s="100">
        <v>9</v>
      </c>
      <c r="BY45" s="100">
        <v>11242.800000000001</v>
      </c>
      <c r="BZ45" s="100">
        <v>6.3174608390071167</v>
      </c>
      <c r="CA45" s="100">
        <v>7891.7720800876905</v>
      </c>
      <c r="CB45" s="100">
        <v>4.7952268200535846</v>
      </c>
      <c r="CC45" s="100">
        <v>5990.1973436109383</v>
      </c>
      <c r="CD45" s="100">
        <v>3.3663318454704334</v>
      </c>
      <c r="CE45" s="100">
        <v>4205.2217413616654</v>
      </c>
      <c r="CF45" s="100">
        <v>6</v>
      </c>
      <c r="CG45" s="100">
        <v>7495.2000000000007</v>
      </c>
      <c r="CH45" s="100">
        <v>5.4635153144414055</v>
      </c>
      <c r="CI45" s="100">
        <v>6825.0233308002043</v>
      </c>
      <c r="CJ45" s="100">
        <v>2.2033409022765529</v>
      </c>
      <c r="CK45" s="100">
        <v>2752.4134551238699</v>
      </c>
      <c r="CL45" s="100">
        <v>7</v>
      </c>
      <c r="CM45" s="100">
        <v>8744.4</v>
      </c>
      <c r="CN45" s="100">
        <v>5</v>
      </c>
      <c r="CO45" s="100">
        <v>6246</v>
      </c>
      <c r="CP45" s="100">
        <v>5</v>
      </c>
      <c r="CQ45" s="100">
        <v>6246</v>
      </c>
      <c r="CR45" s="100">
        <v>5</v>
      </c>
      <c r="CS45" s="100">
        <v>6246</v>
      </c>
      <c r="CT45" s="100">
        <v>8</v>
      </c>
      <c r="CU45" s="100">
        <v>9993.6</v>
      </c>
    </row>
    <row r="46" spans="2:99">
      <c r="C46" s="99" t="s">
        <v>212</v>
      </c>
      <c r="D46" s="100">
        <v>3.3926834801125923E-4</v>
      </c>
      <c r="E46" s="100">
        <v>0.41119323778964617</v>
      </c>
      <c r="F46" s="100">
        <v>9</v>
      </c>
      <c r="G46" s="100">
        <v>10908</v>
      </c>
      <c r="H46" s="100">
        <v>6</v>
      </c>
      <c r="I46" s="100">
        <v>7272</v>
      </c>
      <c r="J46" s="100">
        <v>6</v>
      </c>
      <c r="K46" s="100">
        <v>7272</v>
      </c>
      <c r="L46" s="100">
        <v>6</v>
      </c>
      <c r="M46" s="100">
        <v>7272</v>
      </c>
      <c r="N46" s="100">
        <v>6.11616301155233</v>
      </c>
      <c r="O46" s="100">
        <v>7412.7895700014242</v>
      </c>
      <c r="P46" s="100">
        <v>4.2673435099381312</v>
      </c>
      <c r="Q46" s="100">
        <v>5172.0203340450153</v>
      </c>
      <c r="R46" s="100">
        <v>10</v>
      </c>
      <c r="S46" s="100">
        <v>12120</v>
      </c>
      <c r="T46" s="100">
        <v>6</v>
      </c>
      <c r="U46" s="100">
        <v>7272</v>
      </c>
      <c r="V46" s="100">
        <v>8</v>
      </c>
      <c r="W46" s="100">
        <v>9696</v>
      </c>
      <c r="X46" s="100">
        <v>6</v>
      </c>
      <c r="Y46" s="100">
        <v>7272</v>
      </c>
      <c r="Z46" s="100">
        <v>8</v>
      </c>
      <c r="AA46" s="100">
        <v>9696</v>
      </c>
      <c r="AB46" s="100">
        <v>7</v>
      </c>
      <c r="AC46" s="100">
        <v>8484</v>
      </c>
      <c r="AD46" s="100">
        <v>4.2159718855726167</v>
      </c>
      <c r="AE46" s="100">
        <v>5109.7579253140111</v>
      </c>
      <c r="AF46" s="100">
        <v>8</v>
      </c>
      <c r="AG46" s="100">
        <v>9696</v>
      </c>
      <c r="AH46" s="100">
        <v>3.5045584318986602</v>
      </c>
      <c r="AI46" s="100">
        <v>4247.5248194611759</v>
      </c>
      <c r="AJ46" s="100">
        <v>9</v>
      </c>
      <c r="AK46" s="100">
        <v>10908</v>
      </c>
      <c r="AL46" s="100">
        <v>5</v>
      </c>
      <c r="AM46" s="100">
        <v>6060</v>
      </c>
      <c r="AN46" s="100">
        <v>8</v>
      </c>
      <c r="AO46" s="100">
        <v>9696</v>
      </c>
      <c r="AP46" s="100">
        <v>6</v>
      </c>
      <c r="AQ46" s="100">
        <v>7272</v>
      </c>
      <c r="AR46" s="100">
        <v>4.8366015407682292</v>
      </c>
      <c r="AS46" s="100">
        <v>5861.9610674110936</v>
      </c>
      <c r="AT46" s="100">
        <v>4.6916443640440241E-4</v>
      </c>
      <c r="AU46" s="100">
        <v>0.56862729692213576</v>
      </c>
      <c r="AV46" s="100">
        <v>8</v>
      </c>
      <c r="AW46" s="100">
        <v>9696</v>
      </c>
      <c r="AX46" s="100">
        <v>9</v>
      </c>
      <c r="AY46" s="100">
        <v>10908</v>
      </c>
      <c r="AZ46" s="100">
        <v>6</v>
      </c>
      <c r="BA46" s="100">
        <v>7272</v>
      </c>
      <c r="BB46" s="100">
        <v>6</v>
      </c>
      <c r="BC46" s="100">
        <v>7272</v>
      </c>
      <c r="BD46" s="100">
        <v>8.6195097594732104</v>
      </c>
      <c r="BE46" s="100">
        <v>10446.845828481531</v>
      </c>
      <c r="BF46" s="100">
        <v>5.2437134032296306</v>
      </c>
      <c r="BG46" s="100">
        <v>6355.3806447143124</v>
      </c>
      <c r="BH46" s="100">
        <v>4.1340886568533231</v>
      </c>
      <c r="BI46" s="100">
        <v>5010.5154521062277</v>
      </c>
      <c r="BJ46" s="100">
        <v>4.1143523906618107</v>
      </c>
      <c r="BK46" s="100">
        <v>4986.5950974821144</v>
      </c>
      <c r="BL46" s="100">
        <v>1.6988657731686958</v>
      </c>
      <c r="BM46" s="100">
        <v>2059.0253170804594</v>
      </c>
      <c r="BN46" s="100">
        <v>4.2463273071494267</v>
      </c>
      <c r="BO46" s="100">
        <v>5146.5486962651048</v>
      </c>
      <c r="BP46" s="100">
        <v>6.4972712208504797</v>
      </c>
      <c r="BQ46" s="100">
        <v>7874.6927196707811</v>
      </c>
      <c r="BR46" s="100">
        <v>2.5905920494203847</v>
      </c>
      <c r="BS46" s="100">
        <v>3139.7975638975063</v>
      </c>
      <c r="BT46" s="100">
        <v>7.4240381210322708</v>
      </c>
      <c r="BU46" s="100">
        <v>8997.9342026911127</v>
      </c>
      <c r="BV46" s="100">
        <v>4.8454776563589581</v>
      </c>
      <c r="BW46" s="100">
        <v>5872.7189195070569</v>
      </c>
      <c r="BX46" s="100">
        <v>9</v>
      </c>
      <c r="BY46" s="100">
        <v>10908</v>
      </c>
      <c r="BZ46" s="100">
        <v>6.3174608390071167</v>
      </c>
      <c r="CA46" s="100">
        <v>7656.7625368766257</v>
      </c>
      <c r="CB46" s="100">
        <v>5.3326078800897543</v>
      </c>
      <c r="CC46" s="100">
        <v>6463.1207506687824</v>
      </c>
      <c r="CD46" s="100">
        <v>3.7871233261542376</v>
      </c>
      <c r="CE46" s="100">
        <v>4589.9934712989361</v>
      </c>
      <c r="CF46" s="100">
        <v>6</v>
      </c>
      <c r="CG46" s="100">
        <v>7272</v>
      </c>
      <c r="CH46" s="100">
        <v>4.8925188190736053</v>
      </c>
      <c r="CI46" s="100">
        <v>5929.73280871721</v>
      </c>
      <c r="CJ46" s="100">
        <v>1.9585252464680467</v>
      </c>
      <c r="CK46" s="100">
        <v>2373.7325987192726</v>
      </c>
      <c r="CL46" s="100">
        <v>7</v>
      </c>
      <c r="CM46" s="100">
        <v>8484</v>
      </c>
      <c r="CN46" s="100">
        <v>5</v>
      </c>
      <c r="CO46" s="100">
        <v>6060</v>
      </c>
      <c r="CP46" s="100">
        <v>5</v>
      </c>
      <c r="CQ46" s="100">
        <v>6060</v>
      </c>
      <c r="CR46" s="100">
        <v>5</v>
      </c>
      <c r="CS46" s="100">
        <v>6060</v>
      </c>
      <c r="CT46" s="100">
        <v>9</v>
      </c>
      <c r="CU46" s="100">
        <v>10908</v>
      </c>
    </row>
    <row r="47" spans="2:99">
      <c r="C47" s="99" t="s">
        <v>213</v>
      </c>
      <c r="D47" s="100">
        <v>4.2408543501407407E-4</v>
      </c>
      <c r="E47" s="100">
        <v>0.64783291052749947</v>
      </c>
      <c r="F47" s="100">
        <v>9</v>
      </c>
      <c r="G47" s="100">
        <v>13748.4</v>
      </c>
      <c r="H47" s="100">
        <v>6</v>
      </c>
      <c r="I47" s="100">
        <v>9165.5999999999985</v>
      </c>
      <c r="J47" s="100">
        <v>7</v>
      </c>
      <c r="K47" s="100">
        <v>10693.199999999999</v>
      </c>
      <c r="L47" s="100">
        <v>5</v>
      </c>
      <c r="M47" s="100">
        <v>7638</v>
      </c>
      <c r="N47" s="100">
        <v>6.103256010268737</v>
      </c>
      <c r="O47" s="100">
        <v>9323.3338812865222</v>
      </c>
      <c r="P47" s="100">
        <v>4.2673435099381312</v>
      </c>
      <c r="Q47" s="100">
        <v>6518.7939457814891</v>
      </c>
      <c r="R47" s="100">
        <v>9</v>
      </c>
      <c r="S47" s="100">
        <v>13748.4</v>
      </c>
      <c r="T47" s="100">
        <v>6</v>
      </c>
      <c r="U47" s="100">
        <v>9165.5999999999985</v>
      </c>
      <c r="V47" s="100">
        <v>8</v>
      </c>
      <c r="W47" s="100">
        <v>12220.8</v>
      </c>
      <c r="X47" s="100">
        <v>5</v>
      </c>
      <c r="Y47" s="100">
        <v>7638</v>
      </c>
      <c r="Z47" s="100">
        <v>9</v>
      </c>
      <c r="AA47" s="100">
        <v>13748.4</v>
      </c>
      <c r="AB47" s="100">
        <v>6</v>
      </c>
      <c r="AC47" s="100">
        <v>9165.5999999999985</v>
      </c>
      <c r="AD47" s="100">
        <v>4.2159718855726167</v>
      </c>
      <c r="AE47" s="100">
        <v>6440.3186524007288</v>
      </c>
      <c r="AF47" s="100">
        <v>8</v>
      </c>
      <c r="AG47" s="100">
        <v>12220.8</v>
      </c>
      <c r="AH47" s="100">
        <v>2.9204653599155503</v>
      </c>
      <c r="AI47" s="100">
        <v>4461.302883806994</v>
      </c>
      <c r="AJ47" s="100">
        <v>8</v>
      </c>
      <c r="AK47" s="100">
        <v>12220.8</v>
      </c>
      <c r="AL47" s="100">
        <v>5</v>
      </c>
      <c r="AM47" s="100">
        <v>7638</v>
      </c>
      <c r="AN47" s="100">
        <v>8</v>
      </c>
      <c r="AO47" s="100">
        <v>12220.8</v>
      </c>
      <c r="AP47" s="100">
        <v>5</v>
      </c>
      <c r="AQ47" s="100">
        <v>7638</v>
      </c>
      <c r="AR47" s="100">
        <v>5.8039218489218758</v>
      </c>
      <c r="AS47" s="100">
        <v>8866.0710164130578</v>
      </c>
      <c r="AT47" s="100">
        <v>4.6916443640440241E-4</v>
      </c>
      <c r="AU47" s="100">
        <v>0.7166955930513651</v>
      </c>
      <c r="AV47" s="100">
        <v>7</v>
      </c>
      <c r="AW47" s="100">
        <v>10693.199999999999</v>
      </c>
      <c r="AX47" s="100">
        <v>9</v>
      </c>
      <c r="AY47" s="100">
        <v>13748.4</v>
      </c>
      <c r="AZ47" s="100">
        <v>6</v>
      </c>
      <c r="BA47" s="100">
        <v>9165.5999999999985</v>
      </c>
      <c r="BB47" s="100">
        <v>5</v>
      </c>
      <c r="BC47" s="100">
        <v>7638</v>
      </c>
      <c r="BD47" s="100">
        <v>7.6617864528650754</v>
      </c>
      <c r="BE47" s="100">
        <v>11704.144985396688</v>
      </c>
      <c r="BF47" s="100">
        <v>5.2437134032296306</v>
      </c>
      <c r="BG47" s="100">
        <v>8010.2965947735829</v>
      </c>
      <c r="BH47" s="100">
        <v>4.1340886568533231</v>
      </c>
      <c r="BI47" s="100">
        <v>6315.2338322091355</v>
      </c>
      <c r="BJ47" s="100">
        <v>4.1143523906618107</v>
      </c>
      <c r="BK47" s="100">
        <v>6285.0847119749815</v>
      </c>
      <c r="BL47" s="100">
        <v>1.8968996567153804</v>
      </c>
      <c r="BM47" s="100">
        <v>2897.7039155984148</v>
      </c>
      <c r="BN47" s="100">
        <v>4.2463273071494267</v>
      </c>
      <c r="BO47" s="100">
        <v>6486.6895944014641</v>
      </c>
      <c r="BP47" s="100">
        <v>6.4972712208504797</v>
      </c>
      <c r="BQ47" s="100">
        <v>9925.2315169711928</v>
      </c>
      <c r="BR47" s="100">
        <v>2.5905920494203847</v>
      </c>
      <c r="BS47" s="100">
        <v>3957.3884146945793</v>
      </c>
      <c r="BT47" s="100">
        <v>6.5260218277932562</v>
      </c>
      <c r="BU47" s="100">
        <v>9969.1509441369781</v>
      </c>
      <c r="BV47" s="100">
        <v>4.8454776563589581</v>
      </c>
      <c r="BW47" s="100">
        <v>7401.9516678539439</v>
      </c>
      <c r="BX47" s="100">
        <v>9</v>
      </c>
      <c r="BY47" s="100">
        <v>13748.4</v>
      </c>
      <c r="BZ47" s="100">
        <v>6.2930407744681078</v>
      </c>
      <c r="CA47" s="100">
        <v>9613.2490870774818</v>
      </c>
      <c r="CB47" s="100">
        <v>4.7715992800648115</v>
      </c>
      <c r="CC47" s="100">
        <v>7289.0950602270059</v>
      </c>
      <c r="CD47" s="100">
        <v>3.3663318454704334</v>
      </c>
      <c r="CE47" s="100">
        <v>5142.4085271406339</v>
      </c>
      <c r="CF47" s="100">
        <v>6</v>
      </c>
      <c r="CG47" s="100">
        <v>9165.5999999999985</v>
      </c>
      <c r="CH47" s="100">
        <v>5.4884804572207289</v>
      </c>
      <c r="CI47" s="100">
        <v>8384.2027464503844</v>
      </c>
      <c r="CJ47" s="100">
        <v>1.9585252464680467</v>
      </c>
      <c r="CK47" s="100">
        <v>2991.8431665045878</v>
      </c>
      <c r="CL47" s="100">
        <v>7</v>
      </c>
      <c r="CM47" s="100">
        <v>10693.199999999999</v>
      </c>
      <c r="CN47" s="100">
        <v>5</v>
      </c>
      <c r="CO47" s="100">
        <v>7638</v>
      </c>
      <c r="CP47" s="100">
        <v>6</v>
      </c>
      <c r="CQ47" s="100">
        <v>9165.5999999999985</v>
      </c>
      <c r="CR47" s="100">
        <v>5</v>
      </c>
      <c r="CS47" s="100">
        <v>7638</v>
      </c>
      <c r="CT47" s="100">
        <v>9</v>
      </c>
      <c r="CU47" s="100">
        <v>13748.4</v>
      </c>
    </row>
    <row r="48" spans="2:99">
      <c r="C48" s="99" t="s">
        <v>214</v>
      </c>
      <c r="D48" s="100">
        <v>4.2408543501407407E-4</v>
      </c>
      <c r="E48" s="100">
        <v>0.36793652341821065</v>
      </c>
      <c r="F48" s="100">
        <v>9</v>
      </c>
      <c r="G48" s="100">
        <v>7808.4000000000005</v>
      </c>
      <c r="H48" s="100">
        <v>7</v>
      </c>
      <c r="I48" s="100">
        <v>6073.2</v>
      </c>
      <c r="J48" s="100">
        <v>6</v>
      </c>
      <c r="K48" s="100">
        <v>5205.6000000000004</v>
      </c>
      <c r="L48" s="100">
        <v>6</v>
      </c>
      <c r="M48" s="100">
        <v>5205.6000000000004</v>
      </c>
      <c r="N48" s="100">
        <v>7.103256010268737</v>
      </c>
      <c r="O48" s="100">
        <v>6162.7849145091568</v>
      </c>
      <c r="P48" s="100">
        <v>4.2673435099381312</v>
      </c>
      <c r="Q48" s="100">
        <v>3702.3472292223228</v>
      </c>
      <c r="R48" s="100">
        <v>8</v>
      </c>
      <c r="S48" s="100">
        <v>6940.8</v>
      </c>
      <c r="T48" s="100">
        <v>6</v>
      </c>
      <c r="U48" s="100">
        <v>5205.6000000000004</v>
      </c>
      <c r="V48" s="100">
        <v>8</v>
      </c>
      <c r="W48" s="100">
        <v>6940.8</v>
      </c>
      <c r="X48" s="100">
        <v>6</v>
      </c>
      <c r="Y48" s="100">
        <v>5205.6000000000004</v>
      </c>
      <c r="Z48" s="100">
        <v>9</v>
      </c>
      <c r="AA48" s="100">
        <v>7808.4000000000005</v>
      </c>
      <c r="AB48" s="100">
        <v>7</v>
      </c>
      <c r="AC48" s="100">
        <v>6073.2</v>
      </c>
      <c r="AD48" s="100">
        <v>4.918633866501386</v>
      </c>
      <c r="AE48" s="100">
        <v>4267.4067425766025</v>
      </c>
      <c r="AF48" s="100">
        <v>9</v>
      </c>
      <c r="AG48" s="100">
        <v>7808.4000000000005</v>
      </c>
      <c r="AH48" s="100">
        <v>4.0886515038817706</v>
      </c>
      <c r="AI48" s="100">
        <v>3547.3140447678243</v>
      </c>
      <c r="AJ48" s="100">
        <v>9</v>
      </c>
      <c r="AK48" s="100">
        <v>7808.4000000000005</v>
      </c>
      <c r="AL48" s="100">
        <v>5</v>
      </c>
      <c r="AM48" s="100">
        <v>4338</v>
      </c>
      <c r="AN48" s="100">
        <v>7</v>
      </c>
      <c r="AO48" s="100">
        <v>6073.2</v>
      </c>
      <c r="AP48" s="100">
        <v>5</v>
      </c>
      <c r="AQ48" s="100">
        <v>4338</v>
      </c>
      <c r="AR48" s="100">
        <v>5.8039218489218758</v>
      </c>
      <c r="AS48" s="100">
        <v>5035.4825961246197</v>
      </c>
      <c r="AT48" s="100">
        <v>4.6916443640440241E-4</v>
      </c>
      <c r="AU48" s="100">
        <v>0.40704706502445953</v>
      </c>
      <c r="AV48" s="100">
        <v>8</v>
      </c>
      <c r="AW48" s="100">
        <v>6940.8</v>
      </c>
      <c r="AX48" s="100">
        <v>9</v>
      </c>
      <c r="AY48" s="100">
        <v>7808.4000000000005</v>
      </c>
      <c r="AZ48" s="100">
        <v>6</v>
      </c>
      <c r="BA48" s="100">
        <v>5205.6000000000004</v>
      </c>
      <c r="BB48" s="100">
        <v>5</v>
      </c>
      <c r="BC48" s="100">
        <v>4338</v>
      </c>
      <c r="BD48" s="100">
        <v>8.6195097594732104</v>
      </c>
      <c r="BE48" s="100">
        <v>7478.2866673189574</v>
      </c>
      <c r="BF48" s="100">
        <v>5.2437134032296306</v>
      </c>
      <c r="BG48" s="100">
        <v>4549.4457486420279</v>
      </c>
      <c r="BH48" s="100">
        <v>4.9609063882239877</v>
      </c>
      <c r="BI48" s="100">
        <v>4304.082382423132</v>
      </c>
      <c r="BJ48" s="100">
        <v>4.1359838099243538</v>
      </c>
      <c r="BK48" s="100">
        <v>3588.3795534903693</v>
      </c>
      <c r="BL48" s="100">
        <v>1.9147641474777748</v>
      </c>
      <c r="BM48" s="100">
        <v>1661.2493743517175</v>
      </c>
      <c r="BN48" s="100">
        <v>4.2463273071494267</v>
      </c>
      <c r="BO48" s="100">
        <v>3684.1135716828426</v>
      </c>
      <c r="BP48" s="100">
        <v>7.4972712208504797</v>
      </c>
      <c r="BQ48" s="100">
        <v>6504.6325112098766</v>
      </c>
      <c r="BR48" s="100">
        <v>2.5905920494203847</v>
      </c>
      <c r="BS48" s="100">
        <v>2247.5976620771257</v>
      </c>
      <c r="BT48" s="100">
        <v>7.4540265929222898</v>
      </c>
      <c r="BU48" s="100">
        <v>6467.1134720193786</v>
      </c>
      <c r="BV48" s="100">
        <v>4.360929890723062</v>
      </c>
      <c r="BW48" s="100">
        <v>3783.5427731913287</v>
      </c>
      <c r="BX48" s="100">
        <v>8</v>
      </c>
      <c r="BY48" s="100">
        <v>6940.8</v>
      </c>
      <c r="BZ48" s="100">
        <v>7.2930407744681078</v>
      </c>
      <c r="CA48" s="100">
        <v>6327.4421759285306</v>
      </c>
      <c r="CB48" s="100">
        <v>5.8936164801146971</v>
      </c>
      <c r="CC48" s="100">
        <v>5113.3016581475113</v>
      </c>
      <c r="CD48" s="100">
        <v>3.3663318454704334</v>
      </c>
      <c r="CE48" s="100">
        <v>2920.6295091301481</v>
      </c>
      <c r="CF48" s="100">
        <v>6</v>
      </c>
      <c r="CG48" s="100">
        <v>5205.6000000000004</v>
      </c>
      <c r="CH48" s="100">
        <v>5.5134456000000522</v>
      </c>
      <c r="CI48" s="100">
        <v>4783.4654025600457</v>
      </c>
      <c r="CJ48" s="100">
        <v>2.2033409022765529</v>
      </c>
      <c r="CK48" s="100">
        <v>1911.6185668151372</v>
      </c>
      <c r="CL48" s="100">
        <v>7</v>
      </c>
      <c r="CM48" s="100">
        <v>6073.2</v>
      </c>
      <c r="CN48" s="100">
        <v>5</v>
      </c>
      <c r="CO48" s="100">
        <v>4338</v>
      </c>
      <c r="CP48" s="100">
        <v>6</v>
      </c>
      <c r="CQ48" s="100">
        <v>5205.6000000000004</v>
      </c>
      <c r="CR48" s="100">
        <v>4</v>
      </c>
      <c r="CS48" s="100">
        <v>3470.4</v>
      </c>
      <c r="CT48" s="100">
        <v>8</v>
      </c>
      <c r="CU48" s="100">
        <v>6940.8</v>
      </c>
    </row>
    <row r="49" spans="2:99">
      <c r="B49" s="99" t="s">
        <v>129</v>
      </c>
      <c r="C49" s="99" t="s">
        <v>215</v>
      </c>
      <c r="D49" s="100">
        <v>5</v>
      </c>
      <c r="E49" s="100">
        <v>4926</v>
      </c>
      <c r="F49" s="100">
        <v>4</v>
      </c>
      <c r="G49" s="100">
        <v>3940.7999999999997</v>
      </c>
      <c r="H49" s="100">
        <v>3.360788612477553</v>
      </c>
      <c r="I49" s="100">
        <v>3311.0489410128848</v>
      </c>
      <c r="J49" s="100">
        <v>4.4807144879994034</v>
      </c>
      <c r="K49" s="100">
        <v>4414.3999135770118</v>
      </c>
      <c r="L49" s="100">
        <v>5.8650450346951093</v>
      </c>
      <c r="M49" s="100">
        <v>5778.2423681816217</v>
      </c>
      <c r="N49" s="100">
        <v>1.6770334596436185</v>
      </c>
      <c r="O49" s="100">
        <v>1652.2133644408927</v>
      </c>
      <c r="P49" s="100">
        <v>3</v>
      </c>
      <c r="Q49" s="100">
        <v>2955.6</v>
      </c>
      <c r="R49" s="100">
        <v>4.9034950498048477</v>
      </c>
      <c r="S49" s="100">
        <v>4830.9233230677355</v>
      </c>
      <c r="T49" s="100">
        <v>4</v>
      </c>
      <c r="U49" s="100">
        <v>3940.7999999999997</v>
      </c>
      <c r="V49" s="100">
        <v>7</v>
      </c>
      <c r="W49" s="100">
        <v>6896.4</v>
      </c>
      <c r="X49" s="100">
        <v>5.2623914462568564</v>
      </c>
      <c r="Y49" s="100">
        <v>5184.5080528522549</v>
      </c>
      <c r="Z49" s="100">
        <v>2.4692249244818831</v>
      </c>
      <c r="AA49" s="100">
        <v>2432.680395599551</v>
      </c>
      <c r="AB49" s="100">
        <v>6.3991642756916924</v>
      </c>
      <c r="AC49" s="100">
        <v>6304.4566444114553</v>
      </c>
      <c r="AD49" s="100">
        <v>1.3498791135751045</v>
      </c>
      <c r="AE49" s="100">
        <v>1329.9009026941928</v>
      </c>
      <c r="AF49" s="100">
        <v>5.5743929498048759E-4</v>
      </c>
      <c r="AG49" s="100">
        <v>0.54918919341477634</v>
      </c>
      <c r="AH49" s="100">
        <v>4</v>
      </c>
      <c r="AI49" s="100">
        <v>3940.7999999999997</v>
      </c>
      <c r="AJ49" s="100">
        <v>4</v>
      </c>
      <c r="AK49" s="100">
        <v>3940.7999999999997</v>
      </c>
      <c r="AL49" s="100">
        <v>4</v>
      </c>
      <c r="AM49" s="100">
        <v>3940.7999999999997</v>
      </c>
      <c r="AN49" s="100">
        <v>7</v>
      </c>
      <c r="AO49" s="100">
        <v>6896.4</v>
      </c>
      <c r="AP49" s="100">
        <v>7.1556791116532228</v>
      </c>
      <c r="AQ49" s="100">
        <v>7049.7750608007545</v>
      </c>
      <c r="AR49" s="100">
        <v>3.8878910370752013</v>
      </c>
      <c r="AS49" s="100">
        <v>3830.3502497264881</v>
      </c>
      <c r="AT49" s="100">
        <v>4.4191731321075567</v>
      </c>
      <c r="AU49" s="100">
        <v>4353.7693697523646</v>
      </c>
      <c r="AV49" s="100">
        <v>6.5353686773611814</v>
      </c>
      <c r="AW49" s="100">
        <v>6438.6452209362351</v>
      </c>
      <c r="AX49" s="100">
        <v>6.1102201070791189</v>
      </c>
      <c r="AY49" s="100">
        <v>6019.7888494943472</v>
      </c>
      <c r="AZ49" s="100">
        <v>4.036983704348116</v>
      </c>
      <c r="BA49" s="100">
        <v>3977.2363455237637</v>
      </c>
      <c r="BB49" s="100">
        <v>6.4987197802924284</v>
      </c>
      <c r="BC49" s="100">
        <v>6402.5387275440999</v>
      </c>
      <c r="BD49" s="100">
        <v>1.2362339970763272</v>
      </c>
      <c r="BE49" s="100">
        <v>1217.9377339195976</v>
      </c>
      <c r="BF49" s="100">
        <v>3.2402658026555815</v>
      </c>
      <c r="BG49" s="100">
        <v>3192.3098687762786</v>
      </c>
      <c r="BH49" s="100">
        <v>2.0563033542300495</v>
      </c>
      <c r="BI49" s="100">
        <v>2025.8700645874446</v>
      </c>
      <c r="BJ49" s="100">
        <v>1.8764020256378289</v>
      </c>
      <c r="BK49" s="100">
        <v>1848.6312756583889</v>
      </c>
      <c r="BL49" s="100">
        <v>1.5618267684766698</v>
      </c>
      <c r="BM49" s="100">
        <v>1538.7117323032151</v>
      </c>
      <c r="BN49" s="100">
        <v>4.3554652109572265</v>
      </c>
      <c r="BO49" s="100">
        <v>4291.0043258350588</v>
      </c>
      <c r="BP49" s="100">
        <v>3.193975214811386</v>
      </c>
      <c r="BQ49" s="100">
        <v>3146.7043816321775</v>
      </c>
      <c r="BR49" s="100">
        <v>6.3326623036802756</v>
      </c>
      <c r="BS49" s="100">
        <v>6238.9389015858069</v>
      </c>
      <c r="BT49" s="100">
        <v>5</v>
      </c>
      <c r="BU49" s="100">
        <v>4926</v>
      </c>
      <c r="BV49" s="100">
        <v>6.3480407238105121</v>
      </c>
      <c r="BW49" s="100">
        <v>6254.0897210981157</v>
      </c>
      <c r="BX49" s="100">
        <v>2.7033975088604159</v>
      </c>
      <c r="BY49" s="100">
        <v>2663.3872257292815</v>
      </c>
      <c r="BZ49" s="100">
        <v>6</v>
      </c>
      <c r="CA49" s="100">
        <v>5911.2</v>
      </c>
      <c r="CB49" s="100">
        <v>4</v>
      </c>
      <c r="CC49" s="100">
        <v>3940.7999999999997</v>
      </c>
      <c r="CD49" s="100">
        <v>6</v>
      </c>
      <c r="CE49" s="100">
        <v>5911.2</v>
      </c>
      <c r="CF49" s="100">
        <v>5</v>
      </c>
      <c r="CG49" s="100">
        <v>4926</v>
      </c>
      <c r="CH49" s="100">
        <v>4</v>
      </c>
      <c r="CI49" s="100">
        <v>3940.7999999999997</v>
      </c>
      <c r="CJ49" s="100">
        <v>4.0494309514401925</v>
      </c>
      <c r="CK49" s="100">
        <v>3989.4993733588772</v>
      </c>
      <c r="CL49" s="100">
        <v>3.825989391641941</v>
      </c>
      <c r="CM49" s="100">
        <v>3769.3647486456398</v>
      </c>
      <c r="CN49" s="100">
        <v>7.1758473134294318</v>
      </c>
      <c r="CO49" s="100">
        <v>7069.6447731906756</v>
      </c>
      <c r="CP49" s="100">
        <v>2.3876330841074411</v>
      </c>
      <c r="CQ49" s="100">
        <v>2352.2961144626506</v>
      </c>
      <c r="CR49" s="100">
        <v>6</v>
      </c>
      <c r="CS49" s="100">
        <v>5911.2</v>
      </c>
      <c r="CT49" s="100">
        <v>3.0095944457720019</v>
      </c>
      <c r="CU49" s="100">
        <v>2965.0524479745759</v>
      </c>
    </row>
    <row r="50" spans="2:99">
      <c r="C50" s="99" t="s">
        <v>216</v>
      </c>
      <c r="D50" s="100">
        <v>5.089025220168888E-4</v>
      </c>
      <c r="E50" s="100">
        <v>0.14351051120876265</v>
      </c>
      <c r="F50" s="100">
        <v>4</v>
      </c>
      <c r="G50" s="100">
        <v>1128</v>
      </c>
      <c r="H50" s="100">
        <v>5</v>
      </c>
      <c r="I50" s="100">
        <v>1410</v>
      </c>
      <c r="J50" s="100">
        <v>5</v>
      </c>
      <c r="K50" s="100">
        <v>1410</v>
      </c>
      <c r="L50" s="100">
        <v>6</v>
      </c>
      <c r="M50" s="100">
        <v>1692</v>
      </c>
      <c r="N50" s="100">
        <v>4.0774420077015527</v>
      </c>
      <c r="O50" s="100">
        <v>1149.8386461718378</v>
      </c>
      <c r="P50" s="100">
        <v>3.4138748079505046</v>
      </c>
      <c r="Q50" s="100">
        <v>962.71269584204231</v>
      </c>
      <c r="R50" s="100">
        <v>6</v>
      </c>
      <c r="S50" s="100">
        <v>1692</v>
      </c>
      <c r="T50" s="100">
        <v>4</v>
      </c>
      <c r="U50" s="100">
        <v>1128</v>
      </c>
      <c r="V50" s="100">
        <v>6</v>
      </c>
      <c r="W50" s="100">
        <v>1692</v>
      </c>
      <c r="X50" s="100">
        <v>6</v>
      </c>
      <c r="Y50" s="100">
        <v>1692</v>
      </c>
      <c r="Z50" s="100">
        <v>4</v>
      </c>
      <c r="AA50" s="100">
        <v>1128</v>
      </c>
      <c r="AB50" s="100">
        <v>6</v>
      </c>
      <c r="AC50" s="100">
        <v>1692</v>
      </c>
      <c r="AD50" s="100">
        <v>3.5133099046438474</v>
      </c>
      <c r="AE50" s="100">
        <v>990.75339310956497</v>
      </c>
      <c r="AF50" s="100">
        <v>7</v>
      </c>
      <c r="AG50" s="100">
        <v>1974</v>
      </c>
      <c r="AH50" s="100">
        <v>2.33637228793244</v>
      </c>
      <c r="AI50" s="100">
        <v>658.85698519694813</v>
      </c>
      <c r="AJ50" s="100">
        <v>5</v>
      </c>
      <c r="AK50" s="100">
        <v>1410</v>
      </c>
      <c r="AL50" s="100">
        <v>5</v>
      </c>
      <c r="AM50" s="100">
        <v>1410</v>
      </c>
      <c r="AN50" s="100">
        <v>7</v>
      </c>
      <c r="AO50" s="100">
        <v>1974</v>
      </c>
      <c r="AP50" s="100">
        <v>7</v>
      </c>
      <c r="AQ50" s="100">
        <v>1974</v>
      </c>
      <c r="AR50" s="100">
        <v>4.8366015407682292</v>
      </c>
      <c r="AS50" s="100">
        <v>1363.9216344966405</v>
      </c>
      <c r="AT50" s="100">
        <v>2.3458221820220121E-4</v>
      </c>
      <c r="AU50" s="100">
        <v>6.6152185533020741E-2</v>
      </c>
      <c r="AV50" s="100">
        <v>7</v>
      </c>
      <c r="AW50" s="100">
        <v>1974</v>
      </c>
      <c r="AX50" s="100">
        <v>5</v>
      </c>
      <c r="AY50" s="100">
        <v>1410</v>
      </c>
      <c r="AZ50" s="100">
        <v>5</v>
      </c>
      <c r="BA50" s="100">
        <v>1410</v>
      </c>
      <c r="BB50" s="100">
        <v>6</v>
      </c>
      <c r="BC50" s="100">
        <v>1692</v>
      </c>
      <c r="BD50" s="100">
        <v>2.8731699198244032</v>
      </c>
      <c r="BE50" s="100">
        <v>810.23391739048168</v>
      </c>
      <c r="BF50" s="100">
        <v>4.3697611693580258</v>
      </c>
      <c r="BG50" s="100">
        <v>1232.2726497589633</v>
      </c>
      <c r="BH50" s="100">
        <v>3.3072709254826589</v>
      </c>
      <c r="BI50" s="100">
        <v>932.65040098610984</v>
      </c>
      <c r="BJ50" s="100">
        <v>4.1359838099243538</v>
      </c>
      <c r="BK50" s="100">
        <v>1166.3474343986677</v>
      </c>
      <c r="BL50" s="100">
        <v>0.95291595104828852</v>
      </c>
      <c r="BM50" s="100">
        <v>268.72229819561738</v>
      </c>
      <c r="BN50" s="100">
        <v>3.1847454803620696</v>
      </c>
      <c r="BO50" s="100">
        <v>898.09822546210364</v>
      </c>
      <c r="BP50" s="100">
        <v>4.452064746227709</v>
      </c>
      <c r="BQ50" s="100">
        <v>1255.4822584362139</v>
      </c>
      <c r="BR50" s="100">
        <v>3.1087104593044619</v>
      </c>
      <c r="BS50" s="100">
        <v>876.65634952385824</v>
      </c>
      <c r="BT50" s="100">
        <v>5.7179709502243012</v>
      </c>
      <c r="BU50" s="100">
        <v>1612.4678079632529</v>
      </c>
      <c r="BV50" s="100">
        <v>3.3918343594512708</v>
      </c>
      <c r="BW50" s="100">
        <v>956.49728936525833</v>
      </c>
      <c r="BX50" s="100">
        <v>5</v>
      </c>
      <c r="BY50" s="100">
        <v>1410</v>
      </c>
      <c r="BZ50" s="100">
        <v>5.1465203872340544</v>
      </c>
      <c r="CA50" s="100">
        <v>1451.3187492000034</v>
      </c>
      <c r="CB50" s="100">
        <v>2.3857996400324057</v>
      </c>
      <c r="CC50" s="100">
        <v>672.79549848913837</v>
      </c>
      <c r="CD50" s="100">
        <v>2.9455403647866292</v>
      </c>
      <c r="CE50" s="100">
        <v>830.64238286982948</v>
      </c>
      <c r="CF50" s="100">
        <v>6</v>
      </c>
      <c r="CG50" s="100">
        <v>1692</v>
      </c>
      <c r="CH50" s="100">
        <v>2.4587419809264643</v>
      </c>
      <c r="CI50" s="100">
        <v>693.36523862126296</v>
      </c>
      <c r="CJ50" s="100">
        <v>1.2240782790425293</v>
      </c>
      <c r="CK50" s="100">
        <v>345.19007468999325</v>
      </c>
      <c r="CL50" s="100">
        <v>4</v>
      </c>
      <c r="CM50" s="100">
        <v>1128</v>
      </c>
      <c r="CN50" s="100">
        <v>6</v>
      </c>
      <c r="CO50" s="100">
        <v>1692</v>
      </c>
      <c r="CP50" s="100">
        <v>6</v>
      </c>
      <c r="CQ50" s="100">
        <v>1692</v>
      </c>
      <c r="CR50" s="100">
        <v>5</v>
      </c>
      <c r="CS50" s="100">
        <v>1410</v>
      </c>
      <c r="CT50" s="100">
        <v>4</v>
      </c>
      <c r="CU50" s="100">
        <v>1128</v>
      </c>
    </row>
    <row r="51" spans="2:99">
      <c r="C51" s="99" t="s">
        <v>217</v>
      </c>
      <c r="D51" s="100">
        <v>5.089025220168888E-4</v>
      </c>
      <c r="E51" s="100">
        <v>0.43480631481122978</v>
      </c>
      <c r="F51" s="100">
        <v>4</v>
      </c>
      <c r="G51" s="100">
        <v>3417.6</v>
      </c>
      <c r="H51" s="100">
        <v>5</v>
      </c>
      <c r="I51" s="100">
        <v>4272</v>
      </c>
      <c r="J51" s="100">
        <v>5</v>
      </c>
      <c r="K51" s="100">
        <v>4272</v>
      </c>
      <c r="L51" s="100">
        <v>6</v>
      </c>
      <c r="M51" s="100">
        <v>5126.3999999999996</v>
      </c>
      <c r="N51" s="100">
        <v>4.0774420077015527</v>
      </c>
      <c r="O51" s="100">
        <v>3483.7664513802065</v>
      </c>
      <c r="P51" s="100">
        <v>3.4138748079505046</v>
      </c>
      <c r="Q51" s="100">
        <v>2916.8146359129109</v>
      </c>
      <c r="R51" s="100">
        <v>6</v>
      </c>
      <c r="S51" s="100">
        <v>5126.3999999999996</v>
      </c>
      <c r="T51" s="100">
        <v>4</v>
      </c>
      <c r="U51" s="100">
        <v>3417.6</v>
      </c>
      <c r="V51" s="100">
        <v>7</v>
      </c>
      <c r="W51" s="100">
        <v>5980.8</v>
      </c>
      <c r="X51" s="100">
        <v>5</v>
      </c>
      <c r="Y51" s="100">
        <v>4272</v>
      </c>
      <c r="Z51" s="100">
        <v>4</v>
      </c>
      <c r="AA51" s="100">
        <v>3417.6</v>
      </c>
      <c r="AB51" s="100">
        <v>5</v>
      </c>
      <c r="AC51" s="100">
        <v>4272</v>
      </c>
      <c r="AD51" s="100">
        <v>3.5133099046438474</v>
      </c>
      <c r="AE51" s="100">
        <v>3001.7719825277031</v>
      </c>
      <c r="AF51" s="100">
        <v>6</v>
      </c>
      <c r="AG51" s="100">
        <v>5126.3999999999996</v>
      </c>
      <c r="AH51" s="100">
        <v>2.9204653599155503</v>
      </c>
      <c r="AI51" s="100">
        <v>2495.2456035118462</v>
      </c>
      <c r="AJ51" s="100">
        <v>5</v>
      </c>
      <c r="AK51" s="100">
        <v>4272</v>
      </c>
      <c r="AL51" s="100">
        <v>4</v>
      </c>
      <c r="AM51" s="100">
        <v>3417.6</v>
      </c>
      <c r="AN51" s="100">
        <v>6</v>
      </c>
      <c r="AO51" s="100">
        <v>5126.3999999999996</v>
      </c>
      <c r="AP51" s="100">
        <v>7</v>
      </c>
      <c r="AQ51" s="100">
        <v>5980.8</v>
      </c>
      <c r="AR51" s="100">
        <v>3.8692812326145836</v>
      </c>
      <c r="AS51" s="100">
        <v>3305.9138851459002</v>
      </c>
      <c r="AT51" s="100">
        <v>2.3458221820220121E-4</v>
      </c>
      <c r="AU51" s="100">
        <v>0.2004270472319607</v>
      </c>
      <c r="AV51" s="100">
        <v>6</v>
      </c>
      <c r="AW51" s="100">
        <v>5126.3999999999996</v>
      </c>
      <c r="AX51" s="100">
        <v>6</v>
      </c>
      <c r="AY51" s="100">
        <v>5126.3999999999996</v>
      </c>
      <c r="AZ51" s="100">
        <v>6</v>
      </c>
      <c r="BA51" s="100">
        <v>5126.3999999999996</v>
      </c>
      <c r="BB51" s="100">
        <v>7</v>
      </c>
      <c r="BC51" s="100">
        <v>5980.8</v>
      </c>
      <c r="BD51" s="100">
        <v>3.8308932264325377</v>
      </c>
      <c r="BE51" s="100">
        <v>3273.11517266396</v>
      </c>
      <c r="BF51" s="100">
        <v>3.4958089354864206</v>
      </c>
      <c r="BG51" s="100">
        <v>2986.8191544795977</v>
      </c>
      <c r="BH51" s="100">
        <v>3.3072709254826589</v>
      </c>
      <c r="BI51" s="100">
        <v>2825.7322787323837</v>
      </c>
      <c r="BJ51" s="100">
        <v>4.1143523906618107</v>
      </c>
      <c r="BK51" s="100">
        <v>3515.3026825814509</v>
      </c>
      <c r="BL51" s="100">
        <v>0.94398370566709144</v>
      </c>
      <c r="BM51" s="100">
        <v>806.53967812196288</v>
      </c>
      <c r="BN51" s="100">
        <v>3.1847454803620696</v>
      </c>
      <c r="BO51" s="100">
        <v>2721.0465384213521</v>
      </c>
      <c r="BP51" s="100">
        <v>4.4068582716049383</v>
      </c>
      <c r="BQ51" s="100">
        <v>3765.2197072592589</v>
      </c>
      <c r="BR51" s="100">
        <v>3.1087104593044619</v>
      </c>
      <c r="BS51" s="100">
        <v>2656.0822164297319</v>
      </c>
      <c r="BT51" s="100">
        <v>4.8199546569852876</v>
      </c>
      <c r="BU51" s="100">
        <v>4118.1692589282293</v>
      </c>
      <c r="BV51" s="100">
        <v>2.9072865938153751</v>
      </c>
      <c r="BW51" s="100">
        <v>2483.9856657558566</v>
      </c>
      <c r="BX51" s="100">
        <v>5</v>
      </c>
      <c r="BY51" s="100">
        <v>4272</v>
      </c>
      <c r="BZ51" s="100">
        <v>5.1465203872340544</v>
      </c>
      <c r="CA51" s="100">
        <v>4397.1870188527755</v>
      </c>
      <c r="CB51" s="100">
        <v>2.4094271800211784</v>
      </c>
      <c r="CC51" s="100">
        <v>2058.6145826100947</v>
      </c>
      <c r="CD51" s="100">
        <v>2.5247488841028249</v>
      </c>
      <c r="CE51" s="100">
        <v>2157.1454465774536</v>
      </c>
      <c r="CF51" s="100">
        <v>5</v>
      </c>
      <c r="CG51" s="100">
        <v>4272</v>
      </c>
      <c r="CH51" s="100">
        <v>2.4587419809264643</v>
      </c>
      <c r="CI51" s="100">
        <v>2100.7491485035712</v>
      </c>
      <c r="CJ51" s="100">
        <v>1.2240782790425293</v>
      </c>
      <c r="CK51" s="100">
        <v>1045.852481613937</v>
      </c>
      <c r="CL51" s="100">
        <v>4</v>
      </c>
      <c r="CM51" s="100">
        <v>3417.6</v>
      </c>
      <c r="CN51" s="100">
        <v>7</v>
      </c>
      <c r="CO51" s="100">
        <v>5980.8</v>
      </c>
      <c r="CP51" s="100">
        <v>6</v>
      </c>
      <c r="CQ51" s="100">
        <v>5126.3999999999996</v>
      </c>
      <c r="CR51" s="100">
        <v>6</v>
      </c>
      <c r="CS51" s="100">
        <v>5126.3999999999996</v>
      </c>
      <c r="CT51" s="100">
        <v>4</v>
      </c>
      <c r="CU51" s="100">
        <v>3417.6</v>
      </c>
    </row>
    <row r="52" spans="2:99">
      <c r="C52" s="99" t="s">
        <v>218</v>
      </c>
      <c r="D52" s="100">
        <v>5.089025220168888E-4</v>
      </c>
      <c r="E52" s="100">
        <v>0.27480736188911997</v>
      </c>
      <c r="F52" s="100">
        <v>4</v>
      </c>
      <c r="G52" s="100">
        <v>2160</v>
      </c>
      <c r="H52" s="100">
        <v>5</v>
      </c>
      <c r="I52" s="100">
        <v>2700</v>
      </c>
      <c r="J52" s="100">
        <v>5</v>
      </c>
      <c r="K52" s="100">
        <v>2700</v>
      </c>
      <c r="L52" s="100">
        <v>6</v>
      </c>
      <c r="M52" s="100">
        <v>3240</v>
      </c>
      <c r="N52" s="100">
        <v>4.0774420077015527</v>
      </c>
      <c r="O52" s="100">
        <v>2201.8186841588386</v>
      </c>
      <c r="P52" s="100">
        <v>3.4138748079505046</v>
      </c>
      <c r="Q52" s="100">
        <v>1843.4923962932726</v>
      </c>
      <c r="R52" s="100">
        <v>6</v>
      </c>
      <c r="S52" s="100">
        <v>3240</v>
      </c>
      <c r="T52" s="100">
        <v>4</v>
      </c>
      <c r="U52" s="100">
        <v>2160</v>
      </c>
      <c r="V52" s="100">
        <v>7</v>
      </c>
      <c r="W52" s="100">
        <v>3780</v>
      </c>
      <c r="X52" s="100">
        <v>6</v>
      </c>
      <c r="Y52" s="100">
        <v>3240</v>
      </c>
      <c r="Z52" s="100">
        <v>4</v>
      </c>
      <c r="AA52" s="100">
        <v>2160</v>
      </c>
      <c r="AB52" s="100">
        <v>6</v>
      </c>
      <c r="AC52" s="100">
        <v>3240</v>
      </c>
      <c r="AD52" s="100">
        <v>3.5133099046438474</v>
      </c>
      <c r="AE52" s="100">
        <v>1897.1873485076776</v>
      </c>
      <c r="AF52" s="100">
        <v>6</v>
      </c>
      <c r="AG52" s="100">
        <v>3240</v>
      </c>
      <c r="AH52" s="100">
        <v>2.33637228793244</v>
      </c>
      <c r="AI52" s="100">
        <v>1261.6410354835175</v>
      </c>
      <c r="AJ52" s="100">
        <v>4</v>
      </c>
      <c r="AK52" s="100">
        <v>2160</v>
      </c>
      <c r="AL52" s="100">
        <v>4</v>
      </c>
      <c r="AM52" s="100">
        <v>2160</v>
      </c>
      <c r="AN52" s="100">
        <v>7</v>
      </c>
      <c r="AO52" s="100">
        <v>3780</v>
      </c>
      <c r="AP52" s="100">
        <v>6</v>
      </c>
      <c r="AQ52" s="100">
        <v>3240</v>
      </c>
      <c r="AR52" s="100">
        <v>4.8366015407682292</v>
      </c>
      <c r="AS52" s="100">
        <v>2611.7648320148437</v>
      </c>
      <c r="AT52" s="100">
        <v>2.9322777275275156E-4</v>
      </c>
      <c r="AU52" s="100">
        <v>0.15834299728648585</v>
      </c>
      <c r="AV52" s="100">
        <v>6</v>
      </c>
      <c r="AW52" s="100">
        <v>3240</v>
      </c>
      <c r="AX52" s="100">
        <v>5</v>
      </c>
      <c r="AY52" s="100">
        <v>2700</v>
      </c>
      <c r="AZ52" s="100">
        <v>5</v>
      </c>
      <c r="BA52" s="100">
        <v>2700</v>
      </c>
      <c r="BB52" s="100">
        <v>6</v>
      </c>
      <c r="BC52" s="100">
        <v>3240</v>
      </c>
      <c r="BD52" s="100">
        <v>3.8308932264325377</v>
      </c>
      <c r="BE52" s="100">
        <v>2068.6823422735702</v>
      </c>
      <c r="BF52" s="100">
        <v>4.3697611693580258</v>
      </c>
      <c r="BG52" s="100">
        <v>2359.6710314533339</v>
      </c>
      <c r="BH52" s="100">
        <v>3.3072709254826589</v>
      </c>
      <c r="BI52" s="100">
        <v>1785.9262997606359</v>
      </c>
      <c r="BJ52" s="100">
        <v>4.1143523906618107</v>
      </c>
      <c r="BK52" s="100">
        <v>2221.7502909573777</v>
      </c>
      <c r="BL52" s="100">
        <v>0.95291595104828852</v>
      </c>
      <c r="BM52" s="100">
        <v>514.57461356607575</v>
      </c>
      <c r="BN52" s="100">
        <v>3.7155363937557482</v>
      </c>
      <c r="BO52" s="100">
        <v>2006.3896526281039</v>
      </c>
      <c r="BP52" s="100">
        <v>4.4068582716049383</v>
      </c>
      <c r="BQ52" s="100">
        <v>2379.7034666666668</v>
      </c>
      <c r="BR52" s="100">
        <v>2.5905920494203847</v>
      </c>
      <c r="BS52" s="100">
        <v>1398.9197066870076</v>
      </c>
      <c r="BT52" s="100">
        <v>4.7599777132052479</v>
      </c>
      <c r="BU52" s="100">
        <v>2570.3879651308339</v>
      </c>
      <c r="BV52" s="100">
        <v>3.3918343594512708</v>
      </c>
      <c r="BW52" s="100">
        <v>1831.5905541036861</v>
      </c>
      <c r="BX52" s="100">
        <v>4</v>
      </c>
      <c r="BY52" s="100">
        <v>2160</v>
      </c>
      <c r="BZ52" s="100">
        <v>6.1465203872340544</v>
      </c>
      <c r="CA52" s="100">
        <v>3319.1210091063895</v>
      </c>
      <c r="CB52" s="100">
        <v>2.3857996400324057</v>
      </c>
      <c r="CC52" s="100">
        <v>1288.3318056174992</v>
      </c>
      <c r="CD52" s="100">
        <v>2.5247488841028249</v>
      </c>
      <c r="CE52" s="100">
        <v>1363.3643974155254</v>
      </c>
      <c r="CF52" s="100">
        <v>6</v>
      </c>
      <c r="CG52" s="100">
        <v>3240</v>
      </c>
      <c r="CH52" s="100">
        <v>1.8877454855586646</v>
      </c>
      <c r="CI52" s="100">
        <v>1019.3825622016789</v>
      </c>
      <c r="CJ52" s="100">
        <v>1.2240782790425293</v>
      </c>
      <c r="CK52" s="100">
        <v>661.00227068296579</v>
      </c>
      <c r="CL52" s="100">
        <v>4</v>
      </c>
      <c r="CM52" s="100">
        <v>2160</v>
      </c>
      <c r="CN52" s="100">
        <v>6</v>
      </c>
      <c r="CO52" s="100">
        <v>3240</v>
      </c>
      <c r="CP52" s="100">
        <v>6</v>
      </c>
      <c r="CQ52" s="100">
        <v>3240</v>
      </c>
      <c r="CR52" s="100">
        <v>5</v>
      </c>
      <c r="CS52" s="100">
        <v>2700</v>
      </c>
      <c r="CT52" s="100">
        <v>4</v>
      </c>
      <c r="CU52" s="100">
        <v>2160</v>
      </c>
    </row>
    <row r="53" spans="2:99">
      <c r="C53" s="99" t="s">
        <v>219</v>
      </c>
      <c r="D53" s="100">
        <v>5.089025220168888E-4</v>
      </c>
      <c r="E53" s="100">
        <v>0.20702154595647038</v>
      </c>
      <c r="F53" s="100">
        <v>4</v>
      </c>
      <c r="G53" s="100">
        <v>1627.2</v>
      </c>
      <c r="H53" s="100">
        <v>6</v>
      </c>
      <c r="I53" s="100">
        <v>2440.8000000000002</v>
      </c>
      <c r="J53" s="100">
        <v>5</v>
      </c>
      <c r="K53" s="100">
        <v>2034</v>
      </c>
      <c r="L53" s="100">
        <v>7</v>
      </c>
      <c r="M53" s="100">
        <v>2847.6</v>
      </c>
      <c r="N53" s="100">
        <v>4.0903490089851449</v>
      </c>
      <c r="O53" s="100">
        <v>1663.953976855157</v>
      </c>
      <c r="P53" s="100">
        <v>3.4138748079505046</v>
      </c>
      <c r="Q53" s="100">
        <v>1388.7642718742652</v>
      </c>
      <c r="R53" s="100">
        <v>6</v>
      </c>
      <c r="S53" s="100">
        <v>2440.8000000000002</v>
      </c>
      <c r="T53" s="100">
        <v>3</v>
      </c>
      <c r="U53" s="100">
        <v>1220.4000000000001</v>
      </c>
      <c r="V53" s="100">
        <v>6</v>
      </c>
      <c r="W53" s="100">
        <v>2440.8000000000002</v>
      </c>
      <c r="X53" s="100">
        <v>6</v>
      </c>
      <c r="Y53" s="100">
        <v>2440.8000000000002</v>
      </c>
      <c r="Z53" s="100">
        <v>5</v>
      </c>
      <c r="AA53" s="100">
        <v>2034</v>
      </c>
      <c r="AB53" s="100">
        <v>6</v>
      </c>
      <c r="AC53" s="100">
        <v>2440.8000000000002</v>
      </c>
      <c r="AD53" s="100">
        <v>4.2159718855726167</v>
      </c>
      <c r="AE53" s="100">
        <v>1715.0573630509405</v>
      </c>
      <c r="AF53" s="100">
        <v>6</v>
      </c>
      <c r="AG53" s="100">
        <v>2440.8000000000002</v>
      </c>
      <c r="AH53" s="100">
        <v>2.9204653599155503</v>
      </c>
      <c r="AI53" s="100">
        <v>1188.0453084136459</v>
      </c>
      <c r="AJ53" s="100">
        <v>5</v>
      </c>
      <c r="AK53" s="100">
        <v>2034</v>
      </c>
      <c r="AL53" s="100">
        <v>5</v>
      </c>
      <c r="AM53" s="100">
        <v>2034</v>
      </c>
      <c r="AN53" s="100">
        <v>6</v>
      </c>
      <c r="AO53" s="100">
        <v>2440.8000000000002</v>
      </c>
      <c r="AP53" s="100">
        <v>6</v>
      </c>
      <c r="AQ53" s="100">
        <v>2440.8000000000002</v>
      </c>
      <c r="AR53" s="100">
        <v>3.8692812326145836</v>
      </c>
      <c r="AS53" s="100">
        <v>1574.0236054276127</v>
      </c>
      <c r="AT53" s="100">
        <v>2.3458221820220121E-4</v>
      </c>
      <c r="AU53" s="100">
        <v>9.5428046364655447E-2</v>
      </c>
      <c r="AV53" s="100">
        <v>7</v>
      </c>
      <c r="AW53" s="100">
        <v>2847.6</v>
      </c>
      <c r="AX53" s="100">
        <v>6</v>
      </c>
      <c r="AY53" s="100">
        <v>2440.8000000000002</v>
      </c>
      <c r="AZ53" s="100">
        <v>5</v>
      </c>
      <c r="BA53" s="100">
        <v>2034</v>
      </c>
      <c r="BB53" s="100">
        <v>6</v>
      </c>
      <c r="BC53" s="100">
        <v>2440.8000000000002</v>
      </c>
      <c r="BD53" s="100">
        <v>3.8308932264325377</v>
      </c>
      <c r="BE53" s="100">
        <v>1558.4073645127564</v>
      </c>
      <c r="BF53" s="100">
        <v>4.3697611693580258</v>
      </c>
      <c r="BG53" s="100">
        <v>1777.6188436948451</v>
      </c>
      <c r="BH53" s="100">
        <v>3.3072709254826589</v>
      </c>
      <c r="BI53" s="100">
        <v>1345.3978124863456</v>
      </c>
      <c r="BJ53" s="100">
        <v>4.1359838099243538</v>
      </c>
      <c r="BK53" s="100">
        <v>1682.5182138772273</v>
      </c>
      <c r="BL53" s="100">
        <v>0.95291595104828852</v>
      </c>
      <c r="BM53" s="100">
        <v>387.64620888644379</v>
      </c>
      <c r="BN53" s="100">
        <v>3.1847454803620696</v>
      </c>
      <c r="BO53" s="100">
        <v>1295.55446141129</v>
      </c>
      <c r="BP53" s="100">
        <v>4.4068582716049383</v>
      </c>
      <c r="BQ53" s="100">
        <v>1792.7099448888889</v>
      </c>
      <c r="BR53" s="100">
        <v>3.1087104593044619</v>
      </c>
      <c r="BS53" s="100">
        <v>1264.6234148450551</v>
      </c>
      <c r="BT53" s="100">
        <v>5.6879824783342814</v>
      </c>
      <c r="BU53" s="100">
        <v>2313.8712721863858</v>
      </c>
      <c r="BV53" s="100">
        <v>3.3918343594512708</v>
      </c>
      <c r="BW53" s="100">
        <v>1379.798217424777</v>
      </c>
      <c r="BX53" s="100">
        <v>5</v>
      </c>
      <c r="BY53" s="100">
        <v>2034</v>
      </c>
      <c r="BZ53" s="100">
        <v>6.1221003226950454</v>
      </c>
      <c r="CA53" s="100">
        <v>2490.4704112723443</v>
      </c>
      <c r="CB53" s="100">
        <v>2.3857996400324057</v>
      </c>
      <c r="CC53" s="100">
        <v>970.54329356518269</v>
      </c>
      <c r="CD53" s="100">
        <v>2.5247488841028249</v>
      </c>
      <c r="CE53" s="100">
        <v>1027.0678460530291</v>
      </c>
      <c r="CF53" s="100">
        <v>6</v>
      </c>
      <c r="CG53" s="100">
        <v>2440.8000000000002</v>
      </c>
      <c r="CH53" s="100">
        <v>1.9127106283379884</v>
      </c>
      <c r="CI53" s="100">
        <v>778.09068360789377</v>
      </c>
      <c r="CJ53" s="100">
        <v>1.2240782790425293</v>
      </c>
      <c r="CK53" s="100">
        <v>497.95504391450095</v>
      </c>
      <c r="CL53" s="100">
        <v>4</v>
      </c>
      <c r="CM53" s="100">
        <v>1627.2</v>
      </c>
      <c r="CN53" s="100">
        <v>7</v>
      </c>
      <c r="CO53" s="100">
        <v>2847.6</v>
      </c>
      <c r="CP53" s="100">
        <v>6</v>
      </c>
      <c r="CQ53" s="100">
        <v>2440.8000000000002</v>
      </c>
      <c r="CR53" s="100">
        <v>6</v>
      </c>
      <c r="CS53" s="100">
        <v>2440.8000000000002</v>
      </c>
      <c r="CT53" s="100">
        <v>4</v>
      </c>
      <c r="CU53" s="100">
        <v>1627.2</v>
      </c>
    </row>
    <row r="54" spans="2:99">
      <c r="C54" s="99" t="s">
        <v>220</v>
      </c>
      <c r="D54" s="100">
        <v>5.089025220168888E-4</v>
      </c>
      <c r="E54" s="100">
        <v>0.17038056437125437</v>
      </c>
      <c r="F54" s="100">
        <v>4</v>
      </c>
      <c r="G54" s="100">
        <v>1339.2</v>
      </c>
      <c r="H54" s="100">
        <v>5</v>
      </c>
      <c r="I54" s="100">
        <v>1674</v>
      </c>
      <c r="J54" s="100">
        <v>5</v>
      </c>
      <c r="K54" s="100">
        <v>1674</v>
      </c>
      <c r="L54" s="100">
        <v>6</v>
      </c>
      <c r="M54" s="100">
        <v>2008.8000000000002</v>
      </c>
      <c r="N54" s="100">
        <v>4.0774420077015527</v>
      </c>
      <c r="O54" s="100">
        <v>1365.12758417848</v>
      </c>
      <c r="P54" s="100">
        <v>3.4138748079505046</v>
      </c>
      <c r="Q54" s="100">
        <v>1142.9652857018289</v>
      </c>
      <c r="R54" s="100">
        <v>6</v>
      </c>
      <c r="S54" s="100">
        <v>2008.8000000000002</v>
      </c>
      <c r="T54" s="100">
        <v>4</v>
      </c>
      <c r="U54" s="100">
        <v>1339.2</v>
      </c>
      <c r="V54" s="100">
        <v>7</v>
      </c>
      <c r="W54" s="100">
        <v>2343.6</v>
      </c>
      <c r="X54" s="100">
        <v>6</v>
      </c>
      <c r="Y54" s="100">
        <v>2008.8000000000002</v>
      </c>
      <c r="Z54" s="100">
        <v>4</v>
      </c>
      <c r="AA54" s="100">
        <v>1339.2</v>
      </c>
      <c r="AB54" s="100">
        <v>5</v>
      </c>
      <c r="AC54" s="100">
        <v>1674</v>
      </c>
      <c r="AD54" s="100">
        <v>3.5133099046438474</v>
      </c>
      <c r="AE54" s="100">
        <v>1176.2561560747602</v>
      </c>
      <c r="AF54" s="100">
        <v>6</v>
      </c>
      <c r="AG54" s="100">
        <v>2008.8000000000002</v>
      </c>
      <c r="AH54" s="100">
        <v>2.33637228793244</v>
      </c>
      <c r="AI54" s="100">
        <v>782.21744199978093</v>
      </c>
      <c r="AJ54" s="100">
        <v>5</v>
      </c>
      <c r="AK54" s="100">
        <v>1674</v>
      </c>
      <c r="AL54" s="100">
        <v>5</v>
      </c>
      <c r="AM54" s="100">
        <v>1674</v>
      </c>
      <c r="AN54" s="100">
        <v>6</v>
      </c>
      <c r="AO54" s="100">
        <v>2008.8000000000002</v>
      </c>
      <c r="AP54" s="100">
        <v>6</v>
      </c>
      <c r="AQ54" s="100">
        <v>2008.8000000000002</v>
      </c>
      <c r="AR54" s="100">
        <v>4.8366015407682292</v>
      </c>
      <c r="AS54" s="100">
        <v>1619.2941958492031</v>
      </c>
      <c r="AT54" s="100">
        <v>2.3458221820220121E-4</v>
      </c>
      <c r="AU54" s="100">
        <v>7.8538126654096971E-2</v>
      </c>
      <c r="AV54" s="100">
        <v>7</v>
      </c>
      <c r="AW54" s="100">
        <v>2343.6</v>
      </c>
      <c r="AX54" s="100">
        <v>6</v>
      </c>
      <c r="AY54" s="100">
        <v>2008.8000000000002</v>
      </c>
      <c r="AZ54" s="100">
        <v>5</v>
      </c>
      <c r="BA54" s="100">
        <v>1674</v>
      </c>
      <c r="BB54" s="100">
        <v>6</v>
      </c>
      <c r="BC54" s="100">
        <v>2008.8000000000002</v>
      </c>
      <c r="BD54" s="100">
        <v>3.8308932264325377</v>
      </c>
      <c r="BE54" s="100">
        <v>1282.5830522096137</v>
      </c>
      <c r="BF54" s="100">
        <v>3.4958089354864206</v>
      </c>
      <c r="BG54" s="100">
        <v>1170.3968316008536</v>
      </c>
      <c r="BH54" s="100">
        <v>3.3072709254826589</v>
      </c>
      <c r="BI54" s="100">
        <v>1107.2743058515941</v>
      </c>
      <c r="BJ54" s="100">
        <v>4.1143523906618107</v>
      </c>
      <c r="BK54" s="100">
        <v>1377.4851803935742</v>
      </c>
      <c r="BL54" s="100">
        <v>0.95291595104828852</v>
      </c>
      <c r="BM54" s="100">
        <v>319.03626041096703</v>
      </c>
      <c r="BN54" s="100">
        <v>3.7155363937557482</v>
      </c>
      <c r="BO54" s="100">
        <v>1243.9615846294246</v>
      </c>
      <c r="BP54" s="100">
        <v>5.4068582716049383</v>
      </c>
      <c r="BQ54" s="100">
        <v>1810.2161493333333</v>
      </c>
      <c r="BR54" s="100">
        <v>3.1087104593044619</v>
      </c>
      <c r="BS54" s="100">
        <v>1040.7962617751339</v>
      </c>
      <c r="BT54" s="100">
        <v>5.6879824783342814</v>
      </c>
      <c r="BU54" s="100">
        <v>1904.3365337463174</v>
      </c>
      <c r="BV54" s="100">
        <v>3.3918343594512708</v>
      </c>
      <c r="BW54" s="100">
        <v>1135.5861435442855</v>
      </c>
      <c r="BX54" s="100">
        <v>4</v>
      </c>
      <c r="BY54" s="100">
        <v>1339.2</v>
      </c>
      <c r="BZ54" s="100">
        <v>6.1465203872340544</v>
      </c>
      <c r="CA54" s="100">
        <v>2057.8550256459616</v>
      </c>
      <c r="CB54" s="100">
        <v>2.4094271800211784</v>
      </c>
      <c r="CC54" s="100">
        <v>806.67621987109055</v>
      </c>
      <c r="CD54" s="100">
        <v>2.9455403647866292</v>
      </c>
      <c r="CE54" s="100">
        <v>986.16691413056344</v>
      </c>
      <c r="CF54" s="100">
        <v>6</v>
      </c>
      <c r="CG54" s="100">
        <v>2008.8000000000002</v>
      </c>
      <c r="CH54" s="100">
        <v>1.8877454855586646</v>
      </c>
      <c r="CI54" s="100">
        <v>632.0171885650409</v>
      </c>
      <c r="CJ54" s="100">
        <v>1.2240782790425293</v>
      </c>
      <c r="CK54" s="100">
        <v>409.82140782343885</v>
      </c>
      <c r="CL54" s="100">
        <v>3</v>
      </c>
      <c r="CM54" s="100">
        <v>1004.4000000000001</v>
      </c>
      <c r="CN54" s="100">
        <v>7</v>
      </c>
      <c r="CO54" s="100">
        <v>2343.6</v>
      </c>
      <c r="CP54" s="100">
        <v>7</v>
      </c>
      <c r="CQ54" s="100">
        <v>2343.6</v>
      </c>
      <c r="CR54" s="100">
        <v>5</v>
      </c>
      <c r="CS54" s="100">
        <v>1674</v>
      </c>
      <c r="CT54" s="100">
        <v>4</v>
      </c>
      <c r="CU54" s="100">
        <v>1339.2</v>
      </c>
    </row>
    <row r="55" spans="2:99">
      <c r="C55" s="99" t="s">
        <v>221</v>
      </c>
      <c r="D55" s="100">
        <v>5.9371960901970374E-4</v>
      </c>
      <c r="E55" s="100">
        <v>0.39399233254547539</v>
      </c>
      <c r="F55" s="100">
        <v>4</v>
      </c>
      <c r="G55" s="100">
        <v>2654.4</v>
      </c>
      <c r="H55" s="100">
        <v>5</v>
      </c>
      <c r="I55" s="100">
        <v>3318</v>
      </c>
      <c r="J55" s="100">
        <v>5</v>
      </c>
      <c r="K55" s="100">
        <v>3318</v>
      </c>
      <c r="L55" s="100">
        <v>6</v>
      </c>
      <c r="M55" s="100">
        <v>3981.6000000000004</v>
      </c>
      <c r="N55" s="100">
        <v>4.0774420077015527</v>
      </c>
      <c r="O55" s="100">
        <v>2705.7905163107507</v>
      </c>
      <c r="P55" s="100">
        <v>3.4138748079505046</v>
      </c>
      <c r="Q55" s="100">
        <v>2265.447322555955</v>
      </c>
      <c r="R55" s="100">
        <v>6</v>
      </c>
      <c r="S55" s="100">
        <v>3981.6000000000004</v>
      </c>
      <c r="T55" s="100">
        <v>3</v>
      </c>
      <c r="U55" s="100">
        <v>1990.8000000000002</v>
      </c>
      <c r="V55" s="100">
        <v>7</v>
      </c>
      <c r="W55" s="100">
        <v>4645.2</v>
      </c>
      <c r="X55" s="100">
        <v>5</v>
      </c>
      <c r="Y55" s="100">
        <v>3318</v>
      </c>
      <c r="Z55" s="100">
        <v>4</v>
      </c>
      <c r="AA55" s="100">
        <v>2654.4</v>
      </c>
      <c r="AB55" s="100">
        <v>6</v>
      </c>
      <c r="AC55" s="100">
        <v>3981.6000000000004</v>
      </c>
      <c r="AD55" s="100">
        <v>3.5133099046438474</v>
      </c>
      <c r="AE55" s="100">
        <v>2331.4324527216572</v>
      </c>
      <c r="AF55" s="100">
        <v>6</v>
      </c>
      <c r="AG55" s="100">
        <v>3981.6000000000004</v>
      </c>
      <c r="AH55" s="100">
        <v>2.9204653599155503</v>
      </c>
      <c r="AI55" s="100">
        <v>1938.0208128399593</v>
      </c>
      <c r="AJ55" s="100">
        <v>5</v>
      </c>
      <c r="AK55" s="100">
        <v>3318</v>
      </c>
      <c r="AL55" s="100">
        <v>5</v>
      </c>
      <c r="AM55" s="100">
        <v>3318</v>
      </c>
      <c r="AN55" s="100">
        <v>7</v>
      </c>
      <c r="AO55" s="100">
        <v>4645.2</v>
      </c>
      <c r="AP55" s="100">
        <v>7</v>
      </c>
      <c r="AQ55" s="100">
        <v>4645.2</v>
      </c>
      <c r="AR55" s="100">
        <v>3.8692812326145836</v>
      </c>
      <c r="AS55" s="100">
        <v>2567.6550259630376</v>
      </c>
      <c r="AT55" s="100">
        <v>2.9322777275275156E-4</v>
      </c>
      <c r="AU55" s="100">
        <v>0.19458594999872594</v>
      </c>
      <c r="AV55" s="100">
        <v>7</v>
      </c>
      <c r="AW55" s="100">
        <v>4645.2</v>
      </c>
      <c r="AX55" s="100">
        <v>6</v>
      </c>
      <c r="AY55" s="100">
        <v>3981.6000000000004</v>
      </c>
      <c r="AZ55" s="100">
        <v>6</v>
      </c>
      <c r="BA55" s="100">
        <v>3981.6000000000004</v>
      </c>
      <c r="BB55" s="100">
        <v>6</v>
      </c>
      <c r="BC55" s="100">
        <v>3981.6000000000004</v>
      </c>
      <c r="BD55" s="100">
        <v>3.8308932264325377</v>
      </c>
      <c r="BE55" s="100">
        <v>2542.180745060632</v>
      </c>
      <c r="BF55" s="100">
        <v>4.3697611693580258</v>
      </c>
      <c r="BG55" s="100">
        <v>2899.7735119859863</v>
      </c>
      <c r="BH55" s="100">
        <v>4.1340886568533231</v>
      </c>
      <c r="BI55" s="100">
        <v>2743.3812326878651</v>
      </c>
      <c r="BJ55" s="100">
        <v>4.0927209713992676</v>
      </c>
      <c r="BK55" s="100">
        <v>2715.929636620554</v>
      </c>
      <c r="BL55" s="100">
        <v>0.95291595104828852</v>
      </c>
      <c r="BM55" s="100">
        <v>632.35502511564425</v>
      </c>
      <c r="BN55" s="100">
        <v>3.7155363937557482</v>
      </c>
      <c r="BO55" s="100">
        <v>2465.6299508963148</v>
      </c>
      <c r="BP55" s="100">
        <v>4.4068582716049383</v>
      </c>
      <c r="BQ55" s="100">
        <v>2924.3911490370369</v>
      </c>
      <c r="BR55" s="100">
        <v>3.1087104593044619</v>
      </c>
      <c r="BS55" s="100">
        <v>2062.9402607944412</v>
      </c>
      <c r="BT55" s="100">
        <v>4.8199546569852876</v>
      </c>
      <c r="BU55" s="100">
        <v>3198.5219103754371</v>
      </c>
      <c r="BV55" s="100">
        <v>3.3918343594512708</v>
      </c>
      <c r="BW55" s="100">
        <v>2250.8212809318634</v>
      </c>
      <c r="BX55" s="100">
        <v>5</v>
      </c>
      <c r="BY55" s="100">
        <v>3318</v>
      </c>
      <c r="BZ55" s="100">
        <v>6.1465203872340544</v>
      </c>
      <c r="CA55" s="100">
        <v>4078.8309289685185</v>
      </c>
      <c r="CB55" s="100">
        <v>2.4094271800211784</v>
      </c>
      <c r="CC55" s="100">
        <v>1598.895876662054</v>
      </c>
      <c r="CD55" s="100">
        <v>2.5247488841028249</v>
      </c>
      <c r="CE55" s="100">
        <v>1675.4233594906348</v>
      </c>
      <c r="CF55" s="100">
        <v>5</v>
      </c>
      <c r="CG55" s="100">
        <v>3318</v>
      </c>
      <c r="CH55" s="100">
        <v>2.4587419809264643</v>
      </c>
      <c r="CI55" s="100">
        <v>1631.6211785428018</v>
      </c>
      <c r="CJ55" s="100">
        <v>1.2240782790425293</v>
      </c>
      <c r="CK55" s="100">
        <v>812.29834597262243</v>
      </c>
      <c r="CL55" s="100">
        <v>4</v>
      </c>
      <c r="CM55" s="100">
        <v>2654.4</v>
      </c>
      <c r="CN55" s="100">
        <v>6</v>
      </c>
      <c r="CO55" s="100">
        <v>3981.6000000000004</v>
      </c>
      <c r="CP55" s="100">
        <v>6</v>
      </c>
      <c r="CQ55" s="100">
        <v>3981.6000000000004</v>
      </c>
      <c r="CR55" s="100">
        <v>6</v>
      </c>
      <c r="CS55" s="100">
        <v>3981.6000000000004</v>
      </c>
      <c r="CT55" s="100">
        <v>4</v>
      </c>
      <c r="CU55" s="100">
        <v>2654.4</v>
      </c>
    </row>
    <row r="56" spans="2:99">
      <c r="C56" s="99" t="s">
        <v>222</v>
      </c>
      <c r="D56" s="100">
        <v>4.0394403105431591</v>
      </c>
      <c r="E56" s="100">
        <v>3965.1146088291648</v>
      </c>
      <c r="F56" s="100">
        <v>2.3743621006117506</v>
      </c>
      <c r="G56" s="100">
        <v>2330.673837960494</v>
      </c>
      <c r="H56" s="100">
        <v>0.26986070524640882</v>
      </c>
      <c r="I56" s="100">
        <v>264.89526826987486</v>
      </c>
      <c r="J56" s="100">
        <v>2.6100903962795292</v>
      </c>
      <c r="K56" s="100">
        <v>2562.0647329879857</v>
      </c>
      <c r="L56" s="100">
        <v>3.5268950259529404</v>
      </c>
      <c r="M56" s="100">
        <v>3462.000157475406</v>
      </c>
      <c r="N56" s="100">
        <v>2.643389613657479</v>
      </c>
      <c r="O56" s="100">
        <v>2594.7512447661811</v>
      </c>
      <c r="P56" s="100">
        <v>2.2705406117283888</v>
      </c>
      <c r="Q56" s="100">
        <v>2228.7626644725865</v>
      </c>
      <c r="R56" s="100">
        <v>3.4213141552059523</v>
      </c>
      <c r="S56" s="100">
        <v>3358.3619747501625</v>
      </c>
      <c r="T56" s="100">
        <v>2.4917223701619271</v>
      </c>
      <c r="U56" s="100">
        <v>2445.8746785509475</v>
      </c>
      <c r="V56" s="100">
        <v>3.84672369151648</v>
      </c>
      <c r="W56" s="100">
        <v>3775.9439755925764</v>
      </c>
      <c r="X56" s="100">
        <v>4.2080116323944166E-4</v>
      </c>
      <c r="Y56" s="100">
        <v>0.41305842183583591</v>
      </c>
      <c r="Z56" s="100">
        <v>2.6515482235761745</v>
      </c>
      <c r="AA56" s="100">
        <v>2602.7597362623728</v>
      </c>
      <c r="AB56" s="100">
        <v>4.8609488007810571</v>
      </c>
      <c r="AC56" s="100">
        <v>4771.5073428466849</v>
      </c>
      <c r="AD56" s="100">
        <v>3.0975692571493961E-4</v>
      </c>
      <c r="AE56" s="100">
        <v>0.30405739828178469</v>
      </c>
      <c r="AF56" s="100">
        <v>3.0782432531843002E-4</v>
      </c>
      <c r="AG56" s="100">
        <v>0.30216035773257088</v>
      </c>
      <c r="AH56" s="100">
        <v>2.3389449249501801</v>
      </c>
      <c r="AI56" s="100">
        <v>2295.9083383310967</v>
      </c>
      <c r="AJ56" s="100">
        <v>2.5156075014727302</v>
      </c>
      <c r="AK56" s="100">
        <v>2469.3203234456319</v>
      </c>
      <c r="AL56" s="100">
        <v>3.1173191472308965</v>
      </c>
      <c r="AM56" s="100">
        <v>3059.9604749218479</v>
      </c>
      <c r="AN56" s="100">
        <v>0.32521630493472103</v>
      </c>
      <c r="AO56" s="100">
        <v>319.23232492392214</v>
      </c>
      <c r="AP56" s="100">
        <v>6.6434028646644316</v>
      </c>
      <c r="AQ56" s="100">
        <v>6521.1642519546058</v>
      </c>
      <c r="AR56" s="100">
        <v>0.70920698235689883</v>
      </c>
      <c r="AS56" s="100">
        <v>696.15757388153179</v>
      </c>
      <c r="AT56" s="100">
        <v>4.4302016664654031</v>
      </c>
      <c r="AU56" s="100">
        <v>4348.6859558024389</v>
      </c>
      <c r="AV56" s="100">
        <v>4.9969677558551924</v>
      </c>
      <c r="AW56" s="100">
        <v>4905.0235491474559</v>
      </c>
      <c r="AX56" s="100">
        <v>5</v>
      </c>
      <c r="AY56" s="100">
        <v>4908</v>
      </c>
      <c r="AZ56" s="100">
        <v>6</v>
      </c>
      <c r="BA56" s="100">
        <v>5889.5999999999995</v>
      </c>
      <c r="BB56" s="100">
        <v>4.3373573066361306</v>
      </c>
      <c r="BC56" s="100">
        <v>4257.5499321940251</v>
      </c>
      <c r="BD56" s="100">
        <v>2.1344139737606969</v>
      </c>
      <c r="BE56" s="100">
        <v>2095.1407566435</v>
      </c>
      <c r="BF56" s="100">
        <v>1.9824443245771082E-4</v>
      </c>
      <c r="BG56" s="100">
        <v>0.19459673490048893</v>
      </c>
      <c r="BH56" s="100">
        <v>2.0215715151922375E-4</v>
      </c>
      <c r="BI56" s="100">
        <v>0.19843745993127002</v>
      </c>
      <c r="BJ56" s="100">
        <v>3.9394726962720523E-4</v>
      </c>
      <c r="BK56" s="100">
        <v>0.38669863986606462</v>
      </c>
      <c r="BL56" s="100">
        <v>2.7037887456511162E-4</v>
      </c>
      <c r="BM56" s="100">
        <v>0.26540390327311353</v>
      </c>
      <c r="BN56" s="100">
        <v>3.8962945237902562</v>
      </c>
      <c r="BO56" s="100">
        <v>3824.6027045525152</v>
      </c>
      <c r="BP56" s="100">
        <v>2.1887939476144731</v>
      </c>
      <c r="BQ56" s="100">
        <v>2148.5201389783665</v>
      </c>
      <c r="BR56" s="100">
        <v>3.6063741429666551</v>
      </c>
      <c r="BS56" s="100">
        <v>3540.0168587360686</v>
      </c>
      <c r="BT56" s="100">
        <v>2.6830327793130522</v>
      </c>
      <c r="BU56" s="100">
        <v>2633.6649761736917</v>
      </c>
      <c r="BV56" s="100">
        <v>3.5509762087174126</v>
      </c>
      <c r="BW56" s="100">
        <v>3485.6382464770118</v>
      </c>
      <c r="BX56" s="100">
        <v>2.6057557857050822</v>
      </c>
      <c r="BY56" s="100">
        <v>2557.8098792481082</v>
      </c>
      <c r="BZ56" s="100">
        <v>2.6846925763708769</v>
      </c>
      <c r="CA56" s="100">
        <v>2635.2942329656526</v>
      </c>
      <c r="CB56" s="100">
        <v>1.5885027519265442</v>
      </c>
      <c r="CC56" s="100">
        <v>1559.2743012910958</v>
      </c>
      <c r="CD56" s="100">
        <v>3.0396519300437492</v>
      </c>
      <c r="CE56" s="100">
        <v>2983.722334530944</v>
      </c>
      <c r="CF56" s="100">
        <v>2.999296680125989</v>
      </c>
      <c r="CG56" s="100">
        <v>2944.1096212116704</v>
      </c>
      <c r="CH56" s="100">
        <v>2.2061554105283387</v>
      </c>
      <c r="CI56" s="100">
        <v>2165.562150974617</v>
      </c>
      <c r="CJ56" s="100">
        <v>0.49790431619567327</v>
      </c>
      <c r="CK56" s="100">
        <v>488.74287677767285</v>
      </c>
      <c r="CL56" s="100">
        <v>4</v>
      </c>
      <c r="CM56" s="100">
        <v>3926.3999999999996</v>
      </c>
      <c r="CN56" s="100">
        <v>5.6774125164679541</v>
      </c>
      <c r="CO56" s="100">
        <v>5572.9481261649435</v>
      </c>
      <c r="CP56" s="100">
        <v>3.2986073756829906</v>
      </c>
      <c r="CQ56" s="100">
        <v>3237.9129999704232</v>
      </c>
      <c r="CR56" s="100">
        <v>0.4006803964651573</v>
      </c>
      <c r="CS56" s="100">
        <v>393.30787717019837</v>
      </c>
      <c r="CT56" s="100">
        <v>4.2949265016388827</v>
      </c>
      <c r="CU56" s="100">
        <v>4215.8998540087268</v>
      </c>
    </row>
    <row r="57" spans="2:99">
      <c r="C57" s="99" t="s">
        <v>223</v>
      </c>
      <c r="D57" s="100">
        <v>5.089025220168888E-4</v>
      </c>
      <c r="E57" s="100">
        <v>0.71816323907023349</v>
      </c>
      <c r="F57" s="100">
        <v>4</v>
      </c>
      <c r="G57" s="100">
        <v>5644.8</v>
      </c>
      <c r="H57" s="100">
        <v>5</v>
      </c>
      <c r="I57" s="100">
        <v>7056</v>
      </c>
      <c r="J57" s="100">
        <v>5</v>
      </c>
      <c r="K57" s="100">
        <v>7056</v>
      </c>
      <c r="L57" s="100">
        <v>7</v>
      </c>
      <c r="M57" s="100">
        <v>9878.4</v>
      </c>
      <c r="N57" s="100">
        <v>4.0774420077015527</v>
      </c>
      <c r="O57" s="100">
        <v>5754.0861612684312</v>
      </c>
      <c r="P57" s="100">
        <v>2.5604061059628784</v>
      </c>
      <c r="Q57" s="100">
        <v>3613.2450967348141</v>
      </c>
      <c r="R57" s="100">
        <v>5</v>
      </c>
      <c r="S57" s="100">
        <v>7056</v>
      </c>
      <c r="T57" s="100">
        <v>4</v>
      </c>
      <c r="U57" s="100">
        <v>5644.8</v>
      </c>
      <c r="V57" s="100">
        <v>6</v>
      </c>
      <c r="W57" s="100">
        <v>8467.2000000000007</v>
      </c>
      <c r="X57" s="100">
        <v>6</v>
      </c>
      <c r="Y57" s="100">
        <v>8467.2000000000007</v>
      </c>
      <c r="Z57" s="100">
        <v>4</v>
      </c>
      <c r="AA57" s="100">
        <v>5644.8</v>
      </c>
      <c r="AB57" s="100">
        <v>6</v>
      </c>
      <c r="AC57" s="100">
        <v>8467.2000000000007</v>
      </c>
      <c r="AD57" s="100">
        <v>3.5133099046438474</v>
      </c>
      <c r="AE57" s="100">
        <v>4957.9829374333976</v>
      </c>
      <c r="AF57" s="100">
        <v>7</v>
      </c>
      <c r="AG57" s="100">
        <v>9878.4</v>
      </c>
      <c r="AH57" s="100">
        <v>2.33637228793244</v>
      </c>
      <c r="AI57" s="100">
        <v>3297.0885727302593</v>
      </c>
      <c r="AJ57" s="100">
        <v>5</v>
      </c>
      <c r="AK57" s="100">
        <v>7056</v>
      </c>
      <c r="AL57" s="100">
        <v>5</v>
      </c>
      <c r="AM57" s="100">
        <v>7056</v>
      </c>
      <c r="AN57" s="100">
        <v>7</v>
      </c>
      <c r="AO57" s="100">
        <v>9878.4</v>
      </c>
      <c r="AP57" s="100">
        <v>7</v>
      </c>
      <c r="AQ57" s="100">
        <v>9878.4</v>
      </c>
      <c r="AR57" s="100">
        <v>4.8366015407682292</v>
      </c>
      <c r="AS57" s="100">
        <v>6825.412094332125</v>
      </c>
      <c r="AT57" s="100">
        <v>2.3458221820220121E-4</v>
      </c>
      <c r="AU57" s="100">
        <v>0.33104242632694636</v>
      </c>
      <c r="AV57" s="100">
        <v>6</v>
      </c>
      <c r="AW57" s="100">
        <v>8467.2000000000007</v>
      </c>
      <c r="AX57" s="100">
        <v>6</v>
      </c>
      <c r="AY57" s="100">
        <v>8467.2000000000007</v>
      </c>
      <c r="AZ57" s="100">
        <v>5</v>
      </c>
      <c r="BA57" s="100">
        <v>7056</v>
      </c>
      <c r="BB57" s="100">
        <v>6</v>
      </c>
      <c r="BC57" s="100">
        <v>8467.2000000000007</v>
      </c>
      <c r="BD57" s="100">
        <v>3.8308932264325377</v>
      </c>
      <c r="BE57" s="100">
        <v>5406.1565211415973</v>
      </c>
      <c r="BF57" s="100">
        <v>3.4958089354864206</v>
      </c>
      <c r="BG57" s="100">
        <v>4933.2855697584373</v>
      </c>
      <c r="BH57" s="100">
        <v>4.1340886568533231</v>
      </c>
      <c r="BI57" s="100">
        <v>5834.0259125514094</v>
      </c>
      <c r="BJ57" s="100">
        <v>3.4574688845682333</v>
      </c>
      <c r="BK57" s="100">
        <v>4879.1800899026912</v>
      </c>
      <c r="BL57" s="100">
        <v>0.95291595104828852</v>
      </c>
      <c r="BM57" s="100">
        <v>1344.7549901193447</v>
      </c>
      <c r="BN57" s="100">
        <v>3.7155363937557482</v>
      </c>
      <c r="BO57" s="100">
        <v>5243.3649588681119</v>
      </c>
      <c r="BP57" s="100">
        <v>4.4068582716049383</v>
      </c>
      <c r="BQ57" s="100">
        <v>6218.9583928888887</v>
      </c>
      <c r="BR57" s="100">
        <v>2.5905920494203847</v>
      </c>
      <c r="BS57" s="100">
        <v>3655.8435001420471</v>
      </c>
      <c r="BT57" s="100">
        <v>4.7599777132052479</v>
      </c>
      <c r="BU57" s="100">
        <v>6717.2805488752456</v>
      </c>
      <c r="BV57" s="100">
        <v>3.3918343594512708</v>
      </c>
      <c r="BW57" s="100">
        <v>4786.5566480576335</v>
      </c>
      <c r="BX57" s="100">
        <v>5</v>
      </c>
      <c r="BY57" s="100">
        <v>7056</v>
      </c>
      <c r="BZ57" s="100">
        <v>6.1465203872340544</v>
      </c>
      <c r="CA57" s="100">
        <v>8673.9695704646983</v>
      </c>
      <c r="CB57" s="100">
        <v>1.848418579996236</v>
      </c>
      <c r="CC57" s="100">
        <v>2608.4883000906884</v>
      </c>
      <c r="CD57" s="100">
        <v>2.5247488841028249</v>
      </c>
      <c r="CE57" s="100">
        <v>3562.9256252459068</v>
      </c>
      <c r="CF57" s="100">
        <v>5</v>
      </c>
      <c r="CG57" s="100">
        <v>7056</v>
      </c>
      <c r="CH57" s="100">
        <v>1.8877454855586646</v>
      </c>
      <c r="CI57" s="100">
        <v>2663.9864292203874</v>
      </c>
      <c r="CJ57" s="100">
        <v>1.2240782790425293</v>
      </c>
      <c r="CK57" s="100">
        <v>1727.4192673848174</v>
      </c>
      <c r="CL57" s="100">
        <v>3</v>
      </c>
      <c r="CM57" s="100">
        <v>4233.6000000000004</v>
      </c>
      <c r="CN57" s="100">
        <v>7</v>
      </c>
      <c r="CO57" s="100">
        <v>9878.4</v>
      </c>
      <c r="CP57" s="100">
        <v>6</v>
      </c>
      <c r="CQ57" s="100">
        <v>8467.2000000000007</v>
      </c>
      <c r="CR57" s="100">
        <v>6</v>
      </c>
      <c r="CS57" s="100">
        <v>8467.2000000000007</v>
      </c>
      <c r="CT57" s="100">
        <v>4</v>
      </c>
      <c r="CU57" s="100">
        <v>5644.8</v>
      </c>
    </row>
    <row r="58" spans="2:99">
      <c r="C58" s="99" t="s">
        <v>224</v>
      </c>
      <c r="D58" s="100">
        <v>5</v>
      </c>
      <c r="E58" s="100">
        <v>5886</v>
      </c>
      <c r="F58" s="100">
        <v>4</v>
      </c>
      <c r="G58" s="100">
        <v>4708.8</v>
      </c>
      <c r="H58" s="100">
        <v>3.360788612477553</v>
      </c>
      <c r="I58" s="100">
        <v>3956.3203546085756</v>
      </c>
      <c r="J58" s="100">
        <v>4.4807144879994034</v>
      </c>
      <c r="K58" s="100">
        <v>5274.697095272898</v>
      </c>
      <c r="L58" s="100">
        <v>5.8650450346951093</v>
      </c>
      <c r="M58" s="100">
        <v>6904.3310148430828</v>
      </c>
      <c r="N58" s="100">
        <v>1.6770334596436185</v>
      </c>
      <c r="O58" s="100">
        <v>1974.2037886924677</v>
      </c>
      <c r="P58" s="100">
        <v>3</v>
      </c>
      <c r="Q58" s="100">
        <v>3531.6000000000004</v>
      </c>
      <c r="R58" s="100">
        <v>4.9034950498048477</v>
      </c>
      <c r="S58" s="100">
        <v>5772.3943726302668</v>
      </c>
      <c r="T58" s="100">
        <v>4</v>
      </c>
      <c r="U58" s="100">
        <v>4708.8</v>
      </c>
      <c r="V58" s="100">
        <v>6</v>
      </c>
      <c r="W58" s="100">
        <v>7063.2000000000007</v>
      </c>
      <c r="X58" s="100">
        <v>4.4336646829727</v>
      </c>
      <c r="Y58" s="100">
        <v>5219.3100647954625</v>
      </c>
      <c r="Z58" s="100">
        <v>2.4692249244818831</v>
      </c>
      <c r="AA58" s="100">
        <v>2906.771581100073</v>
      </c>
      <c r="AB58" s="100">
        <v>6.3991642756916924</v>
      </c>
      <c r="AC58" s="100">
        <v>7533.0961853442604</v>
      </c>
      <c r="AD58" s="100">
        <v>1.3498791135751045</v>
      </c>
      <c r="AE58" s="100">
        <v>1589.077692500613</v>
      </c>
      <c r="AF58" s="100">
        <v>5.5743929498048759E-4</v>
      </c>
      <c r="AG58" s="100">
        <v>0.65621753805103</v>
      </c>
      <c r="AH58" s="100">
        <v>4</v>
      </c>
      <c r="AI58" s="100">
        <v>4708.8</v>
      </c>
      <c r="AJ58" s="100">
        <v>4</v>
      </c>
      <c r="AK58" s="100">
        <v>4708.8</v>
      </c>
      <c r="AL58" s="100">
        <v>5</v>
      </c>
      <c r="AM58" s="100">
        <v>5886</v>
      </c>
      <c r="AN58" s="100">
        <v>6</v>
      </c>
      <c r="AO58" s="100">
        <v>7063.2000000000007</v>
      </c>
      <c r="AP58" s="100">
        <v>7.1556791116532228</v>
      </c>
      <c r="AQ58" s="100">
        <v>8423.6654502381734</v>
      </c>
      <c r="AR58" s="100">
        <v>3.8878910370752013</v>
      </c>
      <c r="AS58" s="100">
        <v>4576.8253288449268</v>
      </c>
      <c r="AT58" s="100">
        <v>4.3772558188968009</v>
      </c>
      <c r="AU58" s="100">
        <v>5152.9055500053146</v>
      </c>
      <c r="AV58" s="100">
        <v>5.601744580595299</v>
      </c>
      <c r="AW58" s="100">
        <v>6594.3737202767861</v>
      </c>
      <c r="AX58" s="100">
        <v>6.1212421177870313</v>
      </c>
      <c r="AY58" s="100">
        <v>7205.9262210588931</v>
      </c>
      <c r="AZ58" s="100">
        <v>4.036983704348116</v>
      </c>
      <c r="BA58" s="100">
        <v>4752.3372167586022</v>
      </c>
      <c r="BB58" s="100">
        <v>6.5485917583216713</v>
      </c>
      <c r="BC58" s="100">
        <v>7709.0022178962718</v>
      </c>
      <c r="BD58" s="100">
        <v>1.2362339970763272</v>
      </c>
      <c r="BE58" s="100">
        <v>1455.2946613582524</v>
      </c>
      <c r="BF58" s="100">
        <v>2.6400577366404048</v>
      </c>
      <c r="BG58" s="100">
        <v>3107.8759675730848</v>
      </c>
      <c r="BH58" s="100">
        <v>2.5649174415359997</v>
      </c>
      <c r="BI58" s="100">
        <v>3019.420812176179</v>
      </c>
      <c r="BJ58" s="100">
        <v>1.8764020256378289</v>
      </c>
      <c r="BK58" s="100">
        <v>2208.9004645808523</v>
      </c>
      <c r="BL58" s="100">
        <v>1.5529495714316053</v>
      </c>
      <c r="BM58" s="100">
        <v>1828.1322354892859</v>
      </c>
      <c r="BN58" s="100">
        <v>3.7746139064760795</v>
      </c>
      <c r="BO58" s="100">
        <v>4443.4754907036413</v>
      </c>
      <c r="BP58" s="100">
        <v>3.193975214811386</v>
      </c>
      <c r="BQ58" s="100">
        <v>3759.9476228759636</v>
      </c>
      <c r="BR58" s="100">
        <v>5.2956998254935783</v>
      </c>
      <c r="BS58" s="100">
        <v>6234.0978345710409</v>
      </c>
      <c r="BT58" s="100">
        <v>5</v>
      </c>
      <c r="BU58" s="100">
        <v>5886</v>
      </c>
      <c r="BV58" s="100">
        <v>6.3480407238105121</v>
      </c>
      <c r="BW58" s="100">
        <v>7472.9135400697351</v>
      </c>
      <c r="BX58" s="100">
        <v>2.7033975088604159</v>
      </c>
      <c r="BY58" s="100">
        <v>3182.4395474304815</v>
      </c>
      <c r="BZ58" s="100">
        <v>6</v>
      </c>
      <c r="CA58" s="100">
        <v>7063.2000000000007</v>
      </c>
      <c r="CB58" s="100">
        <v>4</v>
      </c>
      <c r="CC58" s="100">
        <v>4708.8</v>
      </c>
      <c r="CD58" s="100">
        <v>6</v>
      </c>
      <c r="CE58" s="100">
        <v>7063.2000000000007</v>
      </c>
      <c r="CF58" s="100">
        <v>5</v>
      </c>
      <c r="CG58" s="100">
        <v>5886</v>
      </c>
      <c r="CH58" s="100">
        <v>3</v>
      </c>
      <c r="CI58" s="100">
        <v>3531.6000000000004</v>
      </c>
      <c r="CJ58" s="100">
        <v>5.0564925159316481</v>
      </c>
      <c r="CK58" s="100">
        <v>5952.5029897547365</v>
      </c>
      <c r="CL58" s="100">
        <v>2.8694920437314555</v>
      </c>
      <c r="CM58" s="100">
        <v>3377.9660338806693</v>
      </c>
      <c r="CN58" s="100">
        <v>6.9393933863159845</v>
      </c>
      <c r="CO58" s="100">
        <v>8169.0538943711772</v>
      </c>
      <c r="CP58" s="100">
        <v>2.3876330841074411</v>
      </c>
      <c r="CQ58" s="100">
        <v>2810.7216666112799</v>
      </c>
      <c r="CR58" s="100">
        <v>5</v>
      </c>
      <c r="CS58" s="100">
        <v>5886</v>
      </c>
      <c r="CT58" s="100">
        <v>3.0095944457720019</v>
      </c>
      <c r="CU58" s="100">
        <v>3542.8945815628008</v>
      </c>
    </row>
    <row r="59" spans="2:99">
      <c r="C59" s="99" t="s">
        <v>225</v>
      </c>
      <c r="D59" s="100">
        <v>5.089025220168888E-4</v>
      </c>
      <c r="E59" s="100">
        <v>0.15450280568432742</v>
      </c>
      <c r="F59" s="100">
        <v>4</v>
      </c>
      <c r="G59" s="100">
        <v>1214.3999999999999</v>
      </c>
      <c r="H59" s="100">
        <v>5</v>
      </c>
      <c r="I59" s="100">
        <v>1517.9999999999998</v>
      </c>
      <c r="J59" s="100">
        <v>5</v>
      </c>
      <c r="K59" s="100">
        <v>1517.9999999999998</v>
      </c>
      <c r="L59" s="100">
        <v>6</v>
      </c>
      <c r="M59" s="100">
        <v>1821.6</v>
      </c>
      <c r="N59" s="100">
        <v>4.0774420077015527</v>
      </c>
      <c r="O59" s="100">
        <v>1237.9113935381913</v>
      </c>
      <c r="P59" s="100">
        <v>3.4138748079505046</v>
      </c>
      <c r="Q59" s="100">
        <v>1036.4523916937731</v>
      </c>
      <c r="R59" s="100">
        <v>7</v>
      </c>
      <c r="S59" s="100">
        <v>2125.1999999999998</v>
      </c>
      <c r="T59" s="100">
        <v>3</v>
      </c>
      <c r="U59" s="100">
        <v>910.8</v>
      </c>
      <c r="V59" s="100">
        <v>6</v>
      </c>
      <c r="W59" s="100">
        <v>1821.6</v>
      </c>
      <c r="X59" s="100">
        <v>6</v>
      </c>
      <c r="Y59" s="100">
        <v>1821.6</v>
      </c>
      <c r="Z59" s="100">
        <v>4</v>
      </c>
      <c r="AA59" s="100">
        <v>1214.3999999999999</v>
      </c>
      <c r="AB59" s="100">
        <v>5</v>
      </c>
      <c r="AC59" s="100">
        <v>1517.9999999999998</v>
      </c>
      <c r="AD59" s="100">
        <v>3.5133099046438474</v>
      </c>
      <c r="AE59" s="100">
        <v>1066.6408870498719</v>
      </c>
      <c r="AF59" s="100">
        <v>6</v>
      </c>
      <c r="AG59" s="100">
        <v>1821.6</v>
      </c>
      <c r="AH59" s="100">
        <v>2.9204653599155503</v>
      </c>
      <c r="AI59" s="100">
        <v>886.65328327036093</v>
      </c>
      <c r="AJ59" s="100">
        <v>5</v>
      </c>
      <c r="AK59" s="100">
        <v>1517.9999999999998</v>
      </c>
      <c r="AL59" s="100">
        <v>5</v>
      </c>
      <c r="AM59" s="100">
        <v>1517.9999999999998</v>
      </c>
      <c r="AN59" s="100">
        <v>6</v>
      </c>
      <c r="AO59" s="100">
        <v>1821.6</v>
      </c>
      <c r="AP59" s="100">
        <v>7</v>
      </c>
      <c r="AQ59" s="100">
        <v>2125.1999999999998</v>
      </c>
      <c r="AR59" s="100">
        <v>3.8692812326145836</v>
      </c>
      <c r="AS59" s="100">
        <v>1174.7137822217874</v>
      </c>
      <c r="AT59" s="100">
        <v>2.9322777275275156E-4</v>
      </c>
      <c r="AU59" s="100">
        <v>8.9023951807735369E-2</v>
      </c>
      <c r="AV59" s="100">
        <v>6</v>
      </c>
      <c r="AW59" s="100">
        <v>1821.6</v>
      </c>
      <c r="AX59" s="100">
        <v>6</v>
      </c>
      <c r="AY59" s="100">
        <v>1821.6</v>
      </c>
      <c r="AZ59" s="100">
        <v>6</v>
      </c>
      <c r="BA59" s="100">
        <v>1821.6</v>
      </c>
      <c r="BB59" s="100">
        <v>7</v>
      </c>
      <c r="BC59" s="100">
        <v>2125.1999999999998</v>
      </c>
      <c r="BD59" s="100">
        <v>3.8308932264325377</v>
      </c>
      <c r="BE59" s="100">
        <v>1163.0591835449184</v>
      </c>
      <c r="BF59" s="100">
        <v>4.3697611693580258</v>
      </c>
      <c r="BG59" s="100">
        <v>1326.6594910170966</v>
      </c>
      <c r="BH59" s="100">
        <v>3.3072709254826589</v>
      </c>
      <c r="BI59" s="100">
        <v>1004.0874529765351</v>
      </c>
      <c r="BJ59" s="100">
        <v>3.4574688845682333</v>
      </c>
      <c r="BK59" s="100">
        <v>1049.6875533549155</v>
      </c>
      <c r="BL59" s="100">
        <v>0.95291595104828852</v>
      </c>
      <c r="BM59" s="100">
        <v>289.30528273826036</v>
      </c>
      <c r="BN59" s="100">
        <v>3.7155363937557482</v>
      </c>
      <c r="BO59" s="100">
        <v>1128.036849144245</v>
      </c>
      <c r="BP59" s="100">
        <v>5.4068582716049383</v>
      </c>
      <c r="BQ59" s="100">
        <v>1641.522171259259</v>
      </c>
      <c r="BR59" s="100">
        <v>3.1087104593044619</v>
      </c>
      <c r="BS59" s="100">
        <v>943.80449544483452</v>
      </c>
      <c r="BT59" s="100">
        <v>4.8199546569852876</v>
      </c>
      <c r="BU59" s="100">
        <v>1463.3382338607332</v>
      </c>
      <c r="BV59" s="100">
        <v>3.3918343594512708</v>
      </c>
      <c r="BW59" s="100">
        <v>1029.7609115294056</v>
      </c>
      <c r="BX59" s="100">
        <v>5</v>
      </c>
      <c r="BY59" s="100">
        <v>1517.9999999999998</v>
      </c>
      <c r="BZ59" s="100">
        <v>5.1465203872340544</v>
      </c>
      <c r="CA59" s="100">
        <v>1562.4835895642586</v>
      </c>
      <c r="CB59" s="100">
        <v>2.3857996400324057</v>
      </c>
      <c r="CC59" s="100">
        <v>724.32877071383825</v>
      </c>
      <c r="CD59" s="100">
        <v>2.5247488841028249</v>
      </c>
      <c r="CE59" s="100">
        <v>766.51376121361761</v>
      </c>
      <c r="CF59" s="100">
        <v>5</v>
      </c>
      <c r="CG59" s="100">
        <v>1517.9999999999998</v>
      </c>
      <c r="CH59" s="100">
        <v>2.4837071237057882</v>
      </c>
      <c r="CI59" s="100">
        <v>754.05348275707718</v>
      </c>
      <c r="CJ59" s="100">
        <v>1.2240782790425293</v>
      </c>
      <c r="CK59" s="100">
        <v>371.63016551731187</v>
      </c>
      <c r="CL59" s="100">
        <v>4</v>
      </c>
      <c r="CM59" s="100">
        <v>1214.3999999999999</v>
      </c>
      <c r="CN59" s="100">
        <v>7</v>
      </c>
      <c r="CO59" s="100">
        <v>2125.1999999999998</v>
      </c>
      <c r="CP59" s="100">
        <v>6</v>
      </c>
      <c r="CQ59" s="100">
        <v>1821.6</v>
      </c>
      <c r="CR59" s="100">
        <v>5</v>
      </c>
      <c r="CS59" s="100">
        <v>1517.9999999999998</v>
      </c>
      <c r="CT59" s="100">
        <v>4</v>
      </c>
      <c r="CU59" s="100">
        <v>1214.3999999999999</v>
      </c>
    </row>
    <row r="60" spans="2:99">
      <c r="C60" s="99" t="s">
        <v>226</v>
      </c>
      <c r="D60" s="100">
        <v>5.089025220168888E-4</v>
      </c>
      <c r="E60" s="100">
        <v>0.33160088334620474</v>
      </c>
      <c r="F60" s="100">
        <v>4</v>
      </c>
      <c r="G60" s="100">
        <v>2606.4</v>
      </c>
      <c r="H60" s="100">
        <v>5</v>
      </c>
      <c r="I60" s="100">
        <v>3258</v>
      </c>
      <c r="J60" s="100">
        <v>5</v>
      </c>
      <c r="K60" s="100">
        <v>3258</v>
      </c>
      <c r="L60" s="100">
        <v>6</v>
      </c>
      <c r="M60" s="100">
        <v>3909.6000000000004</v>
      </c>
      <c r="N60" s="100">
        <v>4.0903490089851449</v>
      </c>
      <c r="O60" s="100">
        <v>2665.2714142547206</v>
      </c>
      <c r="P60" s="100">
        <v>2.5604061059628784</v>
      </c>
      <c r="Q60" s="100">
        <v>1668.3606186454117</v>
      </c>
      <c r="R60" s="100">
        <v>5</v>
      </c>
      <c r="S60" s="100">
        <v>3258</v>
      </c>
      <c r="T60" s="100">
        <v>4</v>
      </c>
      <c r="U60" s="100">
        <v>2606.4</v>
      </c>
      <c r="V60" s="100">
        <v>7</v>
      </c>
      <c r="W60" s="100">
        <v>4561.2</v>
      </c>
      <c r="X60" s="100">
        <v>5</v>
      </c>
      <c r="Y60" s="100">
        <v>3258</v>
      </c>
      <c r="Z60" s="100">
        <v>4</v>
      </c>
      <c r="AA60" s="100">
        <v>2606.4</v>
      </c>
      <c r="AB60" s="100">
        <v>6</v>
      </c>
      <c r="AC60" s="100">
        <v>3909.6000000000004</v>
      </c>
      <c r="AD60" s="100">
        <v>3.5133099046438474</v>
      </c>
      <c r="AE60" s="100">
        <v>2289.2727338659311</v>
      </c>
      <c r="AF60" s="100">
        <v>6</v>
      </c>
      <c r="AG60" s="100">
        <v>3909.6000000000004</v>
      </c>
      <c r="AH60" s="100">
        <v>2.9204653599155503</v>
      </c>
      <c r="AI60" s="100">
        <v>1902.9752285209727</v>
      </c>
      <c r="AJ60" s="100">
        <v>5</v>
      </c>
      <c r="AK60" s="100">
        <v>3258</v>
      </c>
      <c r="AL60" s="100">
        <v>5</v>
      </c>
      <c r="AM60" s="100">
        <v>3258</v>
      </c>
      <c r="AN60" s="100">
        <v>6</v>
      </c>
      <c r="AO60" s="100">
        <v>3909.6000000000004</v>
      </c>
      <c r="AP60" s="100">
        <v>7</v>
      </c>
      <c r="AQ60" s="100">
        <v>4561.2</v>
      </c>
      <c r="AR60" s="100">
        <v>3.8692812326145836</v>
      </c>
      <c r="AS60" s="100">
        <v>2521.2236511716628</v>
      </c>
      <c r="AT60" s="100">
        <v>2.9322777275275156E-4</v>
      </c>
      <c r="AU60" s="100">
        <v>0.19106721672569293</v>
      </c>
      <c r="AV60" s="100">
        <v>7</v>
      </c>
      <c r="AW60" s="100">
        <v>4561.2</v>
      </c>
      <c r="AX60" s="100">
        <v>6</v>
      </c>
      <c r="AY60" s="100">
        <v>3909.6000000000004</v>
      </c>
      <c r="AZ60" s="100">
        <v>5</v>
      </c>
      <c r="BA60" s="100">
        <v>3258</v>
      </c>
      <c r="BB60" s="100">
        <v>7</v>
      </c>
      <c r="BC60" s="100">
        <v>4561.2</v>
      </c>
      <c r="BD60" s="100">
        <v>3.8308932264325377</v>
      </c>
      <c r="BE60" s="100">
        <v>2496.2100263434418</v>
      </c>
      <c r="BF60" s="100">
        <v>4.3697611693580258</v>
      </c>
      <c r="BG60" s="100">
        <v>2847.3363779536899</v>
      </c>
      <c r="BH60" s="100">
        <v>3.3072709254826589</v>
      </c>
      <c r="BI60" s="100">
        <v>2155.0177350445006</v>
      </c>
      <c r="BJ60" s="100">
        <v>4.1143523906618107</v>
      </c>
      <c r="BK60" s="100">
        <v>2680.9120177552359</v>
      </c>
      <c r="BL60" s="100">
        <v>0.94398370566709144</v>
      </c>
      <c r="BM60" s="100">
        <v>615.09978261267679</v>
      </c>
      <c r="BN60" s="100">
        <v>3.7155363937557482</v>
      </c>
      <c r="BO60" s="100">
        <v>2421.0435141712455</v>
      </c>
      <c r="BP60" s="100">
        <v>4.4068582716049383</v>
      </c>
      <c r="BQ60" s="100">
        <v>2871.5088497777779</v>
      </c>
      <c r="BR60" s="100">
        <v>3.1087104593044619</v>
      </c>
      <c r="BS60" s="100">
        <v>2025.6357352827874</v>
      </c>
      <c r="BT60" s="100">
        <v>4.7599777132052479</v>
      </c>
      <c r="BU60" s="100">
        <v>3101.6014779245397</v>
      </c>
      <c r="BV60" s="100">
        <v>3.3918343594512708</v>
      </c>
      <c r="BW60" s="100">
        <v>2210.1192686184481</v>
      </c>
      <c r="BX60" s="100">
        <v>5</v>
      </c>
      <c r="BY60" s="100">
        <v>3258</v>
      </c>
      <c r="BZ60" s="100">
        <v>6.1465203872340544</v>
      </c>
      <c r="CA60" s="100">
        <v>4005.0726843217099</v>
      </c>
      <c r="CB60" s="100">
        <v>2.4094271800211784</v>
      </c>
      <c r="CC60" s="100">
        <v>1569.9827505018</v>
      </c>
      <c r="CD60" s="100">
        <v>2.5247488841028249</v>
      </c>
      <c r="CE60" s="100">
        <v>1645.1263728814008</v>
      </c>
      <c r="CF60" s="100">
        <v>6</v>
      </c>
      <c r="CG60" s="100">
        <v>3909.6000000000004</v>
      </c>
      <c r="CH60" s="100">
        <v>1.9127106283379884</v>
      </c>
      <c r="CI60" s="100">
        <v>1246.3222454250333</v>
      </c>
      <c r="CJ60" s="100">
        <v>0.97926262323402335</v>
      </c>
      <c r="CK60" s="100">
        <v>638.08752529928961</v>
      </c>
      <c r="CL60" s="100">
        <v>3</v>
      </c>
      <c r="CM60" s="100">
        <v>1954.8000000000002</v>
      </c>
      <c r="CN60" s="100">
        <v>7</v>
      </c>
      <c r="CO60" s="100">
        <v>4561.2</v>
      </c>
      <c r="CP60" s="100">
        <v>7</v>
      </c>
      <c r="CQ60" s="100">
        <v>4561.2</v>
      </c>
      <c r="CR60" s="100">
        <v>6</v>
      </c>
      <c r="CS60" s="100">
        <v>3909.6000000000004</v>
      </c>
      <c r="CT60" s="100">
        <v>4</v>
      </c>
      <c r="CU60" s="100">
        <v>2606.4</v>
      </c>
    </row>
    <row r="61" spans="2:99">
      <c r="C61" s="99" t="s">
        <v>227</v>
      </c>
      <c r="D61" s="100">
        <v>5.089025220168888E-4</v>
      </c>
      <c r="E61" s="100">
        <v>0.48427163995127132</v>
      </c>
      <c r="F61" s="100">
        <v>4</v>
      </c>
      <c r="G61" s="100">
        <v>3806.3999999999996</v>
      </c>
      <c r="H61" s="100">
        <v>5</v>
      </c>
      <c r="I61" s="100">
        <v>4758</v>
      </c>
      <c r="J61" s="100">
        <v>5</v>
      </c>
      <c r="K61" s="100">
        <v>4758</v>
      </c>
      <c r="L61" s="100">
        <v>6</v>
      </c>
      <c r="M61" s="100">
        <v>5709.5999999999995</v>
      </c>
      <c r="N61" s="100">
        <v>4.0774420077015527</v>
      </c>
      <c r="O61" s="100">
        <v>3880.0938145287973</v>
      </c>
      <c r="P61" s="100">
        <v>3.4138748079505046</v>
      </c>
      <c r="Q61" s="100">
        <v>3248.6432672456999</v>
      </c>
      <c r="R61" s="100">
        <v>6</v>
      </c>
      <c r="S61" s="100">
        <v>5709.5999999999995</v>
      </c>
      <c r="T61" s="100">
        <v>4</v>
      </c>
      <c r="U61" s="100">
        <v>3806.3999999999996</v>
      </c>
      <c r="V61" s="100">
        <v>7</v>
      </c>
      <c r="W61" s="100">
        <v>6661.1999999999989</v>
      </c>
      <c r="X61" s="100">
        <v>6</v>
      </c>
      <c r="Y61" s="100">
        <v>5709.5999999999995</v>
      </c>
      <c r="Z61" s="100">
        <v>4</v>
      </c>
      <c r="AA61" s="100">
        <v>3806.3999999999996</v>
      </c>
      <c r="AB61" s="100">
        <v>6</v>
      </c>
      <c r="AC61" s="100">
        <v>5709.5999999999995</v>
      </c>
      <c r="AD61" s="100">
        <v>3.5133099046438474</v>
      </c>
      <c r="AE61" s="100">
        <v>3343.2657052590848</v>
      </c>
      <c r="AF61" s="100">
        <v>7</v>
      </c>
      <c r="AG61" s="100">
        <v>6661.1999999999989</v>
      </c>
      <c r="AH61" s="100">
        <v>2.33637228793244</v>
      </c>
      <c r="AI61" s="100">
        <v>2223.2918691965097</v>
      </c>
      <c r="AJ61" s="100">
        <v>5</v>
      </c>
      <c r="AK61" s="100">
        <v>4758</v>
      </c>
      <c r="AL61" s="100">
        <v>5</v>
      </c>
      <c r="AM61" s="100">
        <v>4758</v>
      </c>
      <c r="AN61" s="100">
        <v>7</v>
      </c>
      <c r="AO61" s="100">
        <v>6661.1999999999989</v>
      </c>
      <c r="AP61" s="100">
        <v>7</v>
      </c>
      <c r="AQ61" s="100">
        <v>6661.1999999999989</v>
      </c>
      <c r="AR61" s="100">
        <v>4.8366015407682292</v>
      </c>
      <c r="AS61" s="100">
        <v>4602.5100261950465</v>
      </c>
      <c r="AT61" s="100">
        <v>2.3458221820220121E-4</v>
      </c>
      <c r="AU61" s="100">
        <v>0.22322843884121465</v>
      </c>
      <c r="AV61" s="100">
        <v>7</v>
      </c>
      <c r="AW61" s="100">
        <v>6661.1999999999989</v>
      </c>
      <c r="AX61" s="100">
        <v>6</v>
      </c>
      <c r="AY61" s="100">
        <v>5709.5999999999995</v>
      </c>
      <c r="AZ61" s="100">
        <v>5</v>
      </c>
      <c r="BA61" s="100">
        <v>4758</v>
      </c>
      <c r="BB61" s="100">
        <v>6</v>
      </c>
      <c r="BC61" s="100">
        <v>5709.5999999999995</v>
      </c>
      <c r="BD61" s="100">
        <v>2.8731699198244032</v>
      </c>
      <c r="BE61" s="100">
        <v>2734.108495704902</v>
      </c>
      <c r="BF61" s="100">
        <v>4.3697611693580258</v>
      </c>
      <c r="BG61" s="100">
        <v>4158.2647287610971</v>
      </c>
      <c r="BH61" s="100">
        <v>3.3072709254826589</v>
      </c>
      <c r="BI61" s="100">
        <v>3147.1990126892979</v>
      </c>
      <c r="BJ61" s="100">
        <v>3.4791003038307768</v>
      </c>
      <c r="BK61" s="100">
        <v>3310.7118491253668</v>
      </c>
      <c r="BL61" s="100">
        <v>0.94398370566709144</v>
      </c>
      <c r="BM61" s="100">
        <v>898.2948943128041</v>
      </c>
      <c r="BN61" s="100">
        <v>3.1847454803620696</v>
      </c>
      <c r="BO61" s="100">
        <v>3030.6037991125449</v>
      </c>
      <c r="BP61" s="100">
        <v>4.4068582716049383</v>
      </c>
      <c r="BQ61" s="100">
        <v>4193.5663312592587</v>
      </c>
      <c r="BR61" s="100">
        <v>2.5905920494203847</v>
      </c>
      <c r="BS61" s="100">
        <v>2465.2073942284378</v>
      </c>
      <c r="BT61" s="100">
        <v>4.8199546569852876</v>
      </c>
      <c r="BU61" s="100">
        <v>4586.6688515871992</v>
      </c>
      <c r="BV61" s="100">
        <v>2.9072865938153751</v>
      </c>
      <c r="BW61" s="100">
        <v>2766.5739226747105</v>
      </c>
      <c r="BX61" s="100">
        <v>5</v>
      </c>
      <c r="BY61" s="100">
        <v>4758</v>
      </c>
      <c r="BZ61" s="100">
        <v>5.1465203872340544</v>
      </c>
      <c r="CA61" s="100">
        <v>4897.4288004919254</v>
      </c>
      <c r="CB61" s="100">
        <v>2.3857996400324057</v>
      </c>
      <c r="CC61" s="100">
        <v>2270.3269374548372</v>
      </c>
      <c r="CD61" s="100">
        <v>2.9455403647866292</v>
      </c>
      <c r="CE61" s="100">
        <v>2802.976211130956</v>
      </c>
      <c r="CF61" s="100">
        <v>6</v>
      </c>
      <c r="CG61" s="100">
        <v>5709.5999999999995</v>
      </c>
      <c r="CH61" s="100">
        <v>1.862780342779341</v>
      </c>
      <c r="CI61" s="100">
        <v>1772.6217741888208</v>
      </c>
      <c r="CJ61" s="100">
        <v>1.2240782790425293</v>
      </c>
      <c r="CK61" s="100">
        <v>1164.8328903368708</v>
      </c>
      <c r="CL61" s="100">
        <v>4</v>
      </c>
      <c r="CM61" s="100">
        <v>3806.3999999999996</v>
      </c>
      <c r="CN61" s="100">
        <v>6</v>
      </c>
      <c r="CO61" s="100">
        <v>5709.5999999999995</v>
      </c>
      <c r="CP61" s="100">
        <v>7</v>
      </c>
      <c r="CQ61" s="100">
        <v>6661.1999999999989</v>
      </c>
      <c r="CR61" s="100">
        <v>6</v>
      </c>
      <c r="CS61" s="100">
        <v>5709.5999999999995</v>
      </c>
      <c r="CT61" s="100">
        <v>4</v>
      </c>
      <c r="CU61" s="100">
        <v>3806.3999999999996</v>
      </c>
    </row>
    <row r="62" spans="2:99">
      <c r="C62" s="99" t="s">
        <v>228</v>
      </c>
      <c r="D62" s="100">
        <v>4.0394403105431591</v>
      </c>
      <c r="E62" s="100">
        <v>6742.633766358641</v>
      </c>
      <c r="F62" s="100">
        <v>2.3743621006117506</v>
      </c>
      <c r="G62" s="100">
        <v>3963.2852183411342</v>
      </c>
      <c r="H62" s="100">
        <v>0.26877003262076804</v>
      </c>
      <c r="I62" s="100">
        <v>448.63093845058603</v>
      </c>
      <c r="J62" s="100">
        <v>2.6100903962795292</v>
      </c>
      <c r="K62" s="100">
        <v>4356.76288946979</v>
      </c>
      <c r="L62" s="100">
        <v>2.9408143150996064</v>
      </c>
      <c r="M62" s="100">
        <v>4908.8072547642632</v>
      </c>
      <c r="N62" s="100">
        <v>2.643389613657479</v>
      </c>
      <c r="O62" s="100">
        <v>4412.3459431170641</v>
      </c>
      <c r="P62" s="100">
        <v>1.7043636509294045</v>
      </c>
      <c r="Q62" s="100">
        <v>2844.9238061313622</v>
      </c>
      <c r="R62" s="100">
        <v>2.854187226129282</v>
      </c>
      <c r="S62" s="100">
        <v>4764.2093178549976</v>
      </c>
      <c r="T62" s="100">
        <v>1.8805244121692806</v>
      </c>
      <c r="U62" s="100">
        <v>3138.971348792963</v>
      </c>
      <c r="V62" s="100">
        <v>3.84672369151648</v>
      </c>
      <c r="W62" s="100">
        <v>6420.9511858793085</v>
      </c>
      <c r="X62" s="100">
        <v>4.1887873777777493E-4</v>
      </c>
      <c r="Y62" s="100">
        <v>0.69919238909866188</v>
      </c>
      <c r="Z62" s="100">
        <v>2.6515482235761745</v>
      </c>
      <c r="AA62" s="100">
        <v>4425.9642947933507</v>
      </c>
      <c r="AB62" s="100">
        <v>4.0524606821543507</v>
      </c>
      <c r="AC62" s="100">
        <v>6764.3673706520422</v>
      </c>
      <c r="AD62" s="100">
        <v>3.0975692571493961E-4</v>
      </c>
      <c r="AE62" s="100">
        <v>0.5170462604033772</v>
      </c>
      <c r="AF62" s="100">
        <v>3.0654697555903773E-4</v>
      </c>
      <c r="AG62" s="100">
        <v>0.51168821160314581</v>
      </c>
      <c r="AH62" s="100">
        <v>2.3389449249501801</v>
      </c>
      <c r="AI62" s="100">
        <v>3904.1668687268407</v>
      </c>
      <c r="AJ62" s="100">
        <v>2.5156075014727302</v>
      </c>
      <c r="AK62" s="100">
        <v>4199.0520414582816</v>
      </c>
      <c r="AL62" s="100">
        <v>2.5091050965459938</v>
      </c>
      <c r="AM62" s="100">
        <v>4188.198227154573</v>
      </c>
      <c r="AN62" s="100">
        <v>0.32521630493472103</v>
      </c>
      <c r="AO62" s="100">
        <v>542.85105619703631</v>
      </c>
      <c r="AP62" s="100">
        <v>6.6434028646644316</v>
      </c>
      <c r="AQ62" s="100">
        <v>11089.16806169787</v>
      </c>
      <c r="AR62" s="100">
        <v>0.88650872794612356</v>
      </c>
      <c r="AS62" s="100">
        <v>1479.7603686876696</v>
      </c>
      <c r="AT62" s="100">
        <v>4.3871814998188627</v>
      </c>
      <c r="AU62" s="100">
        <v>7323.0833594976457</v>
      </c>
      <c r="AV62" s="100">
        <v>4.2831152193044506</v>
      </c>
      <c r="AW62" s="100">
        <v>7149.3759240629888</v>
      </c>
      <c r="AX62" s="100">
        <v>6</v>
      </c>
      <c r="AY62" s="100">
        <v>10015.200000000001</v>
      </c>
      <c r="AZ62" s="100">
        <v>5</v>
      </c>
      <c r="BA62" s="100">
        <v>8346</v>
      </c>
      <c r="BB62" s="100">
        <v>4.3373573066361306</v>
      </c>
      <c r="BC62" s="100">
        <v>7239.9168162370297</v>
      </c>
      <c r="BD62" s="100">
        <v>1.600810480320523</v>
      </c>
      <c r="BE62" s="100">
        <v>2672.0728537510172</v>
      </c>
      <c r="BF62" s="100">
        <v>1.9824443245771082E-4</v>
      </c>
      <c r="BG62" s="100">
        <v>0.3309096066584109</v>
      </c>
      <c r="BH62" s="100">
        <v>2.0215715151922375E-4</v>
      </c>
      <c r="BI62" s="100">
        <v>0.33744071731588826</v>
      </c>
      <c r="BJ62" s="100">
        <v>3.2828939135600441E-4</v>
      </c>
      <c r="BK62" s="100">
        <v>0.54798065205144253</v>
      </c>
      <c r="BL62" s="100">
        <v>2.7037887456511162E-4</v>
      </c>
      <c r="BM62" s="100">
        <v>0.45131641742408435</v>
      </c>
      <c r="BN62" s="100">
        <v>3.3341012093502074</v>
      </c>
      <c r="BO62" s="100">
        <v>5565.2817386473662</v>
      </c>
      <c r="BP62" s="100">
        <v>2.1887939476144731</v>
      </c>
      <c r="BQ62" s="100">
        <v>3653.5348573580786</v>
      </c>
      <c r="BR62" s="100">
        <v>3.6063741429666551</v>
      </c>
      <c r="BS62" s="100">
        <v>6019.7597194399414</v>
      </c>
      <c r="BT62" s="100">
        <v>2.6507383540465672</v>
      </c>
      <c r="BU62" s="100">
        <v>4424.6124605745299</v>
      </c>
      <c r="BV62" s="100">
        <v>3.5437897092473887</v>
      </c>
      <c r="BW62" s="100">
        <v>5915.2937826757416</v>
      </c>
      <c r="BX62" s="100">
        <v>2.6008810028329092</v>
      </c>
      <c r="BY62" s="100">
        <v>4341.3905699286925</v>
      </c>
      <c r="BZ62" s="100">
        <v>3.2216310916450523</v>
      </c>
      <c r="CA62" s="100">
        <v>5377.5466181739212</v>
      </c>
      <c r="CB62" s="100">
        <v>1.6030965991972674</v>
      </c>
      <c r="CC62" s="100">
        <v>2675.8888433800789</v>
      </c>
      <c r="CD62" s="100">
        <v>3.6353284000971153</v>
      </c>
      <c r="CE62" s="100">
        <v>6068.090165442105</v>
      </c>
      <c r="CF62" s="100">
        <v>2.999296680125989</v>
      </c>
      <c r="CG62" s="100">
        <v>5006.4260184663008</v>
      </c>
      <c r="CH62" s="100">
        <v>2.2061554105283387</v>
      </c>
      <c r="CI62" s="100">
        <v>3682.5146112539032</v>
      </c>
      <c r="CJ62" s="100">
        <v>0.39832345295653859</v>
      </c>
      <c r="CK62" s="100">
        <v>664.88150767505419</v>
      </c>
      <c r="CL62" s="100">
        <v>3</v>
      </c>
      <c r="CM62" s="100">
        <v>5007.6000000000004</v>
      </c>
      <c r="CN62" s="100">
        <v>5.6774125164679541</v>
      </c>
      <c r="CO62" s="100">
        <v>9476.7369724883083</v>
      </c>
      <c r="CP62" s="100">
        <v>3.2986073756829906</v>
      </c>
      <c r="CQ62" s="100">
        <v>5506.0354314900478</v>
      </c>
      <c r="CR62" s="100">
        <v>0.4006803964651573</v>
      </c>
      <c r="CS62" s="100">
        <v>668.81571777964052</v>
      </c>
      <c r="CT62" s="100">
        <v>4.2949265016388827</v>
      </c>
      <c r="CU62" s="100">
        <v>7169.0913165356233</v>
      </c>
    </row>
    <row r="63" spans="2:99">
      <c r="C63" s="99" t="s">
        <v>229</v>
      </c>
      <c r="D63" s="100">
        <v>5.089025220168888E-4</v>
      </c>
      <c r="E63" s="100">
        <v>0.40488284651663675</v>
      </c>
      <c r="F63" s="100">
        <v>4</v>
      </c>
      <c r="G63" s="100">
        <v>3182.4</v>
      </c>
      <c r="H63" s="100">
        <v>5</v>
      </c>
      <c r="I63" s="100">
        <v>3978</v>
      </c>
      <c r="J63" s="100">
        <v>5</v>
      </c>
      <c r="K63" s="100">
        <v>3978</v>
      </c>
      <c r="L63" s="100">
        <v>6</v>
      </c>
      <c r="M63" s="100">
        <v>4773.6000000000004</v>
      </c>
      <c r="N63" s="100">
        <v>4.0774420077015527</v>
      </c>
      <c r="O63" s="100">
        <v>3244.0128613273555</v>
      </c>
      <c r="P63" s="100">
        <v>3.4138748079505046</v>
      </c>
      <c r="Q63" s="100">
        <v>2716.0787972054213</v>
      </c>
      <c r="R63" s="100">
        <v>6</v>
      </c>
      <c r="S63" s="100">
        <v>4773.6000000000004</v>
      </c>
      <c r="T63" s="100">
        <v>4</v>
      </c>
      <c r="U63" s="100">
        <v>3182.4</v>
      </c>
      <c r="V63" s="100">
        <v>6</v>
      </c>
      <c r="W63" s="100">
        <v>4773.6000000000004</v>
      </c>
      <c r="X63" s="100">
        <v>6</v>
      </c>
      <c r="Y63" s="100">
        <v>4773.6000000000004</v>
      </c>
      <c r="Z63" s="100">
        <v>5</v>
      </c>
      <c r="AA63" s="100">
        <v>3978</v>
      </c>
      <c r="AB63" s="100">
        <v>6</v>
      </c>
      <c r="AC63" s="100">
        <v>4773.6000000000004</v>
      </c>
      <c r="AD63" s="100">
        <v>4.2159718855726167</v>
      </c>
      <c r="AE63" s="100">
        <v>3354.2272321615737</v>
      </c>
      <c r="AF63" s="100">
        <v>6</v>
      </c>
      <c r="AG63" s="100">
        <v>4773.6000000000004</v>
      </c>
      <c r="AH63" s="100">
        <v>2.33637228793244</v>
      </c>
      <c r="AI63" s="100">
        <v>1858.8177922790494</v>
      </c>
      <c r="AJ63" s="100">
        <v>5</v>
      </c>
      <c r="AK63" s="100">
        <v>3978</v>
      </c>
      <c r="AL63" s="100">
        <v>5</v>
      </c>
      <c r="AM63" s="100">
        <v>3978</v>
      </c>
      <c r="AN63" s="100">
        <v>7</v>
      </c>
      <c r="AO63" s="100">
        <v>5569.2</v>
      </c>
      <c r="AP63" s="100">
        <v>7</v>
      </c>
      <c r="AQ63" s="100">
        <v>5569.2</v>
      </c>
      <c r="AR63" s="100">
        <v>4.8366015407682292</v>
      </c>
      <c r="AS63" s="100">
        <v>3848.0001858352034</v>
      </c>
      <c r="AT63" s="100">
        <v>2.3458221820220121E-4</v>
      </c>
      <c r="AU63" s="100">
        <v>0.18663361280167129</v>
      </c>
      <c r="AV63" s="100">
        <v>6</v>
      </c>
      <c r="AW63" s="100">
        <v>4773.6000000000004</v>
      </c>
      <c r="AX63" s="100">
        <v>5</v>
      </c>
      <c r="AY63" s="100">
        <v>3978</v>
      </c>
      <c r="AZ63" s="100">
        <v>5</v>
      </c>
      <c r="BA63" s="100">
        <v>3978</v>
      </c>
      <c r="BB63" s="100">
        <v>6</v>
      </c>
      <c r="BC63" s="100">
        <v>4773.6000000000004</v>
      </c>
      <c r="BD63" s="100">
        <v>3.8308932264325377</v>
      </c>
      <c r="BE63" s="100">
        <v>3047.8586509497272</v>
      </c>
      <c r="BF63" s="100">
        <v>3.4958089354864206</v>
      </c>
      <c r="BG63" s="100">
        <v>2781.2655890729961</v>
      </c>
      <c r="BH63" s="100">
        <v>3.3072709254826589</v>
      </c>
      <c r="BI63" s="100">
        <v>2631.2647483140036</v>
      </c>
      <c r="BJ63" s="100">
        <v>3.4358374653056898</v>
      </c>
      <c r="BK63" s="100">
        <v>2733.5522873972068</v>
      </c>
      <c r="BL63" s="100">
        <v>0.95291595104828852</v>
      </c>
      <c r="BM63" s="100">
        <v>758.13993065401837</v>
      </c>
      <c r="BN63" s="100">
        <v>3.1847454803620696</v>
      </c>
      <c r="BO63" s="100">
        <v>2533.7835041760627</v>
      </c>
      <c r="BP63" s="100">
        <v>4.3616517969821675</v>
      </c>
      <c r="BQ63" s="100">
        <v>3470.1301696790124</v>
      </c>
      <c r="BR63" s="100">
        <v>2.5905920494203847</v>
      </c>
      <c r="BS63" s="100">
        <v>2061.075034518858</v>
      </c>
      <c r="BT63" s="100">
        <v>4.7899661850952677</v>
      </c>
      <c r="BU63" s="100">
        <v>3810.897096861795</v>
      </c>
      <c r="BV63" s="100">
        <v>2.9072865938153751</v>
      </c>
      <c r="BW63" s="100">
        <v>2313.0372140395125</v>
      </c>
      <c r="BX63" s="100">
        <v>5</v>
      </c>
      <c r="BY63" s="100">
        <v>3978</v>
      </c>
      <c r="BZ63" s="100">
        <v>6.1221003226950454</v>
      </c>
      <c r="CA63" s="100">
        <v>4870.7430167361781</v>
      </c>
      <c r="CB63" s="100">
        <v>2.3857996400324057</v>
      </c>
      <c r="CC63" s="100">
        <v>1898.142193609782</v>
      </c>
      <c r="CD63" s="100">
        <v>2.9455403647866292</v>
      </c>
      <c r="CE63" s="100">
        <v>2343.471914224242</v>
      </c>
      <c r="CF63" s="100">
        <v>5</v>
      </c>
      <c r="CG63" s="100">
        <v>3978</v>
      </c>
      <c r="CH63" s="100">
        <v>1.9127106283379884</v>
      </c>
      <c r="CI63" s="100">
        <v>1521.7525759057037</v>
      </c>
      <c r="CJ63" s="100">
        <v>1.2240782790425293</v>
      </c>
      <c r="CK63" s="100">
        <v>973.87667880623633</v>
      </c>
      <c r="CL63" s="100">
        <v>3</v>
      </c>
      <c r="CM63" s="100">
        <v>2386.8000000000002</v>
      </c>
      <c r="CN63" s="100">
        <v>6</v>
      </c>
      <c r="CO63" s="100">
        <v>4773.6000000000004</v>
      </c>
      <c r="CP63" s="100">
        <v>6</v>
      </c>
      <c r="CQ63" s="100">
        <v>4773.6000000000004</v>
      </c>
      <c r="CR63" s="100">
        <v>6</v>
      </c>
      <c r="CS63" s="100">
        <v>4773.6000000000004</v>
      </c>
      <c r="CT63" s="100">
        <v>4</v>
      </c>
      <c r="CU63" s="100">
        <v>3182.4</v>
      </c>
    </row>
    <row r="64" spans="2:99">
      <c r="C64" s="99" t="s">
        <v>230</v>
      </c>
      <c r="D64" s="100">
        <v>5.089025220168888E-4</v>
      </c>
      <c r="E64" s="100">
        <v>0.51358442521944403</v>
      </c>
      <c r="F64" s="100">
        <v>4</v>
      </c>
      <c r="G64" s="100">
        <v>4036.7999999999993</v>
      </c>
      <c r="H64" s="100">
        <v>5</v>
      </c>
      <c r="I64" s="100">
        <v>5045.9999999999991</v>
      </c>
      <c r="J64" s="100">
        <v>5</v>
      </c>
      <c r="K64" s="100">
        <v>5045.9999999999991</v>
      </c>
      <c r="L64" s="100">
        <v>6</v>
      </c>
      <c r="M64" s="100">
        <v>6055.1999999999989</v>
      </c>
      <c r="N64" s="100">
        <v>4.0774420077015527</v>
      </c>
      <c r="O64" s="100">
        <v>4114.9544741724067</v>
      </c>
      <c r="P64" s="100">
        <v>2.5604061059628784</v>
      </c>
      <c r="Q64" s="100">
        <v>2583.9618421377363</v>
      </c>
      <c r="R64" s="100">
        <v>5</v>
      </c>
      <c r="S64" s="100">
        <v>5045.9999999999991</v>
      </c>
      <c r="T64" s="100">
        <v>3</v>
      </c>
      <c r="U64" s="100">
        <v>3027.5999999999995</v>
      </c>
      <c r="V64" s="100">
        <v>7</v>
      </c>
      <c r="W64" s="100">
        <v>7064.3999999999987</v>
      </c>
      <c r="X64" s="100">
        <v>6</v>
      </c>
      <c r="Y64" s="100">
        <v>6055.1999999999989</v>
      </c>
      <c r="Z64" s="100">
        <v>4</v>
      </c>
      <c r="AA64" s="100">
        <v>4036.7999999999993</v>
      </c>
      <c r="AB64" s="100">
        <v>5</v>
      </c>
      <c r="AC64" s="100">
        <v>5045.9999999999991</v>
      </c>
      <c r="AD64" s="100">
        <v>3.5133099046438474</v>
      </c>
      <c r="AE64" s="100">
        <v>3545.6323557665701</v>
      </c>
      <c r="AF64" s="100">
        <v>7</v>
      </c>
      <c r="AG64" s="100">
        <v>7064.3999999999987</v>
      </c>
      <c r="AH64" s="100">
        <v>2.33637228793244</v>
      </c>
      <c r="AI64" s="100">
        <v>2357.866912981418</v>
      </c>
      <c r="AJ64" s="100">
        <v>5</v>
      </c>
      <c r="AK64" s="100">
        <v>5045.9999999999991</v>
      </c>
      <c r="AL64" s="100">
        <v>4</v>
      </c>
      <c r="AM64" s="100">
        <v>4036.7999999999993</v>
      </c>
      <c r="AN64" s="100">
        <v>6</v>
      </c>
      <c r="AO64" s="100">
        <v>6055.1999999999989</v>
      </c>
      <c r="AP64" s="100">
        <v>7</v>
      </c>
      <c r="AQ64" s="100">
        <v>7064.3999999999987</v>
      </c>
      <c r="AR64" s="100">
        <v>4.8366015407682292</v>
      </c>
      <c r="AS64" s="100">
        <v>4881.098274943296</v>
      </c>
      <c r="AT64" s="100">
        <v>2.3458221820220121E-4</v>
      </c>
      <c r="AU64" s="100">
        <v>0.23674037460966141</v>
      </c>
      <c r="AV64" s="100">
        <v>6</v>
      </c>
      <c r="AW64" s="100">
        <v>6055.1999999999989</v>
      </c>
      <c r="AX64" s="100">
        <v>5</v>
      </c>
      <c r="AY64" s="100">
        <v>5045.9999999999991</v>
      </c>
      <c r="AZ64" s="100">
        <v>5</v>
      </c>
      <c r="BA64" s="100">
        <v>5045.9999999999991</v>
      </c>
      <c r="BB64" s="100">
        <v>6</v>
      </c>
      <c r="BC64" s="100">
        <v>6055.1999999999989</v>
      </c>
      <c r="BD64" s="100">
        <v>2.8731699198244032</v>
      </c>
      <c r="BE64" s="100">
        <v>2899.6030830867871</v>
      </c>
      <c r="BF64" s="100">
        <v>3.4958089354864206</v>
      </c>
      <c r="BG64" s="100">
        <v>3527.970377692895</v>
      </c>
      <c r="BH64" s="100">
        <v>3.3072709254826589</v>
      </c>
      <c r="BI64" s="100">
        <v>3337.6978179970988</v>
      </c>
      <c r="BJ64" s="100">
        <v>4.1359838099243538</v>
      </c>
      <c r="BK64" s="100">
        <v>4174.0348609756575</v>
      </c>
      <c r="BL64" s="100">
        <v>0.95291595104828852</v>
      </c>
      <c r="BM64" s="100">
        <v>961.68277779793266</v>
      </c>
      <c r="BN64" s="100">
        <v>3.7155363937557482</v>
      </c>
      <c r="BO64" s="100">
        <v>3749.7193285783005</v>
      </c>
      <c r="BP64" s="100">
        <v>4.4068582716049383</v>
      </c>
      <c r="BQ64" s="100">
        <v>4447.4013677037028</v>
      </c>
      <c r="BR64" s="100">
        <v>3.1087104593044619</v>
      </c>
      <c r="BS64" s="100">
        <v>3137.3105955300625</v>
      </c>
      <c r="BT64" s="100">
        <v>4.8199546569852876</v>
      </c>
      <c r="BU64" s="100">
        <v>4864.2982398295517</v>
      </c>
      <c r="BV64" s="100">
        <v>3.3918343594512708</v>
      </c>
      <c r="BW64" s="100">
        <v>3423.0392355582217</v>
      </c>
      <c r="BX64" s="100">
        <v>5</v>
      </c>
      <c r="BY64" s="100">
        <v>5045.9999999999991</v>
      </c>
      <c r="BZ64" s="100">
        <v>6.1465203872340544</v>
      </c>
      <c r="CA64" s="100">
        <v>6203.0683747966068</v>
      </c>
      <c r="CB64" s="100">
        <v>2.3857996400324057</v>
      </c>
      <c r="CC64" s="100">
        <v>2407.7489967207034</v>
      </c>
      <c r="CD64" s="100">
        <v>2.5247488841028249</v>
      </c>
      <c r="CE64" s="100">
        <v>2547.9765738365704</v>
      </c>
      <c r="CF64" s="100">
        <v>5</v>
      </c>
      <c r="CG64" s="100">
        <v>5045.9999999999991</v>
      </c>
      <c r="CH64" s="100">
        <v>1.8877454855586646</v>
      </c>
      <c r="CI64" s="100">
        <v>1905.112744025804</v>
      </c>
      <c r="CJ64" s="100">
        <v>1.2240782790425293</v>
      </c>
      <c r="CK64" s="100">
        <v>1235.3397992097202</v>
      </c>
      <c r="CL64" s="100">
        <v>3</v>
      </c>
      <c r="CM64" s="100">
        <v>3027.5999999999995</v>
      </c>
      <c r="CN64" s="100">
        <v>7</v>
      </c>
      <c r="CO64" s="100">
        <v>7064.3999999999987</v>
      </c>
      <c r="CP64" s="100">
        <v>6</v>
      </c>
      <c r="CQ64" s="100">
        <v>6055.1999999999989</v>
      </c>
      <c r="CR64" s="100">
        <v>5</v>
      </c>
      <c r="CS64" s="100">
        <v>5045.9999999999991</v>
      </c>
      <c r="CT64" s="100">
        <v>4</v>
      </c>
      <c r="CU64" s="100">
        <v>4036.7999999999993</v>
      </c>
    </row>
    <row r="65" spans="2:99">
      <c r="C65" s="99" t="s">
        <v>231</v>
      </c>
      <c r="D65" s="100">
        <v>5.089025220168888E-4</v>
      </c>
      <c r="E65" s="100">
        <v>0.52213398758932794</v>
      </c>
      <c r="F65" s="100">
        <v>4</v>
      </c>
      <c r="G65" s="100">
        <v>4104</v>
      </c>
      <c r="H65" s="100">
        <v>5</v>
      </c>
      <c r="I65" s="100">
        <v>5130</v>
      </c>
      <c r="J65" s="100">
        <v>5</v>
      </c>
      <c r="K65" s="100">
        <v>5130</v>
      </c>
      <c r="L65" s="100">
        <v>6</v>
      </c>
      <c r="M65" s="100">
        <v>6156</v>
      </c>
      <c r="N65" s="100">
        <v>4.0774420077015527</v>
      </c>
      <c r="O65" s="100">
        <v>4183.4554999017928</v>
      </c>
      <c r="P65" s="100">
        <v>3.4138748079505046</v>
      </c>
      <c r="Q65" s="100">
        <v>3502.6355529572179</v>
      </c>
      <c r="R65" s="100">
        <v>6</v>
      </c>
      <c r="S65" s="100">
        <v>6156</v>
      </c>
      <c r="T65" s="100">
        <v>4</v>
      </c>
      <c r="U65" s="100">
        <v>4104</v>
      </c>
      <c r="V65" s="100">
        <v>7</v>
      </c>
      <c r="W65" s="100">
        <v>7182</v>
      </c>
      <c r="X65" s="100">
        <v>5</v>
      </c>
      <c r="Y65" s="100">
        <v>5130</v>
      </c>
      <c r="Z65" s="100">
        <v>4</v>
      </c>
      <c r="AA65" s="100">
        <v>4104</v>
      </c>
      <c r="AB65" s="100">
        <v>5</v>
      </c>
      <c r="AC65" s="100">
        <v>5130</v>
      </c>
      <c r="AD65" s="100">
        <v>3.5133099046438474</v>
      </c>
      <c r="AE65" s="100">
        <v>3604.6559621645874</v>
      </c>
      <c r="AF65" s="100">
        <v>6</v>
      </c>
      <c r="AG65" s="100">
        <v>6156</v>
      </c>
      <c r="AH65" s="100">
        <v>2.9204653599155503</v>
      </c>
      <c r="AI65" s="100">
        <v>2996.3974592733548</v>
      </c>
      <c r="AJ65" s="100">
        <v>5</v>
      </c>
      <c r="AK65" s="100">
        <v>5130</v>
      </c>
      <c r="AL65" s="100">
        <v>5</v>
      </c>
      <c r="AM65" s="100">
        <v>5130</v>
      </c>
      <c r="AN65" s="100">
        <v>7</v>
      </c>
      <c r="AO65" s="100">
        <v>7182</v>
      </c>
      <c r="AP65" s="100">
        <v>7</v>
      </c>
      <c r="AQ65" s="100">
        <v>7182</v>
      </c>
      <c r="AR65" s="100">
        <v>3.8692812326145836</v>
      </c>
      <c r="AS65" s="100">
        <v>3969.8825446625629</v>
      </c>
      <c r="AT65" s="100">
        <v>2.3458221820220121E-4</v>
      </c>
      <c r="AU65" s="100">
        <v>0.24068135587545844</v>
      </c>
      <c r="AV65" s="100">
        <v>6</v>
      </c>
      <c r="AW65" s="100">
        <v>6156</v>
      </c>
      <c r="AX65" s="100">
        <v>5</v>
      </c>
      <c r="AY65" s="100">
        <v>5130</v>
      </c>
      <c r="AZ65" s="100">
        <v>5</v>
      </c>
      <c r="BA65" s="100">
        <v>5130</v>
      </c>
      <c r="BB65" s="100">
        <v>5</v>
      </c>
      <c r="BC65" s="100">
        <v>5130</v>
      </c>
      <c r="BD65" s="100">
        <v>3.8308932264325377</v>
      </c>
      <c r="BE65" s="100">
        <v>3930.4964503197839</v>
      </c>
      <c r="BF65" s="100">
        <v>3.4958089354864206</v>
      </c>
      <c r="BG65" s="100">
        <v>3586.6999678090674</v>
      </c>
      <c r="BH65" s="100">
        <v>3.3072709254826589</v>
      </c>
      <c r="BI65" s="100">
        <v>3393.2599695452082</v>
      </c>
      <c r="BJ65" s="100">
        <v>4.1143523906618107</v>
      </c>
      <c r="BK65" s="100">
        <v>4221.3255528190175</v>
      </c>
      <c r="BL65" s="100">
        <v>0.94398370566709144</v>
      </c>
      <c r="BM65" s="100">
        <v>968.52728201443585</v>
      </c>
      <c r="BN65" s="100">
        <v>3.1847454803620696</v>
      </c>
      <c r="BO65" s="100">
        <v>3267.5488628514836</v>
      </c>
      <c r="BP65" s="100">
        <v>4.3616517969821675</v>
      </c>
      <c r="BQ65" s="100">
        <v>4475.0547437037039</v>
      </c>
      <c r="BR65" s="100">
        <v>3.1087104593044619</v>
      </c>
      <c r="BS65" s="100">
        <v>3189.5369312463781</v>
      </c>
      <c r="BT65" s="100">
        <v>4.7599777132052479</v>
      </c>
      <c r="BU65" s="100">
        <v>4883.7371337485847</v>
      </c>
      <c r="BV65" s="100">
        <v>3.3918343594512708</v>
      </c>
      <c r="BW65" s="100">
        <v>3480.0220527970037</v>
      </c>
      <c r="BX65" s="100">
        <v>4</v>
      </c>
      <c r="BY65" s="100">
        <v>4104</v>
      </c>
      <c r="BZ65" s="100">
        <v>6.1221003226950454</v>
      </c>
      <c r="CA65" s="100">
        <v>6281.2749310851168</v>
      </c>
      <c r="CB65" s="100">
        <v>2.3857996400324057</v>
      </c>
      <c r="CC65" s="100">
        <v>2447.8304306732484</v>
      </c>
      <c r="CD65" s="100">
        <v>2.5247488841028249</v>
      </c>
      <c r="CE65" s="100">
        <v>2590.3923550894983</v>
      </c>
      <c r="CF65" s="100">
        <v>5</v>
      </c>
      <c r="CG65" s="100">
        <v>5130</v>
      </c>
      <c r="CH65" s="100">
        <v>1.862780342779341</v>
      </c>
      <c r="CI65" s="100">
        <v>1911.212631691604</v>
      </c>
      <c r="CJ65" s="100">
        <v>1.2240782790425293</v>
      </c>
      <c r="CK65" s="100">
        <v>1255.904314297635</v>
      </c>
      <c r="CL65" s="100">
        <v>3</v>
      </c>
      <c r="CM65" s="100">
        <v>3078</v>
      </c>
      <c r="CN65" s="100">
        <v>6</v>
      </c>
      <c r="CO65" s="100">
        <v>6156</v>
      </c>
      <c r="CP65" s="100">
        <v>6</v>
      </c>
      <c r="CQ65" s="100">
        <v>6156</v>
      </c>
      <c r="CR65" s="100">
        <v>5</v>
      </c>
      <c r="CS65" s="100">
        <v>5130</v>
      </c>
      <c r="CT65" s="100">
        <v>4</v>
      </c>
      <c r="CU65" s="100">
        <v>4104</v>
      </c>
    </row>
    <row r="66" spans="2:99">
      <c r="C66" s="99" t="s">
        <v>232</v>
      </c>
      <c r="D66" s="100">
        <v>5.089025220168888E-4</v>
      </c>
      <c r="E66" s="100">
        <v>0.60579756220890435</v>
      </c>
      <c r="F66" s="100">
        <v>4</v>
      </c>
      <c r="G66" s="100">
        <v>4761.5999999999995</v>
      </c>
      <c r="H66" s="100">
        <v>5</v>
      </c>
      <c r="I66" s="100">
        <v>5951.9999999999991</v>
      </c>
      <c r="J66" s="100">
        <v>5</v>
      </c>
      <c r="K66" s="100">
        <v>5951.9999999999991</v>
      </c>
      <c r="L66" s="100">
        <v>6</v>
      </c>
      <c r="M66" s="100">
        <v>7142.4</v>
      </c>
      <c r="N66" s="100">
        <v>4.0774420077015527</v>
      </c>
      <c r="O66" s="100">
        <v>4853.7869659679282</v>
      </c>
      <c r="P66" s="100">
        <v>3.4138748079505046</v>
      </c>
      <c r="Q66" s="100">
        <v>4063.8765713842804</v>
      </c>
      <c r="R66" s="100">
        <v>6</v>
      </c>
      <c r="S66" s="100">
        <v>7142.4</v>
      </c>
      <c r="T66" s="100">
        <v>3</v>
      </c>
      <c r="U66" s="100">
        <v>3571.2</v>
      </c>
      <c r="V66" s="100">
        <v>6</v>
      </c>
      <c r="W66" s="100">
        <v>7142.4</v>
      </c>
      <c r="X66" s="100">
        <v>5</v>
      </c>
      <c r="Y66" s="100">
        <v>5951.9999999999991</v>
      </c>
      <c r="Z66" s="100">
        <v>4</v>
      </c>
      <c r="AA66" s="100">
        <v>4761.5999999999995</v>
      </c>
      <c r="AB66" s="100">
        <v>6</v>
      </c>
      <c r="AC66" s="100">
        <v>7142.4</v>
      </c>
      <c r="AD66" s="100">
        <v>4.2159718855726167</v>
      </c>
      <c r="AE66" s="100">
        <v>5018.6929325856427</v>
      </c>
      <c r="AF66" s="100">
        <v>6</v>
      </c>
      <c r="AG66" s="100">
        <v>7142.4</v>
      </c>
      <c r="AH66" s="100">
        <v>2.33637228793244</v>
      </c>
      <c r="AI66" s="100">
        <v>2781.2175715547764</v>
      </c>
      <c r="AJ66" s="100">
        <v>5</v>
      </c>
      <c r="AK66" s="100">
        <v>5951.9999999999991</v>
      </c>
      <c r="AL66" s="100">
        <v>4</v>
      </c>
      <c r="AM66" s="100">
        <v>4761.5999999999995</v>
      </c>
      <c r="AN66" s="100">
        <v>7</v>
      </c>
      <c r="AO66" s="100">
        <v>8332.7999999999993</v>
      </c>
      <c r="AP66" s="100">
        <v>7</v>
      </c>
      <c r="AQ66" s="100">
        <v>8332.7999999999993</v>
      </c>
      <c r="AR66" s="100">
        <v>3.8692812326145836</v>
      </c>
      <c r="AS66" s="100">
        <v>4605.9923793043999</v>
      </c>
      <c r="AT66" s="100">
        <v>2.3458221820220121E-4</v>
      </c>
      <c r="AU66" s="100">
        <v>0.27924667254790031</v>
      </c>
      <c r="AV66" s="100">
        <v>6</v>
      </c>
      <c r="AW66" s="100">
        <v>7142.4</v>
      </c>
      <c r="AX66" s="100">
        <v>5</v>
      </c>
      <c r="AY66" s="100">
        <v>5951.9999999999991</v>
      </c>
      <c r="AZ66" s="100">
        <v>5</v>
      </c>
      <c r="BA66" s="100">
        <v>5951.9999999999991</v>
      </c>
      <c r="BB66" s="100">
        <v>6</v>
      </c>
      <c r="BC66" s="100">
        <v>7142.4</v>
      </c>
      <c r="BD66" s="100">
        <v>2.8731699198244032</v>
      </c>
      <c r="BE66" s="100">
        <v>3420.2214725589693</v>
      </c>
      <c r="BF66" s="100">
        <v>3.4958089354864206</v>
      </c>
      <c r="BG66" s="100">
        <v>4161.4109568030344</v>
      </c>
      <c r="BH66" s="100">
        <v>3.3072709254826589</v>
      </c>
      <c r="BI66" s="100">
        <v>3936.9753096945565</v>
      </c>
      <c r="BJ66" s="100">
        <v>3.4358374653056898</v>
      </c>
      <c r="BK66" s="100">
        <v>4090.0209186998927</v>
      </c>
      <c r="BL66" s="100">
        <v>0.95291595104828852</v>
      </c>
      <c r="BM66" s="100">
        <v>1134.3511481278824</v>
      </c>
      <c r="BN66" s="100">
        <v>3.7155363937557482</v>
      </c>
      <c r="BO66" s="100">
        <v>4422.9745231268425</v>
      </c>
      <c r="BP66" s="100">
        <v>4.3616517969821675</v>
      </c>
      <c r="BQ66" s="100">
        <v>5192.110299127572</v>
      </c>
      <c r="BR66" s="100">
        <v>3.1087104593044619</v>
      </c>
      <c r="BS66" s="100">
        <v>3700.608930756031</v>
      </c>
      <c r="BT66" s="100">
        <v>4.7599777132052479</v>
      </c>
      <c r="BU66" s="100">
        <v>5666.2774697995264</v>
      </c>
      <c r="BV66" s="100">
        <v>3.3918343594512708</v>
      </c>
      <c r="BW66" s="100">
        <v>4037.6396214907923</v>
      </c>
      <c r="BX66" s="100">
        <v>5</v>
      </c>
      <c r="BY66" s="100">
        <v>5951.9999999999991</v>
      </c>
      <c r="BZ66" s="100">
        <v>5.1465203872340544</v>
      </c>
      <c r="CA66" s="100">
        <v>6126.4178689634173</v>
      </c>
      <c r="CB66" s="100">
        <v>2.4094271800211784</v>
      </c>
      <c r="CC66" s="100">
        <v>2868.1821150972105</v>
      </c>
      <c r="CD66" s="100">
        <v>2.5247488841028249</v>
      </c>
      <c r="CE66" s="100">
        <v>3005.4610716360025</v>
      </c>
      <c r="CF66" s="100">
        <v>6</v>
      </c>
      <c r="CG66" s="100">
        <v>7142.4</v>
      </c>
      <c r="CH66" s="100">
        <v>1.8877454855586646</v>
      </c>
      <c r="CI66" s="100">
        <v>2247.1722260090341</v>
      </c>
      <c r="CJ66" s="100">
        <v>0.97926262323402335</v>
      </c>
      <c r="CK66" s="100">
        <v>1165.7142266977812</v>
      </c>
      <c r="CL66" s="100">
        <v>3</v>
      </c>
      <c r="CM66" s="100">
        <v>3571.2</v>
      </c>
      <c r="CN66" s="100">
        <v>6</v>
      </c>
      <c r="CO66" s="100">
        <v>7142.4</v>
      </c>
      <c r="CP66" s="100">
        <v>6</v>
      </c>
      <c r="CQ66" s="100">
        <v>7142.4</v>
      </c>
      <c r="CR66" s="100">
        <v>5</v>
      </c>
      <c r="CS66" s="100">
        <v>5951.9999999999991</v>
      </c>
      <c r="CT66" s="100">
        <v>4</v>
      </c>
      <c r="CU66" s="100">
        <v>4761.5999999999995</v>
      </c>
    </row>
    <row r="67" spans="2:99">
      <c r="C67" s="99" t="s">
        <v>233</v>
      </c>
      <c r="D67" s="100">
        <v>4.2408543501407407E-4</v>
      </c>
      <c r="E67" s="100">
        <v>0.47633276060780799</v>
      </c>
      <c r="F67" s="100">
        <v>4</v>
      </c>
      <c r="G67" s="100">
        <v>4492.8</v>
      </c>
      <c r="H67" s="100">
        <v>5</v>
      </c>
      <c r="I67" s="100">
        <v>5616</v>
      </c>
      <c r="J67" s="100">
        <v>5</v>
      </c>
      <c r="K67" s="100">
        <v>5616</v>
      </c>
      <c r="L67" s="100">
        <v>7</v>
      </c>
      <c r="M67" s="100">
        <v>7862.4000000000005</v>
      </c>
      <c r="N67" s="100">
        <v>4.0774420077015527</v>
      </c>
      <c r="O67" s="100">
        <v>4579.7828630503845</v>
      </c>
      <c r="P67" s="100">
        <v>2.5604061059628784</v>
      </c>
      <c r="Q67" s="100">
        <v>2875.848138217505</v>
      </c>
      <c r="R67" s="100">
        <v>6</v>
      </c>
      <c r="S67" s="100">
        <v>6739.2000000000007</v>
      </c>
      <c r="T67" s="100">
        <v>4</v>
      </c>
      <c r="U67" s="100">
        <v>4492.8</v>
      </c>
      <c r="V67" s="100">
        <v>6</v>
      </c>
      <c r="W67" s="100">
        <v>6739.2000000000007</v>
      </c>
      <c r="X67" s="100">
        <v>6</v>
      </c>
      <c r="Y67" s="100">
        <v>6739.2000000000007</v>
      </c>
      <c r="Z67" s="100">
        <v>4</v>
      </c>
      <c r="AA67" s="100">
        <v>4492.8</v>
      </c>
      <c r="AB67" s="100">
        <v>6</v>
      </c>
      <c r="AC67" s="100">
        <v>6739.2000000000007</v>
      </c>
      <c r="AD67" s="100">
        <v>3.5133099046438474</v>
      </c>
      <c r="AE67" s="100">
        <v>3946.1496848959696</v>
      </c>
      <c r="AF67" s="100">
        <v>7</v>
      </c>
      <c r="AG67" s="100">
        <v>7862.4000000000005</v>
      </c>
      <c r="AH67" s="100">
        <v>2.33637228793244</v>
      </c>
      <c r="AI67" s="100">
        <v>2624.2133538057169</v>
      </c>
      <c r="AJ67" s="100">
        <v>4</v>
      </c>
      <c r="AK67" s="100">
        <v>4492.8</v>
      </c>
      <c r="AL67" s="100">
        <v>5</v>
      </c>
      <c r="AM67" s="100">
        <v>5616</v>
      </c>
      <c r="AN67" s="100">
        <v>6</v>
      </c>
      <c r="AO67" s="100">
        <v>6739.2000000000007</v>
      </c>
      <c r="AP67" s="100">
        <v>7</v>
      </c>
      <c r="AQ67" s="100">
        <v>7862.4000000000005</v>
      </c>
      <c r="AR67" s="100">
        <v>3.8692812326145836</v>
      </c>
      <c r="AS67" s="100">
        <v>4345.9766804727005</v>
      </c>
      <c r="AT67" s="100">
        <v>2.3458221820220121E-4</v>
      </c>
      <c r="AU67" s="100">
        <v>0.2634827474847124</v>
      </c>
      <c r="AV67" s="100">
        <v>6</v>
      </c>
      <c r="AW67" s="100">
        <v>6739.2000000000007</v>
      </c>
      <c r="AX67" s="100">
        <v>5</v>
      </c>
      <c r="AY67" s="100">
        <v>5616</v>
      </c>
      <c r="AZ67" s="100">
        <v>5</v>
      </c>
      <c r="BA67" s="100">
        <v>5616</v>
      </c>
      <c r="BB67" s="100">
        <v>6</v>
      </c>
      <c r="BC67" s="100">
        <v>6739.2000000000007</v>
      </c>
      <c r="BD67" s="100">
        <v>2.8731699198244032</v>
      </c>
      <c r="BE67" s="100">
        <v>3227.1444539467698</v>
      </c>
      <c r="BF67" s="100">
        <v>4.3697611693580258</v>
      </c>
      <c r="BG67" s="100">
        <v>4908.1157454229351</v>
      </c>
      <c r="BH67" s="100">
        <v>3.3072709254826589</v>
      </c>
      <c r="BI67" s="100">
        <v>3714.7267035021227</v>
      </c>
      <c r="BJ67" s="100">
        <v>4.1359838099243538</v>
      </c>
      <c r="BK67" s="100">
        <v>4645.5370153070344</v>
      </c>
      <c r="BL67" s="100">
        <v>0.95291595104828852</v>
      </c>
      <c r="BM67" s="100">
        <v>1070.3151962174377</v>
      </c>
      <c r="BN67" s="100">
        <v>3.7155363937557482</v>
      </c>
      <c r="BO67" s="100">
        <v>4173.2904774664567</v>
      </c>
      <c r="BP67" s="100">
        <v>4.3616517969821675</v>
      </c>
      <c r="BQ67" s="100">
        <v>4899.0072983703703</v>
      </c>
      <c r="BR67" s="100">
        <v>3.1087104593044619</v>
      </c>
      <c r="BS67" s="100">
        <v>3491.7035878907718</v>
      </c>
      <c r="BT67" s="100">
        <v>4.7599777132052479</v>
      </c>
      <c r="BU67" s="100">
        <v>5346.406967472135</v>
      </c>
      <c r="BV67" s="100">
        <v>3.3918343594512708</v>
      </c>
      <c r="BW67" s="100">
        <v>3809.7083525356675</v>
      </c>
      <c r="BX67" s="100">
        <v>5</v>
      </c>
      <c r="BY67" s="100">
        <v>5616</v>
      </c>
      <c r="BZ67" s="100">
        <v>6.1465203872340544</v>
      </c>
      <c r="CA67" s="100">
        <v>6903.7716989412902</v>
      </c>
      <c r="CB67" s="100">
        <v>1.848418579996236</v>
      </c>
      <c r="CC67" s="100">
        <v>2076.1437490517724</v>
      </c>
      <c r="CD67" s="100">
        <v>2.5247488841028249</v>
      </c>
      <c r="CE67" s="100">
        <v>2835.7979466242932</v>
      </c>
      <c r="CF67" s="100">
        <v>5</v>
      </c>
      <c r="CG67" s="100">
        <v>5616</v>
      </c>
      <c r="CH67" s="100">
        <v>1.8877454855586646</v>
      </c>
      <c r="CI67" s="100">
        <v>2120.315729379492</v>
      </c>
      <c r="CJ67" s="100">
        <v>1.2240782790425293</v>
      </c>
      <c r="CK67" s="100">
        <v>1374.884723020569</v>
      </c>
      <c r="CL67" s="100">
        <v>3</v>
      </c>
      <c r="CM67" s="100">
        <v>3369.6000000000004</v>
      </c>
      <c r="CN67" s="100">
        <v>6</v>
      </c>
      <c r="CO67" s="100">
        <v>6739.2000000000007</v>
      </c>
      <c r="CP67" s="100">
        <v>6</v>
      </c>
      <c r="CQ67" s="100">
        <v>6739.2000000000007</v>
      </c>
      <c r="CR67" s="100">
        <v>6</v>
      </c>
      <c r="CS67" s="100">
        <v>6739.2000000000007</v>
      </c>
      <c r="CT67" s="100">
        <v>4</v>
      </c>
      <c r="CU67" s="100">
        <v>4492.8</v>
      </c>
    </row>
    <row r="68" spans="2:99">
      <c r="C68" s="99" t="s">
        <v>234</v>
      </c>
      <c r="D68" s="100">
        <v>5.089025220168888E-4</v>
      </c>
      <c r="E68" s="100">
        <v>0.52579808574784948</v>
      </c>
      <c r="F68" s="100">
        <v>4</v>
      </c>
      <c r="G68" s="100">
        <v>4132.8</v>
      </c>
      <c r="H68" s="100">
        <v>5</v>
      </c>
      <c r="I68" s="100">
        <v>5166</v>
      </c>
      <c r="J68" s="100">
        <v>5</v>
      </c>
      <c r="K68" s="100">
        <v>5166</v>
      </c>
      <c r="L68" s="100">
        <v>7</v>
      </c>
      <c r="M68" s="100">
        <v>7232.4000000000005</v>
      </c>
      <c r="N68" s="100">
        <v>4.0903490089851449</v>
      </c>
      <c r="O68" s="100">
        <v>4226.1485960834516</v>
      </c>
      <c r="P68" s="100">
        <v>3.4138748079505046</v>
      </c>
      <c r="Q68" s="100">
        <v>3527.2154515744614</v>
      </c>
      <c r="R68" s="100">
        <v>6</v>
      </c>
      <c r="S68" s="100">
        <v>6199.2000000000007</v>
      </c>
      <c r="T68" s="100">
        <v>4</v>
      </c>
      <c r="U68" s="100">
        <v>4132.8</v>
      </c>
      <c r="V68" s="100">
        <v>7</v>
      </c>
      <c r="W68" s="100">
        <v>7232.4000000000005</v>
      </c>
      <c r="X68" s="100">
        <v>6</v>
      </c>
      <c r="Y68" s="100">
        <v>6199.2000000000007</v>
      </c>
      <c r="Z68" s="100">
        <v>4</v>
      </c>
      <c r="AA68" s="100">
        <v>4132.8</v>
      </c>
      <c r="AB68" s="100">
        <v>6</v>
      </c>
      <c r="AC68" s="100">
        <v>6199.2000000000007</v>
      </c>
      <c r="AD68" s="100">
        <v>3.5133099046438474</v>
      </c>
      <c r="AE68" s="100">
        <v>3629.9517934780233</v>
      </c>
      <c r="AF68" s="100">
        <v>7</v>
      </c>
      <c r="AG68" s="100">
        <v>7232.4000000000005</v>
      </c>
      <c r="AH68" s="100">
        <v>2.9204653599155503</v>
      </c>
      <c r="AI68" s="100">
        <v>3017.4248098647467</v>
      </c>
      <c r="AJ68" s="100">
        <v>5</v>
      </c>
      <c r="AK68" s="100">
        <v>5166</v>
      </c>
      <c r="AL68" s="100">
        <v>5</v>
      </c>
      <c r="AM68" s="100">
        <v>5166</v>
      </c>
      <c r="AN68" s="100">
        <v>6</v>
      </c>
      <c r="AO68" s="100">
        <v>6199.2000000000007</v>
      </c>
      <c r="AP68" s="100">
        <v>7</v>
      </c>
      <c r="AQ68" s="100">
        <v>7232.4000000000005</v>
      </c>
      <c r="AR68" s="100">
        <v>3.8692812326145836</v>
      </c>
      <c r="AS68" s="100">
        <v>3997.741369537388</v>
      </c>
      <c r="AT68" s="100">
        <v>2.9322777275275156E-4</v>
      </c>
      <c r="AU68" s="100">
        <v>0.3029629348081429</v>
      </c>
      <c r="AV68" s="100">
        <v>6</v>
      </c>
      <c r="AW68" s="100">
        <v>6199.2000000000007</v>
      </c>
      <c r="AX68" s="100">
        <v>6</v>
      </c>
      <c r="AY68" s="100">
        <v>6199.2000000000007</v>
      </c>
      <c r="AZ68" s="100">
        <v>6</v>
      </c>
      <c r="BA68" s="100">
        <v>6199.2000000000007</v>
      </c>
      <c r="BB68" s="100">
        <v>6</v>
      </c>
      <c r="BC68" s="100">
        <v>6199.2000000000007</v>
      </c>
      <c r="BD68" s="100">
        <v>3.8308932264325377</v>
      </c>
      <c r="BE68" s="100">
        <v>3958.0788815500982</v>
      </c>
      <c r="BF68" s="100">
        <v>4.3697611693580258</v>
      </c>
      <c r="BG68" s="100">
        <v>4514.8372401807128</v>
      </c>
      <c r="BH68" s="100">
        <v>3.3072709254826589</v>
      </c>
      <c r="BI68" s="100">
        <v>3417.0723202086833</v>
      </c>
      <c r="BJ68" s="100">
        <v>4.0927209713992676</v>
      </c>
      <c r="BK68" s="100">
        <v>4228.5993076497234</v>
      </c>
      <c r="BL68" s="100">
        <v>0.72808533135801246</v>
      </c>
      <c r="BM68" s="100">
        <v>752.25776435909847</v>
      </c>
      <c r="BN68" s="100">
        <v>3.1847454803620696</v>
      </c>
      <c r="BO68" s="100">
        <v>3290.4790303100904</v>
      </c>
      <c r="BP68" s="100">
        <v>4.3616517969821675</v>
      </c>
      <c r="BQ68" s="100">
        <v>4506.4586366419753</v>
      </c>
      <c r="BR68" s="100">
        <v>3.1087104593044619</v>
      </c>
      <c r="BS68" s="100">
        <v>3211.9196465533701</v>
      </c>
      <c r="BT68" s="100">
        <v>5.6879824783342814</v>
      </c>
      <c r="BU68" s="100">
        <v>5876.8234966149794</v>
      </c>
      <c r="BV68" s="100">
        <v>3.3918343594512708</v>
      </c>
      <c r="BW68" s="100">
        <v>3504.4432601850531</v>
      </c>
      <c r="BX68" s="100">
        <v>4</v>
      </c>
      <c r="BY68" s="100">
        <v>4132.8</v>
      </c>
      <c r="BZ68" s="100">
        <v>6.1465203872340544</v>
      </c>
      <c r="CA68" s="100">
        <v>6350.584864090225</v>
      </c>
      <c r="CB68" s="100">
        <v>1.8247910400074634</v>
      </c>
      <c r="CC68" s="100">
        <v>1885.3741025357112</v>
      </c>
      <c r="CD68" s="100">
        <v>2.5247488841028249</v>
      </c>
      <c r="CE68" s="100">
        <v>2608.5705470550388</v>
      </c>
      <c r="CF68" s="100">
        <v>5</v>
      </c>
      <c r="CG68" s="100">
        <v>5166</v>
      </c>
      <c r="CH68" s="100">
        <v>1.8877454855586646</v>
      </c>
      <c r="CI68" s="100">
        <v>1950.4186356792125</v>
      </c>
      <c r="CJ68" s="100">
        <v>0.97926262323402335</v>
      </c>
      <c r="CK68" s="100">
        <v>1011.774142325393</v>
      </c>
      <c r="CL68" s="100">
        <v>3</v>
      </c>
      <c r="CM68" s="100">
        <v>3099.6000000000004</v>
      </c>
      <c r="CN68" s="100">
        <v>6</v>
      </c>
      <c r="CO68" s="100">
        <v>6199.2000000000007</v>
      </c>
      <c r="CP68" s="100">
        <v>6</v>
      </c>
      <c r="CQ68" s="100">
        <v>6199.2000000000007</v>
      </c>
      <c r="CR68" s="100">
        <v>5</v>
      </c>
      <c r="CS68" s="100">
        <v>5166</v>
      </c>
      <c r="CT68" s="100">
        <v>4</v>
      </c>
      <c r="CU68" s="100">
        <v>4132.8</v>
      </c>
    </row>
    <row r="69" spans="2:99">
      <c r="C69" s="99" t="s">
        <v>235</v>
      </c>
      <c r="D69" s="100">
        <v>5.089025220168888E-4</v>
      </c>
      <c r="E69" s="100">
        <v>0.38595167269760844</v>
      </c>
      <c r="F69" s="100">
        <v>4</v>
      </c>
      <c r="G69" s="100">
        <v>3033.6</v>
      </c>
      <c r="H69" s="100">
        <v>5</v>
      </c>
      <c r="I69" s="100">
        <v>3792</v>
      </c>
      <c r="J69" s="100">
        <v>6</v>
      </c>
      <c r="K69" s="100">
        <v>4550.3999999999996</v>
      </c>
      <c r="L69" s="100">
        <v>7</v>
      </c>
      <c r="M69" s="100">
        <v>5308.8</v>
      </c>
      <c r="N69" s="100">
        <v>4.0903490089851449</v>
      </c>
      <c r="O69" s="100">
        <v>3102.1206884143339</v>
      </c>
      <c r="P69" s="100">
        <v>2.5604061059628784</v>
      </c>
      <c r="Q69" s="100">
        <v>1941.811990762247</v>
      </c>
      <c r="R69" s="100">
        <v>6</v>
      </c>
      <c r="S69" s="100">
        <v>4550.3999999999996</v>
      </c>
      <c r="T69" s="100">
        <v>3</v>
      </c>
      <c r="U69" s="100">
        <v>2275.1999999999998</v>
      </c>
      <c r="V69" s="100">
        <v>7</v>
      </c>
      <c r="W69" s="100">
        <v>5308.8</v>
      </c>
      <c r="X69" s="100">
        <v>5</v>
      </c>
      <c r="Y69" s="100">
        <v>3792</v>
      </c>
      <c r="Z69" s="100">
        <v>5</v>
      </c>
      <c r="AA69" s="100">
        <v>3792</v>
      </c>
      <c r="AB69" s="100">
        <v>5</v>
      </c>
      <c r="AC69" s="100">
        <v>3792</v>
      </c>
      <c r="AD69" s="100">
        <v>3.5133099046438474</v>
      </c>
      <c r="AE69" s="100">
        <v>2664.4942316818938</v>
      </c>
      <c r="AF69" s="100">
        <v>7</v>
      </c>
      <c r="AG69" s="100">
        <v>5308.8</v>
      </c>
      <c r="AH69" s="100">
        <v>2.9204653599155503</v>
      </c>
      <c r="AI69" s="100">
        <v>2214.8809289599535</v>
      </c>
      <c r="AJ69" s="100">
        <v>5</v>
      </c>
      <c r="AK69" s="100">
        <v>3792</v>
      </c>
      <c r="AL69" s="100">
        <v>5</v>
      </c>
      <c r="AM69" s="100">
        <v>3792</v>
      </c>
      <c r="AN69" s="100">
        <v>6</v>
      </c>
      <c r="AO69" s="100">
        <v>4550.3999999999996</v>
      </c>
      <c r="AP69" s="100">
        <v>7</v>
      </c>
      <c r="AQ69" s="100">
        <v>5308.8</v>
      </c>
      <c r="AR69" s="100">
        <v>4.8366015407682292</v>
      </c>
      <c r="AS69" s="100">
        <v>3668.0786085186251</v>
      </c>
      <c r="AT69" s="100">
        <v>2.9322777275275156E-4</v>
      </c>
      <c r="AU69" s="100">
        <v>0.22238394285568677</v>
      </c>
      <c r="AV69" s="100">
        <v>6</v>
      </c>
      <c r="AW69" s="100">
        <v>4550.3999999999996</v>
      </c>
      <c r="AX69" s="100">
        <v>6</v>
      </c>
      <c r="AY69" s="100">
        <v>4550.3999999999996</v>
      </c>
      <c r="AZ69" s="100">
        <v>5</v>
      </c>
      <c r="BA69" s="100">
        <v>3792</v>
      </c>
      <c r="BB69" s="100">
        <v>6</v>
      </c>
      <c r="BC69" s="100">
        <v>4550.3999999999996</v>
      </c>
      <c r="BD69" s="100">
        <v>3.8308932264325377</v>
      </c>
      <c r="BE69" s="100">
        <v>2905.3494229264365</v>
      </c>
      <c r="BF69" s="100">
        <v>4.3697611693580258</v>
      </c>
      <c r="BG69" s="100">
        <v>3314.0268708411268</v>
      </c>
      <c r="BH69" s="100">
        <v>3.3072709254826589</v>
      </c>
      <c r="BI69" s="100">
        <v>2508.2342698860484</v>
      </c>
      <c r="BJ69" s="100">
        <v>4.1143523906618107</v>
      </c>
      <c r="BK69" s="100">
        <v>3120.3248530779169</v>
      </c>
      <c r="BL69" s="100">
        <v>0.95291595104828852</v>
      </c>
      <c r="BM69" s="100">
        <v>722.691457275022</v>
      </c>
      <c r="BN69" s="100">
        <v>3.7155363937557482</v>
      </c>
      <c r="BO69" s="100">
        <v>2817.8628010243592</v>
      </c>
      <c r="BP69" s="100">
        <v>4.4068582716049383</v>
      </c>
      <c r="BQ69" s="100">
        <v>3342.161313185185</v>
      </c>
      <c r="BR69" s="100">
        <v>3.1087104593044619</v>
      </c>
      <c r="BS69" s="100">
        <v>2357.6460123365036</v>
      </c>
      <c r="BT69" s="100">
        <v>5.6579940064442624</v>
      </c>
      <c r="BU69" s="100">
        <v>4291.0226544873285</v>
      </c>
      <c r="BV69" s="100">
        <v>3.3918343594512708</v>
      </c>
      <c r="BW69" s="100">
        <v>2572.3671782078436</v>
      </c>
      <c r="BX69" s="100">
        <v>4</v>
      </c>
      <c r="BY69" s="100">
        <v>3033.6</v>
      </c>
      <c r="BZ69" s="100">
        <v>6.1465203872340544</v>
      </c>
      <c r="CA69" s="100">
        <v>4661.521061678307</v>
      </c>
      <c r="CB69" s="100">
        <v>2.3857996400324057</v>
      </c>
      <c r="CC69" s="100">
        <v>1809.3904470005764</v>
      </c>
      <c r="CD69" s="100">
        <v>2.5247488841028249</v>
      </c>
      <c r="CE69" s="100">
        <v>1914.7695537035825</v>
      </c>
      <c r="CF69" s="100">
        <v>5</v>
      </c>
      <c r="CG69" s="100">
        <v>3792</v>
      </c>
      <c r="CH69" s="100">
        <v>1.8877454855586646</v>
      </c>
      <c r="CI69" s="100">
        <v>1431.6661762476913</v>
      </c>
      <c r="CJ69" s="100">
        <v>1.2240782790425293</v>
      </c>
      <c r="CK69" s="100">
        <v>928.34096682585425</v>
      </c>
      <c r="CL69" s="100">
        <v>4</v>
      </c>
      <c r="CM69" s="100">
        <v>3033.6</v>
      </c>
      <c r="CN69" s="100">
        <v>7</v>
      </c>
      <c r="CO69" s="100">
        <v>5308.8</v>
      </c>
      <c r="CP69" s="100">
        <v>6</v>
      </c>
      <c r="CQ69" s="100">
        <v>4550.3999999999996</v>
      </c>
      <c r="CR69" s="100">
        <v>6</v>
      </c>
      <c r="CS69" s="100">
        <v>4550.3999999999996</v>
      </c>
      <c r="CT69" s="100">
        <v>4</v>
      </c>
      <c r="CU69" s="100">
        <v>3033.6</v>
      </c>
    </row>
    <row r="70" spans="2:99">
      <c r="C70" s="99" t="s">
        <v>236</v>
      </c>
      <c r="D70" s="100">
        <v>5.089025220168888E-4</v>
      </c>
      <c r="E70" s="100">
        <v>0.27236462978343884</v>
      </c>
      <c r="F70" s="100">
        <v>4</v>
      </c>
      <c r="G70" s="100">
        <v>2140.7999999999997</v>
      </c>
      <c r="H70" s="100">
        <v>6</v>
      </c>
      <c r="I70" s="100">
        <v>3211.2</v>
      </c>
      <c r="J70" s="100">
        <v>5</v>
      </c>
      <c r="K70" s="100">
        <v>2675.9999999999995</v>
      </c>
      <c r="L70" s="100">
        <v>6</v>
      </c>
      <c r="M70" s="100">
        <v>3211.2</v>
      </c>
      <c r="N70" s="100">
        <v>4.0903490089851449</v>
      </c>
      <c r="O70" s="100">
        <v>2189.1547896088491</v>
      </c>
      <c r="P70" s="100">
        <v>3.4138748079505046</v>
      </c>
      <c r="Q70" s="100">
        <v>1827.1057972151098</v>
      </c>
      <c r="R70" s="100">
        <v>6</v>
      </c>
      <c r="S70" s="100">
        <v>3211.2</v>
      </c>
      <c r="T70" s="100">
        <v>4</v>
      </c>
      <c r="U70" s="100">
        <v>2140.7999999999997</v>
      </c>
      <c r="V70" s="100">
        <v>7</v>
      </c>
      <c r="W70" s="100">
        <v>3746.3999999999996</v>
      </c>
      <c r="X70" s="100">
        <v>5</v>
      </c>
      <c r="Y70" s="100">
        <v>2675.9999999999995</v>
      </c>
      <c r="Z70" s="100">
        <v>5</v>
      </c>
      <c r="AA70" s="100">
        <v>2675.9999999999995</v>
      </c>
      <c r="AB70" s="100">
        <v>6</v>
      </c>
      <c r="AC70" s="100">
        <v>3211.2</v>
      </c>
      <c r="AD70" s="100">
        <v>4.2159718855726167</v>
      </c>
      <c r="AE70" s="100">
        <v>2256.3881531584643</v>
      </c>
      <c r="AF70" s="100">
        <v>6</v>
      </c>
      <c r="AG70" s="100">
        <v>3211.2</v>
      </c>
      <c r="AH70" s="100">
        <v>2.33637228793244</v>
      </c>
      <c r="AI70" s="100">
        <v>1250.4264485014417</v>
      </c>
      <c r="AJ70" s="100">
        <v>5</v>
      </c>
      <c r="AK70" s="100">
        <v>2675.9999999999995</v>
      </c>
      <c r="AL70" s="100">
        <v>5</v>
      </c>
      <c r="AM70" s="100">
        <v>2675.9999999999995</v>
      </c>
      <c r="AN70" s="100">
        <v>6</v>
      </c>
      <c r="AO70" s="100">
        <v>3211.2</v>
      </c>
      <c r="AP70" s="100">
        <v>7</v>
      </c>
      <c r="AQ70" s="100">
        <v>3746.3999999999996</v>
      </c>
      <c r="AR70" s="100">
        <v>4.8366015407682292</v>
      </c>
      <c r="AS70" s="100">
        <v>2588.5491446191559</v>
      </c>
      <c r="AT70" s="100">
        <v>2.9322777275275156E-4</v>
      </c>
      <c r="AU70" s="100">
        <v>0.15693550397727263</v>
      </c>
      <c r="AV70" s="100">
        <v>6</v>
      </c>
      <c r="AW70" s="100">
        <v>3211.2</v>
      </c>
      <c r="AX70" s="100">
        <v>5</v>
      </c>
      <c r="AY70" s="100">
        <v>2675.9999999999995</v>
      </c>
      <c r="AZ70" s="100">
        <v>5</v>
      </c>
      <c r="BA70" s="100">
        <v>2675.9999999999995</v>
      </c>
      <c r="BB70" s="100">
        <v>6</v>
      </c>
      <c r="BC70" s="100">
        <v>3211.2</v>
      </c>
      <c r="BD70" s="100">
        <v>3.8308932264325377</v>
      </c>
      <c r="BE70" s="100">
        <v>2050.2940547866938</v>
      </c>
      <c r="BF70" s="100">
        <v>3.4958089354864206</v>
      </c>
      <c r="BG70" s="100">
        <v>1870.9569422723321</v>
      </c>
      <c r="BH70" s="100">
        <v>3.3072709254826589</v>
      </c>
      <c r="BI70" s="100">
        <v>1770.0513993183188</v>
      </c>
      <c r="BJ70" s="100">
        <v>3.4791003038307768</v>
      </c>
      <c r="BK70" s="100">
        <v>1862.0144826102314</v>
      </c>
      <c r="BL70" s="100">
        <v>0.95291595104828852</v>
      </c>
      <c r="BM70" s="100">
        <v>510.00061700104396</v>
      </c>
      <c r="BN70" s="100">
        <v>3.1847454803620696</v>
      </c>
      <c r="BO70" s="100">
        <v>1704.4757810897795</v>
      </c>
      <c r="BP70" s="100">
        <v>4.3616517969821675</v>
      </c>
      <c r="BQ70" s="100">
        <v>2334.3560417448557</v>
      </c>
      <c r="BR70" s="100">
        <v>2.5905920494203847</v>
      </c>
      <c r="BS70" s="100">
        <v>1386.4848648497898</v>
      </c>
      <c r="BT70" s="100">
        <v>5.6879824783342814</v>
      </c>
      <c r="BU70" s="100">
        <v>3044.2082224045071</v>
      </c>
      <c r="BV70" s="100">
        <v>2.9072865938153751</v>
      </c>
      <c r="BW70" s="100">
        <v>1555.9797850099885</v>
      </c>
      <c r="BX70" s="100">
        <v>5</v>
      </c>
      <c r="BY70" s="100">
        <v>2675.9999999999995</v>
      </c>
      <c r="BZ70" s="100">
        <v>5.1465203872340544</v>
      </c>
      <c r="CA70" s="100">
        <v>2754.4177112476655</v>
      </c>
      <c r="CB70" s="100">
        <v>2.4094271800211784</v>
      </c>
      <c r="CC70" s="100">
        <v>1289.5254267473344</v>
      </c>
      <c r="CD70" s="100">
        <v>2.5247488841028249</v>
      </c>
      <c r="CE70" s="100">
        <v>1351.2456027718317</v>
      </c>
      <c r="CF70" s="100">
        <v>6</v>
      </c>
      <c r="CG70" s="100">
        <v>3211.2</v>
      </c>
      <c r="CH70" s="100">
        <v>1.9127106283379884</v>
      </c>
      <c r="CI70" s="100">
        <v>1023.6827282864913</v>
      </c>
      <c r="CJ70" s="100">
        <v>1.2240782790425293</v>
      </c>
      <c r="CK70" s="100">
        <v>655.12669494356157</v>
      </c>
      <c r="CL70" s="100">
        <v>4</v>
      </c>
      <c r="CM70" s="100">
        <v>2140.7999999999997</v>
      </c>
      <c r="CN70" s="100">
        <v>7</v>
      </c>
      <c r="CO70" s="100">
        <v>3746.3999999999996</v>
      </c>
      <c r="CP70" s="100">
        <v>7</v>
      </c>
      <c r="CQ70" s="100">
        <v>3746.3999999999996</v>
      </c>
      <c r="CR70" s="100">
        <v>5</v>
      </c>
      <c r="CS70" s="100">
        <v>2675.9999999999995</v>
      </c>
      <c r="CT70" s="100">
        <v>4</v>
      </c>
      <c r="CU70" s="100">
        <v>2140.7999999999997</v>
      </c>
    </row>
    <row r="71" spans="2:99">
      <c r="B71" s="99" t="s">
        <v>130</v>
      </c>
      <c r="C71" s="99" t="s">
        <v>237</v>
      </c>
      <c r="D71" s="100">
        <v>3</v>
      </c>
      <c r="E71" s="100">
        <v>1692</v>
      </c>
      <c r="F71" s="100">
        <v>5</v>
      </c>
      <c r="G71" s="100">
        <v>2820</v>
      </c>
      <c r="H71" s="100">
        <v>4.0329463349730643</v>
      </c>
      <c r="I71" s="100">
        <v>2274.5817329248084</v>
      </c>
      <c r="J71" s="100">
        <v>3.584571590399523</v>
      </c>
      <c r="K71" s="100">
        <v>2021.6983769853309</v>
      </c>
      <c r="L71" s="100">
        <v>4.1215867132168187</v>
      </c>
      <c r="M71" s="100">
        <v>2324.5749062542859</v>
      </c>
      <c r="N71" s="100">
        <v>1.2577750947327138</v>
      </c>
      <c r="O71" s="100">
        <v>709.38515342925052</v>
      </c>
      <c r="P71" s="100">
        <v>6</v>
      </c>
      <c r="Q71" s="100">
        <v>3384</v>
      </c>
      <c r="R71" s="100">
        <v>3.2689966998698985</v>
      </c>
      <c r="S71" s="100">
        <v>1843.7141387266227</v>
      </c>
      <c r="T71" s="100">
        <v>5</v>
      </c>
      <c r="U71" s="100">
        <v>2820</v>
      </c>
      <c r="V71" s="100">
        <v>4</v>
      </c>
      <c r="W71" s="100">
        <v>2256</v>
      </c>
      <c r="X71" s="100">
        <v>4.1436338164207758</v>
      </c>
      <c r="Y71" s="100">
        <v>2337.0094724613177</v>
      </c>
      <c r="Z71" s="100">
        <v>2.4692249244818831</v>
      </c>
      <c r="AA71" s="100">
        <v>1392.642857407782</v>
      </c>
      <c r="AB71" s="100">
        <v>4.4878674480676235</v>
      </c>
      <c r="AC71" s="100">
        <v>2531.1572407101398</v>
      </c>
      <c r="AD71" s="100">
        <v>1.3498791135751045</v>
      </c>
      <c r="AE71" s="100">
        <v>761.33182005635888</v>
      </c>
      <c r="AF71" s="100">
        <v>3.7162619665365843E-4</v>
      </c>
      <c r="AG71" s="100">
        <v>0.20959717491266336</v>
      </c>
      <c r="AH71" s="100">
        <v>3</v>
      </c>
      <c r="AI71" s="100">
        <v>1692</v>
      </c>
      <c r="AJ71" s="100">
        <v>3</v>
      </c>
      <c r="AK71" s="100">
        <v>1692</v>
      </c>
      <c r="AL71" s="100">
        <v>5</v>
      </c>
      <c r="AM71" s="100">
        <v>2820</v>
      </c>
      <c r="AN71" s="100">
        <v>4</v>
      </c>
      <c r="AO71" s="100">
        <v>2256</v>
      </c>
      <c r="AP71" s="100">
        <v>4</v>
      </c>
      <c r="AQ71" s="100">
        <v>2256</v>
      </c>
      <c r="AR71" s="100">
        <v>4.6654692444902413</v>
      </c>
      <c r="AS71" s="100">
        <v>2631.3246538924959</v>
      </c>
      <c r="AT71" s="100">
        <v>4.4191731321075567</v>
      </c>
      <c r="AU71" s="100">
        <v>2492.4136465086622</v>
      </c>
      <c r="AV71" s="100">
        <v>4.6681204838294157</v>
      </c>
      <c r="AW71" s="100">
        <v>2632.8199528797904</v>
      </c>
      <c r="AX71" s="100">
        <v>5</v>
      </c>
      <c r="AY71" s="100">
        <v>2820</v>
      </c>
      <c r="AZ71" s="100">
        <v>3.2295869634784928</v>
      </c>
      <c r="BA71" s="100">
        <v>1821.4870474018699</v>
      </c>
      <c r="BB71" s="100">
        <v>5.4488478022631863</v>
      </c>
      <c r="BC71" s="100">
        <v>3073.1501604764371</v>
      </c>
      <c r="BD71" s="100">
        <v>1.8042534554240304</v>
      </c>
      <c r="BE71" s="100">
        <v>1017.5989488591531</v>
      </c>
      <c r="BF71" s="100">
        <v>3.0010403300758854</v>
      </c>
      <c r="BG71" s="100">
        <v>1692.5867461627995</v>
      </c>
      <c r="BH71" s="100">
        <v>2.5430704365297494</v>
      </c>
      <c r="BI71" s="100">
        <v>1434.2917262027786</v>
      </c>
      <c r="BJ71" s="100">
        <v>1.5832134515968164</v>
      </c>
      <c r="BK71" s="100">
        <v>892.93238670060441</v>
      </c>
      <c r="BL71" s="100">
        <v>1.5085635862062827</v>
      </c>
      <c r="BM71" s="100">
        <v>850.82986262034342</v>
      </c>
      <c r="BN71" s="100">
        <v>3.9193669462706771</v>
      </c>
      <c r="BO71" s="100">
        <v>2210.5229576966617</v>
      </c>
      <c r="BP71" s="100">
        <v>2.3954814111085398</v>
      </c>
      <c r="BQ71" s="100">
        <v>1351.0515158652165</v>
      </c>
      <c r="BR71" s="100">
        <v>3</v>
      </c>
      <c r="BS71" s="100">
        <v>1692</v>
      </c>
      <c r="BT71" s="100">
        <v>4</v>
      </c>
      <c r="BU71" s="100">
        <v>2256</v>
      </c>
      <c r="BV71" s="100">
        <v>6</v>
      </c>
      <c r="BW71" s="100">
        <v>3384</v>
      </c>
      <c r="BX71" s="100">
        <v>2.7033975088604159</v>
      </c>
      <c r="BY71" s="100">
        <v>1524.7161949972744</v>
      </c>
      <c r="BZ71" s="100">
        <v>5</v>
      </c>
      <c r="CA71" s="100">
        <v>2820</v>
      </c>
      <c r="CB71" s="100">
        <v>4</v>
      </c>
      <c r="CC71" s="100">
        <v>2256</v>
      </c>
      <c r="CD71" s="100">
        <v>4</v>
      </c>
      <c r="CE71" s="100">
        <v>2256</v>
      </c>
      <c r="CF71" s="100">
        <v>6</v>
      </c>
      <c r="CG71" s="100">
        <v>3384</v>
      </c>
      <c r="CH71" s="100">
        <v>6</v>
      </c>
      <c r="CI71" s="100">
        <v>3384</v>
      </c>
      <c r="CJ71" s="100">
        <v>6</v>
      </c>
      <c r="CK71" s="100">
        <v>3384</v>
      </c>
      <c r="CL71" s="100">
        <v>3.825989391641941</v>
      </c>
      <c r="CM71" s="100">
        <v>2157.8580168860549</v>
      </c>
      <c r="CN71" s="100">
        <v>5.1931634887677216</v>
      </c>
      <c r="CO71" s="100">
        <v>2928.9442076649948</v>
      </c>
      <c r="CP71" s="100">
        <v>2.3876330841074411</v>
      </c>
      <c r="CQ71" s="100">
        <v>1346.6250594365968</v>
      </c>
      <c r="CR71" s="100">
        <v>3</v>
      </c>
      <c r="CS71" s="100">
        <v>1692</v>
      </c>
      <c r="CT71" s="100">
        <v>4.5143916686580026</v>
      </c>
      <c r="CU71" s="100">
        <v>2546.1169011231136</v>
      </c>
    </row>
    <row r="72" spans="2:99">
      <c r="C72" s="99" t="s">
        <v>238</v>
      </c>
      <c r="D72" s="100">
        <v>3</v>
      </c>
      <c r="E72" s="100">
        <v>223.2</v>
      </c>
      <c r="F72" s="100">
        <v>5</v>
      </c>
      <c r="G72" s="100">
        <v>371.99999999999994</v>
      </c>
      <c r="H72" s="100">
        <v>4.0329463349730643</v>
      </c>
      <c r="I72" s="100">
        <v>300.05120732199595</v>
      </c>
      <c r="J72" s="100">
        <v>4.4807144879994034</v>
      </c>
      <c r="K72" s="100">
        <v>333.36515790715555</v>
      </c>
      <c r="L72" s="100">
        <v>4.1215867132168187</v>
      </c>
      <c r="M72" s="100">
        <v>306.64605146333128</v>
      </c>
      <c r="N72" s="100">
        <v>1.6770334596436185</v>
      </c>
      <c r="O72" s="100">
        <v>124.77128939748521</v>
      </c>
      <c r="P72" s="100">
        <v>6</v>
      </c>
      <c r="Q72" s="100">
        <v>446.4</v>
      </c>
      <c r="R72" s="100">
        <v>4.0862458748373731</v>
      </c>
      <c r="S72" s="100">
        <v>304.01669308790053</v>
      </c>
      <c r="T72" s="100">
        <v>4</v>
      </c>
      <c r="U72" s="100">
        <v>297.59999999999997</v>
      </c>
      <c r="V72" s="100">
        <v>3</v>
      </c>
      <c r="W72" s="100">
        <v>223.2</v>
      </c>
      <c r="X72" s="100">
        <v>3.3149070531366207</v>
      </c>
      <c r="Y72" s="100">
        <v>246.62908475336457</v>
      </c>
      <c r="Z72" s="100">
        <v>2.4692249244818831</v>
      </c>
      <c r="AA72" s="100">
        <v>183.71033438145207</v>
      </c>
      <c r="AB72" s="100">
        <v>4.5765706204435554</v>
      </c>
      <c r="AC72" s="100">
        <v>340.4968541610005</v>
      </c>
      <c r="AD72" s="100">
        <v>1.3498791135751045</v>
      </c>
      <c r="AE72" s="100">
        <v>100.43100604998776</v>
      </c>
      <c r="AF72" s="100">
        <v>3.7162619665365843E-4</v>
      </c>
      <c r="AG72" s="100">
        <v>2.7648989031032183E-2</v>
      </c>
      <c r="AH72" s="100">
        <v>4</v>
      </c>
      <c r="AI72" s="100">
        <v>297.59999999999997</v>
      </c>
      <c r="AJ72" s="100">
        <v>3</v>
      </c>
      <c r="AK72" s="100">
        <v>223.2</v>
      </c>
      <c r="AL72" s="100">
        <v>6</v>
      </c>
      <c r="AM72" s="100">
        <v>446.4</v>
      </c>
      <c r="AN72" s="100">
        <v>4</v>
      </c>
      <c r="AO72" s="100">
        <v>297.59999999999997</v>
      </c>
      <c r="AP72" s="100">
        <v>4</v>
      </c>
      <c r="AQ72" s="100">
        <v>297.59999999999997</v>
      </c>
      <c r="AR72" s="100">
        <v>5.4430474519052821</v>
      </c>
      <c r="AS72" s="100">
        <v>404.96273042175295</v>
      </c>
      <c r="AT72" s="100">
        <v>4</v>
      </c>
      <c r="AU72" s="100">
        <v>297.59999999999997</v>
      </c>
      <c r="AV72" s="100">
        <v>4.6681204838294157</v>
      </c>
      <c r="AW72" s="100">
        <v>347.30816399690849</v>
      </c>
      <c r="AX72" s="100">
        <v>6</v>
      </c>
      <c r="AY72" s="100">
        <v>446.4</v>
      </c>
      <c r="AZ72" s="100">
        <v>3.2295869634784928</v>
      </c>
      <c r="BA72" s="100">
        <v>240.28127008279984</v>
      </c>
      <c r="BB72" s="100">
        <v>6.3989758242339434</v>
      </c>
      <c r="BC72" s="100">
        <v>476.08380132300533</v>
      </c>
      <c r="BD72" s="100">
        <v>1.8042534554240304</v>
      </c>
      <c r="BE72" s="100">
        <v>134.23645708354783</v>
      </c>
      <c r="BF72" s="100">
        <v>3.0010403300758854</v>
      </c>
      <c r="BG72" s="100">
        <v>223.27740055764585</v>
      </c>
      <c r="BH72" s="100">
        <v>2.5430704365297494</v>
      </c>
      <c r="BI72" s="100">
        <v>189.20444047781334</v>
      </c>
      <c r="BJ72" s="100">
        <v>1.5832134515968164</v>
      </c>
      <c r="BK72" s="100">
        <v>117.79108079880312</v>
      </c>
      <c r="BL72" s="100">
        <v>1.5085635862062827</v>
      </c>
      <c r="BM72" s="100">
        <v>112.23713081374743</v>
      </c>
      <c r="BN72" s="100">
        <v>3.9483175542295963</v>
      </c>
      <c r="BO72" s="100">
        <v>293.75482603468191</v>
      </c>
      <c r="BP72" s="100">
        <v>2.3954814111085398</v>
      </c>
      <c r="BQ72" s="100">
        <v>178.22381698647536</v>
      </c>
      <c r="BR72" s="100">
        <v>4</v>
      </c>
      <c r="BS72" s="100">
        <v>297.59999999999997</v>
      </c>
      <c r="BT72" s="100">
        <v>5</v>
      </c>
      <c r="BU72" s="100">
        <v>371.99999999999994</v>
      </c>
      <c r="BV72" s="100">
        <v>6.7458015510225255</v>
      </c>
      <c r="BW72" s="100">
        <v>501.88763539607584</v>
      </c>
      <c r="BX72" s="100">
        <v>2.7033975088604159</v>
      </c>
      <c r="BY72" s="100">
        <v>201.1327746592149</v>
      </c>
      <c r="BZ72" s="100">
        <v>5</v>
      </c>
      <c r="CA72" s="100">
        <v>371.99999999999994</v>
      </c>
      <c r="CB72" s="100">
        <v>4</v>
      </c>
      <c r="CC72" s="100">
        <v>297.59999999999997</v>
      </c>
      <c r="CD72" s="100">
        <v>4</v>
      </c>
      <c r="CE72" s="100">
        <v>297.59999999999997</v>
      </c>
      <c r="CF72" s="100">
        <v>7</v>
      </c>
      <c r="CG72" s="100">
        <v>520.79999999999995</v>
      </c>
      <c r="CH72" s="100">
        <v>6</v>
      </c>
      <c r="CI72" s="100">
        <v>446.4</v>
      </c>
      <c r="CJ72" s="100">
        <v>6</v>
      </c>
      <c r="CK72" s="100">
        <v>446.4</v>
      </c>
      <c r="CL72" s="100">
        <v>3.825989391641941</v>
      </c>
      <c r="CM72" s="100">
        <v>284.65361073816035</v>
      </c>
      <c r="CN72" s="100">
        <v>6.1845054010985763</v>
      </c>
      <c r="CO72" s="100">
        <v>460.12720184173401</v>
      </c>
      <c r="CP72" s="100">
        <v>2.7855719314586809</v>
      </c>
      <c r="CQ72" s="100">
        <v>207.24655170052583</v>
      </c>
      <c r="CR72" s="100">
        <v>3</v>
      </c>
      <c r="CS72" s="100">
        <v>223.2</v>
      </c>
      <c r="CT72" s="100">
        <v>4.5143916686580026</v>
      </c>
      <c r="CU72" s="100">
        <v>335.87074014815533</v>
      </c>
    </row>
    <row r="73" spans="2:99">
      <c r="C73" s="99" t="s">
        <v>239</v>
      </c>
      <c r="D73" s="100">
        <v>3</v>
      </c>
      <c r="E73" s="100">
        <v>1677.6</v>
      </c>
      <c r="F73" s="100">
        <v>5</v>
      </c>
      <c r="G73" s="100">
        <v>2795.9999999999995</v>
      </c>
      <c r="H73" s="100">
        <v>3.360788612477553</v>
      </c>
      <c r="I73" s="100">
        <v>1879.3529920974474</v>
      </c>
      <c r="J73" s="100">
        <v>3.584571590399523</v>
      </c>
      <c r="K73" s="100">
        <v>2004.492433351413</v>
      </c>
      <c r="L73" s="100">
        <v>3.2300241127820413</v>
      </c>
      <c r="M73" s="100">
        <v>1806.2294838677174</v>
      </c>
      <c r="N73" s="100">
        <v>1.6770334596436185</v>
      </c>
      <c r="O73" s="100">
        <v>937.79711063271134</v>
      </c>
      <c r="P73" s="100">
        <v>6</v>
      </c>
      <c r="Q73" s="100">
        <v>3355.2</v>
      </c>
      <c r="R73" s="100">
        <v>3.2689966998698985</v>
      </c>
      <c r="S73" s="100">
        <v>1828.0229545672471</v>
      </c>
      <c r="T73" s="100">
        <v>4</v>
      </c>
      <c r="U73" s="100">
        <v>2236.7999999999997</v>
      </c>
      <c r="V73" s="100">
        <v>3</v>
      </c>
      <c r="W73" s="100">
        <v>1677.6</v>
      </c>
      <c r="X73" s="100">
        <v>3.3149070531366207</v>
      </c>
      <c r="Y73" s="100">
        <v>1853.696024113998</v>
      </c>
      <c r="Z73" s="100">
        <v>2.4692249244818831</v>
      </c>
      <c r="AA73" s="100">
        <v>1380.7905777702688</v>
      </c>
      <c r="AB73" s="100">
        <v>4.4878674480676235</v>
      </c>
      <c r="AC73" s="100">
        <v>2509.6154769594145</v>
      </c>
      <c r="AD73" s="100">
        <v>1.0799032908600836</v>
      </c>
      <c r="AE73" s="100">
        <v>603.88192024895875</v>
      </c>
      <c r="AF73" s="100">
        <v>3.7162619665365843E-4</v>
      </c>
      <c r="AG73" s="100">
        <v>0.20781336916872578</v>
      </c>
      <c r="AH73" s="100">
        <v>3</v>
      </c>
      <c r="AI73" s="100">
        <v>1677.6</v>
      </c>
      <c r="AJ73" s="100">
        <v>3</v>
      </c>
      <c r="AK73" s="100">
        <v>1677.6</v>
      </c>
      <c r="AL73" s="100">
        <v>6</v>
      </c>
      <c r="AM73" s="100">
        <v>3355.2</v>
      </c>
      <c r="AN73" s="100">
        <v>3</v>
      </c>
      <c r="AO73" s="100">
        <v>1677.6</v>
      </c>
      <c r="AP73" s="100">
        <v>4</v>
      </c>
      <c r="AQ73" s="100">
        <v>2236.7999999999997</v>
      </c>
      <c r="AR73" s="100">
        <v>4.6654692444902413</v>
      </c>
      <c r="AS73" s="100">
        <v>2608.9304015189427</v>
      </c>
      <c r="AT73" s="100">
        <v>4</v>
      </c>
      <c r="AU73" s="100">
        <v>2236.7999999999997</v>
      </c>
      <c r="AV73" s="100">
        <v>4.6681204838294157</v>
      </c>
      <c r="AW73" s="100">
        <v>2610.4129745574091</v>
      </c>
      <c r="AX73" s="100">
        <v>4</v>
      </c>
      <c r="AY73" s="100">
        <v>2236.7999999999997</v>
      </c>
      <c r="AZ73" s="100">
        <v>3.2295869634784928</v>
      </c>
      <c r="BA73" s="100">
        <v>1805.9850299771729</v>
      </c>
      <c r="BB73" s="100">
        <v>5</v>
      </c>
      <c r="BC73" s="100">
        <v>2795.9999999999995</v>
      </c>
      <c r="BD73" s="100">
        <v>1.5035445461866919</v>
      </c>
      <c r="BE73" s="100">
        <v>840.78211022759797</v>
      </c>
      <c r="BF73" s="100">
        <v>3.0010403300758854</v>
      </c>
      <c r="BG73" s="100">
        <v>1678.181752578435</v>
      </c>
      <c r="BH73" s="100">
        <v>2.5430704365297494</v>
      </c>
      <c r="BI73" s="100">
        <v>1422.0849881074357</v>
      </c>
      <c r="BJ73" s="100">
        <v>1.5685546289228471</v>
      </c>
      <c r="BK73" s="100">
        <v>877.13574849365602</v>
      </c>
      <c r="BL73" s="100">
        <v>1.5085635862062827</v>
      </c>
      <c r="BM73" s="100">
        <v>843.58875740655321</v>
      </c>
      <c r="BN73" s="100">
        <v>3.8614657303528377</v>
      </c>
      <c r="BO73" s="100">
        <v>2159.3316364133066</v>
      </c>
      <c r="BP73" s="100">
        <v>3.193975214811386</v>
      </c>
      <c r="BQ73" s="100">
        <v>1786.0709401225267</v>
      </c>
      <c r="BR73" s="100">
        <v>3</v>
      </c>
      <c r="BS73" s="100">
        <v>1677.6</v>
      </c>
      <c r="BT73" s="100">
        <v>5</v>
      </c>
      <c r="BU73" s="100">
        <v>2795.9999999999995</v>
      </c>
      <c r="BV73" s="100">
        <v>6</v>
      </c>
      <c r="BW73" s="100">
        <v>3355.2</v>
      </c>
      <c r="BX73" s="100">
        <v>2.0275481316453119</v>
      </c>
      <c r="BY73" s="100">
        <v>1133.8049152160584</v>
      </c>
      <c r="BZ73" s="100">
        <v>5</v>
      </c>
      <c r="CA73" s="100">
        <v>2795.9999999999995</v>
      </c>
      <c r="CB73" s="100">
        <v>3</v>
      </c>
      <c r="CC73" s="100">
        <v>1677.6</v>
      </c>
      <c r="CD73" s="100">
        <v>4</v>
      </c>
      <c r="CE73" s="100">
        <v>2236.7999999999997</v>
      </c>
      <c r="CF73" s="100">
        <v>6</v>
      </c>
      <c r="CG73" s="100">
        <v>3355.2</v>
      </c>
      <c r="CH73" s="100">
        <v>5</v>
      </c>
      <c r="CI73" s="100">
        <v>2795.9999999999995</v>
      </c>
      <c r="CJ73" s="100">
        <v>6</v>
      </c>
      <c r="CK73" s="100">
        <v>3355.2</v>
      </c>
      <c r="CL73" s="100">
        <v>3.825989391641941</v>
      </c>
      <c r="CM73" s="100">
        <v>2139.4932678061732</v>
      </c>
      <c r="CN73" s="100">
        <v>5.1931634887677216</v>
      </c>
      <c r="CO73" s="100">
        <v>2904.0170229189098</v>
      </c>
      <c r="CP73" s="100">
        <v>2.3876330841074411</v>
      </c>
      <c r="CQ73" s="100">
        <v>1335.1644206328808</v>
      </c>
      <c r="CR73" s="100">
        <v>3</v>
      </c>
      <c r="CS73" s="100">
        <v>1677.6</v>
      </c>
      <c r="CT73" s="100">
        <v>4.5143916686580026</v>
      </c>
      <c r="CU73" s="100">
        <v>2524.4478211135547</v>
      </c>
    </row>
    <row r="74" spans="2:99">
      <c r="C74" s="99" t="s">
        <v>240</v>
      </c>
      <c r="D74" s="100">
        <v>3</v>
      </c>
      <c r="E74" s="100">
        <v>1209.5999999999999</v>
      </c>
      <c r="F74" s="100">
        <v>4</v>
      </c>
      <c r="G74" s="100">
        <v>1612.8</v>
      </c>
      <c r="H74" s="100">
        <v>4.0329463349730643</v>
      </c>
      <c r="I74" s="100">
        <v>1626.0839622611395</v>
      </c>
      <c r="J74" s="100">
        <v>3.584571590399523</v>
      </c>
      <c r="K74" s="100">
        <v>1445.2992652490877</v>
      </c>
      <c r="L74" s="100">
        <v>4.1612535926080838</v>
      </c>
      <c r="M74" s="100">
        <v>1677.8174485395793</v>
      </c>
      <c r="N74" s="100">
        <v>1.6770334596436185</v>
      </c>
      <c r="O74" s="100">
        <v>676.17989092830692</v>
      </c>
      <c r="P74" s="100">
        <v>6</v>
      </c>
      <c r="Q74" s="100">
        <v>2419.1999999999998</v>
      </c>
      <c r="R74" s="100">
        <v>3.2689966998698985</v>
      </c>
      <c r="S74" s="100">
        <v>1318.059469387543</v>
      </c>
      <c r="T74" s="100">
        <v>4</v>
      </c>
      <c r="U74" s="100">
        <v>1612.8</v>
      </c>
      <c r="V74" s="100">
        <v>4</v>
      </c>
      <c r="W74" s="100">
        <v>1612.8</v>
      </c>
      <c r="X74" s="100">
        <v>4.1436338164207758</v>
      </c>
      <c r="Y74" s="100">
        <v>1670.7131547808567</v>
      </c>
      <c r="Z74" s="100">
        <v>2.4692249244818831</v>
      </c>
      <c r="AA74" s="100">
        <v>995.59148955109526</v>
      </c>
      <c r="AB74" s="100">
        <v>4.4878674480676235</v>
      </c>
      <c r="AC74" s="100">
        <v>1809.5081550608656</v>
      </c>
      <c r="AD74" s="100">
        <v>1.3498791135751045</v>
      </c>
      <c r="AE74" s="100">
        <v>544.27125859348212</v>
      </c>
      <c r="AF74" s="100">
        <v>2.7871964749024379E-4</v>
      </c>
      <c r="AG74" s="100">
        <v>0.11237976186806629</v>
      </c>
      <c r="AH74" s="100">
        <v>4</v>
      </c>
      <c r="AI74" s="100">
        <v>1612.8</v>
      </c>
      <c r="AJ74" s="100">
        <v>3</v>
      </c>
      <c r="AK74" s="100">
        <v>1209.5999999999999</v>
      </c>
      <c r="AL74" s="100">
        <v>6</v>
      </c>
      <c r="AM74" s="100">
        <v>2419.1999999999998</v>
      </c>
      <c r="AN74" s="100">
        <v>3</v>
      </c>
      <c r="AO74" s="100">
        <v>1209.5999999999999</v>
      </c>
      <c r="AP74" s="100">
        <v>4</v>
      </c>
      <c r="AQ74" s="100">
        <v>1612.8</v>
      </c>
      <c r="AR74" s="100">
        <v>4.6654692444902413</v>
      </c>
      <c r="AS74" s="100">
        <v>1881.1171993784653</v>
      </c>
      <c r="AT74" s="100">
        <v>4.4191731321075567</v>
      </c>
      <c r="AU74" s="100">
        <v>1781.8106068657669</v>
      </c>
      <c r="AV74" s="100">
        <v>4.6681204838294157</v>
      </c>
      <c r="AW74" s="100">
        <v>1882.1861790800203</v>
      </c>
      <c r="AX74" s="100">
        <v>5</v>
      </c>
      <c r="AY74" s="100">
        <v>2016</v>
      </c>
      <c r="AZ74" s="100">
        <v>3.2295869634784928</v>
      </c>
      <c r="BA74" s="100">
        <v>1302.1694636745283</v>
      </c>
      <c r="BB74" s="100">
        <v>5</v>
      </c>
      <c r="BC74" s="100">
        <v>2016</v>
      </c>
      <c r="BD74" s="100">
        <v>1.8042534554240304</v>
      </c>
      <c r="BE74" s="100">
        <v>727.47499322696899</v>
      </c>
      <c r="BF74" s="100">
        <v>3.6012483960910622</v>
      </c>
      <c r="BG74" s="100">
        <v>1452.0233533039163</v>
      </c>
      <c r="BH74" s="100">
        <v>2.5649174415359997</v>
      </c>
      <c r="BI74" s="100">
        <v>1034.1747124273149</v>
      </c>
      <c r="BJ74" s="100">
        <v>1.5685546289228471</v>
      </c>
      <c r="BK74" s="100">
        <v>632.44122638169199</v>
      </c>
      <c r="BL74" s="100">
        <v>1.5085635862062827</v>
      </c>
      <c r="BM74" s="100">
        <v>608.25283795837322</v>
      </c>
      <c r="BN74" s="100">
        <v>3.8904163383117578</v>
      </c>
      <c r="BO74" s="100">
        <v>1568.6158676073007</v>
      </c>
      <c r="BP74" s="100">
        <v>2.3954814111085398</v>
      </c>
      <c r="BQ74" s="100">
        <v>965.85810495896328</v>
      </c>
      <c r="BR74" s="100">
        <v>3</v>
      </c>
      <c r="BS74" s="100">
        <v>1209.5999999999999</v>
      </c>
      <c r="BT74" s="100">
        <v>5</v>
      </c>
      <c r="BU74" s="100">
        <v>2016</v>
      </c>
      <c r="BV74" s="100">
        <v>6.646361344219522</v>
      </c>
      <c r="BW74" s="100">
        <v>2679.8128939893113</v>
      </c>
      <c r="BX74" s="100">
        <v>2.0275481316453119</v>
      </c>
      <c r="BY74" s="100">
        <v>817.50740667938976</v>
      </c>
      <c r="BZ74" s="100">
        <v>5</v>
      </c>
      <c r="CA74" s="100">
        <v>2016</v>
      </c>
      <c r="CB74" s="100">
        <v>4</v>
      </c>
      <c r="CC74" s="100">
        <v>1612.8</v>
      </c>
      <c r="CD74" s="100">
        <v>4</v>
      </c>
      <c r="CE74" s="100">
        <v>1612.8</v>
      </c>
      <c r="CF74" s="100">
        <v>6</v>
      </c>
      <c r="CG74" s="100">
        <v>2419.1999999999998</v>
      </c>
      <c r="CH74" s="100">
        <v>6</v>
      </c>
      <c r="CI74" s="100">
        <v>2419.1999999999998</v>
      </c>
      <c r="CJ74" s="100">
        <v>6</v>
      </c>
      <c r="CK74" s="100">
        <v>2419.1999999999998</v>
      </c>
      <c r="CL74" s="100">
        <v>3.825989391641941</v>
      </c>
      <c r="CM74" s="100">
        <v>1542.6389227100306</v>
      </c>
      <c r="CN74" s="100">
        <v>5.1931634887677216</v>
      </c>
      <c r="CO74" s="100">
        <v>2093.8835186711453</v>
      </c>
      <c r="CP74" s="100">
        <v>2.3876330841074411</v>
      </c>
      <c r="CQ74" s="100">
        <v>962.69365951212023</v>
      </c>
      <c r="CR74" s="100">
        <v>3</v>
      </c>
      <c r="CS74" s="100">
        <v>1209.5999999999999</v>
      </c>
      <c r="CT74" s="100">
        <v>4.5143916686580026</v>
      </c>
      <c r="CU74" s="100">
        <v>1820.2027208029065</v>
      </c>
    </row>
    <row r="75" spans="2:99">
      <c r="C75" s="99" t="s">
        <v>241</v>
      </c>
      <c r="D75" s="100">
        <v>4</v>
      </c>
      <c r="E75" s="100">
        <v>2572.7999999999997</v>
      </c>
      <c r="F75" s="100">
        <v>4</v>
      </c>
      <c r="G75" s="100">
        <v>2572.7999999999997</v>
      </c>
      <c r="H75" s="100">
        <v>4.0329463349730643</v>
      </c>
      <c r="I75" s="100">
        <v>2593.9910826546748</v>
      </c>
      <c r="J75" s="100">
        <v>3.584571590399523</v>
      </c>
      <c r="K75" s="100">
        <v>2305.5964469449727</v>
      </c>
      <c r="L75" s="100">
        <v>4.1215867132168187</v>
      </c>
      <c r="M75" s="100">
        <v>2651.0045739410575</v>
      </c>
      <c r="N75" s="100">
        <v>1.6770334596436185</v>
      </c>
      <c r="O75" s="100">
        <v>1078.6679212427753</v>
      </c>
      <c r="P75" s="100">
        <v>5</v>
      </c>
      <c r="Q75" s="100">
        <v>3215.9999999999995</v>
      </c>
      <c r="R75" s="100">
        <v>3.2689966998698985</v>
      </c>
      <c r="S75" s="100">
        <v>2102.6186773563186</v>
      </c>
      <c r="T75" s="100">
        <v>4</v>
      </c>
      <c r="U75" s="100">
        <v>2572.7999999999997</v>
      </c>
      <c r="V75" s="100">
        <v>3</v>
      </c>
      <c r="W75" s="100">
        <v>1929.6</v>
      </c>
      <c r="X75" s="100">
        <v>3.3149070531366207</v>
      </c>
      <c r="Y75" s="100">
        <v>2132.1482165774742</v>
      </c>
      <c r="Z75" s="100">
        <v>2.4692249244818831</v>
      </c>
      <c r="AA75" s="100">
        <v>1588.205471426747</v>
      </c>
      <c r="AB75" s="100">
        <v>4.5322190342555899</v>
      </c>
      <c r="AC75" s="100">
        <v>2915.1232828331949</v>
      </c>
      <c r="AD75" s="100">
        <v>1.0799032908600836</v>
      </c>
      <c r="AE75" s="100">
        <v>694.59379668120573</v>
      </c>
      <c r="AF75" s="100">
        <v>3.7162619665365843E-4</v>
      </c>
      <c r="AG75" s="100">
        <v>0.23902996968763307</v>
      </c>
      <c r="AH75" s="100">
        <v>3</v>
      </c>
      <c r="AI75" s="100">
        <v>1929.6</v>
      </c>
      <c r="AJ75" s="100">
        <v>3</v>
      </c>
      <c r="AK75" s="100">
        <v>1929.6</v>
      </c>
      <c r="AL75" s="100">
        <v>6</v>
      </c>
      <c r="AM75" s="100">
        <v>3859.2</v>
      </c>
      <c r="AN75" s="100">
        <v>3</v>
      </c>
      <c r="AO75" s="100">
        <v>1929.6</v>
      </c>
      <c r="AP75" s="100">
        <v>4</v>
      </c>
      <c r="AQ75" s="100">
        <v>2572.7999999999997</v>
      </c>
      <c r="AR75" s="100">
        <v>4.6654692444902413</v>
      </c>
      <c r="AS75" s="100">
        <v>3000.8298180561228</v>
      </c>
      <c r="AT75" s="100">
        <v>4.4191731321075567</v>
      </c>
      <c r="AU75" s="100">
        <v>2842.4121585715802</v>
      </c>
      <c r="AV75" s="100">
        <v>5.601744580595299</v>
      </c>
      <c r="AW75" s="100">
        <v>3603.0421142388959</v>
      </c>
      <c r="AX75" s="100">
        <v>5</v>
      </c>
      <c r="AY75" s="100">
        <v>3215.9999999999995</v>
      </c>
      <c r="AZ75" s="100">
        <v>2.4221902226088696</v>
      </c>
      <c r="BA75" s="100">
        <v>1557.9527511820247</v>
      </c>
      <c r="BB75" s="100">
        <v>5.3989758242339434</v>
      </c>
      <c r="BC75" s="100">
        <v>3472.6212501472719</v>
      </c>
      <c r="BD75" s="100">
        <v>1.8042534554240304</v>
      </c>
      <c r="BE75" s="100">
        <v>1160.4958225287362</v>
      </c>
      <c r="BF75" s="100">
        <v>3.0010403300758854</v>
      </c>
      <c r="BG75" s="100">
        <v>1930.2691403048093</v>
      </c>
      <c r="BH75" s="100">
        <v>2.0999973642425491</v>
      </c>
      <c r="BI75" s="100">
        <v>1350.7183046808075</v>
      </c>
      <c r="BJ75" s="100">
        <v>1.5832134515968164</v>
      </c>
      <c r="BK75" s="100">
        <v>1018.3228920670722</v>
      </c>
      <c r="BL75" s="100">
        <v>1.5085635862062827</v>
      </c>
      <c r="BM75" s="100">
        <v>970.30809864788091</v>
      </c>
      <c r="BN75" s="100">
        <v>3.3095650338306104</v>
      </c>
      <c r="BO75" s="100">
        <v>2128.7122297598485</v>
      </c>
      <c r="BP75" s="100">
        <v>2.3954814111085398</v>
      </c>
      <c r="BQ75" s="100">
        <v>1540.7736436250127</v>
      </c>
      <c r="BR75" s="100">
        <v>3</v>
      </c>
      <c r="BS75" s="100">
        <v>1929.6</v>
      </c>
      <c r="BT75" s="100">
        <v>5</v>
      </c>
      <c r="BU75" s="100">
        <v>3215.9999999999995</v>
      </c>
      <c r="BV75" s="100">
        <v>5</v>
      </c>
      <c r="BW75" s="100">
        <v>3215.9999999999995</v>
      </c>
      <c r="BX75" s="100">
        <v>2.7033975088604159</v>
      </c>
      <c r="BY75" s="100">
        <v>1738.8252776990194</v>
      </c>
      <c r="BZ75" s="100">
        <v>5</v>
      </c>
      <c r="CA75" s="100">
        <v>3215.9999999999995</v>
      </c>
      <c r="CB75" s="100">
        <v>3</v>
      </c>
      <c r="CC75" s="100">
        <v>1929.6</v>
      </c>
      <c r="CD75" s="100">
        <v>4</v>
      </c>
      <c r="CE75" s="100">
        <v>2572.7999999999997</v>
      </c>
      <c r="CF75" s="100">
        <v>7</v>
      </c>
      <c r="CG75" s="100">
        <v>4502.3999999999996</v>
      </c>
      <c r="CH75" s="100">
        <v>6</v>
      </c>
      <c r="CI75" s="100">
        <v>3859.2</v>
      </c>
      <c r="CJ75" s="100">
        <v>6</v>
      </c>
      <c r="CK75" s="100">
        <v>3859.2</v>
      </c>
      <c r="CL75" s="100">
        <v>3.825989391641941</v>
      </c>
      <c r="CM75" s="100">
        <v>2460.8763767040959</v>
      </c>
      <c r="CN75" s="100">
        <v>4.9567095616542751</v>
      </c>
      <c r="CO75" s="100">
        <v>3188.1555900560293</v>
      </c>
      <c r="CP75" s="100">
        <v>2.3876330841074411</v>
      </c>
      <c r="CQ75" s="100">
        <v>1535.7255996979059</v>
      </c>
      <c r="CR75" s="100">
        <v>4</v>
      </c>
      <c r="CS75" s="100">
        <v>2572.7999999999997</v>
      </c>
      <c r="CT75" s="100">
        <v>4.5143916686580026</v>
      </c>
      <c r="CU75" s="100">
        <v>2903.6567212808268</v>
      </c>
    </row>
    <row r="76" spans="2:99">
      <c r="C76" s="99" t="s">
        <v>242</v>
      </c>
      <c r="D76" s="100">
        <v>4</v>
      </c>
      <c r="E76" s="100">
        <v>3115.2</v>
      </c>
      <c r="F76" s="100">
        <v>5</v>
      </c>
      <c r="G76" s="100">
        <v>3894</v>
      </c>
      <c r="H76" s="100">
        <v>3.360788612477553</v>
      </c>
      <c r="I76" s="100">
        <v>2617.3821713975181</v>
      </c>
      <c r="J76" s="100">
        <v>4.4807144879994034</v>
      </c>
      <c r="K76" s="100">
        <v>3489.5804432539353</v>
      </c>
      <c r="L76" s="100">
        <v>3.1506903539995115</v>
      </c>
      <c r="M76" s="100">
        <v>2453.7576476948193</v>
      </c>
      <c r="N76" s="100">
        <v>1.6770334596436185</v>
      </c>
      <c r="O76" s="100">
        <v>1306.0736583704499</v>
      </c>
      <c r="P76" s="100">
        <v>6</v>
      </c>
      <c r="Q76" s="100">
        <v>4672.7999999999993</v>
      </c>
      <c r="R76" s="100">
        <v>3.2689966998698985</v>
      </c>
      <c r="S76" s="100">
        <v>2545.8946298586766</v>
      </c>
      <c r="T76" s="100">
        <v>4</v>
      </c>
      <c r="U76" s="100">
        <v>3115.2</v>
      </c>
      <c r="V76" s="100">
        <v>4</v>
      </c>
      <c r="W76" s="100">
        <v>3115.2</v>
      </c>
      <c r="X76" s="100">
        <v>3.3149070531366207</v>
      </c>
      <c r="Y76" s="100">
        <v>2581.6496129828001</v>
      </c>
      <c r="Z76" s="100">
        <v>2.4692249244818831</v>
      </c>
      <c r="AA76" s="100">
        <v>1923.0323711864905</v>
      </c>
      <c r="AB76" s="100">
        <v>4.4878674480676235</v>
      </c>
      <c r="AC76" s="100">
        <v>3495.1511685550649</v>
      </c>
      <c r="AD76" s="100">
        <v>1.0799032908600836</v>
      </c>
      <c r="AE76" s="100">
        <v>841.02868292183314</v>
      </c>
      <c r="AF76" s="100">
        <v>2.7871964749024379E-4</v>
      </c>
      <c r="AG76" s="100">
        <v>0.21706686146540186</v>
      </c>
      <c r="AH76" s="100">
        <v>3</v>
      </c>
      <c r="AI76" s="100">
        <v>2336.3999999999996</v>
      </c>
      <c r="AJ76" s="100">
        <v>3</v>
      </c>
      <c r="AK76" s="100">
        <v>2336.3999999999996</v>
      </c>
      <c r="AL76" s="100">
        <v>6</v>
      </c>
      <c r="AM76" s="100">
        <v>4672.7999999999993</v>
      </c>
      <c r="AN76" s="100">
        <v>3</v>
      </c>
      <c r="AO76" s="100">
        <v>2336.3999999999996</v>
      </c>
      <c r="AP76" s="100">
        <v>4</v>
      </c>
      <c r="AQ76" s="100">
        <v>3115.2</v>
      </c>
      <c r="AR76" s="100">
        <v>4.6654692444902413</v>
      </c>
      <c r="AS76" s="100">
        <v>3633.4674476089995</v>
      </c>
      <c r="AT76" s="100">
        <v>4.4191731321075567</v>
      </c>
      <c r="AU76" s="100">
        <v>3441.6520352853649</v>
      </c>
      <c r="AV76" s="100">
        <v>4.6681204838294157</v>
      </c>
      <c r="AW76" s="100">
        <v>3635.5322328063489</v>
      </c>
      <c r="AX76" s="100">
        <v>5</v>
      </c>
      <c r="AY76" s="100">
        <v>3894</v>
      </c>
      <c r="AZ76" s="100">
        <v>3.2295869634784928</v>
      </c>
      <c r="BA76" s="100">
        <v>2515.2023271570501</v>
      </c>
      <c r="BB76" s="100">
        <v>5.3989758242339434</v>
      </c>
      <c r="BC76" s="100">
        <v>4204.7223719133945</v>
      </c>
      <c r="BD76" s="100">
        <v>1.5035445461866919</v>
      </c>
      <c r="BE76" s="100">
        <v>1170.9604925701956</v>
      </c>
      <c r="BF76" s="100">
        <v>3.0010403300758854</v>
      </c>
      <c r="BG76" s="100">
        <v>2337.2102090630992</v>
      </c>
      <c r="BH76" s="100">
        <v>2.5430704365297494</v>
      </c>
      <c r="BI76" s="100">
        <v>1980.5432559693688</v>
      </c>
      <c r="BJ76" s="100">
        <v>1.5832134515968164</v>
      </c>
      <c r="BK76" s="100">
        <v>1233.0066361036006</v>
      </c>
      <c r="BL76" s="100">
        <v>1.5085635862062827</v>
      </c>
      <c r="BM76" s="100">
        <v>1174.8693209374528</v>
      </c>
      <c r="BN76" s="100">
        <v>3.8904163383117578</v>
      </c>
      <c r="BO76" s="100">
        <v>3029.8562442771968</v>
      </c>
      <c r="BP76" s="100">
        <v>2.3954814111085398</v>
      </c>
      <c r="BQ76" s="100">
        <v>1865.6009229713306</v>
      </c>
      <c r="BR76" s="100">
        <v>3</v>
      </c>
      <c r="BS76" s="100">
        <v>2336.3999999999996</v>
      </c>
      <c r="BT76" s="100">
        <v>5</v>
      </c>
      <c r="BU76" s="100">
        <v>3894</v>
      </c>
      <c r="BV76" s="100">
        <v>6</v>
      </c>
      <c r="BW76" s="100">
        <v>4672.7999999999993</v>
      </c>
      <c r="BX76" s="100">
        <v>2.0275481316453119</v>
      </c>
      <c r="BY76" s="100">
        <v>1579.0544849253688</v>
      </c>
      <c r="BZ76" s="100">
        <v>4</v>
      </c>
      <c r="CA76" s="100">
        <v>3115.2</v>
      </c>
      <c r="CB76" s="100">
        <v>3</v>
      </c>
      <c r="CC76" s="100">
        <v>2336.3999999999996</v>
      </c>
      <c r="CD76" s="100">
        <v>4</v>
      </c>
      <c r="CE76" s="100">
        <v>3115.2</v>
      </c>
      <c r="CF76" s="100">
        <v>6</v>
      </c>
      <c r="CG76" s="100">
        <v>4672.7999999999993</v>
      </c>
      <c r="CH76" s="100">
        <v>6</v>
      </c>
      <c r="CI76" s="100">
        <v>4672.7999999999993</v>
      </c>
      <c r="CJ76" s="100">
        <v>5</v>
      </c>
      <c r="CK76" s="100">
        <v>3894</v>
      </c>
      <c r="CL76" s="100">
        <v>3.825989391641941</v>
      </c>
      <c r="CM76" s="100">
        <v>2979.6805382107436</v>
      </c>
      <c r="CN76" s="100">
        <v>5.1931634887677216</v>
      </c>
      <c r="CO76" s="100">
        <v>4044.4357250523012</v>
      </c>
      <c r="CP76" s="100">
        <v>2.3876330841074411</v>
      </c>
      <c r="CQ76" s="100">
        <v>1859.4886459028751</v>
      </c>
      <c r="CR76" s="100">
        <v>3</v>
      </c>
      <c r="CS76" s="100">
        <v>2336.3999999999996</v>
      </c>
      <c r="CT76" s="100">
        <v>4.5143916686580026</v>
      </c>
      <c r="CU76" s="100">
        <v>3515.8082315508523</v>
      </c>
    </row>
    <row r="77" spans="2:99">
      <c r="C77" s="99" t="s">
        <v>243</v>
      </c>
      <c r="D77" s="100">
        <v>4</v>
      </c>
      <c r="E77" s="100">
        <v>1113.5999999999999</v>
      </c>
      <c r="F77" s="100">
        <v>5</v>
      </c>
      <c r="G77" s="100">
        <v>1392</v>
      </c>
      <c r="H77" s="100">
        <v>3.360788612477553</v>
      </c>
      <c r="I77" s="100">
        <v>935.64354971375064</v>
      </c>
      <c r="J77" s="100">
        <v>4.4807144879994034</v>
      </c>
      <c r="K77" s="100">
        <v>1247.4309134590337</v>
      </c>
      <c r="L77" s="100">
        <v>4.1215867132168187</v>
      </c>
      <c r="M77" s="100">
        <v>1147.4497409595622</v>
      </c>
      <c r="N77" s="100">
        <v>1.6770334596436185</v>
      </c>
      <c r="O77" s="100">
        <v>466.88611516478335</v>
      </c>
      <c r="P77" s="100">
        <v>6</v>
      </c>
      <c r="Q77" s="100">
        <v>1670.3999999999999</v>
      </c>
      <c r="R77" s="100">
        <v>3.2689966998698985</v>
      </c>
      <c r="S77" s="100">
        <v>910.08868124377966</v>
      </c>
      <c r="T77" s="100">
        <v>4</v>
      </c>
      <c r="U77" s="100">
        <v>1113.5999999999999</v>
      </c>
      <c r="V77" s="100">
        <v>3</v>
      </c>
      <c r="W77" s="100">
        <v>835.19999999999993</v>
      </c>
      <c r="X77" s="100">
        <v>4.1436338164207758</v>
      </c>
      <c r="Y77" s="100">
        <v>1153.5876544915438</v>
      </c>
      <c r="Z77" s="100">
        <v>2.4692249244818831</v>
      </c>
      <c r="AA77" s="100">
        <v>687.4322189757562</v>
      </c>
      <c r="AB77" s="100">
        <v>4.4878674480676235</v>
      </c>
      <c r="AC77" s="100">
        <v>1249.4222975420262</v>
      </c>
      <c r="AD77" s="100">
        <v>1.0799032908600836</v>
      </c>
      <c r="AE77" s="100">
        <v>300.64507617544729</v>
      </c>
      <c r="AF77" s="100">
        <v>3.7162619665365843E-4</v>
      </c>
      <c r="AG77" s="100">
        <v>0.1034607331483785</v>
      </c>
      <c r="AH77" s="100">
        <v>4</v>
      </c>
      <c r="AI77" s="100">
        <v>1113.5999999999999</v>
      </c>
      <c r="AJ77" s="100">
        <v>3</v>
      </c>
      <c r="AK77" s="100">
        <v>835.19999999999993</v>
      </c>
      <c r="AL77" s="100">
        <v>6</v>
      </c>
      <c r="AM77" s="100">
        <v>1670.3999999999999</v>
      </c>
      <c r="AN77" s="100">
        <v>4</v>
      </c>
      <c r="AO77" s="100">
        <v>1113.5999999999999</v>
      </c>
      <c r="AP77" s="100">
        <v>4</v>
      </c>
      <c r="AQ77" s="100">
        <v>1113.5999999999999</v>
      </c>
      <c r="AR77" s="100">
        <v>4.6654692444902413</v>
      </c>
      <c r="AS77" s="100">
        <v>1298.8666376660831</v>
      </c>
      <c r="AT77" s="100">
        <v>4.4610904453183124</v>
      </c>
      <c r="AU77" s="100">
        <v>1241.967579976618</v>
      </c>
      <c r="AV77" s="100">
        <v>5.601744580595299</v>
      </c>
      <c r="AW77" s="100">
        <v>1559.5256912377311</v>
      </c>
      <c r="AX77" s="100">
        <v>5</v>
      </c>
      <c r="AY77" s="100">
        <v>1392</v>
      </c>
      <c r="AZ77" s="100">
        <v>3.2295869634784928</v>
      </c>
      <c r="BA77" s="100">
        <v>899.1170106324123</v>
      </c>
      <c r="BB77" s="100">
        <v>5</v>
      </c>
      <c r="BC77" s="100">
        <v>1392</v>
      </c>
      <c r="BD77" s="100">
        <v>1.8042534554240304</v>
      </c>
      <c r="BE77" s="100">
        <v>502.30416199005003</v>
      </c>
      <c r="BF77" s="100">
        <v>3.0010403300758854</v>
      </c>
      <c r="BG77" s="100">
        <v>835.48962789312645</v>
      </c>
      <c r="BH77" s="100">
        <v>2.5430704365297494</v>
      </c>
      <c r="BI77" s="100">
        <v>707.9908095298822</v>
      </c>
      <c r="BJ77" s="100">
        <v>1.5832134515968164</v>
      </c>
      <c r="BK77" s="100">
        <v>440.76662492455364</v>
      </c>
      <c r="BL77" s="100">
        <v>1.5085635862062827</v>
      </c>
      <c r="BM77" s="100">
        <v>419.98410239982906</v>
      </c>
      <c r="BN77" s="100">
        <v>3.8614657303528377</v>
      </c>
      <c r="BO77" s="100">
        <v>1075.0320593302299</v>
      </c>
      <c r="BP77" s="100">
        <v>2.3954814111085398</v>
      </c>
      <c r="BQ77" s="100">
        <v>666.90202485261739</v>
      </c>
      <c r="BR77" s="100">
        <v>3</v>
      </c>
      <c r="BS77" s="100">
        <v>835.19999999999993</v>
      </c>
      <c r="BT77" s="100">
        <v>5</v>
      </c>
      <c r="BU77" s="100">
        <v>1392</v>
      </c>
      <c r="BV77" s="100">
        <v>6</v>
      </c>
      <c r="BW77" s="100">
        <v>1670.3999999999999</v>
      </c>
      <c r="BX77" s="100">
        <v>2.7033975088604159</v>
      </c>
      <c r="BY77" s="100">
        <v>752.62586646673969</v>
      </c>
      <c r="BZ77" s="100">
        <v>5</v>
      </c>
      <c r="CA77" s="100">
        <v>1392</v>
      </c>
      <c r="CB77" s="100">
        <v>3</v>
      </c>
      <c r="CC77" s="100">
        <v>835.19999999999993</v>
      </c>
      <c r="CD77" s="100">
        <v>4</v>
      </c>
      <c r="CE77" s="100">
        <v>1113.5999999999999</v>
      </c>
      <c r="CF77" s="100">
        <v>7</v>
      </c>
      <c r="CG77" s="100">
        <v>1948.7999999999997</v>
      </c>
      <c r="CH77" s="100">
        <v>6</v>
      </c>
      <c r="CI77" s="100">
        <v>1670.3999999999999</v>
      </c>
      <c r="CJ77" s="100">
        <v>6</v>
      </c>
      <c r="CK77" s="100">
        <v>1670.3999999999999</v>
      </c>
      <c r="CL77" s="100">
        <v>3.825989391641941</v>
      </c>
      <c r="CM77" s="100">
        <v>1065.1554466331163</v>
      </c>
      <c r="CN77" s="100">
        <v>5.1931634887677216</v>
      </c>
      <c r="CO77" s="100">
        <v>1445.7767152729336</v>
      </c>
      <c r="CP77" s="100">
        <v>2.3876330841074411</v>
      </c>
      <c r="CQ77" s="100">
        <v>664.71705061551154</v>
      </c>
      <c r="CR77" s="100">
        <v>4</v>
      </c>
      <c r="CS77" s="100">
        <v>1113.5999999999999</v>
      </c>
      <c r="CT77" s="100">
        <v>4.5143916686580026</v>
      </c>
      <c r="CU77" s="100">
        <v>1256.8066405543877</v>
      </c>
    </row>
    <row r="78" spans="2:99">
      <c r="C78" s="99" t="s">
        <v>244</v>
      </c>
      <c r="D78" s="100">
        <v>3</v>
      </c>
      <c r="E78" s="100">
        <v>1656</v>
      </c>
      <c r="F78" s="100">
        <v>5</v>
      </c>
      <c r="G78" s="100">
        <v>2760</v>
      </c>
      <c r="H78" s="100">
        <v>4.0329463349730643</v>
      </c>
      <c r="I78" s="100">
        <v>2226.1863769051315</v>
      </c>
      <c r="J78" s="100">
        <v>3.584571590399523</v>
      </c>
      <c r="K78" s="100">
        <v>1978.6835179005368</v>
      </c>
      <c r="L78" s="100">
        <v>3.1903572333907761</v>
      </c>
      <c r="M78" s="100">
        <v>1761.0771928317085</v>
      </c>
      <c r="N78" s="100">
        <v>1.2577750947327138</v>
      </c>
      <c r="O78" s="100">
        <v>694.29185229245797</v>
      </c>
      <c r="P78" s="100">
        <v>6</v>
      </c>
      <c r="Q78" s="100">
        <v>3312</v>
      </c>
      <c r="R78" s="100">
        <v>4.0862458748373731</v>
      </c>
      <c r="S78" s="100">
        <v>2255.6077229102298</v>
      </c>
      <c r="T78" s="100">
        <v>4</v>
      </c>
      <c r="U78" s="100">
        <v>2208</v>
      </c>
      <c r="V78" s="100">
        <v>4</v>
      </c>
      <c r="W78" s="100">
        <v>2208</v>
      </c>
      <c r="X78" s="100">
        <v>4.1436338164207758</v>
      </c>
      <c r="Y78" s="100">
        <v>2287.2858666642683</v>
      </c>
      <c r="Z78" s="100">
        <v>2.4692249244818831</v>
      </c>
      <c r="AA78" s="100">
        <v>1363.0121583139994</v>
      </c>
      <c r="AB78" s="100">
        <v>4.4878674480676235</v>
      </c>
      <c r="AC78" s="100">
        <v>2477.302831333328</v>
      </c>
      <c r="AD78" s="100">
        <v>1.3498791135751045</v>
      </c>
      <c r="AE78" s="100">
        <v>745.13327069345769</v>
      </c>
      <c r="AF78" s="100">
        <v>2.7871964749024379E-4</v>
      </c>
      <c r="AG78" s="100">
        <v>0.15385324541461456</v>
      </c>
      <c r="AH78" s="100">
        <v>3</v>
      </c>
      <c r="AI78" s="100">
        <v>1656</v>
      </c>
      <c r="AJ78" s="100">
        <v>3</v>
      </c>
      <c r="AK78" s="100">
        <v>1656</v>
      </c>
      <c r="AL78" s="100">
        <v>5</v>
      </c>
      <c r="AM78" s="100">
        <v>2760</v>
      </c>
      <c r="AN78" s="100">
        <v>4</v>
      </c>
      <c r="AO78" s="100">
        <v>2208</v>
      </c>
      <c r="AP78" s="100">
        <v>4</v>
      </c>
      <c r="AQ78" s="100">
        <v>2208</v>
      </c>
      <c r="AR78" s="100">
        <v>4.6654692444902413</v>
      </c>
      <c r="AS78" s="100">
        <v>2575.339022958613</v>
      </c>
      <c r="AT78" s="100">
        <v>4</v>
      </c>
      <c r="AU78" s="100">
        <v>2208</v>
      </c>
      <c r="AV78" s="100">
        <v>4.6681204838294157</v>
      </c>
      <c r="AW78" s="100">
        <v>2576.8025070738377</v>
      </c>
      <c r="AX78" s="100">
        <v>5</v>
      </c>
      <c r="AY78" s="100">
        <v>2760</v>
      </c>
      <c r="AZ78" s="100">
        <v>3.2295869634784928</v>
      </c>
      <c r="BA78" s="100">
        <v>1782.7320038401281</v>
      </c>
      <c r="BB78" s="100">
        <v>6.3989758242339434</v>
      </c>
      <c r="BC78" s="100">
        <v>3532.2346549771369</v>
      </c>
      <c r="BD78" s="100">
        <v>1.8042534554240304</v>
      </c>
      <c r="BE78" s="100">
        <v>995.94790739406471</v>
      </c>
      <c r="BF78" s="100">
        <v>3.0010403300758854</v>
      </c>
      <c r="BG78" s="100">
        <v>1656.5742622018888</v>
      </c>
      <c r="BH78" s="100">
        <v>2.5430704365297494</v>
      </c>
      <c r="BI78" s="100">
        <v>1403.7748809644218</v>
      </c>
      <c r="BJ78" s="100">
        <v>1.2900248775558039</v>
      </c>
      <c r="BK78" s="100">
        <v>712.09373241080368</v>
      </c>
      <c r="BL78" s="100">
        <v>1.5085635862062827</v>
      </c>
      <c r="BM78" s="100">
        <v>832.72709958586802</v>
      </c>
      <c r="BN78" s="100">
        <v>3.8904163383117578</v>
      </c>
      <c r="BO78" s="100">
        <v>2147.5098187480903</v>
      </c>
      <c r="BP78" s="100">
        <v>3.193975214811386</v>
      </c>
      <c r="BQ78" s="100">
        <v>1763.0743185758852</v>
      </c>
      <c r="BR78" s="100">
        <v>3</v>
      </c>
      <c r="BS78" s="100">
        <v>1656</v>
      </c>
      <c r="BT78" s="100">
        <v>5</v>
      </c>
      <c r="BU78" s="100">
        <v>2760</v>
      </c>
      <c r="BV78" s="100">
        <v>6</v>
      </c>
      <c r="BW78" s="100">
        <v>3312</v>
      </c>
      <c r="BX78" s="100">
        <v>2.0275481316453119</v>
      </c>
      <c r="BY78" s="100">
        <v>1119.2065686682122</v>
      </c>
      <c r="BZ78" s="100">
        <v>5</v>
      </c>
      <c r="CA78" s="100">
        <v>2760</v>
      </c>
      <c r="CB78" s="100">
        <v>4</v>
      </c>
      <c r="CC78" s="100">
        <v>2208</v>
      </c>
      <c r="CD78" s="100">
        <v>4</v>
      </c>
      <c r="CE78" s="100">
        <v>2208</v>
      </c>
      <c r="CF78" s="100">
        <v>6</v>
      </c>
      <c r="CG78" s="100">
        <v>3312</v>
      </c>
      <c r="CH78" s="100">
        <v>6</v>
      </c>
      <c r="CI78" s="100">
        <v>3312</v>
      </c>
      <c r="CJ78" s="100">
        <v>6</v>
      </c>
      <c r="CK78" s="100">
        <v>3312</v>
      </c>
      <c r="CL78" s="100">
        <v>3.825989391641941</v>
      </c>
      <c r="CM78" s="100">
        <v>2111.9461441863514</v>
      </c>
      <c r="CN78" s="100">
        <v>5.1931634887677216</v>
      </c>
      <c r="CO78" s="100">
        <v>2866.6262457997823</v>
      </c>
      <c r="CP78" s="100">
        <v>2.3876330841074411</v>
      </c>
      <c r="CQ78" s="100">
        <v>1317.9734624273076</v>
      </c>
      <c r="CR78" s="100">
        <v>3</v>
      </c>
      <c r="CS78" s="100">
        <v>1656</v>
      </c>
      <c r="CT78" s="100">
        <v>5.2667902801010031</v>
      </c>
      <c r="CU78" s="100">
        <v>2907.268234615754</v>
      </c>
    </row>
    <row r="79" spans="2:99">
      <c r="C79" s="99" t="s">
        <v>245</v>
      </c>
      <c r="D79" s="100">
        <v>4</v>
      </c>
      <c r="E79" s="100">
        <v>3028.7999999999997</v>
      </c>
      <c r="F79" s="100">
        <v>4</v>
      </c>
      <c r="G79" s="100">
        <v>3028.7999999999997</v>
      </c>
      <c r="H79" s="100">
        <v>3.360788612477553</v>
      </c>
      <c r="I79" s="100">
        <v>2544.7891373680027</v>
      </c>
      <c r="J79" s="100">
        <v>3.584571590399523</v>
      </c>
      <c r="K79" s="100">
        <v>2714.2376082505184</v>
      </c>
      <c r="L79" s="100">
        <v>4.1215867132168187</v>
      </c>
      <c r="M79" s="100">
        <v>3120.8654592477747</v>
      </c>
      <c r="N79" s="100">
        <v>1.6770334596436185</v>
      </c>
      <c r="O79" s="100">
        <v>1269.8497356421478</v>
      </c>
      <c r="P79" s="100">
        <v>6</v>
      </c>
      <c r="Q79" s="100">
        <v>4543.2</v>
      </c>
      <c r="R79" s="100">
        <v>3.2689966998698985</v>
      </c>
      <c r="S79" s="100">
        <v>2475.284301141487</v>
      </c>
      <c r="T79" s="100">
        <v>4</v>
      </c>
      <c r="U79" s="100">
        <v>3028.7999999999997</v>
      </c>
      <c r="V79" s="100">
        <v>4</v>
      </c>
      <c r="W79" s="100">
        <v>3028.7999999999997</v>
      </c>
      <c r="X79" s="100">
        <v>4.1436338164207758</v>
      </c>
      <c r="Y79" s="100">
        <v>3137.5595257938112</v>
      </c>
      <c r="Z79" s="100">
        <v>2.4692249244818831</v>
      </c>
      <c r="AA79" s="100">
        <v>1869.6971128176817</v>
      </c>
      <c r="AB79" s="100">
        <v>4.4878674480676235</v>
      </c>
      <c r="AC79" s="100">
        <v>3398.2132316768043</v>
      </c>
      <c r="AD79" s="100">
        <v>1.0799032908600836</v>
      </c>
      <c r="AE79" s="100">
        <v>817.70277183925521</v>
      </c>
      <c r="AF79" s="100">
        <v>2.7871964749024379E-4</v>
      </c>
      <c r="AG79" s="100">
        <v>0.21104651707961258</v>
      </c>
      <c r="AH79" s="100">
        <v>3</v>
      </c>
      <c r="AI79" s="100">
        <v>2271.6</v>
      </c>
      <c r="AJ79" s="100">
        <v>3</v>
      </c>
      <c r="AK79" s="100">
        <v>2271.6</v>
      </c>
      <c r="AL79" s="100">
        <v>6</v>
      </c>
      <c r="AM79" s="100">
        <v>4543.2</v>
      </c>
      <c r="AN79" s="100">
        <v>3</v>
      </c>
      <c r="AO79" s="100">
        <v>2271.6</v>
      </c>
      <c r="AP79" s="100">
        <v>4</v>
      </c>
      <c r="AQ79" s="100">
        <v>3028.7999999999997</v>
      </c>
      <c r="AR79" s="100">
        <v>4.6654692444902413</v>
      </c>
      <c r="AS79" s="100">
        <v>3532.6933119280102</v>
      </c>
      <c r="AT79" s="100">
        <v>3</v>
      </c>
      <c r="AU79" s="100">
        <v>2271.6</v>
      </c>
      <c r="AV79" s="100">
        <v>4.6681204838294157</v>
      </c>
      <c r="AW79" s="100">
        <v>3534.7008303556331</v>
      </c>
      <c r="AX79" s="100">
        <v>5</v>
      </c>
      <c r="AY79" s="100">
        <v>3785.9999999999995</v>
      </c>
      <c r="AZ79" s="100">
        <v>2.4221902226088696</v>
      </c>
      <c r="BA79" s="100">
        <v>1834.082436559436</v>
      </c>
      <c r="BB79" s="100">
        <v>5.4488478022631863</v>
      </c>
      <c r="BC79" s="100">
        <v>4125.8675558736841</v>
      </c>
      <c r="BD79" s="100">
        <v>1.8042534554240304</v>
      </c>
      <c r="BE79" s="100">
        <v>1366.1807164470756</v>
      </c>
      <c r="BF79" s="100">
        <v>3.0010403300758854</v>
      </c>
      <c r="BG79" s="100">
        <v>2272.3877379334604</v>
      </c>
      <c r="BH79" s="100">
        <v>2.5430704365297494</v>
      </c>
      <c r="BI79" s="100">
        <v>1925.612934540326</v>
      </c>
      <c r="BJ79" s="100">
        <v>1.5832134515968164</v>
      </c>
      <c r="BK79" s="100">
        <v>1198.8092255491092</v>
      </c>
      <c r="BL79" s="100">
        <v>1.5085635862062827</v>
      </c>
      <c r="BM79" s="100">
        <v>1142.2843474753972</v>
      </c>
      <c r="BN79" s="100">
        <v>3.8904163383117578</v>
      </c>
      <c r="BO79" s="100">
        <v>2945.8232513696626</v>
      </c>
      <c r="BP79" s="100">
        <v>2.3954814111085398</v>
      </c>
      <c r="BQ79" s="100">
        <v>1813.8585244913861</v>
      </c>
      <c r="BR79" s="100">
        <v>3</v>
      </c>
      <c r="BS79" s="100">
        <v>2271.6</v>
      </c>
      <c r="BT79" s="100">
        <v>4</v>
      </c>
      <c r="BU79" s="100">
        <v>3028.7999999999997</v>
      </c>
      <c r="BV79" s="100">
        <v>5</v>
      </c>
      <c r="BW79" s="100">
        <v>3785.9999999999995</v>
      </c>
      <c r="BX79" s="100">
        <v>2.0275481316453119</v>
      </c>
      <c r="BY79" s="100">
        <v>1535.25944528183</v>
      </c>
      <c r="BZ79" s="100">
        <v>5</v>
      </c>
      <c r="CA79" s="100">
        <v>3785.9999999999995</v>
      </c>
      <c r="CB79" s="100">
        <v>3</v>
      </c>
      <c r="CC79" s="100">
        <v>2271.6</v>
      </c>
      <c r="CD79" s="100">
        <v>4</v>
      </c>
      <c r="CE79" s="100">
        <v>3028.7999999999997</v>
      </c>
      <c r="CF79" s="100">
        <v>6</v>
      </c>
      <c r="CG79" s="100">
        <v>4543.2</v>
      </c>
      <c r="CH79" s="100">
        <v>6</v>
      </c>
      <c r="CI79" s="100">
        <v>4543.2</v>
      </c>
      <c r="CJ79" s="100">
        <v>6</v>
      </c>
      <c r="CK79" s="100">
        <v>4543.2</v>
      </c>
      <c r="CL79" s="100">
        <v>3.825989391641941</v>
      </c>
      <c r="CM79" s="100">
        <v>2897.0391673512772</v>
      </c>
      <c r="CN79" s="100">
        <v>5.1931634887677216</v>
      </c>
      <c r="CO79" s="100">
        <v>3932.2633936949182</v>
      </c>
      <c r="CP79" s="100">
        <v>2.3876330841074411</v>
      </c>
      <c r="CQ79" s="100">
        <v>1807.9157712861543</v>
      </c>
      <c r="CR79" s="100">
        <v>3</v>
      </c>
      <c r="CS79" s="100">
        <v>2271.6</v>
      </c>
      <c r="CT79" s="100">
        <v>4.5143916686580026</v>
      </c>
      <c r="CU79" s="100">
        <v>3418.2973715078392</v>
      </c>
    </row>
    <row r="80" spans="2:99">
      <c r="C80" s="99" t="s">
        <v>246</v>
      </c>
      <c r="D80" s="100">
        <v>4</v>
      </c>
      <c r="E80" s="100">
        <v>3220.7999999999997</v>
      </c>
      <c r="F80" s="100">
        <v>4</v>
      </c>
      <c r="G80" s="100">
        <v>3220.7999999999997</v>
      </c>
      <c r="H80" s="100">
        <v>3.360788612477553</v>
      </c>
      <c r="I80" s="100">
        <v>2706.1069907669253</v>
      </c>
      <c r="J80" s="100">
        <v>3.584571590399523</v>
      </c>
      <c r="K80" s="100">
        <v>2886.2970445896958</v>
      </c>
      <c r="L80" s="100">
        <v>3.1506903539995115</v>
      </c>
      <c r="M80" s="100">
        <v>2536.9358730404065</v>
      </c>
      <c r="N80" s="100">
        <v>1.2577750947327138</v>
      </c>
      <c r="O80" s="100">
        <v>1012.760506278781</v>
      </c>
      <c r="P80" s="100">
        <v>6</v>
      </c>
      <c r="Q80" s="100">
        <v>4831.2</v>
      </c>
      <c r="R80" s="100">
        <v>4.0862458748373731</v>
      </c>
      <c r="S80" s="100">
        <v>3290.2451784190525</v>
      </c>
      <c r="T80" s="100">
        <v>4</v>
      </c>
      <c r="U80" s="100">
        <v>3220.7999999999997</v>
      </c>
      <c r="V80" s="100">
        <v>4</v>
      </c>
      <c r="W80" s="100">
        <v>3220.7999999999997</v>
      </c>
      <c r="X80" s="100">
        <v>3.3149070531366207</v>
      </c>
      <c r="Y80" s="100">
        <v>2669.1631591856067</v>
      </c>
      <c r="Z80" s="100">
        <v>2.4692249244818831</v>
      </c>
      <c r="AA80" s="100">
        <v>1988.2199091928121</v>
      </c>
      <c r="AB80" s="100">
        <v>4.4878674480676235</v>
      </c>
      <c r="AC80" s="100">
        <v>3613.63086918405</v>
      </c>
      <c r="AD80" s="100">
        <v>1.3498791135751045</v>
      </c>
      <c r="AE80" s="100">
        <v>1086.922662250674</v>
      </c>
      <c r="AF80" s="100">
        <v>2.7871964749024379E-4</v>
      </c>
      <c r="AG80" s="100">
        <v>0.22442506015914429</v>
      </c>
      <c r="AH80" s="100">
        <v>3</v>
      </c>
      <c r="AI80" s="100">
        <v>2415.6</v>
      </c>
      <c r="AJ80" s="100">
        <v>3</v>
      </c>
      <c r="AK80" s="100">
        <v>2415.6</v>
      </c>
      <c r="AL80" s="100">
        <v>6</v>
      </c>
      <c r="AM80" s="100">
        <v>4831.2</v>
      </c>
      <c r="AN80" s="100">
        <v>4</v>
      </c>
      <c r="AO80" s="100">
        <v>3220.7999999999997</v>
      </c>
      <c r="AP80" s="100">
        <v>4</v>
      </c>
      <c r="AQ80" s="100">
        <v>3220.7999999999997</v>
      </c>
      <c r="AR80" s="100">
        <v>4.6654692444902413</v>
      </c>
      <c r="AS80" s="100">
        <v>3756.6358356635419</v>
      </c>
      <c r="AT80" s="100">
        <v>4.4191731321075567</v>
      </c>
      <c r="AU80" s="100">
        <v>3558.3182059730043</v>
      </c>
      <c r="AV80" s="100">
        <v>4.6681204838294157</v>
      </c>
      <c r="AW80" s="100">
        <v>3758.7706135794451</v>
      </c>
      <c r="AX80" s="100">
        <v>5</v>
      </c>
      <c r="AY80" s="100">
        <v>4025.9999999999995</v>
      </c>
      <c r="AZ80" s="100">
        <v>3.2295869634784928</v>
      </c>
      <c r="BA80" s="100">
        <v>2600.463422992882</v>
      </c>
      <c r="BB80" s="100">
        <v>5</v>
      </c>
      <c r="BC80" s="100">
        <v>4025.9999999999995</v>
      </c>
      <c r="BD80" s="100">
        <v>1.8042534554240304</v>
      </c>
      <c r="BE80" s="100">
        <v>1452.7848823074291</v>
      </c>
      <c r="BF80" s="100">
        <v>3.0010403300758854</v>
      </c>
      <c r="BG80" s="100">
        <v>2416.4376737771026</v>
      </c>
      <c r="BH80" s="100">
        <v>2.0781503592362993</v>
      </c>
      <c r="BI80" s="100">
        <v>1673.326669257068</v>
      </c>
      <c r="BJ80" s="100">
        <v>1.2900248775558039</v>
      </c>
      <c r="BK80" s="100">
        <v>1038.7280314079333</v>
      </c>
      <c r="BL80" s="100">
        <v>1.5085635862062827</v>
      </c>
      <c r="BM80" s="100">
        <v>1214.6953996132988</v>
      </c>
      <c r="BN80" s="100">
        <v>3.9193669462706771</v>
      </c>
      <c r="BO80" s="100">
        <v>3155.874265137149</v>
      </c>
      <c r="BP80" s="100">
        <v>2.3954814111085398</v>
      </c>
      <c r="BQ80" s="100">
        <v>1928.8416322245962</v>
      </c>
      <c r="BR80" s="100">
        <v>3</v>
      </c>
      <c r="BS80" s="100">
        <v>2415.6</v>
      </c>
      <c r="BT80" s="100">
        <v>4</v>
      </c>
      <c r="BU80" s="100">
        <v>3220.7999999999997</v>
      </c>
      <c r="BV80" s="100">
        <v>5</v>
      </c>
      <c r="BW80" s="100">
        <v>4025.9999999999995</v>
      </c>
      <c r="BX80" s="100">
        <v>2.0275481316453119</v>
      </c>
      <c r="BY80" s="100">
        <v>1632.5817556008051</v>
      </c>
      <c r="BZ80" s="100">
        <v>5</v>
      </c>
      <c r="CA80" s="100">
        <v>4025.9999999999995</v>
      </c>
      <c r="CB80" s="100">
        <v>3</v>
      </c>
      <c r="CC80" s="100">
        <v>2415.6</v>
      </c>
      <c r="CD80" s="100">
        <v>4</v>
      </c>
      <c r="CE80" s="100">
        <v>3220.7999999999997</v>
      </c>
      <c r="CF80" s="100">
        <v>6</v>
      </c>
      <c r="CG80" s="100">
        <v>4831.2</v>
      </c>
      <c r="CH80" s="100">
        <v>5</v>
      </c>
      <c r="CI80" s="100">
        <v>4025.9999999999995</v>
      </c>
      <c r="CJ80" s="100">
        <v>6</v>
      </c>
      <c r="CK80" s="100">
        <v>4831.2</v>
      </c>
      <c r="CL80" s="100">
        <v>3.825989391641941</v>
      </c>
      <c r="CM80" s="100">
        <v>3080.6866581500908</v>
      </c>
      <c r="CN80" s="100">
        <v>5.1668908301995611</v>
      </c>
      <c r="CO80" s="100">
        <v>4160.3804964766859</v>
      </c>
      <c r="CP80" s="100">
        <v>2.3876330841074411</v>
      </c>
      <c r="CQ80" s="100">
        <v>1922.5221593233114</v>
      </c>
      <c r="CR80" s="100">
        <v>4</v>
      </c>
      <c r="CS80" s="100">
        <v>3220.7999999999997</v>
      </c>
      <c r="CT80" s="100">
        <v>4.5143916686580026</v>
      </c>
      <c r="CU80" s="100">
        <v>3634.9881716034233</v>
      </c>
    </row>
    <row r="81" spans="2:99">
      <c r="C81" s="99" t="s">
        <v>247</v>
      </c>
      <c r="D81" s="100">
        <v>3</v>
      </c>
      <c r="E81" s="100">
        <v>2260.8000000000002</v>
      </c>
      <c r="F81" s="100">
        <v>5</v>
      </c>
      <c r="G81" s="100">
        <v>3768</v>
      </c>
      <c r="H81" s="100">
        <v>4.0329463349730643</v>
      </c>
      <c r="I81" s="100">
        <v>3039.2283580357011</v>
      </c>
      <c r="J81" s="100">
        <v>4.4807144879994034</v>
      </c>
      <c r="K81" s="100">
        <v>3376.6664381563505</v>
      </c>
      <c r="L81" s="100">
        <v>3.1903572333907761</v>
      </c>
      <c r="M81" s="100">
        <v>2404.253211083289</v>
      </c>
      <c r="N81" s="100">
        <v>1.2577750947327138</v>
      </c>
      <c r="O81" s="100">
        <v>947.85931139057311</v>
      </c>
      <c r="P81" s="100">
        <v>6</v>
      </c>
      <c r="Q81" s="100">
        <v>4521.6000000000004</v>
      </c>
      <c r="R81" s="100">
        <v>3.2689966998698985</v>
      </c>
      <c r="S81" s="100">
        <v>2463.5159130219554</v>
      </c>
      <c r="T81" s="100">
        <v>4</v>
      </c>
      <c r="U81" s="100">
        <v>3014.4</v>
      </c>
      <c r="V81" s="100">
        <v>3</v>
      </c>
      <c r="W81" s="100">
        <v>2260.8000000000002</v>
      </c>
      <c r="X81" s="100">
        <v>3.3149070531366207</v>
      </c>
      <c r="Y81" s="100">
        <v>2498.1139552437576</v>
      </c>
      <c r="Z81" s="100">
        <v>2.4692249244818831</v>
      </c>
      <c r="AA81" s="100">
        <v>1860.8079030895472</v>
      </c>
      <c r="AB81" s="100">
        <v>4.4878674480676235</v>
      </c>
      <c r="AC81" s="100">
        <v>3382.0569088637612</v>
      </c>
      <c r="AD81" s="100">
        <v>1.3498791135751045</v>
      </c>
      <c r="AE81" s="100">
        <v>1017.2688999901987</v>
      </c>
      <c r="AF81" s="100">
        <v>2.7871964749024379E-4</v>
      </c>
      <c r="AG81" s="100">
        <v>0.21004312634864772</v>
      </c>
      <c r="AH81" s="100">
        <v>3</v>
      </c>
      <c r="AI81" s="100">
        <v>2260.8000000000002</v>
      </c>
      <c r="AJ81" s="100">
        <v>3</v>
      </c>
      <c r="AK81" s="100">
        <v>2260.8000000000002</v>
      </c>
      <c r="AL81" s="100">
        <v>6</v>
      </c>
      <c r="AM81" s="100">
        <v>4521.6000000000004</v>
      </c>
      <c r="AN81" s="100">
        <v>4</v>
      </c>
      <c r="AO81" s="100">
        <v>3014.4</v>
      </c>
      <c r="AP81" s="100">
        <v>4</v>
      </c>
      <c r="AQ81" s="100">
        <v>3014.4</v>
      </c>
      <c r="AR81" s="100">
        <v>5.4430474519052821</v>
      </c>
      <c r="AS81" s="100">
        <v>4101.8805597558203</v>
      </c>
      <c r="AT81" s="100">
        <v>4</v>
      </c>
      <c r="AU81" s="100">
        <v>3014.4</v>
      </c>
      <c r="AV81" s="100">
        <v>4.6681204838294157</v>
      </c>
      <c r="AW81" s="100">
        <v>3517.8955966138478</v>
      </c>
      <c r="AX81" s="100">
        <v>5</v>
      </c>
      <c r="AY81" s="100">
        <v>3768</v>
      </c>
      <c r="AZ81" s="100">
        <v>3.2295869634784928</v>
      </c>
      <c r="BA81" s="100">
        <v>2433.8167356773924</v>
      </c>
      <c r="BB81" s="100">
        <v>5.3989758242339434</v>
      </c>
      <c r="BC81" s="100">
        <v>4068.6681811426997</v>
      </c>
      <c r="BD81" s="100">
        <v>1.8042534554240304</v>
      </c>
      <c r="BE81" s="100">
        <v>1359.6854040075493</v>
      </c>
      <c r="BF81" s="100">
        <v>3.0010403300758854</v>
      </c>
      <c r="BG81" s="100">
        <v>2261.5839927451875</v>
      </c>
      <c r="BH81" s="100">
        <v>2.5649174415359997</v>
      </c>
      <c r="BI81" s="100">
        <v>1932.9217839415294</v>
      </c>
      <c r="BJ81" s="100">
        <v>1.2900248775558039</v>
      </c>
      <c r="BK81" s="100">
        <v>972.16274772605379</v>
      </c>
      <c r="BL81" s="100">
        <v>1.5085635862062827</v>
      </c>
      <c r="BM81" s="100">
        <v>1136.8535185650546</v>
      </c>
      <c r="BN81" s="100">
        <v>3.8614657303528377</v>
      </c>
      <c r="BO81" s="100">
        <v>2910.0005743938987</v>
      </c>
      <c r="BP81" s="100">
        <v>2.3954814111085398</v>
      </c>
      <c r="BQ81" s="100">
        <v>1805.2347914113957</v>
      </c>
      <c r="BR81" s="100">
        <v>3</v>
      </c>
      <c r="BS81" s="100">
        <v>2260.8000000000002</v>
      </c>
      <c r="BT81" s="100">
        <v>4</v>
      </c>
      <c r="BU81" s="100">
        <v>3014.4</v>
      </c>
      <c r="BV81" s="100">
        <v>5.646361344219522</v>
      </c>
      <c r="BW81" s="100">
        <v>4255.0979090038318</v>
      </c>
      <c r="BX81" s="100">
        <v>2.7033975088604159</v>
      </c>
      <c r="BY81" s="100">
        <v>2037.2803626772095</v>
      </c>
      <c r="BZ81" s="100">
        <v>5</v>
      </c>
      <c r="CA81" s="100">
        <v>3768</v>
      </c>
      <c r="CB81" s="100">
        <v>3</v>
      </c>
      <c r="CC81" s="100">
        <v>2260.8000000000002</v>
      </c>
      <c r="CD81" s="100">
        <v>4</v>
      </c>
      <c r="CE81" s="100">
        <v>3014.4</v>
      </c>
      <c r="CF81" s="100">
        <v>6</v>
      </c>
      <c r="CG81" s="100">
        <v>4521.6000000000004</v>
      </c>
      <c r="CH81" s="100">
        <v>5</v>
      </c>
      <c r="CI81" s="100">
        <v>3768</v>
      </c>
      <c r="CJ81" s="100">
        <v>6</v>
      </c>
      <c r="CK81" s="100">
        <v>4521.6000000000004</v>
      </c>
      <c r="CL81" s="100">
        <v>3.825989391641941</v>
      </c>
      <c r="CM81" s="100">
        <v>2883.2656055413668</v>
      </c>
      <c r="CN81" s="100">
        <v>5.1931634887677216</v>
      </c>
      <c r="CO81" s="100">
        <v>3913.5680051353552</v>
      </c>
      <c r="CP81" s="100">
        <v>2.3876330841074411</v>
      </c>
      <c r="CQ81" s="100">
        <v>1799.3202921833677</v>
      </c>
      <c r="CR81" s="100">
        <v>4</v>
      </c>
      <c r="CS81" s="100">
        <v>3014.4</v>
      </c>
      <c r="CT81" s="100">
        <v>4.5143916686580026</v>
      </c>
      <c r="CU81" s="100">
        <v>3402.0455615006708</v>
      </c>
    </row>
    <row r="82" spans="2:99">
      <c r="C82" s="99" t="s">
        <v>248</v>
      </c>
      <c r="D82" s="100">
        <v>3</v>
      </c>
      <c r="E82" s="100">
        <v>1526.3999999999996</v>
      </c>
      <c r="F82" s="100">
        <v>5</v>
      </c>
      <c r="G82" s="100">
        <v>2543.9999999999995</v>
      </c>
      <c r="H82" s="100">
        <v>4.0329463349730643</v>
      </c>
      <c r="I82" s="100">
        <v>2051.9630952342945</v>
      </c>
      <c r="J82" s="100">
        <v>3.584571590399523</v>
      </c>
      <c r="K82" s="100">
        <v>1823.8300251952769</v>
      </c>
      <c r="L82" s="100">
        <v>3.7249179193041693</v>
      </c>
      <c r="M82" s="100">
        <v>1895.2382373419609</v>
      </c>
      <c r="N82" s="100">
        <v>1.2577750947327138</v>
      </c>
      <c r="O82" s="100">
        <v>639.95596820000458</v>
      </c>
      <c r="P82" s="100">
        <v>6</v>
      </c>
      <c r="Q82" s="100">
        <v>3052.7999999999993</v>
      </c>
      <c r="R82" s="100">
        <v>3.2689966998698985</v>
      </c>
      <c r="S82" s="100">
        <v>1663.265520893804</v>
      </c>
      <c r="T82" s="100">
        <v>4</v>
      </c>
      <c r="U82" s="100">
        <v>2035.1999999999996</v>
      </c>
      <c r="V82" s="100">
        <v>3</v>
      </c>
      <c r="W82" s="100">
        <v>1526.3999999999996</v>
      </c>
      <c r="X82" s="100">
        <v>4.1436338164207758</v>
      </c>
      <c r="Y82" s="100">
        <v>2108.2808857948903</v>
      </c>
      <c r="Z82" s="100">
        <v>2.4692249244818831</v>
      </c>
      <c r="AA82" s="100">
        <v>1256.3416415763818</v>
      </c>
      <c r="AB82" s="100">
        <v>4.5322190342555899</v>
      </c>
      <c r="AC82" s="100">
        <v>2305.9930446292437</v>
      </c>
      <c r="AD82" s="100">
        <v>1.3498791135751045</v>
      </c>
      <c r="AE82" s="100">
        <v>686.81849298701297</v>
      </c>
      <c r="AF82" s="100">
        <v>2.7871964749024379E-4</v>
      </c>
      <c r="AG82" s="100">
        <v>0.14181255664303602</v>
      </c>
      <c r="AH82" s="100">
        <v>4</v>
      </c>
      <c r="AI82" s="100">
        <v>2035.1999999999996</v>
      </c>
      <c r="AJ82" s="100">
        <v>3</v>
      </c>
      <c r="AK82" s="100">
        <v>1526.3999999999996</v>
      </c>
      <c r="AL82" s="100">
        <v>6</v>
      </c>
      <c r="AM82" s="100">
        <v>3052.7999999999993</v>
      </c>
      <c r="AN82" s="100">
        <v>4</v>
      </c>
      <c r="AO82" s="100">
        <v>2035.1999999999996</v>
      </c>
      <c r="AP82" s="100">
        <v>4</v>
      </c>
      <c r="AQ82" s="100">
        <v>2035.1999999999996</v>
      </c>
      <c r="AR82" s="100">
        <v>4.6654692444902413</v>
      </c>
      <c r="AS82" s="100">
        <v>2373.7907515966344</v>
      </c>
      <c r="AT82" s="100">
        <v>4</v>
      </c>
      <c r="AU82" s="100">
        <v>2035.1999999999996</v>
      </c>
      <c r="AV82" s="100">
        <v>5.601744580595299</v>
      </c>
      <c r="AW82" s="100">
        <v>2850.1676426068875</v>
      </c>
      <c r="AX82" s="100">
        <v>5</v>
      </c>
      <c r="AY82" s="100">
        <v>2543.9999999999995</v>
      </c>
      <c r="AZ82" s="100">
        <v>3.2295869634784928</v>
      </c>
      <c r="BA82" s="100">
        <v>1643.2138470178568</v>
      </c>
      <c r="BB82" s="100">
        <v>5.3989758242339434</v>
      </c>
      <c r="BC82" s="100">
        <v>2746.99889937023</v>
      </c>
      <c r="BD82" s="100">
        <v>1.8042534554240304</v>
      </c>
      <c r="BE82" s="100">
        <v>918.00415811974642</v>
      </c>
      <c r="BF82" s="100">
        <v>3.0010403300758854</v>
      </c>
      <c r="BG82" s="100">
        <v>1526.9293199426102</v>
      </c>
      <c r="BH82" s="100">
        <v>2.5430704365297494</v>
      </c>
      <c r="BI82" s="100">
        <v>1293.9142381063361</v>
      </c>
      <c r="BJ82" s="100">
        <v>1.2753660548818346</v>
      </c>
      <c r="BK82" s="100">
        <v>648.9062487238773</v>
      </c>
      <c r="BL82" s="100">
        <v>1.5085635862062827</v>
      </c>
      <c r="BM82" s="100">
        <v>767.5571526617565</v>
      </c>
      <c r="BN82" s="100">
        <v>3.8904163383117578</v>
      </c>
      <c r="BO82" s="100">
        <v>1979.4438329330219</v>
      </c>
      <c r="BP82" s="100">
        <v>2.3954814111085398</v>
      </c>
      <c r="BQ82" s="100">
        <v>1218.8209419720249</v>
      </c>
      <c r="BR82" s="100">
        <v>3</v>
      </c>
      <c r="BS82" s="100">
        <v>1526.3999999999996</v>
      </c>
      <c r="BT82" s="100">
        <v>5</v>
      </c>
      <c r="BU82" s="100">
        <v>2543.9999999999995</v>
      </c>
      <c r="BV82" s="100">
        <v>6</v>
      </c>
      <c r="BW82" s="100">
        <v>3052.7999999999993</v>
      </c>
      <c r="BX82" s="100">
        <v>2.0275481316453119</v>
      </c>
      <c r="BY82" s="100">
        <v>1031.6164893811344</v>
      </c>
      <c r="BZ82" s="100">
        <v>5</v>
      </c>
      <c r="CA82" s="100">
        <v>2543.9999999999995</v>
      </c>
      <c r="CB82" s="100">
        <v>4</v>
      </c>
      <c r="CC82" s="100">
        <v>2035.1999999999996</v>
      </c>
      <c r="CD82" s="100">
        <v>4</v>
      </c>
      <c r="CE82" s="100">
        <v>2035.1999999999996</v>
      </c>
      <c r="CF82" s="100">
        <v>6</v>
      </c>
      <c r="CG82" s="100">
        <v>3052.7999999999993</v>
      </c>
      <c r="CH82" s="100">
        <v>5</v>
      </c>
      <c r="CI82" s="100">
        <v>2543.9999999999995</v>
      </c>
      <c r="CJ82" s="100">
        <v>5</v>
      </c>
      <c r="CK82" s="100">
        <v>2543.9999999999995</v>
      </c>
      <c r="CL82" s="100">
        <v>3.825989391641941</v>
      </c>
      <c r="CM82" s="100">
        <v>1946.6634024674192</v>
      </c>
      <c r="CN82" s="100">
        <v>6.1582327425304157</v>
      </c>
      <c r="CO82" s="100">
        <v>3133.3088193994749</v>
      </c>
      <c r="CP82" s="100">
        <v>2.3876330841074411</v>
      </c>
      <c r="CQ82" s="100">
        <v>1214.8277131938657</v>
      </c>
      <c r="CR82" s="100">
        <v>3</v>
      </c>
      <c r="CS82" s="100">
        <v>1526.3999999999996</v>
      </c>
      <c r="CT82" s="100">
        <v>4.5143916686580026</v>
      </c>
      <c r="CU82" s="100">
        <v>2296.9224810131914</v>
      </c>
    </row>
    <row r="83" spans="2:99">
      <c r="C83" s="99" t="s">
        <v>249</v>
      </c>
      <c r="D83" s="100">
        <v>4</v>
      </c>
      <c r="E83" s="100">
        <v>3441.6</v>
      </c>
      <c r="F83" s="100">
        <v>5</v>
      </c>
      <c r="G83" s="100">
        <v>4302</v>
      </c>
      <c r="H83" s="100">
        <v>3.360788612477553</v>
      </c>
      <c r="I83" s="100">
        <v>2891.6225221756868</v>
      </c>
      <c r="J83" s="100">
        <v>3.584571590399523</v>
      </c>
      <c r="K83" s="100">
        <v>3084.1653963797494</v>
      </c>
      <c r="L83" s="100">
        <v>4.1215867132168187</v>
      </c>
      <c r="M83" s="100">
        <v>3546.2132080517508</v>
      </c>
      <c r="N83" s="100">
        <v>1.6770334596436185</v>
      </c>
      <c r="O83" s="100">
        <v>1442.9195886773693</v>
      </c>
      <c r="P83" s="100">
        <v>6</v>
      </c>
      <c r="Q83" s="100">
        <v>5162.3999999999996</v>
      </c>
      <c r="R83" s="100">
        <v>3.2689966998698985</v>
      </c>
      <c r="S83" s="100">
        <v>2812.6447605680605</v>
      </c>
      <c r="T83" s="100">
        <v>4</v>
      </c>
      <c r="U83" s="100">
        <v>3441.6</v>
      </c>
      <c r="V83" s="100">
        <v>4</v>
      </c>
      <c r="W83" s="100">
        <v>3441.6</v>
      </c>
      <c r="X83" s="100">
        <v>3.3149070531366207</v>
      </c>
      <c r="Y83" s="100">
        <v>2852.1460285187486</v>
      </c>
      <c r="Z83" s="100">
        <v>2.4692249244818831</v>
      </c>
      <c r="AA83" s="100">
        <v>2124.5211250242123</v>
      </c>
      <c r="AB83" s="100">
        <v>4.5322190342555899</v>
      </c>
      <c r="AC83" s="100">
        <v>3899.5212570735093</v>
      </c>
      <c r="AD83" s="100">
        <v>1.3498791135751045</v>
      </c>
      <c r="AE83" s="100">
        <v>1161.4359893200199</v>
      </c>
      <c r="AF83" s="100">
        <v>3.7162619665365843E-4</v>
      </c>
      <c r="AG83" s="100">
        <v>0.31974717960080773</v>
      </c>
      <c r="AH83" s="100">
        <v>3</v>
      </c>
      <c r="AI83" s="100">
        <v>2581.1999999999998</v>
      </c>
      <c r="AJ83" s="100">
        <v>3</v>
      </c>
      <c r="AK83" s="100">
        <v>2581.1999999999998</v>
      </c>
      <c r="AL83" s="100">
        <v>6</v>
      </c>
      <c r="AM83" s="100">
        <v>5162.3999999999996</v>
      </c>
      <c r="AN83" s="100">
        <v>3</v>
      </c>
      <c r="AO83" s="100">
        <v>2581.1999999999998</v>
      </c>
      <c r="AP83" s="100">
        <v>3</v>
      </c>
      <c r="AQ83" s="100">
        <v>2581.1999999999998</v>
      </c>
      <c r="AR83" s="100">
        <v>4.6654692444902413</v>
      </c>
      <c r="AS83" s="100">
        <v>4014.1697379594034</v>
      </c>
      <c r="AT83" s="100">
        <v>3</v>
      </c>
      <c r="AU83" s="100">
        <v>2581.1999999999998</v>
      </c>
      <c r="AV83" s="100">
        <v>4.6681204838294157</v>
      </c>
      <c r="AW83" s="100">
        <v>4016.4508642868291</v>
      </c>
      <c r="AX83" s="100">
        <v>4</v>
      </c>
      <c r="AY83" s="100">
        <v>3441.6</v>
      </c>
      <c r="AZ83" s="100">
        <v>3.2295869634784928</v>
      </c>
      <c r="BA83" s="100">
        <v>2778.7366233768953</v>
      </c>
      <c r="BB83" s="100">
        <v>5.3989758242339434</v>
      </c>
      <c r="BC83" s="100">
        <v>4645.2787991708847</v>
      </c>
      <c r="BD83" s="100">
        <v>1.5035445461866919</v>
      </c>
      <c r="BE83" s="100">
        <v>1293.6497275390298</v>
      </c>
      <c r="BF83" s="100">
        <v>3.0010403300758854</v>
      </c>
      <c r="BG83" s="100">
        <v>2582.095099997292</v>
      </c>
      <c r="BH83" s="100">
        <v>2.5430704365297494</v>
      </c>
      <c r="BI83" s="100">
        <v>2188.0578035901963</v>
      </c>
      <c r="BJ83" s="100">
        <v>1.2753660548818346</v>
      </c>
      <c r="BK83" s="100">
        <v>1097.3249536203305</v>
      </c>
      <c r="BL83" s="100">
        <v>1.5085635862062827</v>
      </c>
      <c r="BM83" s="100">
        <v>1297.9681095718856</v>
      </c>
      <c r="BN83" s="100">
        <v>3.9193669462706771</v>
      </c>
      <c r="BO83" s="100">
        <v>3372.2233205712905</v>
      </c>
      <c r="BP83" s="100">
        <v>2.3954814111085398</v>
      </c>
      <c r="BQ83" s="100">
        <v>2061.0722061177876</v>
      </c>
      <c r="BR83" s="100">
        <v>3</v>
      </c>
      <c r="BS83" s="100">
        <v>2581.1999999999998</v>
      </c>
      <c r="BT83" s="100">
        <v>4</v>
      </c>
      <c r="BU83" s="100">
        <v>3441.6</v>
      </c>
      <c r="BV83" s="100">
        <v>6</v>
      </c>
      <c r="BW83" s="100">
        <v>5162.3999999999996</v>
      </c>
      <c r="BX83" s="100">
        <v>2.0275481316453119</v>
      </c>
      <c r="BY83" s="100">
        <v>1744.5024124676263</v>
      </c>
      <c r="BZ83" s="100">
        <v>4</v>
      </c>
      <c r="CA83" s="100">
        <v>3441.6</v>
      </c>
      <c r="CB83" s="100">
        <v>3</v>
      </c>
      <c r="CC83" s="100">
        <v>2581.1999999999998</v>
      </c>
      <c r="CD83" s="100">
        <v>4</v>
      </c>
      <c r="CE83" s="100">
        <v>3441.6</v>
      </c>
      <c r="CF83" s="100">
        <v>7</v>
      </c>
      <c r="CG83" s="100">
        <v>6022.8</v>
      </c>
      <c r="CH83" s="100">
        <v>5</v>
      </c>
      <c r="CI83" s="100">
        <v>4302</v>
      </c>
      <c r="CJ83" s="100">
        <v>5</v>
      </c>
      <c r="CK83" s="100">
        <v>4302</v>
      </c>
      <c r="CL83" s="100">
        <v>3.825989391641941</v>
      </c>
      <c r="CM83" s="100">
        <v>3291.8812725687258</v>
      </c>
      <c r="CN83" s="100">
        <v>5.1931634887677216</v>
      </c>
      <c r="CO83" s="100">
        <v>4468.1978657357477</v>
      </c>
      <c r="CP83" s="100">
        <v>1.9896942367562009</v>
      </c>
      <c r="CQ83" s="100">
        <v>1711.9329213050353</v>
      </c>
      <c r="CR83" s="100">
        <v>4</v>
      </c>
      <c r="CS83" s="100">
        <v>3441.6</v>
      </c>
      <c r="CT83" s="100">
        <v>3.7619930572150024</v>
      </c>
      <c r="CU83" s="100">
        <v>3236.8188264277878</v>
      </c>
    </row>
    <row r="84" spans="2:99">
      <c r="C84" s="99" t="s">
        <v>250</v>
      </c>
      <c r="D84" s="100">
        <v>3</v>
      </c>
      <c r="E84" s="100">
        <v>2343.6</v>
      </c>
      <c r="F84" s="100">
        <v>5</v>
      </c>
      <c r="G84" s="100">
        <v>3905.9999999999995</v>
      </c>
      <c r="H84" s="100">
        <v>4.0329463349730643</v>
      </c>
      <c r="I84" s="100">
        <v>3150.5376768809574</v>
      </c>
      <c r="J84" s="100">
        <v>4.4807144879994034</v>
      </c>
      <c r="K84" s="100">
        <v>3500.3341580251335</v>
      </c>
      <c r="L84" s="100">
        <v>3.1903572333907761</v>
      </c>
      <c r="M84" s="100">
        <v>2492.3070707248739</v>
      </c>
      <c r="N84" s="100">
        <v>1.2577750947327138</v>
      </c>
      <c r="O84" s="100">
        <v>982.57390400519591</v>
      </c>
      <c r="P84" s="100">
        <v>6</v>
      </c>
      <c r="Q84" s="100">
        <v>4687.2</v>
      </c>
      <c r="R84" s="100">
        <v>3.2689966998698985</v>
      </c>
      <c r="S84" s="100">
        <v>2553.7402219383644</v>
      </c>
      <c r="T84" s="100">
        <v>4</v>
      </c>
      <c r="U84" s="100">
        <v>3124.7999999999997</v>
      </c>
      <c r="V84" s="100">
        <v>3</v>
      </c>
      <c r="W84" s="100">
        <v>2343.6</v>
      </c>
      <c r="X84" s="100">
        <v>3.3149070531366207</v>
      </c>
      <c r="Y84" s="100">
        <v>2589.6053899103281</v>
      </c>
      <c r="Z84" s="100">
        <v>2.4692249244818831</v>
      </c>
      <c r="AA84" s="100">
        <v>1928.9585110052469</v>
      </c>
      <c r="AB84" s="100">
        <v>4.5322190342555899</v>
      </c>
      <c r="AC84" s="100">
        <v>3540.5695095604665</v>
      </c>
      <c r="AD84" s="100">
        <v>1.0799032908600836</v>
      </c>
      <c r="AE84" s="100">
        <v>843.62045081989731</v>
      </c>
      <c r="AF84" s="100">
        <v>3.7162619665365843E-4</v>
      </c>
      <c r="AG84" s="100">
        <v>0.29031438482583793</v>
      </c>
      <c r="AH84" s="100">
        <v>3</v>
      </c>
      <c r="AI84" s="100">
        <v>2343.6</v>
      </c>
      <c r="AJ84" s="100">
        <v>3</v>
      </c>
      <c r="AK84" s="100">
        <v>2343.6</v>
      </c>
      <c r="AL84" s="100">
        <v>6</v>
      </c>
      <c r="AM84" s="100">
        <v>4687.2</v>
      </c>
      <c r="AN84" s="100">
        <v>4</v>
      </c>
      <c r="AO84" s="100">
        <v>3124.7999999999997</v>
      </c>
      <c r="AP84" s="100">
        <v>4</v>
      </c>
      <c r="AQ84" s="100">
        <v>3124.7999999999997</v>
      </c>
      <c r="AR84" s="100">
        <v>4.6654692444902413</v>
      </c>
      <c r="AS84" s="100">
        <v>3644.6645737957761</v>
      </c>
      <c r="AT84" s="100">
        <v>4</v>
      </c>
      <c r="AU84" s="100">
        <v>3124.7999999999997</v>
      </c>
      <c r="AV84" s="100">
        <v>5.601744580595299</v>
      </c>
      <c r="AW84" s="100">
        <v>4376.0828663610473</v>
      </c>
      <c r="AX84" s="100">
        <v>5</v>
      </c>
      <c r="AY84" s="100">
        <v>3905.9999999999995</v>
      </c>
      <c r="AZ84" s="100">
        <v>3.2295869634784928</v>
      </c>
      <c r="BA84" s="100">
        <v>2522.9533358693984</v>
      </c>
      <c r="BB84" s="100">
        <v>6.3989758242339434</v>
      </c>
      <c r="BC84" s="100">
        <v>4998.8799138915565</v>
      </c>
      <c r="BD84" s="100">
        <v>1.5035445461866919</v>
      </c>
      <c r="BE84" s="100">
        <v>1174.5689994810436</v>
      </c>
      <c r="BF84" s="100">
        <v>3.0010403300758854</v>
      </c>
      <c r="BG84" s="100">
        <v>2344.4127058552817</v>
      </c>
      <c r="BH84" s="100">
        <v>2.5430704365297494</v>
      </c>
      <c r="BI84" s="100">
        <v>1986.6466250170402</v>
      </c>
      <c r="BJ84" s="100">
        <v>1.5685546289228471</v>
      </c>
      <c r="BK84" s="100">
        <v>1225.354876114528</v>
      </c>
      <c r="BL84" s="100">
        <v>1.5085635862062827</v>
      </c>
      <c r="BM84" s="100">
        <v>1178.489873544348</v>
      </c>
      <c r="BN84" s="100">
        <v>3.8904163383117578</v>
      </c>
      <c r="BO84" s="100">
        <v>3039.1932434891451</v>
      </c>
      <c r="BP84" s="100">
        <v>2.3954814111085398</v>
      </c>
      <c r="BQ84" s="100">
        <v>1871.3500783579912</v>
      </c>
      <c r="BR84" s="100">
        <v>3</v>
      </c>
      <c r="BS84" s="100">
        <v>2343.6</v>
      </c>
      <c r="BT84" s="100">
        <v>4</v>
      </c>
      <c r="BU84" s="100">
        <v>3124.7999999999997</v>
      </c>
      <c r="BV84" s="100">
        <v>6.646361344219522</v>
      </c>
      <c r="BW84" s="100">
        <v>5192.13748210429</v>
      </c>
      <c r="BX84" s="100">
        <v>2.0275481316453119</v>
      </c>
      <c r="BY84" s="100">
        <v>1583.9206004413174</v>
      </c>
      <c r="BZ84" s="100">
        <v>5</v>
      </c>
      <c r="CA84" s="100">
        <v>3905.9999999999995</v>
      </c>
      <c r="CB84" s="100">
        <v>4</v>
      </c>
      <c r="CC84" s="100">
        <v>3124.7999999999997</v>
      </c>
      <c r="CD84" s="100">
        <v>4</v>
      </c>
      <c r="CE84" s="100">
        <v>3124.7999999999997</v>
      </c>
      <c r="CF84" s="100">
        <v>7</v>
      </c>
      <c r="CG84" s="100">
        <v>5468.4</v>
      </c>
      <c r="CH84" s="100">
        <v>6</v>
      </c>
      <c r="CI84" s="100">
        <v>4687.2</v>
      </c>
      <c r="CJ84" s="100">
        <v>5</v>
      </c>
      <c r="CK84" s="100">
        <v>3905.9999999999995</v>
      </c>
      <c r="CL84" s="100">
        <v>3.825989391641941</v>
      </c>
      <c r="CM84" s="100">
        <v>2988.8629127506842</v>
      </c>
      <c r="CN84" s="100">
        <v>5.1668908301995611</v>
      </c>
      <c r="CO84" s="100">
        <v>4036.3751165518966</v>
      </c>
      <c r="CP84" s="100">
        <v>2.3876330841074411</v>
      </c>
      <c r="CQ84" s="100">
        <v>1865.2189653047328</v>
      </c>
      <c r="CR84" s="100">
        <v>4</v>
      </c>
      <c r="CS84" s="100">
        <v>3124.7999999999997</v>
      </c>
      <c r="CT84" s="100">
        <v>3.7619930572150024</v>
      </c>
      <c r="CU84" s="100">
        <v>2938.8689762963595</v>
      </c>
    </row>
    <row r="85" spans="2:99">
      <c r="C85" s="99" t="s">
        <v>251</v>
      </c>
      <c r="D85" s="100">
        <v>4</v>
      </c>
      <c r="E85" s="100">
        <v>600</v>
      </c>
      <c r="F85" s="100">
        <v>5</v>
      </c>
      <c r="G85" s="100">
        <v>750</v>
      </c>
      <c r="H85" s="100">
        <v>4.0329463349730643</v>
      </c>
      <c r="I85" s="100">
        <v>604.94195024595967</v>
      </c>
      <c r="J85" s="100">
        <v>4.4807144879994034</v>
      </c>
      <c r="K85" s="100">
        <v>672.10717319991056</v>
      </c>
      <c r="L85" s="100">
        <v>4.1215867132168187</v>
      </c>
      <c r="M85" s="100">
        <v>618.23800698252285</v>
      </c>
      <c r="N85" s="100">
        <v>1.6770334596436185</v>
      </c>
      <c r="O85" s="100">
        <v>251.55501894654279</v>
      </c>
      <c r="P85" s="100">
        <v>5</v>
      </c>
      <c r="Q85" s="100">
        <v>750</v>
      </c>
      <c r="R85" s="100">
        <v>4.0862458748373731</v>
      </c>
      <c r="S85" s="100">
        <v>612.93688122560593</v>
      </c>
      <c r="T85" s="100">
        <v>5</v>
      </c>
      <c r="U85" s="100">
        <v>750</v>
      </c>
      <c r="V85" s="100">
        <v>4</v>
      </c>
      <c r="W85" s="100">
        <v>600</v>
      </c>
      <c r="X85" s="100">
        <v>4.1436338164207758</v>
      </c>
      <c r="Y85" s="100">
        <v>621.54507246311641</v>
      </c>
      <c r="Z85" s="100">
        <v>2.4692249244818831</v>
      </c>
      <c r="AA85" s="100">
        <v>370.38373867228245</v>
      </c>
      <c r="AB85" s="100">
        <v>4.5765706204435554</v>
      </c>
      <c r="AC85" s="100">
        <v>686.48559306653328</v>
      </c>
      <c r="AD85" s="100">
        <v>1.3498791135751045</v>
      </c>
      <c r="AE85" s="100">
        <v>202.48186703626567</v>
      </c>
      <c r="AF85" s="100">
        <v>3.7162619665365843E-4</v>
      </c>
      <c r="AG85" s="100">
        <v>5.5743929498048767E-2</v>
      </c>
      <c r="AH85" s="100">
        <v>3</v>
      </c>
      <c r="AI85" s="100">
        <v>450</v>
      </c>
      <c r="AJ85" s="100">
        <v>3</v>
      </c>
      <c r="AK85" s="100">
        <v>450</v>
      </c>
      <c r="AL85" s="100">
        <v>6</v>
      </c>
      <c r="AM85" s="100">
        <v>900</v>
      </c>
      <c r="AN85" s="100">
        <v>3</v>
      </c>
      <c r="AO85" s="100">
        <v>450</v>
      </c>
      <c r="AP85" s="100">
        <v>4</v>
      </c>
      <c r="AQ85" s="100">
        <v>600</v>
      </c>
      <c r="AR85" s="100">
        <v>5.4430474519052821</v>
      </c>
      <c r="AS85" s="100">
        <v>816.45711778579232</v>
      </c>
      <c r="AT85" s="100">
        <v>4</v>
      </c>
      <c r="AU85" s="100">
        <v>600</v>
      </c>
      <c r="AV85" s="100">
        <v>4.6681204838294157</v>
      </c>
      <c r="AW85" s="100">
        <v>700.2180725744123</v>
      </c>
      <c r="AX85" s="100">
        <v>5</v>
      </c>
      <c r="AY85" s="100">
        <v>750</v>
      </c>
      <c r="AZ85" s="100">
        <v>3.2295869634784928</v>
      </c>
      <c r="BA85" s="100">
        <v>484.43804452177392</v>
      </c>
      <c r="BB85" s="100">
        <v>5.3989758242339434</v>
      </c>
      <c r="BC85" s="100">
        <v>809.84637363509148</v>
      </c>
      <c r="BD85" s="100">
        <v>1.8042534554240304</v>
      </c>
      <c r="BE85" s="100">
        <v>270.63801831360456</v>
      </c>
      <c r="BF85" s="100">
        <v>3.0010403300758854</v>
      </c>
      <c r="BG85" s="100">
        <v>450.15604951138283</v>
      </c>
      <c r="BH85" s="100">
        <v>2.5430704365297494</v>
      </c>
      <c r="BI85" s="100">
        <v>381.46056547946239</v>
      </c>
      <c r="BJ85" s="100">
        <v>1.5832134515968164</v>
      </c>
      <c r="BK85" s="100">
        <v>237.48201773952246</v>
      </c>
      <c r="BL85" s="100">
        <v>1.5085635862062827</v>
      </c>
      <c r="BM85" s="100">
        <v>226.28453793094241</v>
      </c>
      <c r="BN85" s="100">
        <v>3.8904163383117578</v>
      </c>
      <c r="BO85" s="100">
        <v>583.56245074676372</v>
      </c>
      <c r="BP85" s="100">
        <v>2.3954814111085398</v>
      </c>
      <c r="BQ85" s="100">
        <v>359.32221166628096</v>
      </c>
      <c r="BR85" s="100">
        <v>3</v>
      </c>
      <c r="BS85" s="100">
        <v>450</v>
      </c>
      <c r="BT85" s="100">
        <v>5</v>
      </c>
      <c r="BU85" s="100">
        <v>750</v>
      </c>
      <c r="BV85" s="100">
        <v>7</v>
      </c>
      <c r="BW85" s="100">
        <v>1050</v>
      </c>
      <c r="BX85" s="100">
        <v>2.0275481316453119</v>
      </c>
      <c r="BY85" s="100">
        <v>304.13221974679681</v>
      </c>
      <c r="BZ85" s="100">
        <v>5</v>
      </c>
      <c r="CA85" s="100">
        <v>750</v>
      </c>
      <c r="CB85" s="100">
        <v>4</v>
      </c>
      <c r="CC85" s="100">
        <v>600</v>
      </c>
      <c r="CD85" s="100">
        <v>4</v>
      </c>
      <c r="CE85" s="100">
        <v>600</v>
      </c>
      <c r="CF85" s="100">
        <v>6</v>
      </c>
      <c r="CG85" s="100">
        <v>900</v>
      </c>
      <c r="CH85" s="100">
        <v>6</v>
      </c>
      <c r="CI85" s="100">
        <v>900</v>
      </c>
      <c r="CJ85" s="100">
        <v>6</v>
      </c>
      <c r="CK85" s="100">
        <v>900</v>
      </c>
      <c r="CL85" s="100">
        <v>3.825989391641941</v>
      </c>
      <c r="CM85" s="100">
        <v>573.89840874629112</v>
      </c>
      <c r="CN85" s="100">
        <v>6.1582327425304157</v>
      </c>
      <c r="CO85" s="100">
        <v>923.73491137956239</v>
      </c>
      <c r="CP85" s="100">
        <v>2.3876330841074411</v>
      </c>
      <c r="CQ85" s="100">
        <v>358.14496261611617</v>
      </c>
      <c r="CR85" s="100">
        <v>4</v>
      </c>
      <c r="CS85" s="100">
        <v>600</v>
      </c>
      <c r="CT85" s="100">
        <v>5.2667902801010031</v>
      </c>
      <c r="CU85" s="100">
        <v>790.0185420151505</v>
      </c>
    </row>
    <row r="86" spans="2:99">
      <c r="C86" s="99" t="s">
        <v>252</v>
      </c>
      <c r="D86" s="100">
        <v>3</v>
      </c>
      <c r="E86" s="100">
        <v>1620</v>
      </c>
      <c r="F86" s="100">
        <v>4</v>
      </c>
      <c r="G86" s="100">
        <v>2160</v>
      </c>
      <c r="H86" s="100">
        <v>3.360788612477553</v>
      </c>
      <c r="I86" s="100">
        <v>1814.8258507378787</v>
      </c>
      <c r="J86" s="100">
        <v>3.584571590399523</v>
      </c>
      <c r="K86" s="100">
        <v>1935.6686588157424</v>
      </c>
      <c r="L86" s="100">
        <v>4.1215867132168187</v>
      </c>
      <c r="M86" s="100">
        <v>2225.6568251370823</v>
      </c>
      <c r="N86" s="100">
        <v>1.2577750947327138</v>
      </c>
      <c r="O86" s="100">
        <v>679.19855115566543</v>
      </c>
      <c r="P86" s="100">
        <v>6</v>
      </c>
      <c r="Q86" s="100">
        <v>3240</v>
      </c>
      <c r="R86" s="100">
        <v>3.2689966998698985</v>
      </c>
      <c r="S86" s="100">
        <v>1765.2582179297451</v>
      </c>
      <c r="T86" s="100">
        <v>4</v>
      </c>
      <c r="U86" s="100">
        <v>2160</v>
      </c>
      <c r="V86" s="100">
        <v>4</v>
      </c>
      <c r="W86" s="100">
        <v>2160</v>
      </c>
      <c r="X86" s="100">
        <v>4.1436338164207758</v>
      </c>
      <c r="Y86" s="100">
        <v>2237.5622608672188</v>
      </c>
      <c r="Z86" s="100">
        <v>2.4692249244818831</v>
      </c>
      <c r="AA86" s="100">
        <v>1333.3814592202168</v>
      </c>
      <c r="AB86" s="100">
        <v>4.4878674480676235</v>
      </c>
      <c r="AC86" s="100">
        <v>2423.4484219565165</v>
      </c>
      <c r="AD86" s="100">
        <v>1.3498791135751045</v>
      </c>
      <c r="AE86" s="100">
        <v>728.93472133055639</v>
      </c>
      <c r="AF86" s="100">
        <v>3.7162619665365843E-4</v>
      </c>
      <c r="AG86" s="100">
        <v>0.20067814619297555</v>
      </c>
      <c r="AH86" s="100">
        <v>4</v>
      </c>
      <c r="AI86" s="100">
        <v>2160</v>
      </c>
      <c r="AJ86" s="100">
        <v>3</v>
      </c>
      <c r="AK86" s="100">
        <v>1620</v>
      </c>
      <c r="AL86" s="100">
        <v>5</v>
      </c>
      <c r="AM86" s="100">
        <v>2700</v>
      </c>
      <c r="AN86" s="100">
        <v>3</v>
      </c>
      <c r="AO86" s="100">
        <v>1620</v>
      </c>
      <c r="AP86" s="100">
        <v>4</v>
      </c>
      <c r="AQ86" s="100">
        <v>2160</v>
      </c>
      <c r="AR86" s="100">
        <v>4.6654692444902413</v>
      </c>
      <c r="AS86" s="100">
        <v>2519.3533920247301</v>
      </c>
      <c r="AT86" s="100">
        <v>3</v>
      </c>
      <c r="AU86" s="100">
        <v>1620</v>
      </c>
      <c r="AV86" s="100">
        <v>4.6681204838294157</v>
      </c>
      <c r="AW86" s="100">
        <v>2520.7850612678844</v>
      </c>
      <c r="AX86" s="100">
        <v>5</v>
      </c>
      <c r="AY86" s="100">
        <v>2700</v>
      </c>
      <c r="AZ86" s="100">
        <v>3.2295869634784928</v>
      </c>
      <c r="BA86" s="100">
        <v>1743.9769602783861</v>
      </c>
      <c r="BB86" s="100">
        <v>6.4488478022631863</v>
      </c>
      <c r="BC86" s="100">
        <v>3482.3778132221205</v>
      </c>
      <c r="BD86" s="100">
        <v>1.8042534554240304</v>
      </c>
      <c r="BE86" s="100">
        <v>974.29686592897644</v>
      </c>
      <c r="BF86" s="100">
        <v>3.0010403300758854</v>
      </c>
      <c r="BG86" s="100">
        <v>1620.5617782409781</v>
      </c>
      <c r="BH86" s="100">
        <v>2.5430704365297494</v>
      </c>
      <c r="BI86" s="100">
        <v>1373.2580357260647</v>
      </c>
      <c r="BJ86" s="100">
        <v>1.2900248775558039</v>
      </c>
      <c r="BK86" s="100">
        <v>696.61343388013404</v>
      </c>
      <c r="BL86" s="100">
        <v>1.5085635862062827</v>
      </c>
      <c r="BM86" s="100">
        <v>814.62433655139262</v>
      </c>
      <c r="BN86" s="100">
        <v>3.8614657303528377</v>
      </c>
      <c r="BO86" s="100">
        <v>2085.1914943905322</v>
      </c>
      <c r="BP86" s="100">
        <v>2.3954814111085398</v>
      </c>
      <c r="BQ86" s="100">
        <v>1293.5599619986115</v>
      </c>
      <c r="BR86" s="100">
        <v>3</v>
      </c>
      <c r="BS86" s="100">
        <v>1620</v>
      </c>
      <c r="BT86" s="100">
        <v>5</v>
      </c>
      <c r="BU86" s="100">
        <v>2700</v>
      </c>
      <c r="BV86" s="100">
        <v>6</v>
      </c>
      <c r="BW86" s="100">
        <v>3240</v>
      </c>
      <c r="BX86" s="100">
        <v>2.0275481316453119</v>
      </c>
      <c r="BY86" s="100">
        <v>1094.8759910884685</v>
      </c>
      <c r="BZ86" s="100">
        <v>5</v>
      </c>
      <c r="CA86" s="100">
        <v>2700</v>
      </c>
      <c r="CB86" s="100">
        <v>3</v>
      </c>
      <c r="CC86" s="100">
        <v>1620</v>
      </c>
      <c r="CD86" s="100">
        <v>4</v>
      </c>
      <c r="CE86" s="100">
        <v>2160</v>
      </c>
      <c r="CF86" s="100">
        <v>6</v>
      </c>
      <c r="CG86" s="100">
        <v>3240</v>
      </c>
      <c r="CH86" s="100">
        <v>5</v>
      </c>
      <c r="CI86" s="100">
        <v>2700</v>
      </c>
      <c r="CJ86" s="100">
        <v>5</v>
      </c>
      <c r="CK86" s="100">
        <v>2700</v>
      </c>
      <c r="CL86" s="100">
        <v>3.825989391641941</v>
      </c>
      <c r="CM86" s="100">
        <v>2066.0342714866483</v>
      </c>
      <c r="CN86" s="100">
        <v>6.1582327425304157</v>
      </c>
      <c r="CO86" s="100">
        <v>3325.4456809664243</v>
      </c>
      <c r="CP86" s="100">
        <v>1.9896942367562009</v>
      </c>
      <c r="CQ86" s="100">
        <v>1074.4348878483486</v>
      </c>
      <c r="CR86" s="100">
        <v>4</v>
      </c>
      <c r="CS86" s="100">
        <v>2160</v>
      </c>
      <c r="CT86" s="100">
        <v>4.5143916686580026</v>
      </c>
      <c r="CU86" s="100">
        <v>2437.7715010753213</v>
      </c>
    </row>
    <row r="87" spans="2:99">
      <c r="B87" s="99" t="s">
        <v>131</v>
      </c>
      <c r="C87" s="99" t="s">
        <v>253</v>
      </c>
      <c r="D87" s="100">
        <v>2.0200987787010565</v>
      </c>
      <c r="E87" s="100">
        <v>2169.5860883249347</v>
      </c>
      <c r="F87" s="100">
        <v>3.5061828379069109</v>
      </c>
      <c r="G87" s="100">
        <v>3765.6403679120222</v>
      </c>
      <c r="H87" s="100">
        <v>0.26440734211820505</v>
      </c>
      <c r="I87" s="100">
        <v>283.97348543495224</v>
      </c>
      <c r="J87" s="100">
        <v>2.6285703300369789</v>
      </c>
      <c r="K87" s="100">
        <v>2823.0845344597155</v>
      </c>
      <c r="L87" s="100">
        <v>2.3026798000816089</v>
      </c>
      <c r="M87" s="100">
        <v>2473.0781052876478</v>
      </c>
      <c r="N87" s="100">
        <v>3.3042370170718485</v>
      </c>
      <c r="O87" s="100">
        <v>3548.7505563351651</v>
      </c>
      <c r="P87" s="100">
        <v>2.2792897645270669</v>
      </c>
      <c r="Q87" s="100">
        <v>2447.9572071020698</v>
      </c>
      <c r="R87" s="100">
        <v>2.8430556776817224</v>
      </c>
      <c r="S87" s="100">
        <v>3053.4417978301699</v>
      </c>
      <c r="T87" s="100">
        <v>3.0677224245110657</v>
      </c>
      <c r="U87" s="100">
        <v>3294.7338839248846</v>
      </c>
      <c r="V87" s="100">
        <v>3.2056030762637331</v>
      </c>
      <c r="W87" s="100">
        <v>3442.8177039072493</v>
      </c>
      <c r="X87" s="100">
        <v>2.0367209250388745E-4</v>
      </c>
      <c r="Y87" s="100">
        <v>0.21874382734917514</v>
      </c>
      <c r="Z87" s="100">
        <v>2.6515482235761745</v>
      </c>
      <c r="AA87" s="100">
        <v>2847.7627921208114</v>
      </c>
      <c r="AB87" s="100">
        <v>4.0549657044095548</v>
      </c>
      <c r="AC87" s="100">
        <v>4355.0331665358617</v>
      </c>
      <c r="AD87" s="100">
        <v>3.0975692571493961E-4</v>
      </c>
      <c r="AE87" s="100">
        <v>0.33267893821784511</v>
      </c>
      <c r="AF87" s="100">
        <v>2.0989983266339152E-4</v>
      </c>
      <c r="AG87" s="100">
        <v>0.22543242028048249</v>
      </c>
      <c r="AH87" s="100">
        <v>3.4424798524588498</v>
      </c>
      <c r="AI87" s="100">
        <v>3697.2233615408045</v>
      </c>
      <c r="AJ87" s="100">
        <v>2.5036179375418715</v>
      </c>
      <c r="AK87" s="100">
        <v>2688.8856649199697</v>
      </c>
      <c r="AL87" s="100">
        <v>3.7407829766770759</v>
      </c>
      <c r="AM87" s="100">
        <v>4017.6009169511794</v>
      </c>
      <c r="AN87" s="100">
        <v>0.27101358744560089</v>
      </c>
      <c r="AO87" s="100">
        <v>291.06859291657537</v>
      </c>
      <c r="AP87" s="100">
        <v>5.6943453125695127</v>
      </c>
      <c r="AQ87" s="100">
        <v>6115.7268656996566</v>
      </c>
      <c r="AR87" s="100">
        <v>0.88650872794612356</v>
      </c>
      <c r="AS87" s="100">
        <v>952.11037381413666</v>
      </c>
      <c r="AT87" s="100">
        <v>4.2581209998792415</v>
      </c>
      <c r="AU87" s="100">
        <v>4573.2219538703057</v>
      </c>
      <c r="AV87" s="100">
        <v>2.8554101462029671</v>
      </c>
      <c r="AW87" s="100">
        <v>3066.7104970219866</v>
      </c>
      <c r="AX87" s="100">
        <v>7</v>
      </c>
      <c r="AY87" s="100">
        <v>7518</v>
      </c>
      <c r="AZ87" s="100">
        <v>4</v>
      </c>
      <c r="BA87" s="100">
        <v>4296</v>
      </c>
      <c r="BB87" s="100">
        <v>3.6144644221967752</v>
      </c>
      <c r="BC87" s="100">
        <v>3881.9347894393368</v>
      </c>
      <c r="BD87" s="100">
        <v>2.1344139737606969</v>
      </c>
      <c r="BE87" s="100">
        <v>2292.3606078189882</v>
      </c>
      <c r="BF87" s="100">
        <v>2.4780554057213851E-4</v>
      </c>
      <c r="BG87" s="100">
        <v>0.26614315057447674</v>
      </c>
      <c r="BH87" s="100">
        <v>2.526964393990297E-4</v>
      </c>
      <c r="BI87" s="100">
        <v>0.27139597591455789</v>
      </c>
      <c r="BJ87" s="100">
        <v>2.6263151308480353E-4</v>
      </c>
      <c r="BK87" s="100">
        <v>0.28206624505307898</v>
      </c>
      <c r="BL87" s="100">
        <v>2.675082519897888E-4</v>
      </c>
      <c r="BM87" s="100">
        <v>0.28730386263703317</v>
      </c>
      <c r="BN87" s="100">
        <v>2.7588883358134639</v>
      </c>
      <c r="BO87" s="100">
        <v>2963.0460726636602</v>
      </c>
      <c r="BP87" s="100">
        <v>2.1887939476144731</v>
      </c>
      <c r="BQ87" s="100">
        <v>2350.7646997379443</v>
      </c>
      <c r="BR87" s="100">
        <v>4.1698986311508994</v>
      </c>
      <c r="BS87" s="100">
        <v>4478.471129856066</v>
      </c>
      <c r="BT87" s="100">
        <v>2.6184439287800823</v>
      </c>
      <c r="BU87" s="100">
        <v>2812.2087795098082</v>
      </c>
      <c r="BV87" s="100">
        <v>3.5006707124272487</v>
      </c>
      <c r="BW87" s="100">
        <v>3759.7203451468649</v>
      </c>
      <c r="BX87" s="100">
        <v>3.2084469034096248</v>
      </c>
      <c r="BY87" s="100">
        <v>3445.8719742619369</v>
      </c>
      <c r="BZ87" s="100">
        <v>3.7585696069192274</v>
      </c>
      <c r="CA87" s="100">
        <v>4036.7037578312502</v>
      </c>
      <c r="CB87" s="100">
        <v>2.6475045865442399</v>
      </c>
      <c r="CC87" s="100">
        <v>2843.4199259485135</v>
      </c>
      <c r="CD87" s="100">
        <v>2.5052450397673005</v>
      </c>
      <c r="CE87" s="100">
        <v>2690.6331727100805</v>
      </c>
      <c r="CF87" s="100">
        <v>2.420826169696503</v>
      </c>
      <c r="CG87" s="100">
        <v>2599.9673062540442</v>
      </c>
      <c r="CH87" s="100">
        <v>3.6668642458001779</v>
      </c>
      <c r="CI87" s="100">
        <v>3938.2121999893911</v>
      </c>
      <c r="CJ87" s="100">
        <v>0.49790431619567327</v>
      </c>
      <c r="CK87" s="100">
        <v>534.74923559415311</v>
      </c>
      <c r="CL87" s="100">
        <v>5</v>
      </c>
      <c r="CM87" s="100">
        <v>5370</v>
      </c>
      <c r="CN87" s="100">
        <v>3.7849416776453029</v>
      </c>
      <c r="CO87" s="100">
        <v>4065.0273617910552</v>
      </c>
      <c r="CP87" s="100">
        <v>2.3048111564816574</v>
      </c>
      <c r="CQ87" s="100">
        <v>2475.3671820612999</v>
      </c>
      <c r="CR87" s="100">
        <v>0.48081647575818881</v>
      </c>
      <c r="CS87" s="100">
        <v>516.3968949642948</v>
      </c>
      <c r="CT87" s="100">
        <v>5.4423897524583245</v>
      </c>
      <c r="CU87" s="100">
        <v>5845.1265941402407</v>
      </c>
    </row>
    <row r="88" spans="2:99">
      <c r="C88" s="99" t="s">
        <v>254</v>
      </c>
      <c r="D88" s="100">
        <v>2.0200987787010565</v>
      </c>
      <c r="E88" s="100">
        <v>2004.7460279829284</v>
      </c>
      <c r="F88" s="100">
        <v>3.4988014628388155</v>
      </c>
      <c r="G88" s="100">
        <v>3472.2105717212403</v>
      </c>
      <c r="H88" s="100">
        <v>0.31598000339107712</v>
      </c>
      <c r="I88" s="100">
        <v>313.57855536530491</v>
      </c>
      <c r="J88" s="100">
        <v>2.5546505950071805</v>
      </c>
      <c r="K88" s="100">
        <v>2535.235250485126</v>
      </c>
      <c r="L88" s="100">
        <v>2.3026798000816089</v>
      </c>
      <c r="M88" s="100">
        <v>2285.1794336009884</v>
      </c>
      <c r="N88" s="100">
        <v>3.9650844204862183</v>
      </c>
      <c r="O88" s="100">
        <v>3934.9497788905228</v>
      </c>
      <c r="P88" s="100">
        <v>2.8454667253260508</v>
      </c>
      <c r="Q88" s="100">
        <v>2823.8411782135727</v>
      </c>
      <c r="R88" s="100">
        <v>3.4027615744600181</v>
      </c>
      <c r="S88" s="100">
        <v>3376.9005864941219</v>
      </c>
      <c r="T88" s="100">
        <v>3.6671877479558761</v>
      </c>
      <c r="U88" s="100">
        <v>3639.3171210714113</v>
      </c>
      <c r="V88" s="100">
        <v>3.2056030762637331</v>
      </c>
      <c r="W88" s="100">
        <v>3181.2404928841288</v>
      </c>
      <c r="X88" s="100">
        <v>2.0367209250388745E-4</v>
      </c>
      <c r="Y88" s="100">
        <v>0.2021241846008579</v>
      </c>
      <c r="Z88" s="100">
        <v>2.1212385788609396</v>
      </c>
      <c r="AA88" s="100">
        <v>2105.1171656615966</v>
      </c>
      <c r="AB88" s="100">
        <v>4.0549657044095548</v>
      </c>
      <c r="AC88" s="100">
        <v>4024.1479650560423</v>
      </c>
      <c r="AD88" s="100">
        <v>3.7170831085792756E-4</v>
      </c>
      <c r="AE88" s="100">
        <v>0.36888332769540733</v>
      </c>
      <c r="AF88" s="100">
        <v>2.0862248290399925E-4</v>
      </c>
      <c r="AG88" s="100">
        <v>0.20703695203392886</v>
      </c>
      <c r="AH88" s="100">
        <v>3.4236405567541581</v>
      </c>
      <c r="AI88" s="100">
        <v>3397.6208885228266</v>
      </c>
      <c r="AJ88" s="100">
        <v>2.9851582227608717</v>
      </c>
      <c r="AK88" s="100">
        <v>2962.4710202678889</v>
      </c>
      <c r="AL88" s="100">
        <v>3.7407829766770759</v>
      </c>
      <c r="AM88" s="100">
        <v>3712.3530260543303</v>
      </c>
      <c r="AN88" s="100">
        <v>0.32521630493472103</v>
      </c>
      <c r="AO88" s="100">
        <v>322.74466101721714</v>
      </c>
      <c r="AP88" s="100">
        <v>6.6434028646644316</v>
      </c>
      <c r="AQ88" s="100">
        <v>6592.9130028929821</v>
      </c>
      <c r="AR88" s="100">
        <v>0.88650872794612356</v>
      </c>
      <c r="AS88" s="100">
        <v>879.77126161373303</v>
      </c>
      <c r="AT88" s="100">
        <v>4.3011411665257819</v>
      </c>
      <c r="AU88" s="100">
        <v>4268.4524936601856</v>
      </c>
      <c r="AV88" s="100">
        <v>2.8554101462029671</v>
      </c>
      <c r="AW88" s="100">
        <v>2833.7090290918245</v>
      </c>
      <c r="AX88" s="100">
        <v>7</v>
      </c>
      <c r="AY88" s="100">
        <v>6946.8</v>
      </c>
      <c r="AZ88" s="100">
        <v>4</v>
      </c>
      <c r="BA88" s="100">
        <v>3969.6</v>
      </c>
      <c r="BB88" s="100">
        <v>4.3373573066361306</v>
      </c>
      <c r="BC88" s="100">
        <v>4304.3933911056956</v>
      </c>
      <c r="BD88" s="100">
        <v>2.1344139737606969</v>
      </c>
      <c r="BE88" s="100">
        <v>2118.1924275601154</v>
      </c>
      <c r="BF88" s="100">
        <v>1.9824443245771082E-4</v>
      </c>
      <c r="BG88" s="100">
        <v>0.19673777477103221</v>
      </c>
      <c r="BH88" s="100">
        <v>2.526964393990297E-4</v>
      </c>
      <c r="BI88" s="100">
        <v>0.25077594645959705</v>
      </c>
      <c r="BJ88" s="100">
        <v>2.6263151308480353E-4</v>
      </c>
      <c r="BK88" s="100">
        <v>0.26063551358535902</v>
      </c>
      <c r="BL88" s="100">
        <v>2.675082519897888E-4</v>
      </c>
      <c r="BM88" s="100">
        <v>0.2654751892746664</v>
      </c>
      <c r="BN88" s="100">
        <v>2.7588883358134639</v>
      </c>
      <c r="BO88" s="100">
        <v>2737.9207844612815</v>
      </c>
      <c r="BP88" s="100">
        <v>2.7359924345180913</v>
      </c>
      <c r="BQ88" s="100">
        <v>2715.1988920157537</v>
      </c>
      <c r="BR88" s="100">
        <v>3.4749155259590832</v>
      </c>
      <c r="BS88" s="100">
        <v>3448.5061679617938</v>
      </c>
      <c r="BT88" s="100">
        <v>3.1195266168495595</v>
      </c>
      <c r="BU88" s="100">
        <v>3095.8182145615028</v>
      </c>
      <c r="BV88" s="100">
        <v>4.084115831165124</v>
      </c>
      <c r="BW88" s="100">
        <v>4053.0765508482691</v>
      </c>
      <c r="BX88" s="100">
        <v>3.2084469034096248</v>
      </c>
      <c r="BY88" s="100">
        <v>3184.0627069437114</v>
      </c>
      <c r="BZ88" s="100">
        <v>3.7585696069192274</v>
      </c>
      <c r="CA88" s="100">
        <v>3730.0044779066411</v>
      </c>
      <c r="CB88" s="100">
        <v>3.1624116565823646</v>
      </c>
      <c r="CC88" s="100">
        <v>3138.3773279923385</v>
      </c>
      <c r="CD88" s="100">
        <v>2.484821846508328</v>
      </c>
      <c r="CE88" s="100">
        <v>2465.9372004748648</v>
      </c>
      <c r="CF88" s="100">
        <v>2.4111039762439068</v>
      </c>
      <c r="CG88" s="100">
        <v>2392.7795860244532</v>
      </c>
      <c r="CH88" s="100">
        <v>3.6668642458001779</v>
      </c>
      <c r="CI88" s="100">
        <v>3638.9960775320965</v>
      </c>
      <c r="CJ88" s="100">
        <v>0.39832345295653859</v>
      </c>
      <c r="CK88" s="100">
        <v>395.29619471406892</v>
      </c>
      <c r="CL88" s="100">
        <v>5</v>
      </c>
      <c r="CM88" s="100">
        <v>4962</v>
      </c>
      <c r="CN88" s="100">
        <v>3.7849416776453029</v>
      </c>
      <c r="CO88" s="100">
        <v>3756.1761208951984</v>
      </c>
      <c r="CP88" s="100">
        <v>2.3292125963338872</v>
      </c>
      <c r="CQ88" s="100">
        <v>2311.5105806017496</v>
      </c>
      <c r="CR88" s="100">
        <v>0.48081647575818881</v>
      </c>
      <c r="CS88" s="100">
        <v>477.16227054242654</v>
      </c>
      <c r="CT88" s="100">
        <v>5.3932353355185105</v>
      </c>
      <c r="CU88" s="100">
        <v>5352.2467469685698</v>
      </c>
    </row>
    <row r="89" spans="2:99">
      <c r="C89" s="99" t="s">
        <v>255</v>
      </c>
      <c r="D89" s="100">
        <v>2.0200446896397026</v>
      </c>
      <c r="E89" s="100">
        <v>2145.2874603973642</v>
      </c>
      <c r="F89" s="100">
        <v>3.5061828379069109</v>
      </c>
      <c r="G89" s="100">
        <v>3723.5661738571393</v>
      </c>
      <c r="H89" s="100">
        <v>0.31488933076543635</v>
      </c>
      <c r="I89" s="100">
        <v>334.41246927289342</v>
      </c>
      <c r="J89" s="100">
        <v>2.6285703300369789</v>
      </c>
      <c r="K89" s="100">
        <v>2791.5416904992717</v>
      </c>
      <c r="L89" s="100">
        <v>2.3026798000816089</v>
      </c>
      <c r="M89" s="100">
        <v>2445.4459476866687</v>
      </c>
      <c r="N89" s="100">
        <v>3.9650844204862183</v>
      </c>
      <c r="O89" s="100">
        <v>4210.9196545563636</v>
      </c>
      <c r="P89" s="100">
        <v>2.8425503410598254</v>
      </c>
      <c r="Q89" s="100">
        <v>3018.7884622055344</v>
      </c>
      <c r="R89" s="100">
        <v>2.8393451615325351</v>
      </c>
      <c r="S89" s="100">
        <v>3015.3845615475525</v>
      </c>
      <c r="T89" s="100">
        <v>3.6789203825037116</v>
      </c>
      <c r="U89" s="100">
        <v>3907.0134462189417</v>
      </c>
      <c r="V89" s="100">
        <v>3.2056030762637331</v>
      </c>
      <c r="W89" s="100">
        <v>3404.3504669920844</v>
      </c>
      <c r="X89" s="100">
        <v>2.0367209250388745E-4</v>
      </c>
      <c r="Y89" s="100">
        <v>0.21629976223912847</v>
      </c>
      <c r="Z89" s="100">
        <v>2.6515482235761745</v>
      </c>
      <c r="AA89" s="100">
        <v>2815.9442134378974</v>
      </c>
      <c r="AB89" s="100">
        <v>3.2514876302932572</v>
      </c>
      <c r="AC89" s="100">
        <v>3453.0798633714389</v>
      </c>
      <c r="AD89" s="100">
        <v>3.0975692571493961E-4</v>
      </c>
      <c r="AE89" s="100">
        <v>0.32896185510926584</v>
      </c>
      <c r="AF89" s="100">
        <v>2.0862248290399925E-4</v>
      </c>
      <c r="AG89" s="100">
        <v>0.22155707684404721</v>
      </c>
      <c r="AH89" s="100">
        <v>3.4613191481635415</v>
      </c>
      <c r="AI89" s="100">
        <v>3675.9209353496813</v>
      </c>
      <c r="AJ89" s="100">
        <v>2.9851582227608717</v>
      </c>
      <c r="AK89" s="100">
        <v>3170.238032572046</v>
      </c>
      <c r="AL89" s="100">
        <v>3.1325689259921736</v>
      </c>
      <c r="AM89" s="100">
        <v>3326.7881994036884</v>
      </c>
      <c r="AN89" s="100">
        <v>0.32521630493472103</v>
      </c>
      <c r="AO89" s="100">
        <v>345.37971584067373</v>
      </c>
      <c r="AP89" s="100">
        <v>5.6943453125695127</v>
      </c>
      <c r="AQ89" s="100">
        <v>6047.3947219488227</v>
      </c>
      <c r="AR89" s="100">
        <v>0.88650872794612356</v>
      </c>
      <c r="AS89" s="100">
        <v>941.47226907878326</v>
      </c>
      <c r="AT89" s="100">
        <v>4.2581209998792415</v>
      </c>
      <c r="AU89" s="100">
        <v>4522.1245018717545</v>
      </c>
      <c r="AV89" s="100">
        <v>3.5692626827537088</v>
      </c>
      <c r="AW89" s="100">
        <v>3790.5569690844386</v>
      </c>
      <c r="AX89" s="100">
        <v>7</v>
      </c>
      <c r="AY89" s="100">
        <v>7434</v>
      </c>
      <c r="AZ89" s="100">
        <v>4</v>
      </c>
      <c r="BA89" s="100">
        <v>4248</v>
      </c>
      <c r="BB89" s="100">
        <v>3.6144644221967752</v>
      </c>
      <c r="BC89" s="100">
        <v>3838.5612163729752</v>
      </c>
      <c r="BD89" s="100">
        <v>2.1344139737606969</v>
      </c>
      <c r="BE89" s="100">
        <v>2266.7476401338599</v>
      </c>
      <c r="BF89" s="100">
        <v>1.9824443245771082E-4</v>
      </c>
      <c r="BG89" s="100">
        <v>0.21053558727008889</v>
      </c>
      <c r="BH89" s="100">
        <v>2.526964393990297E-4</v>
      </c>
      <c r="BI89" s="100">
        <v>0.26836361864176955</v>
      </c>
      <c r="BJ89" s="100">
        <v>2.6263151308480353E-4</v>
      </c>
      <c r="BK89" s="100">
        <v>0.27891466689606137</v>
      </c>
      <c r="BL89" s="100">
        <v>2.675082519897888E-4</v>
      </c>
      <c r="BM89" s="100">
        <v>0.28409376361315569</v>
      </c>
      <c r="BN89" s="100">
        <v>2.2227341395668048</v>
      </c>
      <c r="BO89" s="100">
        <v>2360.5436562199466</v>
      </c>
      <c r="BP89" s="100">
        <v>2.1887939476144731</v>
      </c>
      <c r="BQ89" s="100">
        <v>2324.4991723665703</v>
      </c>
      <c r="BR89" s="100">
        <v>4.1698986311508994</v>
      </c>
      <c r="BS89" s="100">
        <v>4428.4323462822549</v>
      </c>
      <c r="BT89" s="100">
        <v>2.6184439287800823</v>
      </c>
      <c r="BU89" s="100">
        <v>2780.7874523644473</v>
      </c>
      <c r="BV89" s="100">
        <v>3.5006707124272487</v>
      </c>
      <c r="BW89" s="100">
        <v>3717.7122965977383</v>
      </c>
      <c r="BX89" s="100">
        <v>3.2474451663870068</v>
      </c>
      <c r="BY89" s="100">
        <v>3448.7867667030014</v>
      </c>
      <c r="BZ89" s="100">
        <v>3.7585696069192274</v>
      </c>
      <c r="CA89" s="100">
        <v>3991.6009225482194</v>
      </c>
      <c r="CB89" s="100">
        <v>2.6329107392735165</v>
      </c>
      <c r="CC89" s="100">
        <v>2796.1512051084746</v>
      </c>
      <c r="CD89" s="100">
        <v>2.301013107177575</v>
      </c>
      <c r="CE89" s="100">
        <v>2443.6759198225845</v>
      </c>
      <c r="CF89" s="100">
        <v>2.4111039762439068</v>
      </c>
      <c r="CG89" s="100">
        <v>2560.5924227710289</v>
      </c>
      <c r="CH89" s="100">
        <v>3.6668642458001779</v>
      </c>
      <c r="CI89" s="100">
        <v>3894.2098290397889</v>
      </c>
      <c r="CJ89" s="100">
        <v>0.49790431619567327</v>
      </c>
      <c r="CK89" s="100">
        <v>528.77438379980504</v>
      </c>
      <c r="CL89" s="100">
        <v>6</v>
      </c>
      <c r="CM89" s="100">
        <v>6372</v>
      </c>
      <c r="CN89" s="100">
        <v>3.7849416776453029</v>
      </c>
      <c r="CO89" s="100">
        <v>4019.6080616593117</v>
      </c>
      <c r="CP89" s="100">
        <v>2.3048111564816574</v>
      </c>
      <c r="CQ89" s="100">
        <v>2447.7094481835202</v>
      </c>
      <c r="CR89" s="100">
        <v>0.48081647575818881</v>
      </c>
      <c r="CS89" s="100">
        <v>510.62709725519653</v>
      </c>
      <c r="CT89" s="100">
        <v>5.3932353355185105</v>
      </c>
      <c r="CU89" s="100">
        <v>5727.6159263206582</v>
      </c>
    </row>
    <row r="90" spans="2:99">
      <c r="C90" s="99" t="s">
        <v>256</v>
      </c>
      <c r="D90" s="100">
        <v>2.0200987787010565</v>
      </c>
      <c r="E90" s="100">
        <v>2239.8855258237313</v>
      </c>
      <c r="F90" s="100">
        <v>3.5061828379069109</v>
      </c>
      <c r="G90" s="100">
        <v>3887.6555306711825</v>
      </c>
      <c r="H90" s="100">
        <v>0.31598000339107712</v>
      </c>
      <c r="I90" s="100">
        <v>350.35862776002631</v>
      </c>
      <c r="J90" s="100">
        <v>3.0655807140086169</v>
      </c>
      <c r="K90" s="100">
        <v>3399.1158956927543</v>
      </c>
      <c r="L90" s="100">
        <v>2.3026798000816089</v>
      </c>
      <c r="M90" s="100">
        <v>2553.2113623304876</v>
      </c>
      <c r="N90" s="100">
        <v>3.3042370170718485</v>
      </c>
      <c r="O90" s="100">
        <v>3663.7380045292653</v>
      </c>
      <c r="P90" s="100">
        <v>2.8425503410598254</v>
      </c>
      <c r="Q90" s="100">
        <v>3151.8198181671341</v>
      </c>
      <c r="R90" s="100">
        <v>3.406472090609205</v>
      </c>
      <c r="S90" s="100">
        <v>3777.0962540674864</v>
      </c>
      <c r="T90" s="100">
        <v>3.6671877479558761</v>
      </c>
      <c r="U90" s="100">
        <v>4066.1777749334751</v>
      </c>
      <c r="V90" s="100">
        <v>3.2056030762637331</v>
      </c>
      <c r="W90" s="100">
        <v>3554.3726909612269</v>
      </c>
      <c r="X90" s="100">
        <v>2.0367209250388745E-4</v>
      </c>
      <c r="Y90" s="100">
        <v>0.22583161616831041</v>
      </c>
      <c r="Z90" s="100">
        <v>2.6515482235761745</v>
      </c>
      <c r="AA90" s="100">
        <v>2940.0366703012623</v>
      </c>
      <c r="AB90" s="100">
        <v>3.2489826080380531</v>
      </c>
      <c r="AC90" s="100">
        <v>3602.4719157925929</v>
      </c>
      <c r="AD90" s="100">
        <v>3.7170831085792756E-4</v>
      </c>
      <c r="AE90" s="100">
        <v>0.41215017507927004</v>
      </c>
      <c r="AF90" s="100">
        <v>2.0862248290399925E-4</v>
      </c>
      <c r="AG90" s="100">
        <v>0.23132060904395435</v>
      </c>
      <c r="AH90" s="100">
        <v>3.4424798524588498</v>
      </c>
      <c r="AI90" s="100">
        <v>3817.0216604063726</v>
      </c>
      <c r="AJ90" s="100">
        <v>2.973168658830013</v>
      </c>
      <c r="AK90" s="100">
        <v>3296.6494089107182</v>
      </c>
      <c r="AL90" s="100">
        <v>3.7407829766770759</v>
      </c>
      <c r="AM90" s="100">
        <v>4147.7801645395421</v>
      </c>
      <c r="AN90" s="100">
        <v>0.32521630493472103</v>
      </c>
      <c r="AO90" s="100">
        <v>360.59983891161869</v>
      </c>
      <c r="AP90" s="100">
        <v>5.7231734860058836</v>
      </c>
      <c r="AQ90" s="100">
        <v>6345.8547612833236</v>
      </c>
      <c r="AR90" s="100">
        <v>0.88650872794612356</v>
      </c>
      <c r="AS90" s="100">
        <v>982.96087754666178</v>
      </c>
      <c r="AT90" s="100">
        <v>4.2581209998792415</v>
      </c>
      <c r="AU90" s="100">
        <v>4721.4045646661025</v>
      </c>
      <c r="AV90" s="100">
        <v>3.5692626827537088</v>
      </c>
      <c r="AW90" s="100">
        <v>3957.5984626373124</v>
      </c>
      <c r="AX90" s="100">
        <v>7</v>
      </c>
      <c r="AY90" s="100">
        <v>7761.5999999999995</v>
      </c>
      <c r="AZ90" s="100">
        <v>4</v>
      </c>
      <c r="BA90" s="100">
        <v>4435.2</v>
      </c>
      <c r="BB90" s="100">
        <v>3.6144644221967752</v>
      </c>
      <c r="BC90" s="100">
        <v>4007.7181513317842</v>
      </c>
      <c r="BD90" s="100">
        <v>2.1344139737606969</v>
      </c>
      <c r="BE90" s="100">
        <v>2366.6382141058607</v>
      </c>
      <c r="BF90" s="100">
        <v>2.4780554057213851E-4</v>
      </c>
      <c r="BG90" s="100">
        <v>0.27476678338638716</v>
      </c>
      <c r="BH90" s="100">
        <v>2.526964393990297E-4</v>
      </c>
      <c r="BI90" s="100">
        <v>0.28018981200564413</v>
      </c>
      <c r="BJ90" s="100">
        <v>2.6263151308480353E-4</v>
      </c>
      <c r="BK90" s="100">
        <v>0.29120582170843012</v>
      </c>
      <c r="BL90" s="100">
        <v>2.675082519897888E-4</v>
      </c>
      <c r="BM90" s="100">
        <v>0.29661314980627779</v>
      </c>
      <c r="BN90" s="100">
        <v>2.2227341395668048</v>
      </c>
      <c r="BO90" s="100">
        <v>2464.5676139516731</v>
      </c>
      <c r="BP90" s="100">
        <v>2.1887939476144731</v>
      </c>
      <c r="BQ90" s="100">
        <v>2426.9347291149274</v>
      </c>
      <c r="BR90" s="100">
        <v>3.4749155259590832</v>
      </c>
      <c r="BS90" s="100">
        <v>3852.986335183431</v>
      </c>
      <c r="BT90" s="100">
        <v>2.6184439287800823</v>
      </c>
      <c r="BU90" s="100">
        <v>2903.3306282313551</v>
      </c>
      <c r="BV90" s="100">
        <v>3.5006707124272487</v>
      </c>
      <c r="BW90" s="100">
        <v>3881.543685939333</v>
      </c>
      <c r="BX90" s="100">
        <v>3.2084469034096248</v>
      </c>
      <c r="BY90" s="100">
        <v>3557.525926500592</v>
      </c>
      <c r="BZ90" s="100">
        <v>3.7585696069192274</v>
      </c>
      <c r="CA90" s="100">
        <v>4167.5019801520393</v>
      </c>
      <c r="CB90" s="100">
        <v>3.1478178093116411</v>
      </c>
      <c r="CC90" s="100">
        <v>3490.3003869647478</v>
      </c>
      <c r="CD90" s="100">
        <v>2.5052450397673005</v>
      </c>
      <c r="CE90" s="100">
        <v>2777.8157000939827</v>
      </c>
      <c r="CF90" s="100">
        <v>2.4111039762439068</v>
      </c>
      <c r="CG90" s="100">
        <v>2673.4320888592438</v>
      </c>
      <c r="CH90" s="100">
        <v>3.6517720881795976</v>
      </c>
      <c r="CI90" s="100">
        <v>4049.0848913735376</v>
      </c>
      <c r="CJ90" s="100">
        <v>0.49790431619567327</v>
      </c>
      <c r="CK90" s="100">
        <v>552.07630579776253</v>
      </c>
      <c r="CL90" s="100">
        <v>5</v>
      </c>
      <c r="CM90" s="100">
        <v>5544</v>
      </c>
      <c r="CN90" s="100">
        <v>3.7849416776453029</v>
      </c>
      <c r="CO90" s="100">
        <v>4196.7433321731114</v>
      </c>
      <c r="CP90" s="100">
        <v>2.3048111564816574</v>
      </c>
      <c r="CQ90" s="100">
        <v>2555.5746103068614</v>
      </c>
      <c r="CR90" s="100">
        <v>0.48081647575818881</v>
      </c>
      <c r="CS90" s="100">
        <v>533.12930832067968</v>
      </c>
      <c r="CT90" s="100">
        <v>5.3932353355185105</v>
      </c>
      <c r="CU90" s="100">
        <v>5980.0193400229246</v>
      </c>
    </row>
    <row r="91" spans="2:99">
      <c r="C91" s="99" t="s">
        <v>257</v>
      </c>
      <c r="D91" s="100">
        <v>2.0200446896397026</v>
      </c>
      <c r="E91" s="100">
        <v>2295.5787853065576</v>
      </c>
      <c r="F91" s="100">
        <v>3.4988014628388155</v>
      </c>
      <c r="G91" s="100">
        <v>3976.0379823700296</v>
      </c>
      <c r="H91" s="100">
        <v>0.31488933076543635</v>
      </c>
      <c r="I91" s="100">
        <v>357.84023548184183</v>
      </c>
      <c r="J91" s="100">
        <v>3.0655807140086169</v>
      </c>
      <c r="K91" s="100">
        <v>3483.7259233993918</v>
      </c>
      <c r="L91" s="100">
        <v>1.7270098500612066</v>
      </c>
      <c r="M91" s="100">
        <v>1962.5739936095549</v>
      </c>
      <c r="N91" s="100">
        <v>3.3042370170718485</v>
      </c>
      <c r="O91" s="100">
        <v>3754.9349462004479</v>
      </c>
      <c r="P91" s="100">
        <v>2.8425503410598254</v>
      </c>
      <c r="Q91" s="100">
        <v>3230.2742075803853</v>
      </c>
      <c r="R91" s="100">
        <v>2.8393451615325351</v>
      </c>
      <c r="S91" s="100">
        <v>3226.6318415655724</v>
      </c>
      <c r="T91" s="100">
        <v>3.6789203825037116</v>
      </c>
      <c r="U91" s="100">
        <v>4180.7251226772178</v>
      </c>
      <c r="V91" s="100">
        <v>3.2056030762637331</v>
      </c>
      <c r="W91" s="100">
        <v>3642.8473358661058</v>
      </c>
      <c r="X91" s="100">
        <v>2.0367209250388745E-4</v>
      </c>
      <c r="Y91" s="100">
        <v>0.23145296592141767</v>
      </c>
      <c r="Z91" s="100">
        <v>2.6515482235761745</v>
      </c>
      <c r="AA91" s="100">
        <v>3013.2194012719642</v>
      </c>
      <c r="AB91" s="100">
        <v>3.2464775857828481</v>
      </c>
      <c r="AC91" s="100">
        <v>3689.2971284836281</v>
      </c>
      <c r="AD91" s="100">
        <v>3.0975692571493961E-4</v>
      </c>
      <c r="AE91" s="100">
        <v>0.35200777038245734</v>
      </c>
      <c r="AF91" s="100">
        <v>2.0862248290399925E-4</v>
      </c>
      <c r="AG91" s="100">
        <v>0.23707858957210473</v>
      </c>
      <c r="AH91" s="100">
        <v>3.4236405567541581</v>
      </c>
      <c r="AI91" s="100">
        <v>3890.6251286954248</v>
      </c>
      <c r="AJ91" s="100">
        <v>2.5036179375418715</v>
      </c>
      <c r="AK91" s="100">
        <v>2845.1114242225822</v>
      </c>
      <c r="AL91" s="100">
        <v>3.1249440366115344</v>
      </c>
      <c r="AM91" s="100">
        <v>3551.1864032053472</v>
      </c>
      <c r="AN91" s="100">
        <v>0.32521630493472103</v>
      </c>
      <c r="AO91" s="100">
        <v>369.57580892781692</v>
      </c>
      <c r="AP91" s="100">
        <v>5.7231734860058836</v>
      </c>
      <c r="AQ91" s="100">
        <v>6503.8143494970855</v>
      </c>
      <c r="AR91" s="100">
        <v>0.88650872794612356</v>
      </c>
      <c r="AS91" s="100">
        <v>1007.4285184379747</v>
      </c>
      <c r="AT91" s="100">
        <v>4.2581209998792415</v>
      </c>
      <c r="AU91" s="100">
        <v>4838.9287042627693</v>
      </c>
      <c r="AV91" s="100">
        <v>3.5692626827537088</v>
      </c>
      <c r="AW91" s="100">
        <v>4056.1101126813141</v>
      </c>
      <c r="AX91" s="100">
        <v>6</v>
      </c>
      <c r="AY91" s="100">
        <v>6818.4</v>
      </c>
      <c r="AZ91" s="100">
        <v>4</v>
      </c>
      <c r="BA91" s="100">
        <v>4545.5999999999995</v>
      </c>
      <c r="BB91" s="100">
        <v>3.6144644221967752</v>
      </c>
      <c r="BC91" s="100">
        <v>4107.4773693844145</v>
      </c>
      <c r="BD91" s="100">
        <v>2.1344139737606969</v>
      </c>
      <c r="BE91" s="100">
        <v>2425.5480397816555</v>
      </c>
      <c r="BF91" s="100">
        <v>1.9824443245771082E-4</v>
      </c>
      <c r="BG91" s="100">
        <v>0.22528497304494255</v>
      </c>
      <c r="BH91" s="100">
        <v>2.526964393990297E-4</v>
      </c>
      <c r="BI91" s="100">
        <v>0.28716423373305733</v>
      </c>
      <c r="BJ91" s="100">
        <v>2.6263151308480353E-4</v>
      </c>
      <c r="BK91" s="100">
        <v>0.29845445146957067</v>
      </c>
      <c r="BL91" s="100">
        <v>2.675082519897888E-4</v>
      </c>
      <c r="BM91" s="100">
        <v>0.30399637756119596</v>
      </c>
      <c r="BN91" s="100">
        <v>2.2227341395668048</v>
      </c>
      <c r="BO91" s="100">
        <v>2525.9150762037166</v>
      </c>
      <c r="BP91" s="100">
        <v>2.1887939476144731</v>
      </c>
      <c r="BQ91" s="100">
        <v>2487.3454420690869</v>
      </c>
      <c r="BR91" s="100">
        <v>3.4749155259590832</v>
      </c>
      <c r="BS91" s="100">
        <v>3948.8940036999015</v>
      </c>
      <c r="BT91" s="100">
        <v>2.6184439287800823</v>
      </c>
      <c r="BU91" s="100">
        <v>2975.5996806656849</v>
      </c>
      <c r="BV91" s="100">
        <v>4.084115831165124</v>
      </c>
      <c r="BW91" s="100">
        <v>4641.1892305360461</v>
      </c>
      <c r="BX91" s="100">
        <v>3.2084469034096248</v>
      </c>
      <c r="BY91" s="100">
        <v>3646.0790610346971</v>
      </c>
      <c r="BZ91" s="100">
        <v>3.7585696069192274</v>
      </c>
      <c r="CA91" s="100">
        <v>4271.2385013030098</v>
      </c>
      <c r="CB91" s="100">
        <v>3.1478178093116411</v>
      </c>
      <c r="CC91" s="100">
        <v>3577.1801585017483</v>
      </c>
      <c r="CD91" s="100">
        <v>2.301013107177575</v>
      </c>
      <c r="CE91" s="100">
        <v>2614.8712949965961</v>
      </c>
      <c r="CF91" s="100">
        <v>2.420826169696503</v>
      </c>
      <c r="CG91" s="100">
        <v>2751.0268592431057</v>
      </c>
      <c r="CH91" s="100">
        <v>3.6819564034207586</v>
      </c>
      <c r="CI91" s="100">
        <v>4184.1752568473494</v>
      </c>
      <c r="CJ91" s="100">
        <v>0.39832345295653859</v>
      </c>
      <c r="CK91" s="100">
        <v>452.65477193981042</v>
      </c>
      <c r="CL91" s="100">
        <v>5</v>
      </c>
      <c r="CM91" s="100">
        <v>5681.9999999999991</v>
      </c>
      <c r="CN91" s="100">
        <v>4.7311770970566283</v>
      </c>
      <c r="CO91" s="100">
        <v>5376.5096530951514</v>
      </c>
      <c r="CP91" s="100">
        <v>2.2804097166294275</v>
      </c>
      <c r="CQ91" s="100">
        <v>2591.457601977681</v>
      </c>
      <c r="CR91" s="100">
        <v>0.48081647575818881</v>
      </c>
      <c r="CS91" s="100">
        <v>546.39984305160567</v>
      </c>
      <c r="CT91" s="100">
        <v>5.4423897524583245</v>
      </c>
      <c r="CU91" s="100">
        <v>6184.7317146936393</v>
      </c>
    </row>
    <row r="92" spans="2:99">
      <c r="C92" s="99" t="s">
        <v>258</v>
      </c>
      <c r="D92" s="100">
        <v>2.0200446896397026</v>
      </c>
      <c r="E92" s="100">
        <v>1585.3310724292385</v>
      </c>
      <c r="F92" s="100">
        <v>3.4988014628388155</v>
      </c>
      <c r="G92" s="100">
        <v>2745.8593880359022</v>
      </c>
      <c r="H92" s="100">
        <v>0.31598000339107712</v>
      </c>
      <c r="I92" s="100">
        <v>247.98110666131731</v>
      </c>
      <c r="J92" s="100">
        <v>2.5546505950071805</v>
      </c>
      <c r="K92" s="100">
        <v>2004.8897869616351</v>
      </c>
      <c r="L92" s="100">
        <v>2.3026798000816089</v>
      </c>
      <c r="M92" s="100">
        <v>1807.1431071040465</v>
      </c>
      <c r="N92" s="100">
        <v>3.3042370170718485</v>
      </c>
      <c r="O92" s="100">
        <v>2593.1652109979864</v>
      </c>
      <c r="P92" s="100">
        <v>2.8396339567935982</v>
      </c>
      <c r="Q92" s="100">
        <v>2228.5447292916156</v>
      </c>
      <c r="R92" s="100">
        <v>2.8430556776817224</v>
      </c>
      <c r="S92" s="100">
        <v>2231.2300958446158</v>
      </c>
      <c r="T92" s="100">
        <v>3.079455059058902</v>
      </c>
      <c r="U92" s="100">
        <v>2416.7563303494262</v>
      </c>
      <c r="V92" s="100">
        <v>3.2056030762637331</v>
      </c>
      <c r="W92" s="100">
        <v>2515.7572942517777</v>
      </c>
      <c r="X92" s="100">
        <v>2.0367209250388745E-4</v>
      </c>
      <c r="Y92" s="100">
        <v>0.15984185819705088</v>
      </c>
      <c r="Z92" s="100">
        <v>2.6515482235761745</v>
      </c>
      <c r="AA92" s="100">
        <v>2080.9350458625818</v>
      </c>
      <c r="AB92" s="100">
        <v>4.0549657044095548</v>
      </c>
      <c r="AC92" s="100">
        <v>3182.3370848206187</v>
      </c>
      <c r="AD92" s="100">
        <v>3.7170831085792756E-4</v>
      </c>
      <c r="AE92" s="100">
        <v>0.29171668236130155</v>
      </c>
      <c r="AF92" s="100">
        <v>2.0989983266339152E-4</v>
      </c>
      <c r="AG92" s="100">
        <v>0.16472938867422965</v>
      </c>
      <c r="AH92" s="100">
        <v>2.9001320365568608</v>
      </c>
      <c r="AI92" s="100">
        <v>2276.0236222898243</v>
      </c>
      <c r="AJ92" s="100">
        <v>2.5156075014727302</v>
      </c>
      <c r="AK92" s="100">
        <v>1974.2487671557985</v>
      </c>
      <c r="AL92" s="100">
        <v>3.7407829766770759</v>
      </c>
      <c r="AM92" s="100">
        <v>2935.7664800961688</v>
      </c>
      <c r="AN92" s="100">
        <v>0.32521630493472103</v>
      </c>
      <c r="AO92" s="100">
        <v>255.22975611276905</v>
      </c>
      <c r="AP92" s="100">
        <v>5.7231734860058836</v>
      </c>
      <c r="AQ92" s="100">
        <v>4491.5465518174169</v>
      </c>
      <c r="AR92" s="100">
        <v>0.88650872794612356</v>
      </c>
      <c r="AS92" s="100">
        <v>695.7320496921177</v>
      </c>
      <c r="AT92" s="100">
        <v>4.3011411665257819</v>
      </c>
      <c r="AU92" s="100">
        <v>3375.5355874894335</v>
      </c>
      <c r="AV92" s="100">
        <v>3.5692626827537088</v>
      </c>
      <c r="AW92" s="100">
        <v>2801.1573534251106</v>
      </c>
      <c r="AX92" s="100">
        <v>6</v>
      </c>
      <c r="AY92" s="100">
        <v>4708.7999999999993</v>
      </c>
      <c r="AZ92" s="100">
        <v>4</v>
      </c>
      <c r="BA92" s="100">
        <v>3139.2</v>
      </c>
      <c r="BB92" s="100">
        <v>4.3373573066361306</v>
      </c>
      <c r="BC92" s="100">
        <v>3403.9580142480349</v>
      </c>
      <c r="BD92" s="100">
        <v>2.6680174672008712</v>
      </c>
      <c r="BE92" s="100">
        <v>2093.8601082592436</v>
      </c>
      <c r="BF92" s="100">
        <v>1.9824443245771082E-4</v>
      </c>
      <c r="BG92" s="100">
        <v>0.15558223059281143</v>
      </c>
      <c r="BH92" s="100">
        <v>3.0323572727883563E-4</v>
      </c>
      <c r="BI92" s="100">
        <v>0.23797939876843019</v>
      </c>
      <c r="BJ92" s="100">
        <v>2.6263151308480353E-4</v>
      </c>
      <c r="BK92" s="100">
        <v>0.20611321146895378</v>
      </c>
      <c r="BL92" s="100">
        <v>2.675082519897888E-4</v>
      </c>
      <c r="BM92" s="100">
        <v>0.20994047616158623</v>
      </c>
      <c r="BN92" s="100">
        <v>2.7588883358134639</v>
      </c>
      <c r="BO92" s="100">
        <v>2165.1755659464066</v>
      </c>
      <c r="BP92" s="100">
        <v>2.7359924345180913</v>
      </c>
      <c r="BQ92" s="100">
        <v>2147.206862609798</v>
      </c>
      <c r="BR92" s="100">
        <v>3.4749155259590832</v>
      </c>
      <c r="BS92" s="100">
        <v>2727.1137047726884</v>
      </c>
      <c r="BT92" s="100">
        <v>2.6184439287800823</v>
      </c>
      <c r="BU92" s="100">
        <v>2054.9547953066085</v>
      </c>
      <c r="BV92" s="100">
        <v>4.084115831165124</v>
      </c>
      <c r="BW92" s="100">
        <v>3205.214104298389</v>
      </c>
      <c r="BX92" s="100">
        <v>3.8501362840915503</v>
      </c>
      <c r="BY92" s="100">
        <v>3021.5869557550486</v>
      </c>
      <c r="BZ92" s="100">
        <v>4.2955081221934028</v>
      </c>
      <c r="CA92" s="100">
        <v>3371.1147742973822</v>
      </c>
      <c r="CB92" s="100">
        <v>3.1478178093116411</v>
      </c>
      <c r="CC92" s="100">
        <v>2470.4074167477756</v>
      </c>
      <c r="CD92" s="100">
        <v>2.301013107177575</v>
      </c>
      <c r="CE92" s="100">
        <v>1805.8350865129607</v>
      </c>
      <c r="CF92" s="100">
        <v>2.4111039762439068</v>
      </c>
      <c r="CG92" s="100">
        <v>1892.2344005562179</v>
      </c>
      <c r="CH92" s="100">
        <v>3.6668642458001779</v>
      </c>
      <c r="CI92" s="100">
        <v>2877.7550601039793</v>
      </c>
      <c r="CJ92" s="100">
        <v>0.39832345295653859</v>
      </c>
      <c r="CK92" s="100">
        <v>312.60424588029144</v>
      </c>
      <c r="CL92" s="100">
        <v>6</v>
      </c>
      <c r="CM92" s="100">
        <v>4708.7999999999993</v>
      </c>
      <c r="CN92" s="100">
        <v>3.7849416776453029</v>
      </c>
      <c r="CO92" s="100">
        <v>2970.4222286160334</v>
      </c>
      <c r="CP92" s="100">
        <v>2.3048111564816574</v>
      </c>
      <c r="CQ92" s="100">
        <v>1808.8157956068046</v>
      </c>
      <c r="CR92" s="100">
        <v>0.48081647575818881</v>
      </c>
      <c r="CS92" s="100">
        <v>377.34477017502655</v>
      </c>
      <c r="CT92" s="100">
        <v>6.3932353355185105</v>
      </c>
      <c r="CU92" s="100">
        <v>5017.411091314927</v>
      </c>
    </row>
    <row r="93" spans="2:99">
      <c r="C93" s="99" t="s">
        <v>259</v>
      </c>
      <c r="D93" s="100">
        <v>2.0200446896397026</v>
      </c>
      <c r="E93" s="100">
        <v>1401.1029967340978</v>
      </c>
      <c r="F93" s="100">
        <v>3.5061828379069109</v>
      </c>
      <c r="G93" s="100">
        <v>2431.8884163722337</v>
      </c>
      <c r="H93" s="100">
        <v>0.31488933076543635</v>
      </c>
      <c r="I93" s="100">
        <v>218.40723981890665</v>
      </c>
      <c r="J93" s="100">
        <v>2.5546505950071805</v>
      </c>
      <c r="K93" s="100">
        <v>1771.9056526969805</v>
      </c>
      <c r="L93" s="100">
        <v>2.3026798000816089</v>
      </c>
      <c r="M93" s="100">
        <v>1597.1387093366041</v>
      </c>
      <c r="N93" s="100">
        <v>3.3042370170718485</v>
      </c>
      <c r="O93" s="100">
        <v>2291.8187950410343</v>
      </c>
      <c r="P93" s="100">
        <v>2.8425503410598254</v>
      </c>
      <c r="Q93" s="100">
        <v>1971.5929165590949</v>
      </c>
      <c r="R93" s="100">
        <v>3.4027615744600181</v>
      </c>
      <c r="S93" s="100">
        <v>2360.1554280454689</v>
      </c>
      <c r="T93" s="100">
        <v>3.6789203825037116</v>
      </c>
      <c r="U93" s="100">
        <v>2551.6991773045743</v>
      </c>
      <c r="V93" s="100">
        <v>3.2056030762637331</v>
      </c>
      <c r="W93" s="100">
        <v>2223.4062936965252</v>
      </c>
      <c r="X93" s="100">
        <v>2.0367209250388745E-4</v>
      </c>
      <c r="Y93" s="100">
        <v>0.14126696336069636</v>
      </c>
      <c r="Z93" s="100">
        <v>2.6515482235761745</v>
      </c>
      <c r="AA93" s="100">
        <v>1839.1138478724347</v>
      </c>
      <c r="AB93" s="100">
        <v>3.2489826080380531</v>
      </c>
      <c r="AC93" s="100">
        <v>2253.4943369351936</v>
      </c>
      <c r="AD93" s="100">
        <v>3.0975692571493961E-4</v>
      </c>
      <c r="AE93" s="100">
        <v>0.21484740367588212</v>
      </c>
      <c r="AF93" s="100">
        <v>2.0989983266339152E-4</v>
      </c>
      <c r="AG93" s="100">
        <v>0.14558652393532837</v>
      </c>
      <c r="AH93" s="100">
        <v>3.4424798524588498</v>
      </c>
      <c r="AI93" s="100">
        <v>2387.7040256654582</v>
      </c>
      <c r="AJ93" s="100">
        <v>2.5036179375418715</v>
      </c>
      <c r="AK93" s="100">
        <v>1736.509401479042</v>
      </c>
      <c r="AL93" s="100">
        <v>3.7407829766770759</v>
      </c>
      <c r="AM93" s="100">
        <v>2594.6070726232201</v>
      </c>
      <c r="AN93" s="100">
        <v>0.32521630493472103</v>
      </c>
      <c r="AO93" s="100">
        <v>225.57002910272251</v>
      </c>
      <c r="AP93" s="100">
        <v>5.6943453125695127</v>
      </c>
      <c r="AQ93" s="100">
        <v>3949.5979087982141</v>
      </c>
      <c r="AR93" s="100">
        <v>0.88650872794612356</v>
      </c>
      <c r="AS93" s="100">
        <v>614.88245370343134</v>
      </c>
      <c r="AT93" s="100">
        <v>4.2581209998792415</v>
      </c>
      <c r="AU93" s="100">
        <v>2953.432725516242</v>
      </c>
      <c r="AV93" s="100">
        <v>3.5692626827537088</v>
      </c>
      <c r="AW93" s="100">
        <v>2475.6405967579726</v>
      </c>
      <c r="AX93" s="100">
        <v>7</v>
      </c>
      <c r="AY93" s="100">
        <v>4855.2</v>
      </c>
      <c r="AZ93" s="100">
        <v>4</v>
      </c>
      <c r="BA93" s="100">
        <v>2774.4</v>
      </c>
      <c r="BB93" s="100">
        <v>3.6144644221967752</v>
      </c>
      <c r="BC93" s="100">
        <v>2506.9925232356832</v>
      </c>
      <c r="BD93" s="100">
        <v>2.1344139737606969</v>
      </c>
      <c r="BE93" s="100">
        <v>1480.4295322004193</v>
      </c>
      <c r="BF93" s="100">
        <v>1.9824443245771082E-4</v>
      </c>
      <c r="BG93" s="100">
        <v>0.13750233835266823</v>
      </c>
      <c r="BH93" s="100">
        <v>3.0323572727883563E-4</v>
      </c>
      <c r="BI93" s="100">
        <v>0.21032430044060041</v>
      </c>
      <c r="BJ93" s="100">
        <v>2.6263151308480353E-4</v>
      </c>
      <c r="BK93" s="100">
        <v>0.18216121747561972</v>
      </c>
      <c r="BL93" s="100">
        <v>2.675082519897888E-4</v>
      </c>
      <c r="BM93" s="100">
        <v>0.18554372358011753</v>
      </c>
      <c r="BN93" s="100">
        <v>2.2227341395668048</v>
      </c>
      <c r="BO93" s="100">
        <v>1541.6883992035359</v>
      </c>
      <c r="BP93" s="100">
        <v>2.7359924345180913</v>
      </c>
      <c r="BQ93" s="100">
        <v>1897.6843525817483</v>
      </c>
      <c r="BR93" s="100">
        <v>4.1698986311508994</v>
      </c>
      <c r="BS93" s="100">
        <v>2892.241690566264</v>
      </c>
      <c r="BT93" s="100">
        <v>2.6184439287800823</v>
      </c>
      <c r="BU93" s="100">
        <v>1816.1527090018651</v>
      </c>
      <c r="BV93" s="100">
        <v>3.5006707124272487</v>
      </c>
      <c r="BW93" s="100">
        <v>2428.0652061395399</v>
      </c>
      <c r="BX93" s="100">
        <v>3.2084469034096248</v>
      </c>
      <c r="BY93" s="100">
        <v>2225.378772204916</v>
      </c>
      <c r="BZ93" s="100">
        <v>3.7585696069192274</v>
      </c>
      <c r="CA93" s="100">
        <v>2606.9438793591762</v>
      </c>
      <c r="CB93" s="100">
        <v>3.6627248793497653</v>
      </c>
      <c r="CC93" s="100">
        <v>2540.4659763169975</v>
      </c>
      <c r="CD93" s="100">
        <v>2.5052450397673005</v>
      </c>
      <c r="CE93" s="100">
        <v>1737.6379595825997</v>
      </c>
      <c r="CF93" s="100">
        <v>2.420826169696503</v>
      </c>
      <c r="CG93" s="100">
        <v>1679.0850313014946</v>
      </c>
      <c r="CH93" s="100">
        <v>3.6517720881795976</v>
      </c>
      <c r="CI93" s="100">
        <v>2532.8691203613689</v>
      </c>
      <c r="CJ93" s="100">
        <v>0.49790431619567327</v>
      </c>
      <c r="CK93" s="100">
        <v>345.34643371331902</v>
      </c>
      <c r="CL93" s="100">
        <v>6</v>
      </c>
      <c r="CM93" s="100">
        <v>4161.6000000000004</v>
      </c>
      <c r="CN93" s="100">
        <v>4.7311770970566283</v>
      </c>
      <c r="CO93" s="100">
        <v>3281.5444345184774</v>
      </c>
      <c r="CP93" s="100">
        <v>2.2804097166294275</v>
      </c>
      <c r="CQ93" s="100">
        <v>1581.6921794541709</v>
      </c>
      <c r="CR93" s="100">
        <v>0.56095255505122033</v>
      </c>
      <c r="CS93" s="100">
        <v>389.0766921835264</v>
      </c>
      <c r="CT93" s="100">
        <v>5.4423897524583245</v>
      </c>
      <c r="CU93" s="100">
        <v>3774.841532305094</v>
      </c>
    </row>
    <row r="94" spans="2:99">
      <c r="C94" s="99" t="s">
        <v>260</v>
      </c>
      <c r="D94" s="100">
        <v>2.0200446896397026</v>
      </c>
      <c r="E94" s="100">
        <v>2409.5093058022371</v>
      </c>
      <c r="F94" s="100">
        <v>2.9218190315890924</v>
      </c>
      <c r="G94" s="100">
        <v>3485.1457408794695</v>
      </c>
      <c r="H94" s="100">
        <v>0.26331666949256427</v>
      </c>
      <c r="I94" s="100">
        <v>314.08412337073065</v>
      </c>
      <c r="J94" s="100">
        <v>2.5546505950071805</v>
      </c>
      <c r="K94" s="100">
        <v>3047.187229724565</v>
      </c>
      <c r="L94" s="100">
        <v>2.3026798000816089</v>
      </c>
      <c r="M94" s="100">
        <v>2746.6364655373432</v>
      </c>
      <c r="N94" s="100">
        <v>3.3042370170718485</v>
      </c>
      <c r="O94" s="100">
        <v>3941.2939139633008</v>
      </c>
      <c r="P94" s="100">
        <v>2.8425503410598254</v>
      </c>
      <c r="Q94" s="100">
        <v>3390.5940468161598</v>
      </c>
      <c r="R94" s="100">
        <v>2.8430556776817224</v>
      </c>
      <c r="S94" s="100">
        <v>3391.1968123387583</v>
      </c>
      <c r="T94" s="100">
        <v>3.6671877479558761</v>
      </c>
      <c r="U94" s="100">
        <v>4374.2215457617685</v>
      </c>
      <c r="V94" s="100">
        <v>3.2056030762637331</v>
      </c>
      <c r="W94" s="100">
        <v>3823.6433493673808</v>
      </c>
      <c r="X94" s="100">
        <v>2.0367209250388745E-4</v>
      </c>
      <c r="Y94" s="100">
        <v>0.24294007193863695</v>
      </c>
      <c r="Z94" s="100">
        <v>2.1212385788609396</v>
      </c>
      <c r="AA94" s="100">
        <v>2530.2133768653284</v>
      </c>
      <c r="AB94" s="100">
        <v>3.2514876302932572</v>
      </c>
      <c r="AC94" s="100">
        <v>3878.3744454137968</v>
      </c>
      <c r="AD94" s="100">
        <v>3.7170831085792756E-4</v>
      </c>
      <c r="AE94" s="100">
        <v>0.44337367319133597</v>
      </c>
      <c r="AF94" s="100">
        <v>1.583828868170878E-4</v>
      </c>
      <c r="AG94" s="100">
        <v>0.18891910739542231</v>
      </c>
      <c r="AH94" s="100">
        <v>2.918971332261552</v>
      </c>
      <c r="AI94" s="100">
        <v>3481.7490051215791</v>
      </c>
      <c r="AJ94" s="100">
        <v>2.973168658830013</v>
      </c>
      <c r="AK94" s="100">
        <v>3546.3955762524392</v>
      </c>
      <c r="AL94" s="100">
        <v>3.7407829766770759</v>
      </c>
      <c r="AM94" s="100">
        <v>4462.0059345804157</v>
      </c>
      <c r="AN94" s="100">
        <v>0.32521630493472103</v>
      </c>
      <c r="AO94" s="100">
        <v>387.91800852613522</v>
      </c>
      <c r="AP94" s="100">
        <v>5.7231734860058836</v>
      </c>
      <c r="AQ94" s="100">
        <v>6826.6013341078178</v>
      </c>
      <c r="AR94" s="100">
        <v>0.88650872794612356</v>
      </c>
      <c r="AS94" s="100">
        <v>1057.4276106941361</v>
      </c>
      <c r="AT94" s="100">
        <v>4.2581209998792415</v>
      </c>
      <c r="AU94" s="100">
        <v>5079.0867286559587</v>
      </c>
      <c r="AV94" s="100">
        <v>3.5692626827537088</v>
      </c>
      <c r="AW94" s="100">
        <v>4257.4165279886238</v>
      </c>
      <c r="AX94" s="100">
        <v>7</v>
      </c>
      <c r="AY94" s="100">
        <v>8349.6</v>
      </c>
      <c r="AZ94" s="100">
        <v>4</v>
      </c>
      <c r="BA94" s="100">
        <v>4771.2</v>
      </c>
      <c r="BB94" s="100">
        <v>3.6144644221967752</v>
      </c>
      <c r="BC94" s="100">
        <v>4311.3331627963134</v>
      </c>
      <c r="BD94" s="100">
        <v>2.1344139737606969</v>
      </c>
      <c r="BE94" s="100">
        <v>2545.9289879017592</v>
      </c>
      <c r="BF94" s="100">
        <v>1.9824443245771082E-4</v>
      </c>
      <c r="BG94" s="100">
        <v>0.23646595903555745</v>
      </c>
      <c r="BH94" s="100">
        <v>3.0323572727883563E-4</v>
      </c>
      <c r="BI94" s="100">
        <v>0.36169957549819515</v>
      </c>
      <c r="BJ94" s="100">
        <v>2.6263151308480353E-4</v>
      </c>
      <c r="BK94" s="100">
        <v>0.31326686880755361</v>
      </c>
      <c r="BL94" s="100">
        <v>2.675082519897888E-4</v>
      </c>
      <c r="BM94" s="100">
        <v>0.31908384297342007</v>
      </c>
      <c r="BN94" s="100">
        <v>2.771907894910159</v>
      </c>
      <c r="BO94" s="100">
        <v>3306.3317370488376</v>
      </c>
      <c r="BP94" s="100">
        <v>2.1887939476144731</v>
      </c>
      <c r="BQ94" s="100">
        <v>2610.7934207145436</v>
      </c>
      <c r="BR94" s="100">
        <v>4.1698986311508994</v>
      </c>
      <c r="BS94" s="100">
        <v>4973.8550872367923</v>
      </c>
      <c r="BT94" s="100">
        <v>2.6184439287800823</v>
      </c>
      <c r="BU94" s="100">
        <v>3123.279918248882</v>
      </c>
      <c r="BV94" s="100">
        <v>4.084115831165124</v>
      </c>
      <c r="BW94" s="100">
        <v>4871.5333634137596</v>
      </c>
      <c r="BX94" s="100">
        <v>3.2084469034096248</v>
      </c>
      <c r="BY94" s="100">
        <v>3827.0354663870003</v>
      </c>
      <c r="BZ94" s="100">
        <v>3.7585696069192274</v>
      </c>
      <c r="CA94" s="100">
        <v>4483.221827133254</v>
      </c>
      <c r="CB94" s="100">
        <v>3.1332239620409172</v>
      </c>
      <c r="CC94" s="100">
        <v>3737.309541922406</v>
      </c>
      <c r="CD94" s="100">
        <v>2.301013107177575</v>
      </c>
      <c r="CE94" s="100">
        <v>2744.6484342414115</v>
      </c>
      <c r="CF94" s="100">
        <v>2.420826169696503</v>
      </c>
      <c r="CG94" s="100">
        <v>2887.5614552139887</v>
      </c>
      <c r="CH94" s="100">
        <v>3.6668642458001779</v>
      </c>
      <c r="CI94" s="100">
        <v>4373.8356723904517</v>
      </c>
      <c r="CJ94" s="100">
        <v>0.49790431619567327</v>
      </c>
      <c r="CK94" s="100">
        <v>593.90026835819901</v>
      </c>
      <c r="CL94" s="100">
        <v>5</v>
      </c>
      <c r="CM94" s="100">
        <v>5964</v>
      </c>
      <c r="CN94" s="100">
        <v>3.7849416776453029</v>
      </c>
      <c r="CO94" s="100">
        <v>4514.6784330953169</v>
      </c>
      <c r="CP94" s="100">
        <v>2.2804097166294275</v>
      </c>
      <c r="CQ94" s="100">
        <v>2720.0727099955811</v>
      </c>
      <c r="CR94" s="100">
        <v>0.48081647575818881</v>
      </c>
      <c r="CS94" s="100">
        <v>573.51789228436758</v>
      </c>
      <c r="CT94" s="100">
        <v>6.3932353355185105</v>
      </c>
      <c r="CU94" s="100">
        <v>7625.8511082064788</v>
      </c>
    </row>
    <row r="95" spans="2:99">
      <c r="B95" s="99" t="s">
        <v>132</v>
      </c>
      <c r="C95" s="99" t="s">
        <v>261</v>
      </c>
      <c r="D95" s="100">
        <v>5.3862990374870225</v>
      </c>
      <c r="E95" s="100">
        <v>1771.0151235257331</v>
      </c>
      <c r="F95" s="100">
        <v>5.2814183820646514</v>
      </c>
      <c r="G95" s="100">
        <v>1736.5303640228574</v>
      </c>
      <c r="H95" s="100">
        <v>0.36100862891010466</v>
      </c>
      <c r="I95" s="100">
        <v>118.69963718564242</v>
      </c>
      <c r="J95" s="100">
        <v>5.2109408256803338</v>
      </c>
      <c r="K95" s="100">
        <v>1713.3573434836937</v>
      </c>
      <c r="L95" s="100">
        <v>5.7566995002040224</v>
      </c>
      <c r="M95" s="100">
        <v>1892.8027956670826</v>
      </c>
      <c r="N95" s="100">
        <v>4.6259318239005882</v>
      </c>
      <c r="O95" s="100">
        <v>1521.0063836985134</v>
      </c>
      <c r="P95" s="100">
        <v>5.0955926471908572</v>
      </c>
      <c r="Q95" s="100">
        <v>1675.4308623963539</v>
      </c>
      <c r="R95" s="100">
        <v>5.0707477163473476</v>
      </c>
      <c r="S95" s="100">
        <v>1667.2618491350079</v>
      </c>
      <c r="T95" s="100">
        <v>4.7957225875584824</v>
      </c>
      <c r="U95" s="100">
        <v>1576.833586789229</v>
      </c>
      <c r="V95" s="100">
        <v>5.7700855372747206</v>
      </c>
      <c r="W95" s="100">
        <v>1897.2041246559281</v>
      </c>
      <c r="X95" s="100">
        <v>4.2656843962444161E-4</v>
      </c>
      <c r="Y95" s="100">
        <v>0.14025570294851641</v>
      </c>
      <c r="Z95" s="100">
        <v>5.303096447152349</v>
      </c>
      <c r="AA95" s="100">
        <v>1743.6581118236925</v>
      </c>
      <c r="AB95" s="100">
        <v>4.8584437785258521</v>
      </c>
      <c r="AC95" s="100">
        <v>1597.4563143793002</v>
      </c>
      <c r="AD95" s="100">
        <v>4.3365969600091546E-4</v>
      </c>
      <c r="AE95" s="100">
        <v>0.142587308045101</v>
      </c>
      <c r="AF95" s="100">
        <v>5.4880350767784968E-4</v>
      </c>
      <c r="AG95" s="100">
        <v>0.18044659332447699</v>
      </c>
      <c r="AH95" s="100">
        <v>4.8811303431179009</v>
      </c>
      <c r="AI95" s="100">
        <v>1604.9156568171659</v>
      </c>
      <c r="AJ95" s="100">
        <v>4.9472880554294489</v>
      </c>
      <c r="AK95" s="100">
        <v>1626.6683126252028</v>
      </c>
      <c r="AL95" s="100">
        <v>5.0258350824726259</v>
      </c>
      <c r="AM95" s="100">
        <v>1652.4945751169994</v>
      </c>
      <c r="AN95" s="100">
        <v>0.32521630493472103</v>
      </c>
      <c r="AO95" s="100">
        <v>106.93112106253628</v>
      </c>
      <c r="AP95" s="100">
        <v>10.122523165244024</v>
      </c>
      <c r="AQ95" s="100">
        <v>3328.2856167322352</v>
      </c>
      <c r="AR95" s="100">
        <v>2.1276209470706964</v>
      </c>
      <c r="AS95" s="100">
        <v>699.56176739684497</v>
      </c>
      <c r="AT95" s="100">
        <v>7.3871814998188627</v>
      </c>
      <c r="AU95" s="100">
        <v>2428.9052771404422</v>
      </c>
      <c r="AV95" s="100">
        <v>4.2831152193044506</v>
      </c>
      <c r="AW95" s="100">
        <v>1408.2882841073033</v>
      </c>
      <c r="AX95" s="100">
        <v>8</v>
      </c>
      <c r="AY95" s="100">
        <v>2630.4</v>
      </c>
      <c r="AZ95" s="100">
        <v>6</v>
      </c>
      <c r="BA95" s="100">
        <v>1972.8000000000002</v>
      </c>
      <c r="BB95" s="100">
        <v>5.0602501910754851</v>
      </c>
      <c r="BC95" s="100">
        <v>1663.8102628256195</v>
      </c>
      <c r="BD95" s="100">
        <v>6.4032419212820919</v>
      </c>
      <c r="BE95" s="100">
        <v>2105.385943717552</v>
      </c>
      <c r="BF95" s="100">
        <v>4.9561108114427703E-4</v>
      </c>
      <c r="BG95" s="100">
        <v>0.1629569234802383</v>
      </c>
      <c r="BH95" s="100">
        <v>4.5485359091825342E-4</v>
      </c>
      <c r="BI95" s="100">
        <v>0.14955586069392174</v>
      </c>
      <c r="BJ95" s="100">
        <v>4.5960514789840617E-4</v>
      </c>
      <c r="BK95" s="100">
        <v>0.15111817262899596</v>
      </c>
      <c r="BL95" s="100">
        <v>4.0642949862026436E-4</v>
      </c>
      <c r="BM95" s="100">
        <v>0.13363401914634293</v>
      </c>
      <c r="BN95" s="100">
        <v>6.0539308678735866</v>
      </c>
      <c r="BO95" s="100">
        <v>1990.5324693568352</v>
      </c>
      <c r="BP95" s="100">
        <v>5.4719848690361825</v>
      </c>
      <c r="BQ95" s="100">
        <v>1799.1886249390968</v>
      </c>
      <c r="BR95" s="100">
        <v>4.8648817363427161</v>
      </c>
      <c r="BS95" s="100">
        <v>1599.5731149094852</v>
      </c>
      <c r="BT95" s="100">
        <v>5.0108268806947711</v>
      </c>
      <c r="BU95" s="100">
        <v>1647.5598783724408</v>
      </c>
      <c r="BV95" s="100">
        <v>4.084115831165124</v>
      </c>
      <c r="BW95" s="100">
        <v>1342.8572852870927</v>
      </c>
      <c r="BX95" s="100">
        <v>5.1773880913049544</v>
      </c>
      <c r="BY95" s="100">
        <v>1702.325204421069</v>
      </c>
      <c r="BZ95" s="100">
        <v>4.8324466374675783</v>
      </c>
      <c r="CA95" s="100">
        <v>1588.9084543993397</v>
      </c>
      <c r="CB95" s="100">
        <v>5.5034454504414105</v>
      </c>
      <c r="CC95" s="100">
        <v>1809.5328641051358</v>
      </c>
      <c r="CD95" s="100">
        <v>5.1772794911495437</v>
      </c>
      <c r="CE95" s="100">
        <v>1702.2894966899701</v>
      </c>
      <c r="CF95" s="100">
        <v>5.8819270388208205</v>
      </c>
      <c r="CG95" s="100">
        <v>1933.9776103642857</v>
      </c>
      <c r="CH95" s="100">
        <v>5.0672044505896956</v>
      </c>
      <c r="CI95" s="100">
        <v>1666.096823353892</v>
      </c>
      <c r="CJ95" s="100">
        <v>0.89622776915221181</v>
      </c>
      <c r="CK95" s="100">
        <v>294.67969049724724</v>
      </c>
      <c r="CL95" s="100">
        <v>9</v>
      </c>
      <c r="CM95" s="100">
        <v>2959.2000000000003</v>
      </c>
      <c r="CN95" s="100">
        <v>5.6774125164679541</v>
      </c>
      <c r="CO95" s="100">
        <v>1866.7332354146633</v>
      </c>
      <c r="CP95" s="100">
        <v>6.0027108823563946</v>
      </c>
      <c r="CQ95" s="100">
        <v>1973.6913381187826</v>
      </c>
      <c r="CR95" s="100">
        <v>0.80136079293031459</v>
      </c>
      <c r="CS95" s="100">
        <v>263.48742871548745</v>
      </c>
      <c r="CT95" s="100">
        <v>8</v>
      </c>
      <c r="CU95" s="100">
        <v>2630.4</v>
      </c>
    </row>
    <row r="96" spans="2:99">
      <c r="C96" s="99" t="s">
        <v>262</v>
      </c>
      <c r="D96" s="100">
        <v>6.059593178305569</v>
      </c>
      <c r="E96" s="100">
        <v>4210.2053402867086</v>
      </c>
      <c r="F96" s="100">
        <v>5.274037006996557</v>
      </c>
      <c r="G96" s="100">
        <v>3664.4009124612076</v>
      </c>
      <c r="H96" s="100">
        <v>0.30943596763723252</v>
      </c>
      <c r="I96" s="100">
        <v>214.99611031434915</v>
      </c>
      <c r="J96" s="100">
        <v>5.109301190014361</v>
      </c>
      <c r="K96" s="100">
        <v>3549.9424668219776</v>
      </c>
      <c r="L96" s="100">
        <v>5.1810295501836201</v>
      </c>
      <c r="M96" s="100">
        <v>3599.7793314675791</v>
      </c>
      <c r="N96" s="100">
        <v>4.6259318239005882</v>
      </c>
      <c r="O96" s="100">
        <v>3214.0974312461285</v>
      </c>
      <c r="P96" s="100">
        <v>5.6326057653275798</v>
      </c>
      <c r="Q96" s="100">
        <v>3913.534485749602</v>
      </c>
      <c r="R96" s="100">
        <v>5.0707477163473476</v>
      </c>
      <c r="S96" s="100">
        <v>3523.1555133181369</v>
      </c>
      <c r="T96" s="100">
        <v>4.7957225875584824</v>
      </c>
      <c r="U96" s="100">
        <v>3332.0680538356332</v>
      </c>
      <c r="V96" s="100">
        <v>5.1289649220219733</v>
      </c>
      <c r="W96" s="100">
        <v>3563.6048278208668</v>
      </c>
      <c r="X96" s="100">
        <v>4.752348825090707E-4</v>
      </c>
      <c r="Y96" s="100">
        <v>0.33019319636730232</v>
      </c>
      <c r="Z96" s="100">
        <v>5.303096447152349</v>
      </c>
      <c r="AA96" s="100">
        <v>3684.5914114814518</v>
      </c>
      <c r="AB96" s="100">
        <v>4.853433734015443</v>
      </c>
      <c r="AC96" s="100">
        <v>3372.1657583939295</v>
      </c>
      <c r="AD96" s="100">
        <v>3.7170831085792756E-4</v>
      </c>
      <c r="AE96" s="100">
        <v>0.25826293438408804</v>
      </c>
      <c r="AF96" s="100">
        <v>4.8962246327519251E-4</v>
      </c>
      <c r="AG96" s="100">
        <v>0.34018968748360373</v>
      </c>
      <c r="AH96" s="100">
        <v>5.4234781590198891</v>
      </c>
      <c r="AI96" s="100">
        <v>3768.2326248870186</v>
      </c>
      <c r="AJ96" s="100">
        <v>5.416838776717591</v>
      </c>
      <c r="AK96" s="100">
        <v>3763.619582063382</v>
      </c>
      <c r="AL96" s="100">
        <v>4.4099961424070857</v>
      </c>
      <c r="AM96" s="100">
        <v>3064.0653197444431</v>
      </c>
      <c r="AN96" s="100">
        <v>0.32521630493472103</v>
      </c>
      <c r="AO96" s="100">
        <v>225.96028866864415</v>
      </c>
      <c r="AP96" s="100">
        <v>9.4905755209491875</v>
      </c>
      <c r="AQ96" s="100">
        <v>6594.0518719554948</v>
      </c>
      <c r="AR96" s="100">
        <v>1.9503192014814721</v>
      </c>
      <c r="AS96" s="100">
        <v>1355.0817811893266</v>
      </c>
      <c r="AT96" s="100">
        <v>7.4302016664654031</v>
      </c>
      <c r="AU96" s="100">
        <v>5162.5041178601614</v>
      </c>
      <c r="AV96" s="100">
        <v>4.2831152193044506</v>
      </c>
      <c r="AW96" s="100">
        <v>2975.9084543727322</v>
      </c>
      <c r="AX96" s="100">
        <v>7</v>
      </c>
      <c r="AY96" s="100">
        <v>4863.5999999999995</v>
      </c>
      <c r="AZ96" s="100">
        <v>6</v>
      </c>
      <c r="BA96" s="100">
        <v>4168.7999999999993</v>
      </c>
      <c r="BB96" s="100">
        <v>4.3373573066361306</v>
      </c>
      <c r="BC96" s="100">
        <v>3013.5958566507834</v>
      </c>
      <c r="BD96" s="100">
        <v>6.4032419212820919</v>
      </c>
      <c r="BE96" s="100">
        <v>4448.9724869067968</v>
      </c>
      <c r="BF96" s="100">
        <v>5.4517218925870475E-4</v>
      </c>
      <c r="BG96" s="100">
        <v>0.37878563709694801</v>
      </c>
      <c r="BH96" s="100">
        <v>4.0431430303844749E-4</v>
      </c>
      <c r="BI96" s="100">
        <v>0.28091757775111331</v>
      </c>
      <c r="BJ96" s="100">
        <v>4.5960514789840617E-4</v>
      </c>
      <c r="BK96" s="100">
        <v>0.31933365675981257</v>
      </c>
      <c r="BL96" s="100">
        <v>4.7273243710264695E-4</v>
      </c>
      <c r="BM96" s="100">
        <v>0.32845449729891907</v>
      </c>
      <c r="BN96" s="100">
        <v>5.3615419624665925</v>
      </c>
      <c r="BO96" s="100">
        <v>3725.1993555217882</v>
      </c>
      <c r="BP96" s="100">
        <v>6.0191833559398003</v>
      </c>
      <c r="BQ96" s="100">
        <v>4182.1285957069731</v>
      </c>
      <c r="BR96" s="100">
        <v>4.1698986311508994</v>
      </c>
      <c r="BS96" s="100">
        <v>2897.2455689236449</v>
      </c>
      <c r="BT96" s="100">
        <v>6.0129922568337255</v>
      </c>
      <c r="BU96" s="100">
        <v>4177.827020048072</v>
      </c>
      <c r="BV96" s="100">
        <v>4.084115831165124</v>
      </c>
      <c r="BW96" s="100">
        <v>2837.643679493528</v>
      </c>
      <c r="BX96" s="100">
        <v>5.1725133084327819</v>
      </c>
      <c r="BY96" s="100">
        <v>3593.8622466990964</v>
      </c>
      <c r="BZ96" s="100">
        <v>4.8324466374675783</v>
      </c>
      <c r="CA96" s="100">
        <v>3357.5839237124733</v>
      </c>
      <c r="CB96" s="100">
        <v>5.0031322276740102</v>
      </c>
      <c r="CC96" s="100">
        <v>3476.1762717879019</v>
      </c>
      <c r="CD96" s="100">
        <v>5.7525327679439373</v>
      </c>
      <c r="CE96" s="100">
        <v>3996.8597671674474</v>
      </c>
      <c r="CF96" s="100">
        <v>5.2937343349387378</v>
      </c>
      <c r="CG96" s="100">
        <v>3678.0866159154348</v>
      </c>
      <c r="CH96" s="100">
        <v>4.3519421905743565</v>
      </c>
      <c r="CI96" s="100">
        <v>3023.7294340110625</v>
      </c>
      <c r="CJ96" s="100">
        <v>0.79664690591307719</v>
      </c>
      <c r="CK96" s="100">
        <v>553.51027022840594</v>
      </c>
      <c r="CL96" s="100">
        <v>9</v>
      </c>
      <c r="CM96" s="100">
        <v>6253.2</v>
      </c>
      <c r="CN96" s="100">
        <v>5.6774125164679541</v>
      </c>
      <c r="CO96" s="100">
        <v>3944.6662164419345</v>
      </c>
      <c r="CP96" s="100">
        <v>5.953908002651934</v>
      </c>
      <c r="CQ96" s="100">
        <v>4136.7752802425639</v>
      </c>
      <c r="CR96" s="100">
        <v>0.80136079293031459</v>
      </c>
      <c r="CS96" s="100">
        <v>556.78547892798258</v>
      </c>
      <c r="CT96" s="100">
        <v>7</v>
      </c>
      <c r="CU96" s="100">
        <v>4863.5999999999995</v>
      </c>
    </row>
    <row r="97" spans="2:99">
      <c r="C97" s="99" t="s">
        <v>263</v>
      </c>
      <c r="D97" s="100">
        <v>6.059593178305569</v>
      </c>
      <c r="E97" s="100">
        <v>2377.7843631671053</v>
      </c>
      <c r="F97" s="100">
        <v>5.2887997571327467</v>
      </c>
      <c r="G97" s="100">
        <v>2075.3250246988896</v>
      </c>
      <c r="H97" s="100">
        <v>0.36100862891010466</v>
      </c>
      <c r="I97" s="100">
        <v>141.65978598432505</v>
      </c>
      <c r="J97" s="100">
        <v>4.6815307729214473</v>
      </c>
      <c r="K97" s="100">
        <v>1837.0326752943758</v>
      </c>
      <c r="L97" s="100">
        <v>5.1810295501836201</v>
      </c>
      <c r="M97" s="100">
        <v>2033.0359954920525</v>
      </c>
      <c r="N97" s="100">
        <v>4.6259318239005882</v>
      </c>
      <c r="O97" s="100">
        <v>1815.2156476985906</v>
      </c>
      <c r="P97" s="100">
        <v>5.6326057653275798</v>
      </c>
      <c r="Q97" s="100">
        <v>2210.2345023145422</v>
      </c>
      <c r="R97" s="100">
        <v>5.634164129274831</v>
      </c>
      <c r="S97" s="100">
        <v>2210.8460043274436</v>
      </c>
      <c r="T97" s="100">
        <v>4.7957225875584824</v>
      </c>
      <c r="U97" s="100">
        <v>1881.8415433579485</v>
      </c>
      <c r="V97" s="100">
        <v>4.4878443067692269</v>
      </c>
      <c r="W97" s="100">
        <v>1761.0301059762446</v>
      </c>
      <c r="X97" s="100">
        <v>4.752348825090707E-4</v>
      </c>
      <c r="Y97" s="100">
        <v>0.18648216789655933</v>
      </c>
      <c r="Z97" s="100">
        <v>5.8334060918675839</v>
      </c>
      <c r="AA97" s="100">
        <v>2289.0285504488397</v>
      </c>
      <c r="AB97" s="100">
        <v>4.0499556598991457</v>
      </c>
      <c r="AC97" s="100">
        <v>1589.2026009444246</v>
      </c>
      <c r="AD97" s="100">
        <v>4.3365969600091546E-4</v>
      </c>
      <c r="AE97" s="100">
        <v>0.17016806471075921</v>
      </c>
      <c r="AF97" s="100">
        <v>4.8962246327519251E-4</v>
      </c>
      <c r="AG97" s="100">
        <v>0.19212785458918552</v>
      </c>
      <c r="AH97" s="100">
        <v>5.4234781590198891</v>
      </c>
      <c r="AI97" s="100">
        <v>2128.1728295994044</v>
      </c>
      <c r="AJ97" s="100">
        <v>5.9103686258674495</v>
      </c>
      <c r="AK97" s="100">
        <v>2319.2286487903871</v>
      </c>
      <c r="AL97" s="100">
        <v>5.0334599718532642</v>
      </c>
      <c r="AM97" s="100">
        <v>1975.1296929552207</v>
      </c>
      <c r="AN97" s="100">
        <v>0.32521630493472103</v>
      </c>
      <c r="AO97" s="100">
        <v>127.61487805638453</v>
      </c>
      <c r="AP97" s="100">
        <v>10.410804899607735</v>
      </c>
      <c r="AQ97" s="100">
        <v>4085.199842606075</v>
      </c>
      <c r="AR97" s="100">
        <v>1.9503192014814721</v>
      </c>
      <c r="AS97" s="100">
        <v>765.30525466132963</v>
      </c>
      <c r="AT97" s="100">
        <v>6.4732218331119427</v>
      </c>
      <c r="AU97" s="100">
        <v>2540.0922473131263</v>
      </c>
      <c r="AV97" s="100">
        <v>4.2831152193044506</v>
      </c>
      <c r="AW97" s="100">
        <v>1680.6944120550663</v>
      </c>
      <c r="AX97" s="100">
        <v>8</v>
      </c>
      <c r="AY97" s="100">
        <v>3139.2</v>
      </c>
      <c r="AZ97" s="100">
        <v>6</v>
      </c>
      <c r="BA97" s="100">
        <v>2354.3999999999996</v>
      </c>
      <c r="BB97" s="100">
        <v>4.3373573066361306</v>
      </c>
      <c r="BC97" s="100">
        <v>1701.9790071240175</v>
      </c>
      <c r="BD97" s="100">
        <v>5.8696384278419176</v>
      </c>
      <c r="BE97" s="100">
        <v>2303.2461190851682</v>
      </c>
      <c r="BF97" s="100">
        <v>4.9561108114427703E-4</v>
      </c>
      <c r="BG97" s="100">
        <v>0.1944777882410143</v>
      </c>
      <c r="BH97" s="100">
        <v>5.053928787980594E-4</v>
      </c>
      <c r="BI97" s="100">
        <v>0.1983161656403585</v>
      </c>
      <c r="BJ97" s="100">
        <v>4.5960514789840617E-4</v>
      </c>
      <c r="BK97" s="100">
        <v>0.18034906003533457</v>
      </c>
      <c r="BL97" s="100">
        <v>4.7330656161771154E-4</v>
      </c>
      <c r="BM97" s="100">
        <v>0.18572549477879</v>
      </c>
      <c r="BN97" s="100">
        <v>5.5047571125302328</v>
      </c>
      <c r="BO97" s="100">
        <v>2160.0666909568631</v>
      </c>
      <c r="BP97" s="100">
        <v>5.4719848690361825</v>
      </c>
      <c r="BQ97" s="100">
        <v>2147.206862609798</v>
      </c>
      <c r="BR97" s="100">
        <v>4.8648817363427161</v>
      </c>
      <c r="BS97" s="100">
        <v>1908.9795933408816</v>
      </c>
      <c r="BT97" s="100">
        <v>5.5119095687642483</v>
      </c>
      <c r="BU97" s="100">
        <v>2162.8733147830908</v>
      </c>
      <c r="BV97" s="100">
        <v>4.6675609499029989</v>
      </c>
      <c r="BW97" s="100">
        <v>1831.5509167419366</v>
      </c>
      <c r="BX97" s="100">
        <v>5.8239522548590523</v>
      </c>
      <c r="BY97" s="100">
        <v>2285.3188648066921</v>
      </c>
      <c r="BZ97" s="100">
        <v>4.8324466374675783</v>
      </c>
      <c r="CA97" s="100">
        <v>1896.2520605422776</v>
      </c>
      <c r="CB97" s="100">
        <v>6.0037586732088117</v>
      </c>
      <c r="CC97" s="100">
        <v>2355.8749033671374</v>
      </c>
      <c r="CD97" s="100">
        <v>5.7525327679439373</v>
      </c>
      <c r="CE97" s="100">
        <v>2257.2938581412009</v>
      </c>
      <c r="CF97" s="100">
        <v>5.2937343349387378</v>
      </c>
      <c r="CG97" s="100">
        <v>2077.2613530299604</v>
      </c>
      <c r="CH97" s="100">
        <v>4.382126505815517</v>
      </c>
      <c r="CI97" s="100">
        <v>1719.5464408820087</v>
      </c>
      <c r="CJ97" s="100">
        <v>0.79664690591307719</v>
      </c>
      <c r="CK97" s="100">
        <v>312.60424588029144</v>
      </c>
      <c r="CL97" s="100">
        <v>9</v>
      </c>
      <c r="CM97" s="100">
        <v>3531.6</v>
      </c>
      <c r="CN97" s="100">
        <v>5.6774125164679541</v>
      </c>
      <c r="CO97" s="100">
        <v>2227.8166714620252</v>
      </c>
      <c r="CP97" s="100">
        <v>5.4326084531990384</v>
      </c>
      <c r="CQ97" s="100">
        <v>2131.7555570353024</v>
      </c>
      <c r="CR97" s="100">
        <v>0.88149687222334605</v>
      </c>
      <c r="CS97" s="100">
        <v>345.89937266044097</v>
      </c>
      <c r="CT97" s="100">
        <v>8</v>
      </c>
      <c r="CU97" s="100">
        <v>3139.2</v>
      </c>
    </row>
    <row r="98" spans="2:99">
      <c r="C98" s="99" t="s">
        <v>264</v>
      </c>
      <c r="D98" s="100">
        <v>5.3862990374870225</v>
      </c>
      <c r="E98" s="100">
        <v>2831.0387741031791</v>
      </c>
      <c r="F98" s="100">
        <v>5.274037006996557</v>
      </c>
      <c r="G98" s="100">
        <v>2772.0338508773903</v>
      </c>
      <c r="H98" s="100">
        <v>0.30943596763723252</v>
      </c>
      <c r="I98" s="100">
        <v>162.63954459012942</v>
      </c>
      <c r="J98" s="100">
        <v>4.6815307729214473</v>
      </c>
      <c r="K98" s="100">
        <v>2460.6125742475128</v>
      </c>
      <c r="L98" s="100">
        <v>5.7566995002040224</v>
      </c>
      <c r="M98" s="100">
        <v>3025.7212573072343</v>
      </c>
      <c r="N98" s="100">
        <v>5.2867792273149581</v>
      </c>
      <c r="O98" s="100">
        <v>2778.7311618767421</v>
      </c>
      <c r="P98" s="100">
        <v>5.6326057653275798</v>
      </c>
      <c r="Q98" s="100">
        <v>2960.497590256176</v>
      </c>
      <c r="R98" s="100">
        <v>5.0707477163473476</v>
      </c>
      <c r="S98" s="100">
        <v>2665.1849997121658</v>
      </c>
      <c r="T98" s="100">
        <v>5.3951879110032932</v>
      </c>
      <c r="U98" s="100">
        <v>2835.710766023331</v>
      </c>
      <c r="V98" s="100">
        <v>4.4878443067692269</v>
      </c>
      <c r="W98" s="100">
        <v>2358.8109676379058</v>
      </c>
      <c r="X98" s="100">
        <v>4.2849086508610828E-4</v>
      </c>
      <c r="Y98" s="100">
        <v>0.22521479868925853</v>
      </c>
      <c r="Z98" s="100">
        <v>5.8334060918675839</v>
      </c>
      <c r="AA98" s="100">
        <v>3066.038241885602</v>
      </c>
      <c r="AB98" s="100">
        <v>4.0524606821543507</v>
      </c>
      <c r="AC98" s="100">
        <v>2129.973334540327</v>
      </c>
      <c r="AD98" s="100">
        <v>3.7170831085792756E-4</v>
      </c>
      <c r="AE98" s="100">
        <v>0.19536988818692674</v>
      </c>
      <c r="AF98" s="100">
        <v>4.8962246327519251E-4</v>
      </c>
      <c r="AG98" s="100">
        <v>0.25734556669744119</v>
      </c>
      <c r="AH98" s="100">
        <v>4.8811303431179009</v>
      </c>
      <c r="AI98" s="100">
        <v>2565.5221083427687</v>
      </c>
      <c r="AJ98" s="100">
        <v>5.4288283406484501</v>
      </c>
      <c r="AK98" s="100">
        <v>2853.3921758448255</v>
      </c>
      <c r="AL98" s="100">
        <v>4.4023712530264474</v>
      </c>
      <c r="AM98" s="100">
        <v>2313.8863305907007</v>
      </c>
      <c r="AN98" s="100">
        <v>0.32521630493472103</v>
      </c>
      <c r="AO98" s="100">
        <v>170.93368987368939</v>
      </c>
      <c r="AP98" s="100">
        <v>9.202293786585475</v>
      </c>
      <c r="AQ98" s="100">
        <v>4836.7256142293263</v>
      </c>
      <c r="AR98" s="100">
        <v>1.9503192014814721</v>
      </c>
      <c r="AS98" s="100">
        <v>1025.0877722986618</v>
      </c>
      <c r="AT98" s="100">
        <v>7.4302016664654031</v>
      </c>
      <c r="AU98" s="100">
        <v>3905.3139958942161</v>
      </c>
      <c r="AV98" s="100">
        <v>3.5692626827537088</v>
      </c>
      <c r="AW98" s="100">
        <v>1876.0044660553494</v>
      </c>
      <c r="AX98" s="100">
        <v>7</v>
      </c>
      <c r="AY98" s="100">
        <v>3679.2000000000003</v>
      </c>
      <c r="AZ98" s="100">
        <v>7</v>
      </c>
      <c r="BA98" s="100">
        <v>3679.2000000000003</v>
      </c>
      <c r="BB98" s="100">
        <v>4.3373573066361306</v>
      </c>
      <c r="BC98" s="100">
        <v>2279.7150003679503</v>
      </c>
      <c r="BD98" s="100">
        <v>6.4032419212820919</v>
      </c>
      <c r="BE98" s="100">
        <v>3365.5439538258674</v>
      </c>
      <c r="BF98" s="100">
        <v>4.9561108114427703E-4</v>
      </c>
      <c r="BG98" s="100">
        <v>0.26049318424943202</v>
      </c>
      <c r="BH98" s="100">
        <v>5.053928787980594E-4</v>
      </c>
      <c r="BI98" s="100">
        <v>0.26563449709626002</v>
      </c>
      <c r="BJ98" s="100">
        <v>4.5960514789840617E-4</v>
      </c>
      <c r="BK98" s="100">
        <v>0.2415684657354023</v>
      </c>
      <c r="BL98" s="100">
        <v>4.7330656161771154E-4</v>
      </c>
      <c r="BM98" s="100">
        <v>0.24876992878626919</v>
      </c>
      <c r="BN98" s="100">
        <v>5.8976961587132513</v>
      </c>
      <c r="BO98" s="100">
        <v>3099.8291010196849</v>
      </c>
      <c r="BP98" s="100">
        <v>5.4719848690361825</v>
      </c>
      <c r="BQ98" s="100">
        <v>2876.0752471654177</v>
      </c>
      <c r="BR98" s="100">
        <v>4.8648817363427161</v>
      </c>
      <c r="BS98" s="100">
        <v>2556.9818406217319</v>
      </c>
      <c r="BT98" s="100">
        <v>5.0108268806947711</v>
      </c>
      <c r="BU98" s="100">
        <v>2633.690608493172</v>
      </c>
      <c r="BV98" s="100">
        <v>4.084115831165124</v>
      </c>
      <c r="BW98" s="100">
        <v>2146.6112808603893</v>
      </c>
      <c r="BX98" s="100">
        <v>5.1725133084327819</v>
      </c>
      <c r="BY98" s="100">
        <v>2718.6729949122705</v>
      </c>
      <c r="BZ98" s="100">
        <v>3.7585696069192274</v>
      </c>
      <c r="CA98" s="100">
        <v>1975.5041853967459</v>
      </c>
      <c r="CB98" s="100">
        <v>5.0031322276740102</v>
      </c>
      <c r="CC98" s="100">
        <v>2629.6462988654598</v>
      </c>
      <c r="CD98" s="100">
        <v>5.1772794911495437</v>
      </c>
      <c r="CE98" s="100">
        <v>2721.1781005482003</v>
      </c>
      <c r="CF98" s="100">
        <v>5.8819270388208205</v>
      </c>
      <c r="CG98" s="100">
        <v>3091.5408516042235</v>
      </c>
      <c r="CH98" s="100">
        <v>5.0672044505896956</v>
      </c>
      <c r="CI98" s="100">
        <v>2663.3226592299443</v>
      </c>
      <c r="CJ98" s="100">
        <v>0.89622776915221181</v>
      </c>
      <c r="CK98" s="100">
        <v>471.05731546640254</v>
      </c>
      <c r="CL98" s="100">
        <v>9</v>
      </c>
      <c r="CM98" s="100">
        <v>4730.4000000000005</v>
      </c>
      <c r="CN98" s="100">
        <v>5.6774125164679541</v>
      </c>
      <c r="CO98" s="100">
        <v>2984.0480186555569</v>
      </c>
      <c r="CP98" s="100">
        <v>5.4570098930512687</v>
      </c>
      <c r="CQ98" s="100">
        <v>2868.2043997877468</v>
      </c>
      <c r="CR98" s="100">
        <v>0.80136079293031459</v>
      </c>
      <c r="CS98" s="100">
        <v>421.19523276417334</v>
      </c>
      <c r="CT98" s="100">
        <v>7</v>
      </c>
      <c r="CU98" s="100">
        <v>3679.2000000000003</v>
      </c>
    </row>
    <row r="99" spans="2:99">
      <c r="C99" s="99" t="s">
        <v>265</v>
      </c>
      <c r="D99" s="100">
        <v>4.7130048966684761</v>
      </c>
      <c r="E99" s="100">
        <v>19834.209807139614</v>
      </c>
      <c r="F99" s="100">
        <v>4.1126907694290153</v>
      </c>
      <c r="G99" s="100">
        <v>17307.847834065065</v>
      </c>
      <c r="H99" s="100">
        <v>0.30943596763723252</v>
      </c>
      <c r="I99" s="100">
        <v>1302.2303262045293</v>
      </c>
      <c r="J99" s="100">
        <v>3.6596705349185759</v>
      </c>
      <c r="K99" s="100">
        <v>15401.357479151333</v>
      </c>
      <c r="L99" s="100">
        <v>5.1810295501836201</v>
      </c>
      <c r="M99" s="100">
        <v>21803.844758992745</v>
      </c>
      <c r="N99" s="100">
        <v>3.9650844204862183</v>
      </c>
      <c r="O99" s="100">
        <v>16686.6612751742</v>
      </c>
      <c r="P99" s="100">
        <v>4.5060846122620637</v>
      </c>
      <c r="Q99" s="100">
        <v>18963.406482243667</v>
      </c>
      <c r="R99" s="100">
        <v>4.5073313034198641</v>
      </c>
      <c r="S99" s="100">
        <v>18968.653057312153</v>
      </c>
      <c r="T99" s="100">
        <v>4.1962572641136724</v>
      </c>
      <c r="U99" s="100">
        <v>17659.529070295979</v>
      </c>
      <c r="V99" s="100">
        <v>4.4878443067692269</v>
      </c>
      <c r="W99" s="100">
        <v>18886.643980607612</v>
      </c>
      <c r="X99" s="100">
        <v>4.24646014162775E-4</v>
      </c>
      <c r="Y99" s="100">
        <v>1.7870802860026223</v>
      </c>
      <c r="Z99" s="100">
        <v>4.7727868024371141</v>
      </c>
      <c r="AA99" s="100">
        <v>20085.795979376348</v>
      </c>
      <c r="AB99" s="100">
        <v>4.0449456153887366</v>
      </c>
      <c r="AC99" s="100">
        <v>17022.749127801959</v>
      </c>
      <c r="AD99" s="100">
        <v>3.7170831085792756E-4</v>
      </c>
      <c r="AE99" s="100">
        <v>1.5642972554145023</v>
      </c>
      <c r="AF99" s="100">
        <v>3.9169797062015401E-4</v>
      </c>
      <c r="AG99" s="100">
        <v>1.648421739557856</v>
      </c>
      <c r="AH99" s="100">
        <v>4.338782527215912</v>
      </c>
      <c r="AI99" s="100">
        <v>18259.332387535444</v>
      </c>
      <c r="AJ99" s="100">
        <v>4.8154028521900036</v>
      </c>
      <c r="AK99" s="100">
        <v>20265.14136315641</v>
      </c>
      <c r="AL99" s="100">
        <v>3.7865323129609063</v>
      </c>
      <c r="AM99" s="100">
        <v>15935.242585864677</v>
      </c>
      <c r="AN99" s="100">
        <v>0.27101358744560089</v>
      </c>
      <c r="AO99" s="100">
        <v>1140.5335814060668</v>
      </c>
      <c r="AP99" s="100">
        <v>7.3618350292683807</v>
      </c>
      <c r="AQ99" s="100">
        <v>30981.54653717305</v>
      </c>
      <c r="AR99" s="100">
        <v>1.5957157103030224</v>
      </c>
      <c r="AS99" s="100">
        <v>6715.4099952392389</v>
      </c>
      <c r="AT99" s="100">
        <v>5</v>
      </c>
      <c r="AU99" s="100">
        <v>21042</v>
      </c>
      <c r="AV99" s="100">
        <v>3.5692626827537088</v>
      </c>
      <c r="AW99" s="100">
        <v>15020.885074100706</v>
      </c>
      <c r="AX99" s="100">
        <v>7</v>
      </c>
      <c r="AY99" s="100">
        <v>29458.799999999996</v>
      </c>
      <c r="AZ99" s="100">
        <v>5</v>
      </c>
      <c r="BA99" s="100">
        <v>21042</v>
      </c>
      <c r="BB99" s="100">
        <v>3.6144644221967752</v>
      </c>
      <c r="BC99" s="100">
        <v>15211.112074372908</v>
      </c>
      <c r="BD99" s="100">
        <v>4.8024314409615689</v>
      </c>
      <c r="BE99" s="100">
        <v>20210.552476142664</v>
      </c>
      <c r="BF99" s="100">
        <v>3.9648886491542163E-4</v>
      </c>
      <c r="BG99" s="100">
        <v>1.6685837391100602</v>
      </c>
      <c r="BH99" s="100">
        <v>4.0431430303844749E-4</v>
      </c>
      <c r="BI99" s="100">
        <v>1.7015163129070023</v>
      </c>
      <c r="BJ99" s="100">
        <v>3.9394726962720523E-4</v>
      </c>
      <c r="BK99" s="100">
        <v>1.6578876894991303</v>
      </c>
      <c r="BL99" s="100">
        <v>4.0470712507507061E-4</v>
      </c>
      <c r="BM99" s="100">
        <v>1.703169465165927</v>
      </c>
      <c r="BN99" s="100">
        <v>4.8253877662199329</v>
      </c>
      <c r="BO99" s="100">
        <v>20307.161875359965</v>
      </c>
      <c r="BP99" s="100">
        <v>4.9247863821325639</v>
      </c>
      <c r="BQ99" s="100">
        <v>20725.471010566682</v>
      </c>
      <c r="BR99" s="100">
        <v>3.4749155259590832</v>
      </c>
      <c r="BS99" s="100">
        <v>14623.834499446204</v>
      </c>
      <c r="BT99" s="100">
        <v>5.0108268806947711</v>
      </c>
      <c r="BU99" s="100">
        <v>21087.563844715874</v>
      </c>
      <c r="BV99" s="100">
        <v>3.5006707124272487</v>
      </c>
      <c r="BW99" s="100">
        <v>14732.222626178833</v>
      </c>
      <c r="BX99" s="100">
        <v>4.5259491448786839</v>
      </c>
      <c r="BY99" s="100">
        <v>19047.004381307452</v>
      </c>
      <c r="BZ99" s="100">
        <v>3.7585696069192274</v>
      </c>
      <c r="CA99" s="100">
        <v>15817.564333758875</v>
      </c>
      <c r="CB99" s="100">
        <v>4.5028190049066099</v>
      </c>
      <c r="CC99" s="100">
        <v>18949.663500248975</v>
      </c>
      <c r="CD99" s="100">
        <v>4.60202621435515</v>
      </c>
      <c r="CE99" s="100">
        <v>19367.167120492213</v>
      </c>
      <c r="CF99" s="100">
        <v>4.1173489271745742</v>
      </c>
      <c r="CG99" s="100">
        <v>17327.451225121476</v>
      </c>
      <c r="CH99" s="100">
        <v>3.6366799305590178</v>
      </c>
      <c r="CI99" s="100">
        <v>15304.603819764568</v>
      </c>
      <c r="CJ99" s="100">
        <v>0.69706604267394245</v>
      </c>
      <c r="CK99" s="100">
        <v>2933.5327339890191</v>
      </c>
      <c r="CL99" s="100">
        <v>8</v>
      </c>
      <c r="CM99" s="100">
        <v>33667.199999999997</v>
      </c>
      <c r="CN99" s="100">
        <v>4.7311770970566283</v>
      </c>
      <c r="CO99" s="100">
        <v>19910.685695253112</v>
      </c>
      <c r="CP99" s="100">
        <v>5.4082070133468072</v>
      </c>
      <c r="CQ99" s="100">
        <v>22759.898394968703</v>
      </c>
      <c r="CR99" s="100">
        <v>0.72122471363728313</v>
      </c>
      <c r="CS99" s="100">
        <v>3035.2020848711422</v>
      </c>
      <c r="CT99" s="100">
        <v>6</v>
      </c>
      <c r="CU99" s="100">
        <v>25250.399999999998</v>
      </c>
    </row>
    <row r="100" spans="2:99">
      <c r="C100" s="99" t="s">
        <v>266</v>
      </c>
      <c r="D100" s="100">
        <v>6.059593178305569</v>
      </c>
      <c r="E100" s="100">
        <v>1963.3081897710044</v>
      </c>
      <c r="F100" s="100">
        <v>4.7118173258830236</v>
      </c>
      <c r="G100" s="100">
        <v>1526.6288135860996</v>
      </c>
      <c r="H100" s="100">
        <v>0.36100862891010466</v>
      </c>
      <c r="I100" s="100">
        <v>116.96679576687391</v>
      </c>
      <c r="J100" s="100">
        <v>4.6815307729214473</v>
      </c>
      <c r="K100" s="100">
        <v>1516.8159704265488</v>
      </c>
      <c r="L100" s="100">
        <v>5.1810295501836201</v>
      </c>
      <c r="M100" s="100">
        <v>1678.6535742594929</v>
      </c>
      <c r="N100" s="100">
        <v>5.2867792273149581</v>
      </c>
      <c r="O100" s="100">
        <v>1712.9164696500463</v>
      </c>
      <c r="P100" s="100">
        <v>5.0693451887948218</v>
      </c>
      <c r="Q100" s="100">
        <v>1642.4678411695222</v>
      </c>
      <c r="R100" s="100">
        <v>5.0707477163473476</v>
      </c>
      <c r="S100" s="100">
        <v>1642.9222600965406</v>
      </c>
      <c r="T100" s="100">
        <v>5.3951879110032932</v>
      </c>
      <c r="U100" s="100">
        <v>1748.040883165067</v>
      </c>
      <c r="V100" s="100">
        <v>5.1289649220219733</v>
      </c>
      <c r="W100" s="100">
        <v>1661.7846347351194</v>
      </c>
      <c r="X100" s="100">
        <v>4.752348825090707E-4</v>
      </c>
      <c r="Y100" s="100">
        <v>0.1539761019329389</v>
      </c>
      <c r="Z100" s="100">
        <v>5.8334060918675839</v>
      </c>
      <c r="AA100" s="100">
        <v>1890.0235737650971</v>
      </c>
      <c r="AB100" s="100">
        <v>4.0499556598991457</v>
      </c>
      <c r="AC100" s="100">
        <v>1312.1856338073233</v>
      </c>
      <c r="AD100" s="100">
        <v>3.7170831085792756E-4</v>
      </c>
      <c r="AE100" s="100">
        <v>0.12043349271796853</v>
      </c>
      <c r="AF100" s="100">
        <v>5.3858470960271181E-4</v>
      </c>
      <c r="AG100" s="100">
        <v>0.17450144591127864</v>
      </c>
      <c r="AH100" s="100">
        <v>4.8811303431179009</v>
      </c>
      <c r="AI100" s="100">
        <v>1581.4862311702</v>
      </c>
      <c r="AJ100" s="100">
        <v>5.8983790619365912</v>
      </c>
      <c r="AK100" s="100">
        <v>1911.0748160674555</v>
      </c>
      <c r="AL100" s="100">
        <v>5.0182101930919876</v>
      </c>
      <c r="AM100" s="100">
        <v>1625.900102561804</v>
      </c>
      <c r="AN100" s="100">
        <v>0.32521630493472103</v>
      </c>
      <c r="AO100" s="100">
        <v>105.37008279884961</v>
      </c>
      <c r="AP100" s="100">
        <v>9.4905755209491875</v>
      </c>
      <c r="AQ100" s="100">
        <v>3074.9464687875366</v>
      </c>
      <c r="AR100" s="100">
        <v>1.7730174558922471</v>
      </c>
      <c r="AS100" s="100">
        <v>574.45765570908804</v>
      </c>
      <c r="AT100" s="100">
        <v>7.4732218331119427</v>
      </c>
      <c r="AU100" s="100">
        <v>2421.3238739282692</v>
      </c>
      <c r="AV100" s="100">
        <v>4.2831152193044506</v>
      </c>
      <c r="AW100" s="100">
        <v>1387.729331054642</v>
      </c>
      <c r="AX100" s="100">
        <v>8</v>
      </c>
      <c r="AY100" s="100">
        <v>2592</v>
      </c>
      <c r="AZ100" s="100">
        <v>6</v>
      </c>
      <c r="BA100" s="100">
        <v>1944</v>
      </c>
      <c r="BB100" s="100">
        <v>4.3373573066361306</v>
      </c>
      <c r="BC100" s="100">
        <v>1405.3037673501062</v>
      </c>
      <c r="BD100" s="100">
        <v>5.8696384278419176</v>
      </c>
      <c r="BE100" s="100">
        <v>1901.7628506207814</v>
      </c>
      <c r="BF100" s="100">
        <v>5.4517218925870475E-4</v>
      </c>
      <c r="BG100" s="100">
        <v>0.17663578931982035</v>
      </c>
      <c r="BH100" s="100">
        <v>4.5485359091825342E-4</v>
      </c>
      <c r="BI100" s="100">
        <v>0.14737256345751409</v>
      </c>
      <c r="BJ100" s="100">
        <v>3.9394726962720523E-4</v>
      </c>
      <c r="BK100" s="100">
        <v>0.12763891535921448</v>
      </c>
      <c r="BL100" s="100">
        <v>4.7330656161771154E-4</v>
      </c>
      <c r="BM100" s="100">
        <v>0.15335132596413853</v>
      </c>
      <c r="BN100" s="100">
        <v>5.3615419624665925</v>
      </c>
      <c r="BO100" s="100">
        <v>1737.1395958391761</v>
      </c>
      <c r="BP100" s="100">
        <v>6.0191833559398003</v>
      </c>
      <c r="BQ100" s="100">
        <v>1950.2154073244953</v>
      </c>
      <c r="BR100" s="100">
        <v>4.1698986311508994</v>
      </c>
      <c r="BS100" s="100">
        <v>1351.0471564928914</v>
      </c>
      <c r="BT100" s="100">
        <v>5.0108268806947711</v>
      </c>
      <c r="BU100" s="100">
        <v>1623.5079093451059</v>
      </c>
      <c r="BV100" s="100">
        <v>4.6675609499029989</v>
      </c>
      <c r="BW100" s="100">
        <v>1512.2897477685717</v>
      </c>
      <c r="BX100" s="100">
        <v>5.1773880913049544</v>
      </c>
      <c r="BY100" s="100">
        <v>1677.4737415828051</v>
      </c>
      <c r="BZ100" s="100">
        <v>4.2955081221934028</v>
      </c>
      <c r="CA100" s="100">
        <v>1391.7446315906625</v>
      </c>
      <c r="CB100" s="100">
        <v>5.5034454504414105</v>
      </c>
      <c r="CC100" s="100">
        <v>1783.116325943017</v>
      </c>
      <c r="CD100" s="100">
        <v>6.327786044738331</v>
      </c>
      <c r="CE100" s="100">
        <v>2050.2026784952191</v>
      </c>
      <c r="CF100" s="100">
        <v>5.2937343349387378</v>
      </c>
      <c r="CG100" s="100">
        <v>1715.169924520151</v>
      </c>
      <c r="CH100" s="100">
        <v>5.0672044505896956</v>
      </c>
      <c r="CI100" s="100">
        <v>1641.7742419910614</v>
      </c>
      <c r="CJ100" s="100">
        <v>0.79664690591307719</v>
      </c>
      <c r="CK100" s="100">
        <v>258.113597515837</v>
      </c>
      <c r="CL100" s="100">
        <v>10</v>
      </c>
      <c r="CM100" s="100">
        <v>3240</v>
      </c>
      <c r="CN100" s="100">
        <v>5.6774125164679541</v>
      </c>
      <c r="CO100" s="100">
        <v>1839.4816553356172</v>
      </c>
      <c r="CP100" s="100">
        <v>5.9783094425041652</v>
      </c>
      <c r="CQ100" s="100">
        <v>1936.9722593713495</v>
      </c>
      <c r="CR100" s="100">
        <v>0.88149687222334605</v>
      </c>
      <c r="CS100" s="100">
        <v>285.6049866003641</v>
      </c>
      <c r="CT100" s="100">
        <v>7</v>
      </c>
      <c r="CU100" s="100">
        <v>2268</v>
      </c>
    </row>
    <row r="101" spans="2:99">
      <c r="C101" s="99" t="s">
        <v>267</v>
      </c>
      <c r="D101" s="100">
        <v>5.3863531265483759</v>
      </c>
      <c r="E101" s="100">
        <v>3897.5651223704049</v>
      </c>
      <c r="F101" s="100">
        <v>4.7118173258830236</v>
      </c>
      <c r="G101" s="100">
        <v>3409.4710170089561</v>
      </c>
      <c r="H101" s="100">
        <v>0.36100862891010466</v>
      </c>
      <c r="I101" s="100">
        <v>261.22584387935171</v>
      </c>
      <c r="J101" s="100">
        <v>5.109301190014361</v>
      </c>
      <c r="K101" s="100">
        <v>3697.0903410943915</v>
      </c>
      <c r="L101" s="100">
        <v>5.7566995002040224</v>
      </c>
      <c r="M101" s="100">
        <v>4165.5477583476304</v>
      </c>
      <c r="N101" s="100">
        <v>4.6259318239005882</v>
      </c>
      <c r="O101" s="100">
        <v>3347.3242677744656</v>
      </c>
      <c r="P101" s="100">
        <v>5.6326057653275798</v>
      </c>
      <c r="Q101" s="100">
        <v>4075.7535317910369</v>
      </c>
      <c r="R101" s="100">
        <v>5.0707477163473476</v>
      </c>
      <c r="S101" s="100">
        <v>3669.1930475489407</v>
      </c>
      <c r="T101" s="100">
        <v>4.1962572641136724</v>
      </c>
      <c r="U101" s="100">
        <v>3036.4117563126533</v>
      </c>
      <c r="V101" s="100">
        <v>4.4878443067692269</v>
      </c>
      <c r="W101" s="100">
        <v>3247.4041403782126</v>
      </c>
      <c r="X101" s="100">
        <v>4.9445913712573746E-4</v>
      </c>
      <c r="Y101" s="100">
        <v>0.35779063162418362</v>
      </c>
      <c r="Z101" s="100">
        <v>5.8334060918675839</v>
      </c>
      <c r="AA101" s="100">
        <v>4221.0526480753842</v>
      </c>
      <c r="AB101" s="100">
        <v>4.0524606821543507</v>
      </c>
      <c r="AC101" s="100">
        <v>2932.3605496068881</v>
      </c>
      <c r="AD101" s="100">
        <v>3.7170831085792756E-4</v>
      </c>
      <c r="AE101" s="100">
        <v>0.2689681337367964</v>
      </c>
      <c r="AF101" s="100">
        <v>5.3858470960271181E-4</v>
      </c>
      <c r="AG101" s="100">
        <v>0.38971989586852229</v>
      </c>
      <c r="AH101" s="100">
        <v>4.8811303431179009</v>
      </c>
      <c r="AI101" s="100">
        <v>3531.9859162801131</v>
      </c>
      <c r="AJ101" s="100">
        <v>5.416838776717591</v>
      </c>
      <c r="AK101" s="100">
        <v>3919.6245388328489</v>
      </c>
      <c r="AL101" s="100">
        <v>5.0258350824726259</v>
      </c>
      <c r="AM101" s="100">
        <v>3636.6942656771921</v>
      </c>
      <c r="AN101" s="100">
        <v>0.32521630493472103</v>
      </c>
      <c r="AO101" s="100">
        <v>235.32651825076414</v>
      </c>
      <c r="AP101" s="100">
        <v>9.202293786585475</v>
      </c>
      <c r="AQ101" s="100">
        <v>6658.7797839732502</v>
      </c>
      <c r="AR101" s="100">
        <v>1.7730174558922471</v>
      </c>
      <c r="AS101" s="100">
        <v>1282.9554310836302</v>
      </c>
      <c r="AT101" s="100">
        <v>6.4732218331119427</v>
      </c>
      <c r="AU101" s="100">
        <v>4684.0233184398021</v>
      </c>
      <c r="AV101" s="100">
        <v>4.2831152193044506</v>
      </c>
      <c r="AW101" s="100">
        <v>3099.2621726887005</v>
      </c>
      <c r="AX101" s="100">
        <v>7</v>
      </c>
      <c r="AY101" s="100">
        <v>5065.2</v>
      </c>
      <c r="AZ101" s="100">
        <v>6</v>
      </c>
      <c r="BA101" s="100">
        <v>4341.6000000000004</v>
      </c>
      <c r="BB101" s="100">
        <v>3.6144644221967752</v>
      </c>
      <c r="BC101" s="100">
        <v>2615.4264559015865</v>
      </c>
      <c r="BD101" s="100">
        <v>5.8696384278419176</v>
      </c>
      <c r="BE101" s="100">
        <v>4247.2703663864113</v>
      </c>
      <c r="BF101" s="100">
        <v>4.9561108114427703E-4</v>
      </c>
      <c r="BG101" s="100">
        <v>0.35862417831599885</v>
      </c>
      <c r="BH101" s="100">
        <v>5.053928787980594E-4</v>
      </c>
      <c r="BI101" s="100">
        <v>0.36570228709827579</v>
      </c>
      <c r="BJ101" s="100">
        <v>4.5960514789840617E-4</v>
      </c>
      <c r="BK101" s="100">
        <v>0.3325702850192867</v>
      </c>
      <c r="BL101" s="100">
        <v>4.7273243710264695E-4</v>
      </c>
      <c r="BM101" s="100">
        <v>0.34206919148747533</v>
      </c>
      <c r="BN101" s="100">
        <v>5.3615419624665925</v>
      </c>
      <c r="BO101" s="100">
        <v>3879.6117640408265</v>
      </c>
      <c r="BP101" s="100">
        <v>6.0191833559398003</v>
      </c>
      <c r="BQ101" s="100">
        <v>4355.4810763580399</v>
      </c>
      <c r="BR101" s="100">
        <v>4.8648817363427161</v>
      </c>
      <c r="BS101" s="100">
        <v>3520.2284244175894</v>
      </c>
      <c r="BT101" s="100">
        <v>5.0108268806947711</v>
      </c>
      <c r="BU101" s="100">
        <v>3625.8343308707363</v>
      </c>
      <c r="BV101" s="100">
        <v>4.6675609499029989</v>
      </c>
      <c r="BW101" s="100">
        <v>3377.4471033498103</v>
      </c>
      <c r="BX101" s="100">
        <v>4.5356987106230298</v>
      </c>
      <c r="BY101" s="100">
        <v>3282.0315870068243</v>
      </c>
      <c r="BZ101" s="100">
        <v>4.8324466374675783</v>
      </c>
      <c r="CA101" s="100">
        <v>3496.7583868715396</v>
      </c>
      <c r="CB101" s="100">
        <v>5.0031322276740102</v>
      </c>
      <c r="CC101" s="100">
        <v>3620.266479944914</v>
      </c>
      <c r="CD101" s="100">
        <v>5.7525327679439373</v>
      </c>
      <c r="CE101" s="100">
        <v>4162.532710884233</v>
      </c>
      <c r="CF101" s="100">
        <v>5.8819270388208205</v>
      </c>
      <c r="CG101" s="100">
        <v>4256.1624052907455</v>
      </c>
      <c r="CH101" s="100">
        <v>5.0672044505896956</v>
      </c>
      <c r="CI101" s="100">
        <v>3666.6291404467038</v>
      </c>
      <c r="CJ101" s="100">
        <v>0.89622776915221181</v>
      </c>
      <c r="CK101" s="100">
        <v>648.51041375854049</v>
      </c>
      <c r="CL101" s="100">
        <v>9</v>
      </c>
      <c r="CM101" s="100">
        <v>6512.4000000000005</v>
      </c>
      <c r="CN101" s="100">
        <v>6.6236479358792799</v>
      </c>
      <c r="CO101" s="100">
        <v>4792.8716464022473</v>
      </c>
      <c r="CP101" s="100">
        <v>5.4570098930512687</v>
      </c>
      <c r="CQ101" s="100">
        <v>3948.6923586118983</v>
      </c>
      <c r="CR101" s="100">
        <v>0.80136079293031459</v>
      </c>
      <c r="CS101" s="100">
        <v>579.86466976437566</v>
      </c>
      <c r="CT101" s="100">
        <v>8</v>
      </c>
      <c r="CU101" s="100">
        <v>5788.8</v>
      </c>
    </row>
    <row r="102" spans="2:99">
      <c r="C102" s="99" t="s">
        <v>268</v>
      </c>
      <c r="D102" s="100">
        <v>5.3863531265483759</v>
      </c>
      <c r="E102" s="100">
        <v>2863.3853220731166</v>
      </c>
      <c r="F102" s="100">
        <v>4.7118173258830236</v>
      </c>
      <c r="G102" s="100">
        <v>2504.8020904394157</v>
      </c>
      <c r="H102" s="100">
        <v>0.36100862891010466</v>
      </c>
      <c r="I102" s="100">
        <v>191.91218712861163</v>
      </c>
      <c r="J102" s="100">
        <v>4.6907707398001728</v>
      </c>
      <c r="K102" s="100">
        <v>2493.6137252777721</v>
      </c>
      <c r="L102" s="100">
        <v>5.7566995002040224</v>
      </c>
      <c r="M102" s="100">
        <v>3060.2614543084583</v>
      </c>
      <c r="N102" s="100">
        <v>4.6259318239005882</v>
      </c>
      <c r="O102" s="100">
        <v>2459.1453575855526</v>
      </c>
      <c r="P102" s="100">
        <v>5.6326057653275798</v>
      </c>
      <c r="Q102" s="100">
        <v>2994.2932248481416</v>
      </c>
      <c r="R102" s="100">
        <v>5.0707477163473476</v>
      </c>
      <c r="S102" s="100">
        <v>2695.6094860102503</v>
      </c>
      <c r="T102" s="100">
        <v>4.1962572641136724</v>
      </c>
      <c r="U102" s="100">
        <v>2230.7303616028285</v>
      </c>
      <c r="V102" s="100">
        <v>4.4878443067692269</v>
      </c>
      <c r="W102" s="100">
        <v>2385.7380334785212</v>
      </c>
      <c r="X102" s="100">
        <v>4.9638156258740413E-4</v>
      </c>
      <c r="Y102" s="100">
        <v>0.26387643867146404</v>
      </c>
      <c r="Z102" s="100">
        <v>5.8334060918675839</v>
      </c>
      <c r="AA102" s="100">
        <v>3101.0386784368079</v>
      </c>
      <c r="AB102" s="100">
        <v>4.0524606821543507</v>
      </c>
      <c r="AC102" s="100">
        <v>2154.288098633253</v>
      </c>
      <c r="AD102" s="100">
        <v>3.7170831085792756E-4</v>
      </c>
      <c r="AE102" s="100">
        <v>0.1976001380520743</v>
      </c>
      <c r="AF102" s="100">
        <v>4.8962246327519251E-4</v>
      </c>
      <c r="AG102" s="100">
        <v>0.26028330147709233</v>
      </c>
      <c r="AH102" s="100">
        <v>5.4234781590198891</v>
      </c>
      <c r="AI102" s="100">
        <v>2883.1209893349733</v>
      </c>
      <c r="AJ102" s="100">
        <v>5.4288283406484501</v>
      </c>
      <c r="AK102" s="100">
        <v>2885.9651458887161</v>
      </c>
      <c r="AL102" s="100">
        <v>4.417621031787724</v>
      </c>
      <c r="AM102" s="100">
        <v>2348.4073404983542</v>
      </c>
      <c r="AN102" s="100">
        <v>0.32521630493472103</v>
      </c>
      <c r="AO102" s="100">
        <v>172.8849877032977</v>
      </c>
      <c r="AP102" s="100">
        <v>9.4905755209491875</v>
      </c>
      <c r="AQ102" s="100">
        <v>5045.1899469365881</v>
      </c>
      <c r="AR102" s="100">
        <v>2.1276209470706964</v>
      </c>
      <c r="AS102" s="100">
        <v>1131.0432954627822</v>
      </c>
      <c r="AT102" s="100">
        <v>7.4302016664654031</v>
      </c>
      <c r="AU102" s="100">
        <v>3949.8952058930086</v>
      </c>
      <c r="AV102" s="100">
        <v>3.5692626827537088</v>
      </c>
      <c r="AW102" s="100">
        <v>1897.4200421518717</v>
      </c>
      <c r="AX102" s="100">
        <v>8</v>
      </c>
      <c r="AY102" s="100">
        <v>4252.8</v>
      </c>
      <c r="AZ102" s="100">
        <v>6</v>
      </c>
      <c r="BA102" s="100">
        <v>3189.6000000000004</v>
      </c>
      <c r="BB102" s="100">
        <v>4.3373573066361306</v>
      </c>
      <c r="BC102" s="100">
        <v>2305.7391442077669</v>
      </c>
      <c r="BD102" s="100">
        <v>5.8696384278419176</v>
      </c>
      <c r="BE102" s="100">
        <v>3120.2997882407635</v>
      </c>
      <c r="BF102" s="100">
        <v>4.9561108114427703E-4</v>
      </c>
      <c r="BG102" s="100">
        <v>0.26346685073629766</v>
      </c>
      <c r="BH102" s="100">
        <v>5.053928787980594E-4</v>
      </c>
      <c r="BI102" s="100">
        <v>0.26866685436904841</v>
      </c>
      <c r="BJ102" s="100">
        <v>4.5960514789840617E-4</v>
      </c>
      <c r="BK102" s="100">
        <v>0.24432609662279273</v>
      </c>
      <c r="BL102" s="100">
        <v>4.7273243710264695E-4</v>
      </c>
      <c r="BM102" s="100">
        <v>0.25130456356376712</v>
      </c>
      <c r="BN102" s="100">
        <v>4.8253877662199329</v>
      </c>
      <c r="BO102" s="100">
        <v>2565.1761365225166</v>
      </c>
      <c r="BP102" s="100">
        <v>6.0191833559398003</v>
      </c>
      <c r="BQ102" s="100">
        <v>3199.7978720175979</v>
      </c>
      <c r="BR102" s="100">
        <v>4.1698986311508994</v>
      </c>
      <c r="BS102" s="100">
        <v>2216.7181123198184</v>
      </c>
      <c r="BT102" s="100">
        <v>6.0129922568337255</v>
      </c>
      <c r="BU102" s="100">
        <v>3196.5066837328086</v>
      </c>
      <c r="BV102" s="100">
        <v>4.6675609499029989</v>
      </c>
      <c r="BW102" s="100">
        <v>2481.2754009684345</v>
      </c>
      <c r="BX102" s="100">
        <v>4.5308239277508564</v>
      </c>
      <c r="BY102" s="100">
        <v>2408.5859999923555</v>
      </c>
      <c r="BZ102" s="100">
        <v>4.2955081221934028</v>
      </c>
      <c r="CA102" s="100">
        <v>2283.4921177580131</v>
      </c>
      <c r="CB102" s="100">
        <v>5.5034454504414105</v>
      </c>
      <c r="CC102" s="100">
        <v>2925.6316014546542</v>
      </c>
      <c r="CD102" s="100">
        <v>5.1772794911495437</v>
      </c>
      <c r="CE102" s="100">
        <v>2752.2417774950977</v>
      </c>
      <c r="CF102" s="100">
        <v>5.8819270388208205</v>
      </c>
      <c r="CG102" s="100">
        <v>3126.8324138371481</v>
      </c>
      <c r="CH102" s="100">
        <v>4.3519421905743565</v>
      </c>
      <c r="CI102" s="100">
        <v>2313.4924685093279</v>
      </c>
      <c r="CJ102" s="100">
        <v>0.79664690591307719</v>
      </c>
      <c r="CK102" s="100">
        <v>423.49749518339183</v>
      </c>
      <c r="CL102" s="100">
        <v>9</v>
      </c>
      <c r="CM102" s="100">
        <v>4784.4000000000005</v>
      </c>
      <c r="CN102" s="100">
        <v>5.6774125164679541</v>
      </c>
      <c r="CO102" s="100">
        <v>3018.1124937543646</v>
      </c>
      <c r="CP102" s="100">
        <v>6.4996089919570617</v>
      </c>
      <c r="CQ102" s="100">
        <v>3455.192140124374</v>
      </c>
      <c r="CR102" s="100">
        <v>0.80136079293031459</v>
      </c>
      <c r="CS102" s="100">
        <v>426.00339752175523</v>
      </c>
      <c r="CT102" s="100">
        <v>7</v>
      </c>
      <c r="CU102" s="100">
        <v>3721.2000000000003</v>
      </c>
    </row>
    <row r="103" spans="2:99">
      <c r="C103" s="99" t="s">
        <v>269</v>
      </c>
      <c r="D103" s="100">
        <v>5.3863531265483759</v>
      </c>
      <c r="E103" s="100">
        <v>3173.6392621623027</v>
      </c>
      <c r="F103" s="100">
        <v>5.274037006996557</v>
      </c>
      <c r="G103" s="100">
        <v>3107.4626045223708</v>
      </c>
      <c r="H103" s="100">
        <v>0.36100862891010466</v>
      </c>
      <c r="I103" s="100">
        <v>212.70628415383365</v>
      </c>
      <c r="J103" s="100">
        <v>4.0874409520114892</v>
      </c>
      <c r="K103" s="100">
        <v>2408.320208925169</v>
      </c>
      <c r="L103" s="100">
        <v>5.7566995002040224</v>
      </c>
      <c r="M103" s="100">
        <v>3391.8473455202097</v>
      </c>
      <c r="N103" s="100">
        <v>5.2867792273149581</v>
      </c>
      <c r="O103" s="100">
        <v>3114.970320733973</v>
      </c>
      <c r="P103" s="100">
        <v>5.6326057653275798</v>
      </c>
      <c r="Q103" s="100">
        <v>3318.7313169310096</v>
      </c>
      <c r="R103" s="100">
        <v>4.5073313034198641</v>
      </c>
      <c r="S103" s="100">
        <v>2655.7196039749838</v>
      </c>
      <c r="T103" s="100">
        <v>5.3951879110032932</v>
      </c>
      <c r="U103" s="100">
        <v>3178.8447171631401</v>
      </c>
      <c r="V103" s="100">
        <v>4.4878443067692269</v>
      </c>
      <c r="W103" s="100">
        <v>2644.2378655484281</v>
      </c>
      <c r="X103" s="100">
        <v>4.983039880490708E-4</v>
      </c>
      <c r="Y103" s="100">
        <v>0.29360070975851249</v>
      </c>
      <c r="Z103" s="100">
        <v>5.303096447152349</v>
      </c>
      <c r="AA103" s="100">
        <v>3124.5844266621634</v>
      </c>
      <c r="AB103" s="100">
        <v>4.8559387562706471</v>
      </c>
      <c r="AC103" s="100">
        <v>2861.119115194665</v>
      </c>
      <c r="AD103" s="100">
        <v>4.3365969600091546E-4</v>
      </c>
      <c r="AE103" s="100">
        <v>0.25551229288373933</v>
      </c>
      <c r="AF103" s="100">
        <v>5.3858470960271181E-4</v>
      </c>
      <c r="AG103" s="100">
        <v>0.31733411089791774</v>
      </c>
      <c r="AH103" s="100">
        <v>4.338782527215912</v>
      </c>
      <c r="AI103" s="100">
        <v>2556.4106650356152</v>
      </c>
      <c r="AJ103" s="100">
        <v>5.2969431374090039</v>
      </c>
      <c r="AK103" s="100">
        <v>3120.9588965613848</v>
      </c>
      <c r="AL103" s="100">
        <v>4.4099961424070857</v>
      </c>
      <c r="AM103" s="100">
        <v>2598.3697271062547</v>
      </c>
      <c r="AN103" s="100">
        <v>0.37941902242384123</v>
      </c>
      <c r="AO103" s="100">
        <v>223.55368801212722</v>
      </c>
      <c r="AP103" s="100">
        <v>10.122523165244024</v>
      </c>
      <c r="AQ103" s="100">
        <v>5964.1906489617786</v>
      </c>
      <c r="AR103" s="100">
        <v>1.9503192014814721</v>
      </c>
      <c r="AS103" s="100">
        <v>1149.1280735128832</v>
      </c>
      <c r="AT103" s="100">
        <v>7</v>
      </c>
      <c r="AU103" s="100">
        <v>4124.3999999999996</v>
      </c>
      <c r="AV103" s="100">
        <v>4.2831152193044506</v>
      </c>
      <c r="AW103" s="100">
        <v>2523.611487214182</v>
      </c>
      <c r="AX103" s="100">
        <v>8</v>
      </c>
      <c r="AY103" s="100">
        <v>4713.5999999999995</v>
      </c>
      <c r="AZ103" s="100">
        <v>7</v>
      </c>
      <c r="BA103" s="100">
        <v>4124.3999999999996</v>
      </c>
      <c r="BB103" s="100">
        <v>5.0602501910754851</v>
      </c>
      <c r="BC103" s="100">
        <v>2981.4994125816756</v>
      </c>
      <c r="BD103" s="100">
        <v>5.3360349344017424</v>
      </c>
      <c r="BE103" s="100">
        <v>3143.991783349506</v>
      </c>
      <c r="BF103" s="100">
        <v>5.4517218925870475E-4</v>
      </c>
      <c r="BG103" s="100">
        <v>0.3212154539112288</v>
      </c>
      <c r="BH103" s="100">
        <v>4.5485359091825342E-4</v>
      </c>
      <c r="BI103" s="100">
        <v>0.26799973576903491</v>
      </c>
      <c r="BJ103" s="100">
        <v>3.9394726962720523E-4</v>
      </c>
      <c r="BK103" s="100">
        <v>0.23211373126434931</v>
      </c>
      <c r="BL103" s="100">
        <v>4.0585537410519972E-4</v>
      </c>
      <c r="BM103" s="100">
        <v>0.23912998642278366</v>
      </c>
      <c r="BN103" s="100">
        <v>5.8976961587132513</v>
      </c>
      <c r="BO103" s="100">
        <v>3474.9225767138473</v>
      </c>
      <c r="BP103" s="100">
        <v>6.0191833559398003</v>
      </c>
      <c r="BQ103" s="100">
        <v>3546.5028333197297</v>
      </c>
      <c r="BR103" s="100">
        <v>4.1698986311508994</v>
      </c>
      <c r="BS103" s="100">
        <v>2456.9042734741097</v>
      </c>
      <c r="BT103" s="100">
        <v>5.5119095687642483</v>
      </c>
      <c r="BU103" s="100">
        <v>3247.6171179158946</v>
      </c>
      <c r="BV103" s="100">
        <v>4.6675609499029989</v>
      </c>
      <c r="BW103" s="100">
        <v>2750.1269116828466</v>
      </c>
      <c r="BX103" s="100">
        <v>4.5308239277508564</v>
      </c>
      <c r="BY103" s="100">
        <v>2669.5614582308044</v>
      </c>
      <c r="BZ103" s="100">
        <v>4.8324466374675783</v>
      </c>
      <c r="CA103" s="100">
        <v>2847.2775587958968</v>
      </c>
      <c r="CB103" s="100">
        <v>5.0031322276740102</v>
      </c>
      <c r="CC103" s="100">
        <v>2947.8455085455266</v>
      </c>
      <c r="CD103" s="100">
        <v>5.7525327679439373</v>
      </c>
      <c r="CE103" s="100">
        <v>3389.3923068725676</v>
      </c>
      <c r="CF103" s="100">
        <v>5.8819270388208205</v>
      </c>
      <c r="CG103" s="100">
        <v>3465.6314112732271</v>
      </c>
      <c r="CH103" s="100">
        <v>5.0672044505896956</v>
      </c>
      <c r="CI103" s="100">
        <v>2985.5968622874484</v>
      </c>
      <c r="CJ103" s="100">
        <v>0.79664690591307719</v>
      </c>
      <c r="CK103" s="100">
        <v>469.384356963985</v>
      </c>
      <c r="CL103" s="100">
        <v>9</v>
      </c>
      <c r="CM103" s="100">
        <v>5302.7999999999993</v>
      </c>
      <c r="CN103" s="100">
        <v>5.6774125164679541</v>
      </c>
      <c r="CO103" s="100">
        <v>3345.1314547029183</v>
      </c>
      <c r="CP103" s="100">
        <v>6.4752075521048313</v>
      </c>
      <c r="CQ103" s="100">
        <v>3815.1922897001664</v>
      </c>
      <c r="CR103" s="100">
        <v>0.72122471363728313</v>
      </c>
      <c r="CS103" s="100">
        <v>424.9456012750872</v>
      </c>
      <c r="CT103" s="100">
        <v>7</v>
      </c>
      <c r="CU103" s="100">
        <v>4124.3999999999996</v>
      </c>
    </row>
    <row r="104" spans="2:99">
      <c r="C104" s="99" t="s">
        <v>270</v>
      </c>
      <c r="D104" s="100">
        <v>6.059593178305569</v>
      </c>
      <c r="E104" s="100">
        <v>3832.0867259604415</v>
      </c>
      <c r="F104" s="100">
        <v>4.7118173258830236</v>
      </c>
      <c r="G104" s="100">
        <v>2979.7532768884239</v>
      </c>
      <c r="H104" s="100">
        <v>0.36100862891010466</v>
      </c>
      <c r="I104" s="100">
        <v>228.30185692275018</v>
      </c>
      <c r="J104" s="100">
        <v>5.2109408256803338</v>
      </c>
      <c r="K104" s="100">
        <v>3295.3989781602431</v>
      </c>
      <c r="L104" s="100">
        <v>6.3323694502244248</v>
      </c>
      <c r="M104" s="100">
        <v>4004.5904403219261</v>
      </c>
      <c r="N104" s="100">
        <v>4.6259318239005882</v>
      </c>
      <c r="O104" s="100">
        <v>2925.439285434732</v>
      </c>
      <c r="P104" s="100">
        <v>5.6588532237236153</v>
      </c>
      <c r="Q104" s="100">
        <v>3578.658778682814</v>
      </c>
      <c r="R104" s="100">
        <v>5.0707477163473476</v>
      </c>
      <c r="S104" s="100">
        <v>3206.7408558180623</v>
      </c>
      <c r="T104" s="100">
        <v>4.7957225875584824</v>
      </c>
      <c r="U104" s="100">
        <v>3032.8149643719839</v>
      </c>
      <c r="V104" s="100">
        <v>5.1289649220219733</v>
      </c>
      <c r="W104" s="100">
        <v>3243.5574166866959</v>
      </c>
      <c r="X104" s="100">
        <v>5.4312558001036644E-4</v>
      </c>
      <c r="Y104" s="100">
        <v>0.34347261679855573</v>
      </c>
      <c r="Z104" s="100">
        <v>5.8334060918675839</v>
      </c>
      <c r="AA104" s="100">
        <v>3689.04601249706</v>
      </c>
      <c r="AB104" s="100">
        <v>4.8559387562706471</v>
      </c>
      <c r="AC104" s="100">
        <v>3070.8956694655571</v>
      </c>
      <c r="AD104" s="100">
        <v>4.3365969600091546E-4</v>
      </c>
      <c r="AE104" s="100">
        <v>0.27424639175097892</v>
      </c>
      <c r="AF104" s="100">
        <v>4.8962246327519251E-4</v>
      </c>
      <c r="AG104" s="100">
        <v>0.30963724577523172</v>
      </c>
      <c r="AH104" s="100">
        <v>5.4234781590198891</v>
      </c>
      <c r="AI104" s="100">
        <v>3429.8075877641777</v>
      </c>
      <c r="AJ104" s="100">
        <v>4.9592776193603081</v>
      </c>
      <c r="AK104" s="100">
        <v>3136.2471664834588</v>
      </c>
      <c r="AL104" s="100">
        <v>5.0182101930919876</v>
      </c>
      <c r="AM104" s="100">
        <v>3173.5161261113726</v>
      </c>
      <c r="AN104" s="100">
        <v>0.32521630493472103</v>
      </c>
      <c r="AO104" s="100">
        <v>205.66679124071757</v>
      </c>
      <c r="AP104" s="100">
        <v>10.122523165244024</v>
      </c>
      <c r="AQ104" s="100">
        <v>6401.4836497003207</v>
      </c>
      <c r="AR104" s="100">
        <v>1.9503192014814721</v>
      </c>
      <c r="AS104" s="100">
        <v>1233.381863016883</v>
      </c>
      <c r="AT104" s="100">
        <v>6.4302016664654031</v>
      </c>
      <c r="AU104" s="100">
        <v>4066.4595338727208</v>
      </c>
      <c r="AV104" s="100">
        <v>3.5692626827537088</v>
      </c>
      <c r="AW104" s="100">
        <v>2257.2017205734455</v>
      </c>
      <c r="AX104" s="100">
        <v>8</v>
      </c>
      <c r="AY104" s="100">
        <v>5059.2</v>
      </c>
      <c r="AZ104" s="100">
        <v>6</v>
      </c>
      <c r="BA104" s="100">
        <v>3794.3999999999996</v>
      </c>
      <c r="BB104" s="100">
        <v>4.3373573066361306</v>
      </c>
      <c r="BC104" s="100">
        <v>2742.944760716689</v>
      </c>
      <c r="BD104" s="100">
        <v>5.3360349344017424</v>
      </c>
      <c r="BE104" s="100">
        <v>3374.5084925156616</v>
      </c>
      <c r="BF104" s="100">
        <v>5.4517218925870475E-4</v>
      </c>
      <c r="BG104" s="100">
        <v>0.34476689248720488</v>
      </c>
      <c r="BH104" s="100">
        <v>4.0431430303844749E-4</v>
      </c>
      <c r="BI104" s="100">
        <v>0.25568836524151417</v>
      </c>
      <c r="BJ104" s="100">
        <v>4.5960514789840617E-4</v>
      </c>
      <c r="BK104" s="100">
        <v>0.29065429553095207</v>
      </c>
      <c r="BL104" s="100">
        <v>4.7330656161771154E-4</v>
      </c>
      <c r="BM104" s="100">
        <v>0.29931906956704074</v>
      </c>
      <c r="BN104" s="100">
        <v>4.8253877662199329</v>
      </c>
      <c r="BO104" s="100">
        <v>3051.5752233574854</v>
      </c>
      <c r="BP104" s="100">
        <v>5.4719848690361825</v>
      </c>
      <c r="BQ104" s="100">
        <v>3460.4832311784817</v>
      </c>
      <c r="BR104" s="100">
        <v>4.1698986311508994</v>
      </c>
      <c r="BS104" s="100">
        <v>2637.0438943398285</v>
      </c>
      <c r="BT104" s="100">
        <v>5.5119095687642483</v>
      </c>
      <c r="BU104" s="100">
        <v>3485.7316112865105</v>
      </c>
      <c r="BV104" s="100">
        <v>4.7178664461931623</v>
      </c>
      <c r="BW104" s="100">
        <v>2983.5787405725559</v>
      </c>
      <c r="BX104" s="100">
        <v>5.1773880913049544</v>
      </c>
      <c r="BY104" s="100">
        <v>3274.1802289412531</v>
      </c>
      <c r="BZ104" s="100">
        <v>4.2955081221934028</v>
      </c>
      <c r="CA104" s="100">
        <v>2716.4793364751076</v>
      </c>
      <c r="CB104" s="100">
        <v>6.0037586732088117</v>
      </c>
      <c r="CC104" s="100">
        <v>3796.7769849372526</v>
      </c>
      <c r="CD104" s="100">
        <v>5.3815114237392701</v>
      </c>
      <c r="CE104" s="100">
        <v>3403.2678243727141</v>
      </c>
      <c r="CF104" s="100">
        <v>5.8819270388208205</v>
      </c>
      <c r="CG104" s="100">
        <v>3719.7306593502867</v>
      </c>
      <c r="CH104" s="100">
        <v>5.0672044505896956</v>
      </c>
      <c r="CI104" s="100">
        <v>3204.5000945529232</v>
      </c>
      <c r="CJ104" s="100">
        <v>0.79664690591307719</v>
      </c>
      <c r="CK104" s="100">
        <v>503.79950329943</v>
      </c>
      <c r="CL104" s="100">
        <v>10</v>
      </c>
      <c r="CM104" s="100">
        <v>6324</v>
      </c>
      <c r="CN104" s="100">
        <v>6.6236479358792799</v>
      </c>
      <c r="CO104" s="100">
        <v>4188.7949546500568</v>
      </c>
      <c r="CP104" s="100">
        <v>5.9783094425041652</v>
      </c>
      <c r="CQ104" s="100">
        <v>3780.6828914396337</v>
      </c>
      <c r="CR104" s="100">
        <v>0.72122471363728313</v>
      </c>
      <c r="CS104" s="100">
        <v>456.10250890421781</v>
      </c>
      <c r="CT104" s="100">
        <v>7</v>
      </c>
      <c r="CU104" s="100">
        <v>4426.8</v>
      </c>
    </row>
    <row r="105" spans="2:99">
      <c r="C105" s="99" t="s">
        <v>271</v>
      </c>
      <c r="D105" s="100">
        <v>6.059593178305569</v>
      </c>
      <c r="E105" s="100">
        <v>3373.9814816805406</v>
      </c>
      <c r="F105" s="100">
        <v>4.7118173258830236</v>
      </c>
      <c r="G105" s="100">
        <v>2623.5398870516674</v>
      </c>
      <c r="H105" s="100">
        <v>0.36100862891010466</v>
      </c>
      <c r="I105" s="100">
        <v>201.00960457714626</v>
      </c>
      <c r="J105" s="100">
        <v>5.1924608919228836</v>
      </c>
      <c r="K105" s="100">
        <v>2891.1622246226611</v>
      </c>
      <c r="L105" s="100">
        <v>5.7566995002040224</v>
      </c>
      <c r="M105" s="100">
        <v>3205.3302817135996</v>
      </c>
      <c r="N105" s="100">
        <v>5.2867792273149581</v>
      </c>
      <c r="O105" s="100">
        <v>2943.6786737689686</v>
      </c>
      <c r="P105" s="100">
        <v>5.6326057653275798</v>
      </c>
      <c r="Q105" s="100">
        <v>3136.2348901343962</v>
      </c>
      <c r="R105" s="100">
        <v>5.0707477163473476</v>
      </c>
      <c r="S105" s="100">
        <v>2823.3923284622028</v>
      </c>
      <c r="T105" s="100">
        <v>5.3951879110032932</v>
      </c>
      <c r="U105" s="100">
        <v>3004.0406288466334</v>
      </c>
      <c r="V105" s="100">
        <v>4.4878443067692269</v>
      </c>
      <c r="W105" s="100">
        <v>2498.8317100091053</v>
      </c>
      <c r="X105" s="100">
        <v>4.752348825090707E-4</v>
      </c>
      <c r="Y105" s="100">
        <v>0.26461078258105053</v>
      </c>
      <c r="Z105" s="100">
        <v>4.7727868024371141</v>
      </c>
      <c r="AA105" s="100">
        <v>2657.4876915969849</v>
      </c>
      <c r="AB105" s="100">
        <v>4.8584437785258521</v>
      </c>
      <c r="AC105" s="100">
        <v>2705.1814958831942</v>
      </c>
      <c r="AD105" s="100">
        <v>3.7170831085792756E-4</v>
      </c>
      <c r="AE105" s="100">
        <v>0.20696718748569404</v>
      </c>
      <c r="AF105" s="100">
        <v>4.4066021694767331E-4</v>
      </c>
      <c r="AG105" s="100">
        <v>0.24535960879646448</v>
      </c>
      <c r="AH105" s="100">
        <v>4.8811303431179009</v>
      </c>
      <c r="AI105" s="100">
        <v>2717.813375048047</v>
      </c>
      <c r="AJ105" s="100">
        <v>5.416838776717591</v>
      </c>
      <c r="AK105" s="100">
        <v>3016.0958308763543</v>
      </c>
      <c r="AL105" s="100">
        <v>5.0334599718532642</v>
      </c>
      <c r="AM105" s="100">
        <v>2802.6305123278971</v>
      </c>
      <c r="AN105" s="100">
        <v>0.32521630493472103</v>
      </c>
      <c r="AO105" s="100">
        <v>181.08043858765265</v>
      </c>
      <c r="AP105" s="100">
        <v>10.122523165244024</v>
      </c>
      <c r="AQ105" s="100">
        <v>5636.2208984078725</v>
      </c>
      <c r="AR105" s="100">
        <v>1.9503192014814721</v>
      </c>
      <c r="AS105" s="100">
        <v>1085.9377313848836</v>
      </c>
      <c r="AT105" s="100">
        <v>6.4732218331119427</v>
      </c>
      <c r="AU105" s="100">
        <v>3604.2899166767293</v>
      </c>
      <c r="AV105" s="100">
        <v>4.2831152193044506</v>
      </c>
      <c r="AW105" s="100">
        <v>2384.8385541087177</v>
      </c>
      <c r="AX105" s="100">
        <v>8</v>
      </c>
      <c r="AY105" s="100">
        <v>4454.3999999999996</v>
      </c>
      <c r="AZ105" s="100">
        <v>6</v>
      </c>
      <c r="BA105" s="100">
        <v>3340.7999999999997</v>
      </c>
      <c r="BB105" s="100">
        <v>4.3373573066361306</v>
      </c>
      <c r="BC105" s="100">
        <v>2415.0405483349973</v>
      </c>
      <c r="BD105" s="100">
        <v>6.4032419212820919</v>
      </c>
      <c r="BE105" s="100">
        <v>3565.3251017698685</v>
      </c>
      <c r="BF105" s="100">
        <v>5.4517218925870475E-4</v>
      </c>
      <c r="BG105" s="100">
        <v>0.30355187497924679</v>
      </c>
      <c r="BH105" s="100">
        <v>5.053928787980594E-4</v>
      </c>
      <c r="BI105" s="100">
        <v>0.28140275491475947</v>
      </c>
      <c r="BJ105" s="100">
        <v>4.5960514789840617E-4</v>
      </c>
      <c r="BK105" s="100">
        <v>0.25590814634983255</v>
      </c>
      <c r="BL105" s="100">
        <v>4.7273243710264695E-4</v>
      </c>
      <c r="BM105" s="100">
        <v>0.26321742097875378</v>
      </c>
      <c r="BN105" s="100">
        <v>4.8253877662199329</v>
      </c>
      <c r="BO105" s="100">
        <v>2686.7759082312587</v>
      </c>
      <c r="BP105" s="100">
        <v>5.4719848690361825</v>
      </c>
      <c r="BQ105" s="100">
        <v>3046.8011750793462</v>
      </c>
      <c r="BR105" s="100">
        <v>4.3342219024103645</v>
      </c>
      <c r="BS105" s="100">
        <v>2413.2947552620908</v>
      </c>
      <c r="BT105" s="100">
        <v>5.5119095687642483</v>
      </c>
      <c r="BU105" s="100">
        <v>3069.0312478879332</v>
      </c>
      <c r="BV105" s="100">
        <v>4.6675609499029989</v>
      </c>
      <c r="BW105" s="100">
        <v>2598.8979369059894</v>
      </c>
      <c r="BX105" s="100">
        <v>4.5308239277508564</v>
      </c>
      <c r="BY105" s="100">
        <v>2522.7627629716767</v>
      </c>
      <c r="BZ105" s="100">
        <v>4.8324466374675783</v>
      </c>
      <c r="CA105" s="100">
        <v>2690.7062877419476</v>
      </c>
      <c r="CB105" s="100">
        <v>5.0031322276740102</v>
      </c>
      <c r="CC105" s="100">
        <v>2785.7440243688889</v>
      </c>
      <c r="CD105" s="100">
        <v>5.1772794911495437</v>
      </c>
      <c r="CE105" s="100">
        <v>2882.7092206720658</v>
      </c>
      <c r="CF105" s="100">
        <v>5.2937343349387378</v>
      </c>
      <c r="CG105" s="100">
        <v>2947.551277693889</v>
      </c>
      <c r="CH105" s="100">
        <v>5.0521122929691158</v>
      </c>
      <c r="CI105" s="100">
        <v>2813.0161247252036</v>
      </c>
      <c r="CJ105" s="100">
        <v>0.79664690591307719</v>
      </c>
      <c r="CK105" s="100">
        <v>443.57299721240133</v>
      </c>
      <c r="CL105" s="100">
        <v>9</v>
      </c>
      <c r="CM105" s="100">
        <v>5011.2</v>
      </c>
      <c r="CN105" s="100">
        <v>6.6236479358792799</v>
      </c>
      <c r="CO105" s="100">
        <v>3688.0471706975827</v>
      </c>
      <c r="CP105" s="100">
        <v>5.4570098930512687</v>
      </c>
      <c r="CQ105" s="100">
        <v>3038.463108450946</v>
      </c>
      <c r="CR105" s="100">
        <v>0.88149687222334605</v>
      </c>
      <c r="CS105" s="100">
        <v>490.81745845395903</v>
      </c>
      <c r="CT105" s="100">
        <v>8</v>
      </c>
      <c r="CU105" s="100">
        <v>4454.3999999999996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329.00831207452626</v>
      </c>
      <c r="E109" s="100">
        <f>SUM(L$6:L$19)+SUM(N$6:N$19)+SUM(P$6:P$19)+SUM(R$6:R$19)</f>
        <v>364.42935677283327</v>
      </c>
      <c r="F109" s="100">
        <f>SUM(T$6:T$19)+SUM(V$6:V$19)+SUM(X$6:X$19)+SUM(Z$6:Z$19)</f>
        <v>373</v>
      </c>
      <c r="G109" s="100">
        <f>SUM(AB$6:AB$19)+SUM(AD$6:AD$19)+SUM(AF$6:AF$19)+SUM(AH$6:AH$19)</f>
        <v>342.64045879693367</v>
      </c>
      <c r="H109" s="100">
        <f>SUM(AJ$6:AJ$19)+SUM(AL$6:AL$19)+SUM(AN$6:AN$19)+SUM(AP$6:AP$19)</f>
        <v>419</v>
      </c>
      <c r="I109" s="100">
        <f>SUM(AR$6:AR$19)+SUM(AT$6:AT$19)+SUM(AV$6:AV$19)+SUM(AX$6:AX$19)</f>
        <v>327.08647141941094</v>
      </c>
      <c r="J109" s="100">
        <f>SUM(AZ$6:AZ$19)+SUM(BB$6:BB$19)+SUM(BD$6:BD$19)+SUM(BF$6:BF$19)</f>
        <v>396.23243724600667</v>
      </c>
      <c r="K109" s="100">
        <f>SUM(BH$6:BH$19)+SUM(BJ$6:BJ$19)+SUM(BL$6:BL$19)+SUM(BN$6:BN$19)</f>
        <v>254.22390109015777</v>
      </c>
      <c r="L109" s="100">
        <f>SUM(BP$6:BP$19)+SUM(BR$6:BR$19)+SUM(BT$6:BT$19)+SUM(BV$6:BV$19)</f>
        <v>401.56780512208616</v>
      </c>
      <c r="M109" s="100">
        <f>SUM(BX$6:BX$19)+SUM(BZ$6:BZ$19)+SUM(CB$6:CB$19)+SUM(CD$6:CD$19)</f>
        <v>296.84535964057528</v>
      </c>
      <c r="N109" s="100">
        <f>SUM(CF$6:CF$19)+SUM(CH$6:CH$19)+SUM(CJ$6:CJ$19)+SUM(CL$6:CL$19)</f>
        <v>293.10928454956991</v>
      </c>
      <c r="O109" s="100">
        <f>SUM(CN$6:CN$19)+SUM(CP$6:CP$19)+SUM(CR$6:CR$19)+SUM(CT$6:CT$19)</f>
        <v>485</v>
      </c>
    </row>
    <row r="110" spans="2:99">
      <c r="C110" s="99" t="s">
        <v>127</v>
      </c>
      <c r="D110" s="100">
        <f>SUM(D$20:D$36)+SUM(F$20:F$36)+SUM(H$20:H$36)+SUM(J$20:J$36)</f>
        <v>465.01068695296237</v>
      </c>
      <c r="E110" s="100">
        <f>SUM(L$20:L$36)+SUM(N$20:N$36)+SUM(P$20:P$36)+SUM(R$20:R$36)</f>
        <v>754.87428346413083</v>
      </c>
      <c r="F110" s="100">
        <f>SUM(T$20:T$36)+SUM(V$20:V$36)+SUM(X$20:X$36)+SUM(Z$20:Z$36)</f>
        <v>838</v>
      </c>
      <c r="G110" s="100">
        <f>SUM(AB$20:AB$36)+SUM(AD$20:AD$36)+SUM(AF$20:AF$36)+SUM(AH$20:AH$36)</f>
        <v>773.1097992451771</v>
      </c>
      <c r="H110" s="100">
        <f>SUM(AJ$20:AJ$36)+SUM(AL$20:AL$36)+SUM(AN$20:AN$36)+SUM(AP$20:AP$36)</f>
        <v>704</v>
      </c>
      <c r="I110" s="100">
        <f>SUM(AR$20:AR$36)+SUM(AT$20:AT$36)+SUM(AV$20:AV$36)+SUM(AX$20:AX$36)</f>
        <v>612.32774990627195</v>
      </c>
      <c r="J110" s="100">
        <f>SUM(AZ$20:AZ$36)+SUM(BB$20:BB$36)+SUM(BD$20:BD$36)+SUM(BF$20:BF$36)</f>
        <v>609.34845765228545</v>
      </c>
      <c r="K110" s="100">
        <f>SUM(BH$20:BH$36)+SUM(BJ$20:BJ$36)+SUM(BL$20:BL$36)+SUM(BN$20:BN$36)</f>
        <v>464.65436229483259</v>
      </c>
      <c r="L110" s="100">
        <f>SUM(BP$20:BP$36)+SUM(BR$20:BR$36)+SUM(BT$20:BT$36)+SUM(BV$20:BV$36)</f>
        <v>629.09421990826615</v>
      </c>
      <c r="M110" s="100">
        <f>SUM(BX$20:BX$36)+SUM(BZ$20:BZ$36)+SUM(CB$20:CB$36)+SUM(CD$20:CD$36)</f>
        <v>693.89524756792139</v>
      </c>
      <c r="N110" s="100">
        <f>SUM(CF$20:CF$36)+SUM(CH$20:CH$36)+SUM(CJ$20:CJ$36)+SUM(CL$20:CL$36)</f>
        <v>755.52756818518162</v>
      </c>
      <c r="O110" s="100">
        <f>SUM(CN$20:CN$36)+SUM(CP$20:CP$36)+SUM(CR$20:CR$36)+SUM(CT$20:CT$36)</f>
        <v>749</v>
      </c>
    </row>
    <row r="111" spans="2:99">
      <c r="C111" s="99" t="s">
        <v>128</v>
      </c>
      <c r="D111" s="100">
        <f>SUM(D$37:D$48)+SUM(F$37:F$48)+SUM(H$37:H$48)+SUM(J$37:J$48)</f>
        <v>263.00483457395916</v>
      </c>
      <c r="E111" s="100">
        <f>SUM(L$37:L$48)+SUM(N$37:N$48)+SUM(P$37:P$48)+SUM(R$37:R$48)</f>
        <v>302.80479184492515</v>
      </c>
      <c r="F111" s="100">
        <f>SUM(T$37:T$48)+SUM(V$37:V$48)+SUM(X$37:X$48)+SUM(Z$37:Z$48)</f>
        <v>353</v>
      </c>
      <c r="G111" s="100">
        <f>SUM(AB$37:AB$48)+SUM(AD$37:AD$48)+SUM(AF$37:AF$48)+SUM(AH$37:AH$48)</f>
        <v>277.68356658510237</v>
      </c>
      <c r="H111" s="100">
        <f>SUM(AJ$37:AJ$48)+SUM(AL$37:AL$48)+SUM(AN$37:AN$48)+SUM(AP$37:AP$48)</f>
        <v>319</v>
      </c>
      <c r="I111" s="100">
        <f>SUM(AR$37:AR$48)+SUM(AT$37:AT$48)+SUM(AV$37:AV$48)+SUM(AX$37:AX$48)</f>
        <v>265.75131769138392</v>
      </c>
      <c r="J111" s="100">
        <f>SUM(AZ$37:AZ$48)+SUM(BB$37:BB$48)+SUM(BD$37:BD$48)+SUM(BF$37:BF$48)</f>
        <v>302.7376035648665</v>
      </c>
      <c r="K111" s="100">
        <f>SUM(BH$37:BH$48)+SUM(BJ$37:BJ$48)+SUM(BL$37:BL$48)+SUM(BN$37:BN$48)</f>
        <v>174.0862358975362</v>
      </c>
      <c r="L111" s="100">
        <f>SUM(BP$37:BP$48)+SUM(BR$37:BR$48)+SUM(BT$37:BT$48)+SUM(BV$37:BV$48)</f>
        <v>261.40596952266594</v>
      </c>
      <c r="M111" s="100">
        <f>SUM(BX$37:BX$48)+SUM(BZ$37:BZ$48)+SUM(CB$37:CB$48)+SUM(CD$37:CD$48)</f>
        <v>290.86425306357131</v>
      </c>
      <c r="N111" s="100">
        <f>SUM(CF$37:CF$48)+SUM(CH$37:CH$48)+SUM(CJ$37:CJ$48)+SUM(CL$37:CL$48)</f>
        <v>246.93227738273205</v>
      </c>
      <c r="O111" s="100">
        <f>SUM(CN$37:CN$48)+SUM(CP$37:CP$48)+SUM(CR$37:CR$48)+SUM(CT$37:CT$48)</f>
        <v>289</v>
      </c>
    </row>
    <row r="112" spans="2:99">
      <c r="C112" s="99" t="s">
        <v>129</v>
      </c>
      <c r="D112" s="100">
        <f>SUM(D$49:D$70)+SUM(F$49:F$70)+SUM(H$49:H$70)+SUM(J$49:J$70)</f>
        <v>307.27858279908628</v>
      </c>
      <c r="E112" s="100">
        <f>SUM(L$49:L$70)+SUM(N$49:N$70)+SUM(P$49:P$70)+SUM(R$49:R$70)</f>
        <v>402.53693547886451</v>
      </c>
      <c r="F112" s="100">
        <f>SUM(T$49:T$70)+SUM(V$49:V$70)+SUM(X$49:X$70)+SUM(Z$49:Z$70)</f>
        <v>415.00413627061084</v>
      </c>
      <c r="G112" s="100">
        <f>SUM(AB$49:AB$70)+SUM(AD$49:AD$70)+SUM(AF$49:AF$70)+SUM(AH$49:AH$70)</f>
        <v>366.8694068410648</v>
      </c>
      <c r="H112" s="100">
        <f>SUM(AJ$49:AJ$70)+SUM(AL$49:AL$70)+SUM(AN$49:AN$70)+SUM(AP$49:AP$70)</f>
        <v>481.9062358092271</v>
      </c>
      <c r="I112" s="100">
        <f>SUM(AR$49:AR$70)+SUM(AT$49:AT$70)+SUM(AV$49:AV$70)+SUM(AX$49:AX$70)</f>
        <v>363.99154631897909</v>
      </c>
      <c r="J112" s="100">
        <f>SUM(AZ$49:AZ$70)+SUM(BB$49:BB$70)+SUM(BD$49:BD$70)+SUM(BF$49:BF$70)</f>
        <v>392.71595075719404</v>
      </c>
      <c r="K112" s="100">
        <f>SUM(BH$49:BH$70)+SUM(BJ$49:BJ$70)+SUM(BL$49:BL$70)+SUM(BN$49:BN$70)</f>
        <v>237.72101559965049</v>
      </c>
      <c r="L112" s="100">
        <f>SUM(BP$49:BP$70)+SUM(BR$49:BR$70)+SUM(BT$49:BT$70)+SUM(BV$49:BV$70)</f>
        <v>349.88720799957747</v>
      </c>
      <c r="M112" s="100">
        <f>SUM(BX$49:BX$70)+SUM(BZ$49:BZ$70)+SUM(CB$49:CB$70)+SUM(CD$49:CD$70)</f>
        <v>336.52947580914008</v>
      </c>
      <c r="N112" s="100">
        <f>SUM(CF$49:CF$70)+SUM(CH$49:CH$70)+SUM(CJ$49:CJ$70)+SUM(CL$49:CL$70)</f>
        <v>269.74579905841131</v>
      </c>
      <c r="O112" s="100">
        <f>SUM(CN$49:CN$70)+SUM(CP$49:CP$70)+SUM(CR$49:CR$70)+SUM(CT$49:CT$70)</f>
        <v>463.25294934001425</v>
      </c>
    </row>
    <row r="113" spans="2:15">
      <c r="C113" s="99" t="s">
        <v>130</v>
      </c>
      <c r="D113" s="100">
        <f>SUM(D$71:D$86)+SUM(F$71:F$86)+SUM(H$71:H$86)+SUM(J$71:J$86)</f>
        <v>252.5520401340921</v>
      </c>
      <c r="E113" s="100">
        <f>SUM(L$71:L$86)+SUM(N$71:N$86)+SUM(P$71:P$86)+SUM(R$71:R$86)</f>
        <v>233.43201243631006</v>
      </c>
      <c r="F113" s="100">
        <f>SUM(T$71:T$86)+SUM(V$71:V$86)+SUM(X$71:X$86)+SUM(Z$71:Z$86)</f>
        <v>222.17592574816931</v>
      </c>
      <c r="G113" s="100">
        <f>SUM(AB$71:AB$86)+SUM(AD$71:AD$86)+SUM(AF$71:AF$86)+SUM(AH$71:AH$86)</f>
        <v>145.14419841279957</v>
      </c>
      <c r="H113" s="100">
        <f>SUM(AJ$71:AJ$86)+SUM(AL$71:AL$86)+SUM(AN$71:AN$86)+SUM(AP$71:AP$86)</f>
        <v>260</v>
      </c>
      <c r="I113" s="100">
        <f>SUM(AR$71:AR$86)+SUM(AT$71:AT$86)+SUM(AV$71:AV$86)+SUM(AX$71:AX$86)</f>
        <v>297.96162276827926</v>
      </c>
      <c r="J113" s="100">
        <f>SUM(AZ$71:AZ$86)+SUM(BB$71:BB$86)+SUM(BD$71:BD$86)+SUM(BF$71:BF$86)</f>
        <v>215.27799675587622</v>
      </c>
      <c r="K113" s="100">
        <f>SUM(BH$71:BH$86)+SUM(BJ$71:BJ$86)+SUM(BL$71:BL$86)+SUM(BN$71:BN$86)</f>
        <v>149.1555956086074</v>
      </c>
      <c r="L113" s="100">
        <f>SUM(BP$71:BP$86)+SUM(BR$71:BR$86)+SUM(BT$71:BT$86)+SUM(BV$71:BV$86)</f>
        <v>258.60957576882345</v>
      </c>
      <c r="M113" s="100">
        <f>SUM(BX$71:BX$86)+SUM(BZ$71:BZ$86)+SUM(CB$71:CB$86)+SUM(CD$71:CD$86)</f>
        <v>232.8200169924005</v>
      </c>
      <c r="N113" s="100">
        <f>SUM(CF$71:CF$86)+SUM(CH$71:CH$86)+SUM(CJ$71:CJ$86)+SUM(CL$71:CL$86)</f>
        <v>343.21583026627104</v>
      </c>
      <c r="O113" s="100">
        <f>SUM(CN$71:CN$86)+SUM(CP$71:CP$86)+SUM(CR$71:CR$86)+SUM(CT$71:CT$86)</f>
        <v>252.7226234465486</v>
      </c>
    </row>
    <row r="114" spans="2:15">
      <c r="C114" s="99" t="s">
        <v>131</v>
      </c>
      <c r="D114" s="100">
        <f>SUM(D$87:D$94)+SUM(F$87:F$94)+SUM(H$87:H$94)+SUM(J$87:J$94)</f>
        <v>67.630711038235091</v>
      </c>
      <c r="E114" s="100">
        <f>SUM(L$87:L$94)+SUM(N$87:N$94)+SUM(P$87:P$94)+SUM(R$87:R$94)</f>
        <v>92.198354141621323</v>
      </c>
      <c r="F114" s="100">
        <f>SUM(T$87:T$94)+SUM(V$87:V$94)+SUM(X$87:X$94)+SUM(Z$87:Z$94)</f>
        <v>73.983722360977566</v>
      </c>
      <c r="G114" s="100">
        <f>SUM(AB$87:AB$94)+SUM(AD$87:AD$94)+SUM(AF$87:AF$94)+SUM(AH$87:AH$94)</f>
        <v>54.871806796803668</v>
      </c>
      <c r="H114" s="100">
        <f>SUM(AJ$87:AJ$94)+SUM(AL$87:AL$94)+SUM(AN$87:AN$94)+SUM(AP$87:AP$94)</f>
        <v>99.811986368331418</v>
      </c>
      <c r="I114" s="100">
        <f>SUM(AR$87:AR$94)+SUM(AT$87:AT$94)+SUM(AV$87:AV$94)+SUM(AX$87:AX$94)</f>
        <v>122.3694745448242</v>
      </c>
      <c r="J114" s="100">
        <f>SUM(AZ$87:AZ$94)+SUM(BB$87:BB$94)+SUM(BD$87:BD$94)+SUM(BF$87:BF$94)</f>
        <v>79.972101507654543</v>
      </c>
      <c r="K114" s="100">
        <f>SUM(BH$87:BH$94)+SUM(BJ$87:BJ$94)+SUM(BL$87:BL$94)+SUM(BN$87:BN$94)</f>
        <v>19.945923768117201</v>
      </c>
      <c r="L114" s="100">
        <f>SUM(BP$87:BP$94)+SUM(BR$87:BR$94)+SUM(BT$87:BT$94)+SUM(BV$87:BV$94)</f>
        <v>101.5189839627462</v>
      </c>
      <c r="M114" s="100">
        <f>SUM(BX$87:BX$94)+SUM(BZ$87:BZ$94)+SUM(CB$87:CB$94)+SUM(CD$87:CD$94)</f>
        <v>100.84059688781056</v>
      </c>
      <c r="N114" s="100">
        <f>SUM(CF$87:CF$94)+SUM(CH$87:CH$94)+SUM(CJ$87:CJ$94)+SUM(CL$87:CL$94)</f>
        <v>95.332034332390464</v>
      </c>
      <c r="O114" s="100">
        <f>SUM(CN$87:CN$94)+SUM(CP$87:CP$94)+SUM(CR$87:CR$94)+SUM(CT$87:CT$94)</f>
        <v>99.781704452459934</v>
      </c>
    </row>
    <row r="115" spans="2:15">
      <c r="C115" s="99" t="s">
        <v>132</v>
      </c>
      <c r="D115" s="100">
        <f>SUM(D$95:D$105)+SUM(F$95:F$105)+SUM(H$95:H$105)+SUM(J$95:J$105)</f>
        <v>172.13853120484609</v>
      </c>
      <c r="E115" s="100">
        <f>SUM(L$95:L$105)+SUM(N$95:N$105)+SUM(P$95:P$105)+SUM(R$95:R$105)</f>
        <v>229.43740142149036</v>
      </c>
      <c r="F115" s="100">
        <f>SUM(T$95:T$105)+SUM(V$95:V$105)+SUM(X$95:X$105)+SUM(Z$95:Z$105)</f>
        <v>166.38481664996678</v>
      </c>
      <c r="G115" s="100">
        <f>SUM(AB$95:AB$105)+SUM(AD$95:AD$105)+SUM(AF$95:AF$105)+SUM(AH$95:AH$105)</f>
        <v>103.37134881645984</v>
      </c>
      <c r="H115" s="100">
        <f>SUM(AJ$95:AJ$105)+SUM(AL$95:AL$105)+SUM(AN$95:AN$105)+SUM(AP$95:AP$105)</f>
        <v>219.23378582122012</v>
      </c>
      <c r="I115" s="100">
        <f>SUM(AR$95:AR$105)+SUM(AT$95:AT$105)+SUM(AV$95:AV$105)+SUM(AX$95:AX$105)</f>
        <v>224.35864048939197</v>
      </c>
      <c r="J115" s="100">
        <f>SUM(AZ$95:AZ$105)+SUM(BB$95:BB$105)+SUM(BD$95:BD$105)+SUM(BF$95:BF$105)</f>
        <v>179.28255348447547</v>
      </c>
      <c r="K115" s="100">
        <f>SUM(BH$95:BH$105)+SUM(BJ$95:BJ$105)+SUM(BL$95:BL$105)+SUM(BN$95:BN$105)</f>
        <v>58.755221549170436</v>
      </c>
      <c r="L115" s="100">
        <f>SUM(BP$95:BP$105)+SUM(BR$95:BR$105)+SUM(BT$95:BT$105)+SUM(BV$95:BV$105)</f>
        <v>218.10279258023934</v>
      </c>
      <c r="M115" s="100">
        <f>SUM(BX$95:BX$105)+SUM(BZ$95:BZ$105)+SUM(CB$95:CB$105)+SUM(CD$95:CD$105)</f>
        <v>221.82051274984309</v>
      </c>
      <c r="N115" s="100">
        <f>SUM(CF$95:CF$105)+SUM(CH$95:CH$105)+SUM(CJ$95:CJ$105)+SUM(CL$95:CL$105)</f>
        <v>221.72415600540711</v>
      </c>
      <c r="O115" s="100">
        <f>SUM(CN$95:CN$105)+SUM(CP$95:CP$105)+SUM(CR$95:CR$105)+SUM(CT$95:CT$105)</f>
        <v>217.25887670198179</v>
      </c>
    </row>
    <row r="116" spans="2:15">
      <c r="C116" s="99" t="s">
        <v>278</v>
      </c>
      <c r="D116" s="100">
        <f t="shared" ref="D116:O116" si="0">SUM(D$109:D$115)</f>
        <v>1856.6236987777074</v>
      </c>
      <c r="E116" s="100">
        <f t="shared" si="0"/>
        <v>2379.7131355601755</v>
      </c>
      <c r="F116" s="100">
        <f t="shared" si="0"/>
        <v>2441.5486010297245</v>
      </c>
      <c r="G116" s="100">
        <f t="shared" si="0"/>
        <v>2063.6905854943411</v>
      </c>
      <c r="H116" s="100">
        <f t="shared" si="0"/>
        <v>2502.9520079987783</v>
      </c>
      <c r="I116" s="100">
        <f t="shared" si="0"/>
        <v>2213.8468231385414</v>
      </c>
      <c r="J116" s="100">
        <f t="shared" si="0"/>
        <v>2175.5671009683588</v>
      </c>
      <c r="K116" s="100">
        <f t="shared" si="0"/>
        <v>1358.542255808072</v>
      </c>
      <c r="L116" s="100">
        <f t="shared" si="0"/>
        <v>2220.1865548644046</v>
      </c>
      <c r="M116" s="100">
        <f t="shared" si="0"/>
        <v>2173.6154627112619</v>
      </c>
      <c r="N116" s="100">
        <f t="shared" si="0"/>
        <v>2225.5869497799636</v>
      </c>
      <c r="O116" s="100">
        <f t="shared" si="0"/>
        <v>2556.0161539410051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2500463.1717663994</v>
      </c>
      <c r="E120" s="100">
        <f>E109*pricing!E24*2000</f>
        <v>2769663.1114735329</v>
      </c>
      <c r="F120" s="100">
        <f>F109*pricing!F24*2000</f>
        <v>2834799.9999999995</v>
      </c>
      <c r="G120" s="100">
        <f>G109*pricing!G24*2000</f>
        <v>2604067.4868566957</v>
      </c>
      <c r="H120" s="100">
        <f>H109*pricing!H24*2000</f>
        <v>3184399.9999999995</v>
      </c>
      <c r="I120" s="100">
        <f>I109*pricing!I24*2000</f>
        <v>2485857.1827875231</v>
      </c>
      <c r="J120" s="100">
        <f>J109*pricing!J24*2000</f>
        <v>3011366.5230696504</v>
      </c>
      <c r="K120" s="100">
        <f>K109*pricing!K24*2000</f>
        <v>1932101.648285199</v>
      </c>
      <c r="L120" s="100">
        <f>L109*pricing!L24*2000</f>
        <v>3051915.3189278543</v>
      </c>
      <c r="M120" s="100">
        <f>M109*pricing!M24*2000</f>
        <v>2256024.7332683722</v>
      </c>
      <c r="N120" s="100">
        <f>N109*pricing!N24*2000</f>
        <v>2227630.5625767312</v>
      </c>
      <c r="O120" s="100">
        <f>O109*pricing!O24*2000</f>
        <v>3686000</v>
      </c>
    </row>
    <row r="121" spans="2:15">
      <c r="C121" s="99" t="s">
        <v>127</v>
      </c>
      <c r="D121" s="100">
        <f>D110*pricing!D25*2000</f>
        <v>3534081.2208425142</v>
      </c>
      <c r="E121" s="100">
        <f>E110*pricing!E25*2000</f>
        <v>5737044.5543273939</v>
      </c>
      <c r="F121" s="100">
        <f>F110*pricing!F25*2000</f>
        <v>6368799.9999999991</v>
      </c>
      <c r="G121" s="100">
        <f>G110*pricing!G25*2000</f>
        <v>5875634.4742633458</v>
      </c>
      <c r="H121" s="100">
        <f>H110*pricing!H25*2000</f>
        <v>5350400</v>
      </c>
      <c r="I121" s="100">
        <f>I110*pricing!I25*2000</f>
        <v>4653690.8992876671</v>
      </c>
      <c r="J121" s="100">
        <f>J110*pricing!J25*2000</f>
        <v>4631048.2781573692</v>
      </c>
      <c r="K121" s="100">
        <f>K110*pricing!K25*2000</f>
        <v>3531373.1534407274</v>
      </c>
      <c r="L121" s="100">
        <f>L110*pricing!L25*2000</f>
        <v>4781116.0713028228</v>
      </c>
      <c r="M121" s="100">
        <f>M110*pricing!M25*2000</f>
        <v>5273603.8815162024</v>
      </c>
      <c r="N121" s="100">
        <f>N110*pricing!N25*2000</f>
        <v>5742009.5182073805</v>
      </c>
      <c r="O121" s="100">
        <f>O110*pricing!O25*2000</f>
        <v>5692400</v>
      </c>
    </row>
    <row r="122" spans="2:15">
      <c r="C122" s="99" t="s">
        <v>128</v>
      </c>
      <c r="D122" s="100">
        <f>D111*pricing!D26*2000</f>
        <v>1998836.7427620895</v>
      </c>
      <c r="E122" s="100">
        <f>E111*pricing!E26*2000</f>
        <v>2301316.4180214312</v>
      </c>
      <c r="F122" s="100">
        <f>F111*pricing!F26*2000</f>
        <v>2682799.9999999995</v>
      </c>
      <c r="G122" s="100">
        <f>G111*pricing!G26*2000</f>
        <v>2110395.1060467781</v>
      </c>
      <c r="H122" s="100">
        <f>H111*pricing!H26*2000</f>
        <v>2424400</v>
      </c>
      <c r="I122" s="100">
        <f>I111*pricing!I26*2000</f>
        <v>2019710.0144545177</v>
      </c>
      <c r="J122" s="100">
        <f>J111*pricing!J26*2000</f>
        <v>2300805.7870929851</v>
      </c>
      <c r="K122" s="100">
        <f>K111*pricing!K26*2000</f>
        <v>1323055.3928212752</v>
      </c>
      <c r="L122" s="100">
        <f>L111*pricing!L26*2000</f>
        <v>1986685.3683722611</v>
      </c>
      <c r="M122" s="100">
        <f>M111*pricing!M26*2000</f>
        <v>2210568.3232831419</v>
      </c>
      <c r="N122" s="100">
        <f>N111*pricing!N26*2000</f>
        <v>1876685.3081087635</v>
      </c>
      <c r="O122" s="100">
        <f>O111*pricing!O26*2000</f>
        <v>2196400</v>
      </c>
    </row>
    <row r="123" spans="2:15">
      <c r="C123" s="99" t="s">
        <v>129</v>
      </c>
      <c r="D123" s="100">
        <f>D112*pricing!D27*2000</f>
        <v>2335317.2292730557</v>
      </c>
      <c r="E123" s="100">
        <f>E112*pricing!E27*2000</f>
        <v>3059280.70963937</v>
      </c>
      <c r="F123" s="100">
        <f>F112*pricing!F27*2000</f>
        <v>3154031.4356566425</v>
      </c>
      <c r="G123" s="100">
        <f>G112*pricing!G27*2000</f>
        <v>2788207.4919920922</v>
      </c>
      <c r="H123" s="100">
        <f>H112*pricing!H27*2000</f>
        <v>3662487.3921501259</v>
      </c>
      <c r="I123" s="100">
        <f>I112*pricing!I27*2000</f>
        <v>2766335.7520242413</v>
      </c>
      <c r="J123" s="100">
        <f>J112*pricing!J27*2000</f>
        <v>2984641.2257546745</v>
      </c>
      <c r="K123" s="100">
        <f>K112*pricing!K27*2000</f>
        <v>1806679.7185573436</v>
      </c>
      <c r="L123" s="100">
        <f>L112*pricing!L27*2000</f>
        <v>2659142.7807967886</v>
      </c>
      <c r="M123" s="100">
        <f>M112*pricing!M27*2000</f>
        <v>2557624.0161494641</v>
      </c>
      <c r="N123" s="100">
        <f>N112*pricing!N27*2000</f>
        <v>2050068.0728439256</v>
      </c>
      <c r="O123" s="100">
        <f>O112*pricing!O27*2000</f>
        <v>3520722.4149841079</v>
      </c>
    </row>
    <row r="124" spans="2:15">
      <c r="C124" s="99" t="s">
        <v>130</v>
      </c>
      <c r="D124" s="100">
        <f>D113*pricing!D28*2000</f>
        <v>1919395.5050190999</v>
      </c>
      <c r="E124" s="100">
        <f>E113*pricing!E28*2000</f>
        <v>1774083.2945159564</v>
      </c>
      <c r="F124" s="100">
        <f>F113*pricing!F28*2000</f>
        <v>1688537.0356860866</v>
      </c>
      <c r="G124" s="100">
        <f>G113*pricing!G28*2000</f>
        <v>1103095.9079372766</v>
      </c>
      <c r="H124" s="100">
        <f>H113*pricing!H28*2000</f>
        <v>1976000</v>
      </c>
      <c r="I124" s="100">
        <f>I113*pricing!I28*2000</f>
        <v>2264508.3330389219</v>
      </c>
      <c r="J124" s="100">
        <f>J113*pricing!J28*2000</f>
        <v>1636112.7753446591</v>
      </c>
      <c r="K124" s="100">
        <f>K113*pricing!K28*2000</f>
        <v>1133582.5266254162</v>
      </c>
      <c r="L124" s="100">
        <f>L113*pricing!L28*2000</f>
        <v>1965432.7758430582</v>
      </c>
      <c r="M124" s="100">
        <f>M113*pricing!M28*2000</f>
        <v>1769432.1291422436</v>
      </c>
      <c r="N124" s="100">
        <f>N113*pricing!N28*2000</f>
        <v>2608440.3100236598</v>
      </c>
      <c r="O124" s="100">
        <f>O113*pricing!O28*2000</f>
        <v>1920691.9381937692</v>
      </c>
    </row>
    <row r="125" spans="2:15">
      <c r="C125" s="99" t="s">
        <v>131</v>
      </c>
      <c r="D125" s="100">
        <f>D114*pricing!D29*2000</f>
        <v>513993.40389058669</v>
      </c>
      <c r="E125" s="100">
        <f>E114*pricing!E29*2000</f>
        <v>700707.49147632206</v>
      </c>
      <c r="F125" s="100">
        <f>F114*pricing!F29*2000</f>
        <v>562276.28994342941</v>
      </c>
      <c r="G125" s="100">
        <f>G114*pricing!G29*2000</f>
        <v>417025.73165570782</v>
      </c>
      <c r="H125" s="100">
        <f>H114*pricing!H29*2000</f>
        <v>758571.09639931878</v>
      </c>
      <c r="I125" s="100">
        <f>I114*pricing!I29*2000</f>
        <v>930008.00654066389</v>
      </c>
      <c r="J125" s="100">
        <f>J114*pricing!J29*2000</f>
        <v>607787.97145817452</v>
      </c>
      <c r="K125" s="100">
        <f>K114*pricing!K29*2000</f>
        <v>151589.0206376907</v>
      </c>
      <c r="L125" s="100">
        <f>L114*pricing!L29*2000</f>
        <v>771544.27811687114</v>
      </c>
      <c r="M125" s="100">
        <f>M114*pricing!M29*2000</f>
        <v>766388.53634736023</v>
      </c>
      <c r="N125" s="100">
        <f>N114*pricing!N29*2000</f>
        <v>724523.46092616743</v>
      </c>
      <c r="O125" s="100">
        <f>O114*pricing!O29*2000</f>
        <v>758340.95383869542</v>
      </c>
    </row>
    <row r="126" spans="2:15">
      <c r="C126" s="99" t="s">
        <v>132</v>
      </c>
      <c r="D126" s="100">
        <f>D115*pricing!D30*2000</f>
        <v>1308252.8371568304</v>
      </c>
      <c r="E126" s="100">
        <f>E115*pricing!E30*2000</f>
        <v>1743724.2508033267</v>
      </c>
      <c r="F126" s="100">
        <f>F115*pricing!F30*2000</f>
        <v>1264524.6065397474</v>
      </c>
      <c r="G126" s="100">
        <f>G115*pricing!G30*2000</f>
        <v>785622.25100509473</v>
      </c>
      <c r="H126" s="100">
        <f>H115*pricing!H30*2000</f>
        <v>1666176.7722412727</v>
      </c>
      <c r="I126" s="100">
        <f>I115*pricing!I30*2000</f>
        <v>1705125.6677193791</v>
      </c>
      <c r="J126" s="100">
        <f>J115*pricing!J30*2000</f>
        <v>1362547.4064820134</v>
      </c>
      <c r="K126" s="100">
        <f>K115*pricing!K30*2000</f>
        <v>446539.68377369526</v>
      </c>
      <c r="L126" s="100">
        <f>L115*pricing!L30*2000</f>
        <v>1657581.2236098188</v>
      </c>
      <c r="M126" s="100">
        <f>M115*pricing!M30*2000</f>
        <v>1685835.8968988075</v>
      </c>
      <c r="N126" s="100">
        <f>N115*pricing!N30*2000</f>
        <v>1685103.585641094</v>
      </c>
      <c r="O126" s="100">
        <f>O115*pricing!O30*2000</f>
        <v>1651167.4629350617</v>
      </c>
    </row>
    <row r="127" spans="2:15">
      <c r="C127" s="99" t="s">
        <v>278</v>
      </c>
      <c r="D127" s="100">
        <f t="shared" ref="D127:O127" si="1">SUM(D$120:D$126)</f>
        <v>14110340.110710576</v>
      </c>
      <c r="E127" s="100">
        <f t="shared" si="1"/>
        <v>18085819.830257334</v>
      </c>
      <c r="F127" s="100">
        <f t="shared" si="1"/>
        <v>18555769.367825907</v>
      </c>
      <c r="G127" s="100">
        <f t="shared" si="1"/>
        <v>15684048.449756991</v>
      </c>
      <c r="H127" s="100">
        <f t="shared" si="1"/>
        <v>19022435.260790717</v>
      </c>
      <c r="I127" s="100">
        <f t="shared" si="1"/>
        <v>16825235.855852913</v>
      </c>
      <c r="J127" s="100">
        <f t="shared" si="1"/>
        <v>16534309.967359526</v>
      </c>
      <c r="K127" s="100">
        <f t="shared" si="1"/>
        <v>10324921.144141344</v>
      </c>
      <c r="L127" s="100">
        <f t="shared" si="1"/>
        <v>16873417.816969473</v>
      </c>
      <c r="M127" s="100">
        <f t="shared" si="1"/>
        <v>16519477.516605591</v>
      </c>
      <c r="N127" s="100">
        <f t="shared" si="1"/>
        <v>16914460.818327725</v>
      </c>
      <c r="O127" s="100">
        <f t="shared" si="1"/>
        <v>19425722.76995163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166571.39834402612</v>
      </c>
      <c r="E131" s="106">
        <f>SUM(M$6:M$19)+SUM(O$6:O$19)+SUM(Q$6:Q$19)+SUM(S$6:S$19)</f>
        <v>184414.26453126146</v>
      </c>
      <c r="F131" s="106">
        <f>SUM(U$6:U$19)+SUM(W$6:W$19)+SUM(Y$6:Y$19)+SUM(AA$6:AA$19)</f>
        <v>189416.40000000002</v>
      </c>
      <c r="G131" s="106">
        <f>SUM(AC$6:AC$19)+SUM(AE$6:AE$19)+SUM(AG$6:AG$19)+SUM(AI$6:AI$19)</f>
        <v>171801.50758776654</v>
      </c>
      <c r="H131" s="106">
        <f>SUM(AK$6:AK$19)+SUM(AM$6:AM$19)+SUM(AO$6:AO$19)+SUM(AQ$6:AQ$19)</f>
        <v>212419.20000000001</v>
      </c>
      <c r="I131" s="106">
        <f>SUM(AS$6:AS$19)+SUM(AU$6:AU$19)+SUM(AW$6:AW$19)+SUM(AY$6:AY$19)</f>
        <v>164490.06041062687</v>
      </c>
      <c r="J131" s="106">
        <f>SUM(BA$6:BA$19)+SUM(BC$6:BC$19)+SUM(BE$6:BE$19)+SUM(BG$6:BG$19)</f>
        <v>199859.15259970399</v>
      </c>
      <c r="K131" s="106">
        <f>SUM(BI$6:BI$19)+SUM(BK$6:BK$19)+SUM(BM$6:BM$19)+SUM(BO$6:BO$19)</f>
        <v>128321.8010413303</v>
      </c>
      <c r="L131" s="106">
        <f>SUM(BQ$6:BQ$19)+SUM(BS$6:BS$19)+SUM(BU$6:BU$19)+SUM(BW$6:BW$19)</f>
        <v>201799.30957635411</v>
      </c>
      <c r="M131" s="106">
        <f>SUM(BY$6:BY$19)+SUM(CA$6:CA$19)+SUM(CC$6:CC$19)+SUM(CE$6:CE$19)</f>
        <v>149826.43386536808</v>
      </c>
      <c r="N131" s="106">
        <f>SUM(CG$6:CG$19)+SUM(CI$6:CI$19)+SUM(CK$6:CK$19)+SUM(CM$6:CM$19)</f>
        <v>148058.02577045112</v>
      </c>
      <c r="O131" s="106">
        <f>SUM(CO$6:CO$19)+SUM(CQ$6:CQ$19)+SUM(CS$6:CS$19)+SUM(CU$6:CU$19)</f>
        <v>246074.4</v>
      </c>
    </row>
    <row r="132" spans="2:15">
      <c r="C132" s="105" t="s">
        <v>127</v>
      </c>
      <c r="D132" s="106">
        <f>SUM(E$20:E$36)+SUM(G$20:G$36)+SUM(I$20:I$36)+SUM(K$20:K$36)</f>
        <v>199925.80393933615</v>
      </c>
      <c r="E132" s="106">
        <f>SUM(M$20:M$36)+SUM(O$20:O$36)+SUM(Q$20:Q$36)+SUM(S$20:S$36)</f>
        <v>323140.82323842793</v>
      </c>
      <c r="F132" s="106">
        <f>SUM(U$20:U$36)+SUM(W$20:W$36)+SUM(Y$20:Y$36)+SUM(AA$20:AA$36)</f>
        <v>361910.4</v>
      </c>
      <c r="G132" s="106">
        <f>SUM(AC$20:AC$36)+SUM(AE$20:AE$36)+SUM(AG$20:AG$36)+SUM(AI$20:AI$36)</f>
        <v>329493.10987247439</v>
      </c>
      <c r="H132" s="106">
        <f>SUM(AK$20:AK$36)+SUM(AM$20:AM$36)+SUM(AO$20:AO$36)+SUM(AQ$20:AQ$36)</f>
        <v>300945.60000000003</v>
      </c>
      <c r="I132" s="106">
        <f>SUM(AS$20:AS$36)+SUM(AU$20:AU$36)+SUM(AW$20:AW$36)+SUM(AY$20:AY$36)</f>
        <v>262880.50244063785</v>
      </c>
      <c r="J132" s="106">
        <f>SUM(BA$20:BA$36)+SUM(BC$20:BC$36)+SUM(BE$20:BE$36)+SUM(BG$20:BG$36)</f>
        <v>260831.92491663527</v>
      </c>
      <c r="K132" s="106">
        <f>SUM(BI$20:BI$36)+SUM(BK$20:BK$36)+SUM(BM$20:BM$36)+SUM(BO$20:BO$36)</f>
        <v>199388.73705648707</v>
      </c>
      <c r="L132" s="106">
        <f>SUM(BQ$20:BQ$36)+SUM(BS$20:BS$36)+SUM(BU$20:BU$36)+SUM(BW$20:BW$36)</f>
        <v>269099.29872596555</v>
      </c>
      <c r="M132" s="106">
        <f>SUM(BY$20:BY$36)+SUM(CA$20:CA$36)+SUM(CC$20:CC$36)+SUM(CE$20:CE$36)</f>
        <v>296669.43577938876</v>
      </c>
      <c r="N132" s="106">
        <f>SUM(CG$20:CG$36)+SUM(CI$20:CI$36)+SUM(CK$20:CK$36)+SUM(CM$20:CM$36)</f>
        <v>324452.34127255768</v>
      </c>
      <c r="O132" s="106">
        <f>SUM(CO$20:CO$36)+SUM(CQ$20:CQ$36)+SUM(CS$20:CS$36)+SUM(CU$20:CU$36)</f>
        <v>322063.2</v>
      </c>
    </row>
    <row r="133" spans="2:15">
      <c r="C133" s="105" t="s">
        <v>128</v>
      </c>
      <c r="D133" s="106">
        <f>SUM(E$37:E$48)+SUM(G$37:G$48)+SUM(I$37:I$48)+SUM(K$37:K$48)</f>
        <v>275591.03905099252</v>
      </c>
      <c r="E133" s="106">
        <f>SUM(M$37:M$48)+SUM(O$37:O$48)+SUM(Q$37:Q$48)+SUM(S$37:S$48)</f>
        <v>318997.81017787731</v>
      </c>
      <c r="F133" s="106">
        <f>SUM(U$37:U$48)+SUM(W$37:W$48)+SUM(Y$37:Y$48)+SUM(AA$37:AA$48)</f>
        <v>369325.2</v>
      </c>
      <c r="G133" s="106">
        <f>SUM(AC$37:AC$48)+SUM(AE$37:AE$48)+SUM(AG$37:AG$48)+SUM(AI$37:AI$48)</f>
        <v>291844.06907267135</v>
      </c>
      <c r="H133" s="106">
        <f>SUM(AK$37:AK$48)+SUM(AM$37:AM$48)+SUM(AO$37:AO$48)+SUM(AQ$37:AQ$48)</f>
        <v>335616</v>
      </c>
      <c r="I133" s="106">
        <f>SUM(AS$37:AS$48)+SUM(AU$37:AU$48)+SUM(AW$37:AW$48)+SUM(AY$37:AY$48)</f>
        <v>280515.35573748936</v>
      </c>
      <c r="J133" s="106">
        <f>SUM(BA$37:BA$48)+SUM(BC$37:BC$48)+SUM(BE$37:BE$48)+SUM(BG$37:BG$48)</f>
        <v>317524.99219885637</v>
      </c>
      <c r="K133" s="106">
        <f>SUM(BI$37:BI$48)+SUM(BK$37:BK$48)+SUM(BM$37:BM$48)+SUM(BO$37:BO$48)</f>
        <v>183023.91654259717</v>
      </c>
      <c r="L133" s="106">
        <f>SUM(BQ$37:BQ$48)+SUM(BS$37:BS$48)+SUM(BU$37:BU$48)+SUM(BW$37:BW$48)</f>
        <v>273725.67354012514</v>
      </c>
      <c r="M133" s="106">
        <f>SUM(BY$37:BY$48)+SUM(CA$37:CA$48)+SUM(CC$37:CC$48)+SUM(CE$37:CE$48)</f>
        <v>305173.82109515008</v>
      </c>
      <c r="N133" s="106">
        <f>SUM(CG$37:CG$48)+SUM(CI$37:CI$48)+SUM(CK$37:CK$48)+SUM(CM$37:CM$48)</f>
        <v>258706.4178778269</v>
      </c>
      <c r="O133" s="106">
        <f>SUM(CO$37:CO$48)+SUM(CQ$37:CQ$48)+SUM(CS$37:CS$48)+SUM(CU$37:CU$48)</f>
        <v>304000.80000000005</v>
      </c>
    </row>
    <row r="134" spans="2:15">
      <c r="C134" s="105" t="s">
        <v>129</v>
      </c>
      <c r="D134" s="106">
        <f>SUM(E$49:E$70)+SUM(G$49:G$70)+SUM(I$49:I$70)+SUM(K$49:K$70)</f>
        <v>256950.74746830825</v>
      </c>
      <c r="E134" s="106">
        <f>SUM(M$49:M$70)+SUM(O$49:O$70)+SUM(Q$49:Q$70)+SUM(S$49:S$70)</f>
        <v>330114.17810031393</v>
      </c>
      <c r="F134" s="106">
        <f>SUM(U$49:U$70)+SUM(W$49:W$70)+SUM(Y$49:Y$70)+SUM(AA$49:AA$70)</f>
        <v>339422.44756502978</v>
      </c>
      <c r="G134" s="106">
        <f>SUM(AC$49:AC$70)+SUM(AE$49:AE$70)+SUM(AG$49:AG$70)+SUM(AI$49:AI$70)</f>
        <v>298402.01642834418</v>
      </c>
      <c r="H134" s="106">
        <f>SUM(AK$49:AK$70)+SUM(AM$49:AM$70)+SUM(AO$49:AO$70)+SUM(AQ$49:AQ$70)</f>
        <v>399648.38727279264</v>
      </c>
      <c r="I134" s="106">
        <f>SUM(AS$49:AS$70)+SUM(AU$49:AU$70)+SUM(AW$49:AW$70)+SUM(AY$49:AY$70)</f>
        <v>308311.540065418</v>
      </c>
      <c r="J134" s="106">
        <f>SUM(BA$49:BA$70)+SUM(BC$49:BC$70)+SUM(BE$49:BE$70)+SUM(BG$49:BG$70)</f>
        <v>321663.70377604716</v>
      </c>
      <c r="K134" s="106">
        <f>SUM(BI$49:BI$70)+SUM(BK$49:BK$70)+SUM(BM$49:BM$70)+SUM(BO$49:BO$70)</f>
        <v>193229.58638295508</v>
      </c>
      <c r="L134" s="106">
        <f>SUM(BQ$49:BQ$70)+SUM(BS$49:BS$70)+SUM(BU$49:BU$70)+SUM(BW$49:BW$70)</f>
        <v>293084.32801567088</v>
      </c>
      <c r="M134" s="106">
        <f>SUM(BY$49:BY$70)+SUM(CA$49:CA$70)+SUM(CC$49:CC$70)+SUM(CE$49:CE$70)</f>
        <v>282656.74041251023</v>
      </c>
      <c r="N134" s="106">
        <f>SUM(CG$49:CG$70)+SUM(CI$49:CI$70)+SUM(CK$49:CK$70)+SUM(CM$49:CM$70)</f>
        <v>224092.96433022025</v>
      </c>
      <c r="O134" s="106">
        <f>SUM(CO$49:CO$70)+SUM(CQ$49:CQ$70)+SUM(CS$49:CS$70)+SUM(CU$49:CU$70)</f>
        <v>382589.21177378099</v>
      </c>
    </row>
    <row r="135" spans="2:15">
      <c r="C135" s="105" t="s">
        <v>130</v>
      </c>
      <c r="D135" s="106">
        <f>SUM(E$71:E$86)+SUM(G$71:G$86)+SUM(I$71:I$86)+SUM(K$71:K$86)</f>
        <v>141277.9417143857</v>
      </c>
      <c r="E135" s="106">
        <f>SUM(M$71:M$86)+SUM(O$71:O$86)+SUM(Q$71:Q$86)+SUM(S$71:S$86)</f>
        <v>130198.30447519262</v>
      </c>
      <c r="F135" s="106">
        <f>SUM(U$71:U$86)+SUM(W$71:W$86)+SUM(Y$71:Y$86)+SUM(AA$71:AA$86)</f>
        <v>124415.42424421507</v>
      </c>
      <c r="G135" s="106">
        <f>SUM(AC$71:AC$86)+SUM(AE$71:AE$86)+SUM(AG$71:AG$86)+SUM(AI$71:AI$86)</f>
        <v>80550.723491165583</v>
      </c>
      <c r="H135" s="106">
        <f>SUM(AK$71:AK$86)+SUM(AM$71:AM$86)+SUM(AO$71:AO$86)+SUM(AQ$71:AQ$86)</f>
        <v>145954.79999999999</v>
      </c>
      <c r="I135" s="106">
        <f>SUM(AS$71:AS$86)+SUM(AU$71:AU$86)+SUM(AW$71:AW$86)+SUM(AY$71:AY$86)</f>
        <v>165968.15878870909</v>
      </c>
      <c r="J135" s="106">
        <f>SUM(BA$71:BA$86)+SUM(BC$71:BC$86)+SUM(BE$71:BE$86)+SUM(BG$71:BG$86)</f>
        <v>120473.1246014793</v>
      </c>
      <c r="K135" s="106">
        <f>SUM(BI$71:BI$86)+SUM(BK$71:BK$86)+SUM(BM$71:BM$86)+SUM(BO$71:BO$86)</f>
        <v>83594.056195843033</v>
      </c>
      <c r="L135" s="106">
        <f>SUM(BQ$71:BQ$86)+SUM(BS$71:BS$86)+SUM(BU$71:BU$86)+SUM(BW$71:BW$86)</f>
        <v>142655.75155669163</v>
      </c>
      <c r="M135" s="106">
        <f>SUM(BY$71:BY$86)+SUM(CA$71:CA$86)+SUM(CC$71:CC$86)+SUM(CE$71:CE$86)</f>
        <v>129340.64276599645</v>
      </c>
      <c r="N135" s="106">
        <f>SUM(CG$71:CG$86)+SUM(CI$71:CI$86)+SUM(CK$71:CK$86)+SUM(CM$71:CM$86)</f>
        <v>191784.63402293724</v>
      </c>
      <c r="O135" s="106">
        <f>SUM(CO$71:CO$86)+SUM(CQ$71:CQ$86)+SUM(CS$71:CS$86)+SUM(CU$71:CU$86)</f>
        <v>140615.90208223386</v>
      </c>
    </row>
    <row r="136" spans="2:15">
      <c r="C136" s="105" t="s">
        <v>131</v>
      </c>
      <c r="D136" s="106">
        <f>SUM(E$87:E$94)+SUM(G$87:G$94)+SUM(I$87:I$94)+SUM(K$87:K$94)</f>
        <v>68016.353241705714</v>
      </c>
      <c r="E136" s="106">
        <f>SUM(M$87:M$94)+SUM(O$87:O$94)+SUM(Q$87:Q$94)+SUM(S$87:S$94)</f>
        <v>92505.427928676741</v>
      </c>
      <c r="F136" s="106">
        <f>SUM(U$87:U$94)+SUM(W$87:W$94)+SUM(Y$87:Y$94)+SUM(AA$87:AA$94)</f>
        <v>74393.061044811824</v>
      </c>
      <c r="G136" s="106">
        <f>SUM(AC$87:AC$94)+SUM(AE$87:AE$94)+SUM(AG$87:AG$94)+SUM(AI$87:AI$94)</f>
        <v>55066.490814494638</v>
      </c>
      <c r="H136" s="106">
        <f>SUM(AK$87:AK$94)+SUM(AM$87:AM$94)+SUM(AO$87:AO$94)+SUM(AQ$87:AQ$94)</f>
        <v>100400.13340063521</v>
      </c>
      <c r="I136" s="106">
        <f>SUM(AS$87:AS$94)+SUM(AU$87:AU$94)+SUM(AW$87:AW$94)+SUM(AY$87:AY$94)</f>
        <v>123095.27222326229</v>
      </c>
      <c r="J136" s="106">
        <f>SUM(BA$87:BA$94)+SUM(BC$87:BC$94)+SUM(BE$87:BE$94)+SUM(BG$87:BG$94)</f>
        <v>80132.977194473162</v>
      </c>
      <c r="K136" s="106">
        <f>SUM(BI$87:BI$94)+SUM(BK$87:BK$94)+SUM(BM$87:BM$94)+SUM(BO$87:BO$94)</f>
        <v>20071.621666942592</v>
      </c>
      <c r="L136" s="106">
        <f>SUM(BQ$87:BQ$94)+SUM(BS$87:BS$94)+SUM(BU$87:BU$94)+SUM(BW$87:BW$94)</f>
        <v>101831.11499757966</v>
      </c>
      <c r="M136" s="106">
        <f>SUM(BY$87:BY$94)+SUM(CA$87:CA$94)+SUM(CC$87:CC$94)+SUM(CE$87:CE$94)</f>
        <v>100889.32445825994</v>
      </c>
      <c r="N136" s="106">
        <f>SUM(CG$87:CG$94)+SUM(CI$87:CI$94)+SUM(CK$87:CK$94)+SUM(CM$87:CM$94)</f>
        <v>95405.619097658942</v>
      </c>
      <c r="O136" s="106">
        <f>SUM(CO$87:CO$94)+SUM(CQ$87:CQ$94)+SUM(CS$87:CS$94)+SUM(CU$87:CU$94)</f>
        <v>100104.40855678098</v>
      </c>
    </row>
    <row r="137" spans="2:15">
      <c r="C137" s="105" t="s">
        <v>132</v>
      </c>
      <c r="D137" s="106">
        <f>SUM(E$95:E$105)+SUM(G$95:G$105)+SUM(I$95:I$105)+SUM(K$95:K$105)</f>
        <v>138253.06715207573</v>
      </c>
      <c r="E137" s="106">
        <f>SUM(M$95:M$105)+SUM(O$95:O$105)+SUM(Q$95:Q$105)+SUM(S$95:S$105)</f>
        <v>188578.52378027304</v>
      </c>
      <c r="F137" s="106">
        <f>SUM(U$95:U$105)+SUM(W$95:W$105)+SUM(Y$95:Y$105)+SUM(AA$95:AA$105)</f>
        <v>137222.40601878177</v>
      </c>
      <c r="G137" s="106">
        <f>SUM(AC$95:AC$105)+SUM(AE$95:AE$105)+SUM(AG$95:AG$105)+SUM(AI$95:AI$105)</f>
        <v>85782.347850603503</v>
      </c>
      <c r="H137" s="106">
        <f>SUM(AK$95:AK$105)+SUM(AM$95:AM$105)+SUM(AO$95:AO$105)+SUM(AQ$95:AQ$105)</f>
        <v>175446.83000086958</v>
      </c>
      <c r="I137" s="106">
        <f>SUM(AS$95:AS$105)+SUM(AU$95:AU$105)+SUM(AW$95:AW$105)+SUM(AY$95:AY$105)</f>
        <v>181366.80210645674</v>
      </c>
      <c r="J137" s="106">
        <f>SUM(BA$95:BA$105)+SUM(BC$95:BC$105)+SUM(BE$95:BE$105)+SUM(BG$95:BG$105)</f>
        <v>144079.45921130708</v>
      </c>
      <c r="K137" s="106">
        <f>SUM(BI$95:BI$105)+SUM(BK$95:BK$105)+SUM(BM$95:BM$105)+SUM(BO$95:BO$105)</f>
        <v>48690.35508337315</v>
      </c>
      <c r="L137" s="106">
        <f>SUM(BQ$95:BQ$105)+SUM(BS$95:BS$105)+SUM(BU$95:BU$105)+SUM(BW$95:BW$105)</f>
        <v>178023.44836707556</v>
      </c>
      <c r="M137" s="106">
        <f>SUM(BY$95:BY$105)+SUM(CA$95:CA$105)+SUM(CC$95:CC$105)+SUM(CE$95:CE$105)</f>
        <v>181009.46037331497</v>
      </c>
      <c r="N137" s="106">
        <f>SUM(CG$95:CG$105)+SUM(CI$95:CI$105)+SUM(CK$95:CK$105)+SUM(CM$95:CM$105)</f>
        <v>177970.36647774992</v>
      </c>
      <c r="O137" s="106">
        <f>SUM(CO$95:CO$105)+SUM(CQ$95:CQ$105)+SUM(CS$95:CS$105)+SUM(CU$95:CU$105)</f>
        <v>177284.21745108053</v>
      </c>
    </row>
    <row r="138" spans="2:15">
      <c r="C138" s="105" t="s">
        <v>278</v>
      </c>
      <c r="D138" s="100">
        <f t="shared" ref="D138:O138" si="2">SUM(D$131:D$137)</f>
        <v>1246586.3509108303</v>
      </c>
      <c r="E138" s="100">
        <f t="shared" si="2"/>
        <v>1567949.3322320231</v>
      </c>
      <c r="F138" s="100">
        <f t="shared" si="2"/>
        <v>1596105.3388728383</v>
      </c>
      <c r="G138" s="100">
        <f t="shared" si="2"/>
        <v>1312940.2651175202</v>
      </c>
      <c r="H138" s="100">
        <f t="shared" si="2"/>
        <v>1670430.9506742973</v>
      </c>
      <c r="I138" s="100">
        <f t="shared" si="2"/>
        <v>1486627.6917726004</v>
      </c>
      <c r="J138" s="100">
        <f t="shared" si="2"/>
        <v>1444565.3344985023</v>
      </c>
      <c r="K138" s="100">
        <f t="shared" si="2"/>
        <v>856320.07396952843</v>
      </c>
      <c r="L138" s="100">
        <f t="shared" si="2"/>
        <v>1460218.9247794626</v>
      </c>
      <c r="M138" s="100">
        <f t="shared" si="2"/>
        <v>1445565.8587499885</v>
      </c>
      <c r="N138" s="100">
        <f t="shared" si="2"/>
        <v>1420470.3688494021</v>
      </c>
      <c r="O138" s="100">
        <f t="shared" si="2"/>
        <v>1672732.1398638764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6.0003562015508711</v>
      </c>
      <c r="E6" s="100">
        <v>3470.6060269770237</v>
      </c>
      <c r="F6" s="100">
        <v>6</v>
      </c>
      <c r="G6" s="100">
        <v>3470.3999999999996</v>
      </c>
      <c r="H6" s="100">
        <v>8</v>
      </c>
      <c r="I6" s="100">
        <v>4627.2</v>
      </c>
      <c r="J6" s="100">
        <v>0.19961847756053619</v>
      </c>
      <c r="K6" s="100">
        <v>115.45932742101412</v>
      </c>
      <c r="L6" s="100">
        <v>6</v>
      </c>
      <c r="M6" s="100">
        <v>3470.3999999999996</v>
      </c>
      <c r="N6" s="100">
        <v>0.75207237483049105</v>
      </c>
      <c r="O6" s="100">
        <v>434.99866160195603</v>
      </c>
      <c r="P6" s="100">
        <v>5.5252514822037675</v>
      </c>
      <c r="Q6" s="100">
        <v>3195.8054573066588</v>
      </c>
      <c r="R6" s="100">
        <v>8.7533726326324732</v>
      </c>
      <c r="S6" s="100">
        <v>5062.9507307146223</v>
      </c>
      <c r="T6" s="100">
        <v>7</v>
      </c>
      <c r="U6" s="100">
        <v>4048.7999999999997</v>
      </c>
      <c r="V6" s="100">
        <v>2.7770224323596149</v>
      </c>
      <c r="W6" s="100">
        <v>1606.2297748768012</v>
      </c>
      <c r="X6" s="100">
        <v>6</v>
      </c>
      <c r="Y6" s="100">
        <v>3470.3999999999996</v>
      </c>
      <c r="Z6" s="100">
        <v>9</v>
      </c>
      <c r="AA6" s="100">
        <v>5205.5999999999995</v>
      </c>
      <c r="AB6" s="100">
        <v>1.1966304551194176</v>
      </c>
      <c r="AC6" s="100">
        <v>692.13105524107107</v>
      </c>
      <c r="AD6" s="100">
        <v>9.1699974803217508</v>
      </c>
      <c r="AE6" s="100">
        <v>5303.9265426181</v>
      </c>
      <c r="AF6" s="100">
        <v>2.2486834568705079</v>
      </c>
      <c r="AG6" s="100">
        <v>1300.6385114539016</v>
      </c>
      <c r="AH6" s="100">
        <v>10.149772746337746</v>
      </c>
      <c r="AI6" s="100">
        <v>5870.6285564817517</v>
      </c>
      <c r="AJ6" s="100">
        <v>7</v>
      </c>
      <c r="AK6" s="100">
        <v>4048.7999999999997</v>
      </c>
      <c r="AL6" s="100">
        <v>7</v>
      </c>
      <c r="AM6" s="100">
        <v>4048.7999999999997</v>
      </c>
      <c r="AN6" s="100">
        <v>4.6554143672652843</v>
      </c>
      <c r="AO6" s="100">
        <v>2692.6916700262404</v>
      </c>
      <c r="AP6" s="100">
        <v>7.5037265678970142</v>
      </c>
      <c r="AQ6" s="100">
        <v>4340.1554468716331</v>
      </c>
      <c r="AR6" s="100">
        <v>6.2133130679211768E-4</v>
      </c>
      <c r="AS6" s="100">
        <v>0.35937802784856082</v>
      </c>
      <c r="AT6" s="100">
        <v>6.0004104948067463</v>
      </c>
      <c r="AU6" s="100">
        <v>3470.6374301962219</v>
      </c>
      <c r="AV6" s="100">
        <v>9</v>
      </c>
      <c r="AW6" s="100">
        <v>5205.5999999999995</v>
      </c>
      <c r="AX6" s="100">
        <v>6.2326338713831646</v>
      </c>
      <c r="AY6" s="100">
        <v>3604.9554312080222</v>
      </c>
      <c r="AZ6" s="100">
        <v>5.0728357410293219</v>
      </c>
      <c r="BA6" s="100">
        <v>2934.1281926113597</v>
      </c>
      <c r="BB6" s="100">
        <v>5.3030386830727316</v>
      </c>
      <c r="BC6" s="100">
        <v>3067.2775742892677</v>
      </c>
      <c r="BD6" s="100">
        <v>7.7068747243829856</v>
      </c>
      <c r="BE6" s="100">
        <v>4457.6563405831184</v>
      </c>
      <c r="BF6" s="100">
        <v>4.3211026475495844</v>
      </c>
      <c r="BG6" s="100">
        <v>2499.3257713426797</v>
      </c>
      <c r="BH6" s="100">
        <v>7.0742980795675807</v>
      </c>
      <c r="BI6" s="100">
        <v>4091.7740092218887</v>
      </c>
      <c r="BJ6" s="100">
        <v>2.1481359169867575</v>
      </c>
      <c r="BK6" s="100">
        <v>1242.4818143851405</v>
      </c>
      <c r="BL6" s="100">
        <v>4.3712163088284397</v>
      </c>
      <c r="BM6" s="100">
        <v>2528.3115130263695</v>
      </c>
      <c r="BN6" s="100">
        <v>9.2203544062966767</v>
      </c>
      <c r="BO6" s="100">
        <v>5333.0529886019976</v>
      </c>
      <c r="BP6" s="100">
        <v>1.5755848505569938</v>
      </c>
      <c r="BQ6" s="100">
        <v>911.31827756216524</v>
      </c>
      <c r="BR6" s="100">
        <v>8.2966011430989468</v>
      </c>
      <c r="BS6" s="100">
        <v>4798.7541011684307</v>
      </c>
      <c r="BT6" s="100">
        <v>6.627085112755819</v>
      </c>
      <c r="BU6" s="100">
        <v>3833.1060292179654</v>
      </c>
      <c r="BV6" s="100">
        <v>9.5734957392548878</v>
      </c>
      <c r="BW6" s="100">
        <v>5537.3099355850272</v>
      </c>
      <c r="BX6" s="100">
        <v>6.3922434068280749</v>
      </c>
      <c r="BY6" s="100">
        <v>3697.2735865093582</v>
      </c>
      <c r="BZ6" s="100">
        <v>2.0047579381794796</v>
      </c>
      <c r="CA6" s="100">
        <v>1159.5519914430108</v>
      </c>
      <c r="CB6" s="100">
        <v>3.5460907229136103</v>
      </c>
      <c r="CC6" s="100">
        <v>2051.0588741332322</v>
      </c>
      <c r="CD6" s="100">
        <v>7.876690280601566</v>
      </c>
      <c r="CE6" s="100">
        <v>4555.8776582999453</v>
      </c>
      <c r="CF6" s="100">
        <v>2.222852371533627</v>
      </c>
      <c r="CG6" s="100">
        <v>1285.6978116950497</v>
      </c>
      <c r="CH6" s="100">
        <v>1.6571389561908239</v>
      </c>
      <c r="CI6" s="100">
        <v>958.48917226077253</v>
      </c>
      <c r="CJ6" s="100">
        <v>10.64708332667845</v>
      </c>
      <c r="CK6" s="100">
        <v>6158.2729961508148</v>
      </c>
      <c r="CL6" s="100">
        <v>5.7522427218878853</v>
      </c>
      <c r="CM6" s="100">
        <v>3327.0971903399527</v>
      </c>
      <c r="CN6" s="100">
        <v>7</v>
      </c>
      <c r="CO6" s="100">
        <v>4048.7999999999997</v>
      </c>
      <c r="CP6" s="100">
        <v>3.2825903231246389</v>
      </c>
      <c r="CQ6" s="100">
        <v>1898.6502428952911</v>
      </c>
      <c r="CR6" s="100">
        <v>8.0190678526315047</v>
      </c>
      <c r="CS6" s="100">
        <v>4638.2288459620622</v>
      </c>
      <c r="CT6" s="100">
        <v>8</v>
      </c>
      <c r="CU6" s="100">
        <v>4627.2</v>
      </c>
    </row>
    <row r="7" spans="1:99">
      <c r="C7" s="99" t="s">
        <v>173</v>
      </c>
      <c r="D7" s="100">
        <v>7.0004749354011615</v>
      </c>
      <c r="E7" s="100">
        <v>5519.1744390702752</v>
      </c>
      <c r="F7" s="100">
        <v>6</v>
      </c>
      <c r="G7" s="100">
        <v>4730.3999999999996</v>
      </c>
      <c r="H7" s="100">
        <v>8</v>
      </c>
      <c r="I7" s="100">
        <v>6307.2</v>
      </c>
      <c r="J7" s="100">
        <v>0.23954217307264342</v>
      </c>
      <c r="K7" s="100">
        <v>188.85504925047206</v>
      </c>
      <c r="L7" s="100">
        <v>6</v>
      </c>
      <c r="M7" s="100">
        <v>4730.3999999999996</v>
      </c>
      <c r="N7" s="100">
        <v>0.66850877762710315</v>
      </c>
      <c r="O7" s="100">
        <v>527.05232028120815</v>
      </c>
      <c r="P7" s="100">
        <v>5.5252514822037675</v>
      </c>
      <c r="Q7" s="100">
        <v>4356.10826856945</v>
      </c>
      <c r="R7" s="100">
        <v>8.7533726326324732</v>
      </c>
      <c r="S7" s="100">
        <v>6901.1589835674413</v>
      </c>
      <c r="T7" s="100">
        <v>7</v>
      </c>
      <c r="U7" s="100">
        <v>5518.8</v>
      </c>
      <c r="V7" s="100">
        <v>3.4712780404495187</v>
      </c>
      <c r="W7" s="100">
        <v>2736.7556070904006</v>
      </c>
      <c r="X7" s="100">
        <v>6</v>
      </c>
      <c r="Y7" s="100">
        <v>4730.3999999999996</v>
      </c>
      <c r="Z7" s="100">
        <v>9</v>
      </c>
      <c r="AA7" s="100">
        <v>7095.5999999999995</v>
      </c>
      <c r="AB7" s="100">
        <v>1.1966304551194176</v>
      </c>
      <c r="AC7" s="100">
        <v>943.42345081614883</v>
      </c>
      <c r="AD7" s="100">
        <v>8.1699974803217508</v>
      </c>
      <c r="AE7" s="100">
        <v>6441.2260134856679</v>
      </c>
      <c r="AF7" s="100">
        <v>2.2486834568705079</v>
      </c>
      <c r="AG7" s="100">
        <v>1772.8620373967083</v>
      </c>
      <c r="AH7" s="100">
        <v>11.129442829766653</v>
      </c>
      <c r="AI7" s="100">
        <v>8774.4527269880291</v>
      </c>
      <c r="AJ7" s="100">
        <v>7</v>
      </c>
      <c r="AK7" s="100">
        <v>5518.8</v>
      </c>
      <c r="AL7" s="100">
        <v>6</v>
      </c>
      <c r="AM7" s="100">
        <v>4730.3999999999996</v>
      </c>
      <c r="AN7" s="100">
        <v>4.6554143672652843</v>
      </c>
      <c r="AO7" s="100">
        <v>3670.3286871519499</v>
      </c>
      <c r="AP7" s="100">
        <v>6.8215696071791028</v>
      </c>
      <c r="AQ7" s="100">
        <v>5378.125478300004</v>
      </c>
      <c r="AR7" s="100">
        <v>5.645157838845968E-4</v>
      </c>
      <c r="AS7" s="100">
        <v>0.44506424401461608</v>
      </c>
      <c r="AT7" s="100">
        <v>6.0004104948067463</v>
      </c>
      <c r="AU7" s="100">
        <v>4730.7236341056387</v>
      </c>
      <c r="AV7" s="100">
        <v>8</v>
      </c>
      <c r="AW7" s="100">
        <v>6307.2</v>
      </c>
      <c r="AX7" s="100">
        <v>5.4535546374602699</v>
      </c>
      <c r="AY7" s="100">
        <v>4299.5824761736767</v>
      </c>
      <c r="AZ7" s="100">
        <v>5.0728357410293219</v>
      </c>
      <c r="BA7" s="100">
        <v>3999.4236982275174</v>
      </c>
      <c r="BB7" s="100">
        <v>4.5454617283480561</v>
      </c>
      <c r="BC7" s="100">
        <v>3583.6420266296072</v>
      </c>
      <c r="BD7" s="100">
        <v>6.842615243047975</v>
      </c>
      <c r="BE7" s="100">
        <v>5394.7178576190236</v>
      </c>
      <c r="BF7" s="100">
        <v>4.3211026475495844</v>
      </c>
      <c r="BG7" s="100">
        <v>3406.7573273280923</v>
      </c>
      <c r="BH7" s="100">
        <v>7.0742980795675807</v>
      </c>
      <c r="BI7" s="100">
        <v>5577.3766059310801</v>
      </c>
      <c r="BJ7" s="100">
        <v>2.3554231280160765</v>
      </c>
      <c r="BK7" s="100">
        <v>1857.0155941278747</v>
      </c>
      <c r="BL7" s="100">
        <v>4.8045225421248876</v>
      </c>
      <c r="BM7" s="100">
        <v>3787.8855722112612</v>
      </c>
      <c r="BN7" s="100">
        <v>9.2203544062966767</v>
      </c>
      <c r="BO7" s="100">
        <v>7269.3274139242994</v>
      </c>
      <c r="BP7" s="100">
        <v>1.3654304084747635</v>
      </c>
      <c r="BQ7" s="100">
        <v>1076.5053340415036</v>
      </c>
      <c r="BR7" s="100">
        <v>7.3086943262482338</v>
      </c>
      <c r="BS7" s="100">
        <v>5762.1746068141074</v>
      </c>
      <c r="BT7" s="100">
        <v>5.4542064868563953</v>
      </c>
      <c r="BU7" s="100">
        <v>4300.096394237582</v>
      </c>
      <c r="BV7" s="100">
        <v>9.5734957392548878</v>
      </c>
      <c r="BW7" s="100">
        <v>7547.7440408285538</v>
      </c>
      <c r="BX7" s="100">
        <v>6.3922434068280749</v>
      </c>
      <c r="BY7" s="100">
        <v>5039.6447019432544</v>
      </c>
      <c r="BZ7" s="100">
        <v>2.009582874844174</v>
      </c>
      <c r="CA7" s="100">
        <v>1584.3551385271467</v>
      </c>
      <c r="CB7" s="100">
        <v>3.6253592734958806</v>
      </c>
      <c r="CC7" s="100">
        <v>2858.2332512241524</v>
      </c>
      <c r="CD7" s="100">
        <v>8.8766902806015668</v>
      </c>
      <c r="CE7" s="100">
        <v>6998.3826172262752</v>
      </c>
      <c r="CF7" s="100">
        <v>2.5404027103241451</v>
      </c>
      <c r="CG7" s="100">
        <v>2002.8534968195559</v>
      </c>
      <c r="CH7" s="100">
        <v>1.8983984134218925</v>
      </c>
      <c r="CI7" s="100">
        <v>1496.6973091418199</v>
      </c>
      <c r="CJ7" s="100">
        <v>11.77649999201414</v>
      </c>
      <c r="CK7" s="100">
        <v>9284.5925937039465</v>
      </c>
      <c r="CL7" s="100">
        <v>6.3913808020976504</v>
      </c>
      <c r="CM7" s="100">
        <v>5038.964624373787</v>
      </c>
      <c r="CN7" s="100">
        <v>7</v>
      </c>
      <c r="CO7" s="100">
        <v>5518.8</v>
      </c>
      <c r="CP7" s="100">
        <v>3.2825903231246389</v>
      </c>
      <c r="CQ7" s="100">
        <v>2587.9942107514653</v>
      </c>
      <c r="CR7" s="100">
        <v>7.3508121982455465</v>
      </c>
      <c r="CS7" s="100">
        <v>5795.3803370967889</v>
      </c>
      <c r="CT7" s="100">
        <v>8</v>
      </c>
      <c r="CU7" s="100">
        <v>6307.2</v>
      </c>
    </row>
    <row r="8" spans="1:99">
      <c r="C8" s="99" t="s">
        <v>174</v>
      </c>
      <c r="D8" s="100">
        <v>7.0004155684760168</v>
      </c>
      <c r="E8" s="100">
        <v>2167.3286600001748</v>
      </c>
      <c r="F8" s="100">
        <v>6</v>
      </c>
      <c r="G8" s="100">
        <v>1857.6</v>
      </c>
      <c r="H8" s="100">
        <v>9</v>
      </c>
      <c r="I8" s="100">
        <v>2786.3999999999996</v>
      </c>
      <c r="J8" s="100">
        <v>0.27946586858475064</v>
      </c>
      <c r="K8" s="100">
        <v>86.522632913838791</v>
      </c>
      <c r="L8" s="100">
        <v>6</v>
      </c>
      <c r="M8" s="100">
        <v>1857.6</v>
      </c>
      <c r="N8" s="100">
        <v>0.75207237483049105</v>
      </c>
      <c r="O8" s="100">
        <v>232.84160724752002</v>
      </c>
      <c r="P8" s="100">
        <v>5.6127933959043954</v>
      </c>
      <c r="Q8" s="100">
        <v>1737.7208353720007</v>
      </c>
      <c r="R8" s="100">
        <v>8.7533726326324732</v>
      </c>
      <c r="S8" s="100">
        <v>2710.0441670630134</v>
      </c>
      <c r="T8" s="100">
        <v>7</v>
      </c>
      <c r="U8" s="100">
        <v>2167.1999999999998</v>
      </c>
      <c r="V8" s="100">
        <v>3.1241502364045668</v>
      </c>
      <c r="W8" s="100">
        <v>967.23691319085378</v>
      </c>
      <c r="X8" s="100">
        <v>6</v>
      </c>
      <c r="Y8" s="100">
        <v>1857.6</v>
      </c>
      <c r="Z8" s="100">
        <v>10</v>
      </c>
      <c r="AA8" s="100">
        <v>3095.9999999999995</v>
      </c>
      <c r="AB8" s="100">
        <v>1.435956546143301</v>
      </c>
      <c r="AC8" s="100">
        <v>444.57214668596595</v>
      </c>
      <c r="AD8" s="100">
        <v>10.31624716536197</v>
      </c>
      <c r="AE8" s="100">
        <v>3193.9101223960656</v>
      </c>
      <c r="AF8" s="100">
        <v>2.2486834568705079</v>
      </c>
      <c r="AG8" s="100">
        <v>696.19239824710917</v>
      </c>
      <c r="AH8" s="100">
        <v>10.149772746337746</v>
      </c>
      <c r="AI8" s="100">
        <v>3142.3696422661656</v>
      </c>
      <c r="AJ8" s="100">
        <v>8</v>
      </c>
      <c r="AK8" s="100">
        <v>2476.7999999999997</v>
      </c>
      <c r="AL8" s="100">
        <v>6</v>
      </c>
      <c r="AM8" s="100">
        <v>1857.6</v>
      </c>
      <c r="AN8" s="100">
        <v>5.4313167618094988</v>
      </c>
      <c r="AO8" s="100">
        <v>1681.5356694562206</v>
      </c>
      <c r="AP8" s="100">
        <v>6.8215696071791028</v>
      </c>
      <c r="AQ8" s="100">
        <v>2111.9579503826499</v>
      </c>
      <c r="AR8" s="100">
        <v>6.3355259575038762E-4</v>
      </c>
      <c r="AS8" s="100">
        <v>0.19614788364431998</v>
      </c>
      <c r="AT8" s="100">
        <v>6.0003694453260721</v>
      </c>
      <c r="AU8" s="100">
        <v>1857.7143802729518</v>
      </c>
      <c r="AV8" s="100">
        <v>10</v>
      </c>
      <c r="AW8" s="100">
        <v>3095.9999999999995</v>
      </c>
      <c r="AX8" s="100">
        <v>6.2326338713831646</v>
      </c>
      <c r="AY8" s="100">
        <v>1929.6234465802274</v>
      </c>
      <c r="AZ8" s="100">
        <v>5.0728357410293219</v>
      </c>
      <c r="BA8" s="100">
        <v>1570.5499454226779</v>
      </c>
      <c r="BB8" s="100">
        <v>4.5454617283480561</v>
      </c>
      <c r="BC8" s="100">
        <v>1407.274951096558</v>
      </c>
      <c r="BD8" s="100">
        <v>7.7068747243829856</v>
      </c>
      <c r="BE8" s="100">
        <v>2386.0484146689719</v>
      </c>
      <c r="BF8" s="100">
        <v>5.1853231770595016</v>
      </c>
      <c r="BG8" s="100">
        <v>1605.3760556176214</v>
      </c>
      <c r="BH8" s="100">
        <v>7.7171132757533325</v>
      </c>
      <c r="BI8" s="100">
        <v>2389.2182701732313</v>
      </c>
      <c r="BJ8" s="100">
        <v>2.3565402094514045</v>
      </c>
      <c r="BK8" s="100">
        <v>729.58484884615473</v>
      </c>
      <c r="BL8" s="100">
        <v>5.1800010681931719</v>
      </c>
      <c r="BM8" s="100">
        <v>1603.7283307126058</v>
      </c>
      <c r="BN8" s="100">
        <v>9.2203544062966767</v>
      </c>
      <c r="BO8" s="100">
        <v>2854.6217241894506</v>
      </c>
      <c r="BP8" s="100">
        <v>1.5755848505569938</v>
      </c>
      <c r="BQ8" s="100">
        <v>487.80106973244523</v>
      </c>
      <c r="BR8" s="100">
        <v>8.2966011430989468</v>
      </c>
      <c r="BS8" s="100">
        <v>2568.6277139034337</v>
      </c>
      <c r="BT8" s="100">
        <v>6.0602294298404393</v>
      </c>
      <c r="BU8" s="100">
        <v>1876.2470314785999</v>
      </c>
      <c r="BV8" s="100">
        <v>10.748328599172098</v>
      </c>
      <c r="BW8" s="100">
        <v>3327.6825343036812</v>
      </c>
      <c r="BX8" s="100">
        <v>5.4790657772812068</v>
      </c>
      <c r="BY8" s="100">
        <v>1696.3187646462613</v>
      </c>
      <c r="BZ8" s="100">
        <v>2.2023387699986108</v>
      </c>
      <c r="CA8" s="100">
        <v>681.84408319156978</v>
      </c>
      <c r="CB8" s="100">
        <v>3.6286977621547907</v>
      </c>
      <c r="CC8" s="100">
        <v>1123.4448271631231</v>
      </c>
      <c r="CD8" s="100">
        <v>8.7060820732741497</v>
      </c>
      <c r="CE8" s="100">
        <v>2695.4030098856765</v>
      </c>
      <c r="CF8" s="100">
        <v>2.222852371533627</v>
      </c>
      <c r="CG8" s="100">
        <v>688.19509422681085</v>
      </c>
      <c r="CH8" s="100">
        <v>2.150688513432141</v>
      </c>
      <c r="CI8" s="100">
        <v>665.85316375859077</v>
      </c>
      <c r="CJ8" s="100">
        <v>12.77649999201414</v>
      </c>
      <c r="CK8" s="100">
        <v>3955.604397527577</v>
      </c>
      <c r="CL8" s="100">
        <v>6.3913808020976504</v>
      </c>
      <c r="CM8" s="100">
        <v>1978.7714963294322</v>
      </c>
      <c r="CN8" s="100">
        <v>7</v>
      </c>
      <c r="CO8" s="100">
        <v>2167.1999999999998</v>
      </c>
      <c r="CP8" s="100">
        <v>3.6473225812495991</v>
      </c>
      <c r="CQ8" s="100">
        <v>1129.2110711548758</v>
      </c>
      <c r="CR8" s="100">
        <v>7.3508121982455465</v>
      </c>
      <c r="CS8" s="100">
        <v>2275.811456576821</v>
      </c>
      <c r="CT8" s="100">
        <v>9</v>
      </c>
      <c r="CU8" s="100">
        <v>2786.3999999999996</v>
      </c>
    </row>
    <row r="9" spans="1:99">
      <c r="C9" s="99" t="s">
        <v>175</v>
      </c>
      <c r="D9" s="100">
        <v>6.0004155684760168</v>
      </c>
      <c r="E9" s="100">
        <v>4212.2917290701635</v>
      </c>
      <c r="F9" s="100">
        <v>5</v>
      </c>
      <c r="G9" s="100">
        <v>3510</v>
      </c>
      <c r="H9" s="100">
        <v>7</v>
      </c>
      <c r="I9" s="100">
        <v>4914</v>
      </c>
      <c r="J9" s="100">
        <v>0.23954217307264342</v>
      </c>
      <c r="K9" s="100">
        <v>168.15860549699568</v>
      </c>
      <c r="L9" s="100">
        <v>6</v>
      </c>
      <c r="M9" s="100">
        <v>4212</v>
      </c>
      <c r="N9" s="100">
        <v>0.66850877762710315</v>
      </c>
      <c r="O9" s="100">
        <v>469.29316189422639</v>
      </c>
      <c r="P9" s="100">
        <v>5.6127933959043954</v>
      </c>
      <c r="Q9" s="100">
        <v>3940.1809639248854</v>
      </c>
      <c r="R9" s="100">
        <v>7.8780353693692255</v>
      </c>
      <c r="S9" s="100">
        <v>5530.3808292971962</v>
      </c>
      <c r="T9" s="100">
        <v>6</v>
      </c>
      <c r="U9" s="100">
        <v>4212</v>
      </c>
      <c r="V9" s="100">
        <v>2.7770224323596149</v>
      </c>
      <c r="W9" s="100">
        <v>1949.4697475164496</v>
      </c>
      <c r="X9" s="100">
        <v>6</v>
      </c>
      <c r="Y9" s="100">
        <v>4212</v>
      </c>
      <c r="Z9" s="100">
        <v>9</v>
      </c>
      <c r="AA9" s="100">
        <v>6318</v>
      </c>
      <c r="AB9" s="100">
        <v>1.435956546143301</v>
      </c>
      <c r="AC9" s="100">
        <v>1008.0414953925973</v>
      </c>
      <c r="AD9" s="100">
        <v>8.3162471653619701</v>
      </c>
      <c r="AE9" s="100">
        <v>5838.0055100841028</v>
      </c>
      <c r="AF9" s="100">
        <v>2.2486834568705079</v>
      </c>
      <c r="AG9" s="100">
        <v>1578.5757867230966</v>
      </c>
      <c r="AH9" s="100">
        <v>10.149772746337746</v>
      </c>
      <c r="AI9" s="100">
        <v>7125.1404679290972</v>
      </c>
      <c r="AJ9" s="100">
        <v>7</v>
      </c>
      <c r="AK9" s="100">
        <v>4914</v>
      </c>
      <c r="AL9" s="100">
        <v>6</v>
      </c>
      <c r="AM9" s="100">
        <v>4212</v>
      </c>
      <c r="AN9" s="100">
        <v>5.4313167618094988</v>
      </c>
      <c r="AO9" s="100">
        <v>3812.784366790268</v>
      </c>
      <c r="AP9" s="100">
        <v>6.8215696071791028</v>
      </c>
      <c r="AQ9" s="100">
        <v>4788.7418642397297</v>
      </c>
      <c r="AR9" s="100">
        <v>5.5229449492632686E-4</v>
      </c>
      <c r="AS9" s="100">
        <v>0.38771073543828144</v>
      </c>
      <c r="AT9" s="100">
        <v>6.0004104948067463</v>
      </c>
      <c r="AU9" s="100">
        <v>4212.2881673543361</v>
      </c>
      <c r="AV9" s="100">
        <v>9</v>
      </c>
      <c r="AW9" s="100">
        <v>6318</v>
      </c>
      <c r="AX9" s="100">
        <v>6.2326338713831646</v>
      </c>
      <c r="AY9" s="100">
        <v>4375.3089777109817</v>
      </c>
      <c r="AZ9" s="100">
        <v>4.2273631175244359</v>
      </c>
      <c r="BA9" s="100">
        <v>2967.608908502154</v>
      </c>
      <c r="BB9" s="100">
        <v>4.5454617283480561</v>
      </c>
      <c r="BC9" s="100">
        <v>3190.9141333003354</v>
      </c>
      <c r="BD9" s="100">
        <v>7.6830545218389474</v>
      </c>
      <c r="BE9" s="100">
        <v>5393.5042743309414</v>
      </c>
      <c r="BF9" s="100">
        <v>4.9208771212362699</v>
      </c>
      <c r="BG9" s="100">
        <v>3454.4557391078615</v>
      </c>
      <c r="BH9" s="100">
        <v>7.0742980795675807</v>
      </c>
      <c r="BI9" s="100">
        <v>4966.1572518564417</v>
      </c>
      <c r="BJ9" s="100">
        <v>2.1470188355514295</v>
      </c>
      <c r="BK9" s="100">
        <v>1507.2072225571035</v>
      </c>
      <c r="BL9" s="100">
        <v>4.3712163088284397</v>
      </c>
      <c r="BM9" s="100">
        <v>3068.5938487975645</v>
      </c>
      <c r="BN9" s="100">
        <v>9.0460180625400088</v>
      </c>
      <c r="BO9" s="100">
        <v>6350.3046799030863</v>
      </c>
      <c r="BP9" s="100">
        <v>1.5850851920098465</v>
      </c>
      <c r="BQ9" s="100">
        <v>1112.7298047909123</v>
      </c>
      <c r="BR9" s="100">
        <v>7.3086943262482338</v>
      </c>
      <c r="BS9" s="100">
        <v>5130.7034170262605</v>
      </c>
      <c r="BT9" s="100">
        <v>5.4542064868563953</v>
      </c>
      <c r="BU9" s="100">
        <v>3828.8529537731897</v>
      </c>
      <c r="BV9" s="100">
        <v>8.5734957392548878</v>
      </c>
      <c r="BW9" s="100">
        <v>6018.5940089569312</v>
      </c>
      <c r="BX9" s="100">
        <v>6.3922434068280749</v>
      </c>
      <c r="BY9" s="100">
        <v>4487.3548715933084</v>
      </c>
      <c r="BZ9" s="100">
        <v>2.009582874844174</v>
      </c>
      <c r="CA9" s="100">
        <v>1410.72717814061</v>
      </c>
      <c r="CB9" s="100">
        <v>3.5494292115725208</v>
      </c>
      <c r="CC9" s="100">
        <v>2491.6993065239094</v>
      </c>
      <c r="CD9" s="100">
        <v>8.8766902806015668</v>
      </c>
      <c r="CE9" s="100">
        <v>6231.4365769822998</v>
      </c>
      <c r="CF9" s="100">
        <v>2.5404027103241451</v>
      </c>
      <c r="CG9" s="100">
        <v>1783.3627026475499</v>
      </c>
      <c r="CH9" s="100">
        <v>1.6571389561908239</v>
      </c>
      <c r="CI9" s="100">
        <v>1163.3115472459583</v>
      </c>
      <c r="CJ9" s="100">
        <v>11.77649999201414</v>
      </c>
      <c r="CK9" s="100">
        <v>8267.1029943939266</v>
      </c>
      <c r="CL9" s="100">
        <v>5.7522427218878853</v>
      </c>
      <c r="CM9" s="100">
        <v>4038.0743907652954</v>
      </c>
      <c r="CN9" s="100">
        <v>6</v>
      </c>
      <c r="CO9" s="100">
        <v>4212</v>
      </c>
      <c r="CP9" s="100">
        <v>3.6473225812495991</v>
      </c>
      <c r="CQ9" s="100">
        <v>2560.4204520372186</v>
      </c>
      <c r="CR9" s="100">
        <v>6.6825565438595875</v>
      </c>
      <c r="CS9" s="100">
        <v>4691.1546937894309</v>
      </c>
      <c r="CT9" s="100">
        <v>8</v>
      </c>
      <c r="CU9" s="100">
        <v>5616</v>
      </c>
    </row>
    <row r="10" spans="1:99">
      <c r="C10" s="99" t="s">
        <v>176</v>
      </c>
      <c r="D10" s="100">
        <v>6.0004155684760168</v>
      </c>
      <c r="E10" s="100">
        <v>3269.0264017057339</v>
      </c>
      <c r="F10" s="100">
        <v>6</v>
      </c>
      <c r="G10" s="100">
        <v>3268.7999999999997</v>
      </c>
      <c r="H10" s="100">
        <v>8</v>
      </c>
      <c r="I10" s="100">
        <v>4358.3999999999996</v>
      </c>
      <c r="J10" s="100">
        <v>0.23954217307264342</v>
      </c>
      <c r="K10" s="100">
        <v>130.50257588997613</v>
      </c>
      <c r="L10" s="100">
        <v>6</v>
      </c>
      <c r="M10" s="100">
        <v>3268.7999999999997</v>
      </c>
      <c r="N10" s="100">
        <v>0.75207237483049105</v>
      </c>
      <c r="O10" s="100">
        <v>409.7290298076515</v>
      </c>
      <c r="P10" s="100">
        <v>5.6127933959043954</v>
      </c>
      <c r="Q10" s="100">
        <v>3057.8498420887145</v>
      </c>
      <c r="R10" s="100">
        <v>7.0026981061059788</v>
      </c>
      <c r="S10" s="100">
        <v>3815.069928206537</v>
      </c>
      <c r="T10" s="100">
        <v>7</v>
      </c>
      <c r="U10" s="100">
        <v>3813.5999999999995</v>
      </c>
      <c r="V10" s="100">
        <v>3.1241502364045668</v>
      </c>
      <c r="W10" s="100">
        <v>1702.0370487932078</v>
      </c>
      <c r="X10" s="100">
        <v>6</v>
      </c>
      <c r="Y10" s="100">
        <v>3268.7999999999997</v>
      </c>
      <c r="Z10" s="100">
        <v>9</v>
      </c>
      <c r="AA10" s="100">
        <v>4903.2</v>
      </c>
      <c r="AB10" s="100">
        <v>1.435956546143301</v>
      </c>
      <c r="AC10" s="100">
        <v>782.30912633887033</v>
      </c>
      <c r="AD10" s="100">
        <v>8.0237477952815333</v>
      </c>
      <c r="AE10" s="100">
        <v>4371.3377988693792</v>
      </c>
      <c r="AF10" s="100">
        <v>2.2486834568705079</v>
      </c>
      <c r="AG10" s="100">
        <v>1225.0827473030527</v>
      </c>
      <c r="AH10" s="100">
        <v>10.149772746337746</v>
      </c>
      <c r="AI10" s="100">
        <v>5529.5961922048036</v>
      </c>
      <c r="AJ10" s="100">
        <v>7</v>
      </c>
      <c r="AK10" s="100">
        <v>3813.5999999999995</v>
      </c>
      <c r="AL10" s="100">
        <v>6</v>
      </c>
      <c r="AM10" s="100">
        <v>3268.7999999999997</v>
      </c>
      <c r="AN10" s="100">
        <v>5.4313167618094988</v>
      </c>
      <c r="AO10" s="100">
        <v>2958.9813718338146</v>
      </c>
      <c r="AP10" s="100">
        <v>6.1394126464611931</v>
      </c>
      <c r="AQ10" s="100">
        <v>3344.7520097920578</v>
      </c>
      <c r="AR10" s="100">
        <v>5.5229449492632686E-4</v>
      </c>
      <c r="AS10" s="100">
        <v>0.30089004083586285</v>
      </c>
      <c r="AT10" s="100">
        <v>6.0003694453260721</v>
      </c>
      <c r="AU10" s="100">
        <v>3269.0012738136438</v>
      </c>
      <c r="AV10" s="100">
        <v>9</v>
      </c>
      <c r="AW10" s="100">
        <v>4903.2</v>
      </c>
      <c r="AX10" s="100">
        <v>5.4535546374602699</v>
      </c>
      <c r="AY10" s="100">
        <v>2971.0965664883547</v>
      </c>
      <c r="AZ10" s="100">
        <v>4.2273631175244359</v>
      </c>
      <c r="BA10" s="100">
        <v>2303.0674264273125</v>
      </c>
      <c r="BB10" s="100">
        <v>4.5454617283480561</v>
      </c>
      <c r="BC10" s="100">
        <v>2476.367549604021</v>
      </c>
      <c r="BD10" s="100">
        <v>7.6830545218389474</v>
      </c>
      <c r="BE10" s="100">
        <v>4185.7281034978578</v>
      </c>
      <c r="BF10" s="100">
        <v>4.9875187294236794</v>
      </c>
      <c r="BG10" s="100">
        <v>2717.2002037900202</v>
      </c>
      <c r="BH10" s="100">
        <v>7.0742980795675807</v>
      </c>
      <c r="BI10" s="100">
        <v>3854.0775937484177</v>
      </c>
      <c r="BJ10" s="100">
        <v>2.3543060465807484</v>
      </c>
      <c r="BK10" s="100">
        <v>1282.6259341771915</v>
      </c>
      <c r="BL10" s="100">
        <v>4.8023129042911101</v>
      </c>
      <c r="BM10" s="100">
        <v>2616.3000702577965</v>
      </c>
      <c r="BN10" s="100">
        <v>8.2203544062966767</v>
      </c>
      <c r="BO10" s="100">
        <v>4478.4490805504292</v>
      </c>
      <c r="BP10" s="100">
        <v>1.3749307499276164</v>
      </c>
      <c r="BQ10" s="100">
        <v>749.06227256056536</v>
      </c>
      <c r="BR10" s="100">
        <v>7.3086943262482338</v>
      </c>
      <c r="BS10" s="100">
        <v>3981.7766689400373</v>
      </c>
      <c r="BT10" s="100">
        <v>6.0406457998061072</v>
      </c>
      <c r="BU10" s="100">
        <v>3290.943831734367</v>
      </c>
      <c r="BV10" s="100">
        <v>9.7483285991720976</v>
      </c>
      <c r="BW10" s="100">
        <v>5310.8894208289585</v>
      </c>
      <c r="BX10" s="100">
        <v>6.3922434068280749</v>
      </c>
      <c r="BY10" s="100">
        <v>3482.4942080399351</v>
      </c>
      <c r="BZ10" s="100">
        <v>1.8120020430250423</v>
      </c>
      <c r="CA10" s="100">
        <v>987.17871304004302</v>
      </c>
      <c r="CB10" s="100">
        <v>3.5494292115725208</v>
      </c>
      <c r="CC10" s="100">
        <v>1933.7290344647092</v>
      </c>
      <c r="CD10" s="100">
        <v>8.8766902806015668</v>
      </c>
      <c r="CE10" s="100">
        <v>4836.0208648717335</v>
      </c>
      <c r="CF10" s="100">
        <v>2.5404027103241451</v>
      </c>
      <c r="CG10" s="100">
        <v>1384.0113965845942</v>
      </c>
      <c r="CH10" s="100">
        <v>1.8873677706427128</v>
      </c>
      <c r="CI10" s="100">
        <v>1028.2379614461499</v>
      </c>
      <c r="CJ10" s="100">
        <v>10.64708332667845</v>
      </c>
      <c r="CK10" s="100">
        <v>5800.5309963744194</v>
      </c>
      <c r="CL10" s="100">
        <v>6.3913808020976504</v>
      </c>
      <c r="CM10" s="100">
        <v>3482.0242609827997</v>
      </c>
      <c r="CN10" s="100">
        <v>7</v>
      </c>
      <c r="CO10" s="100">
        <v>3813.5999999999995</v>
      </c>
      <c r="CP10" s="100">
        <v>3.6473225812495991</v>
      </c>
      <c r="CQ10" s="100">
        <v>1987.0613422647814</v>
      </c>
      <c r="CR10" s="100">
        <v>6.6825565438595875</v>
      </c>
      <c r="CS10" s="100">
        <v>3640.656805094703</v>
      </c>
      <c r="CT10" s="100">
        <v>8</v>
      </c>
      <c r="CU10" s="100">
        <v>4358.3999999999996</v>
      </c>
    </row>
    <row r="11" spans="1:99">
      <c r="C11" s="99" t="s">
        <v>177</v>
      </c>
      <c r="D11" s="100">
        <v>6.0004155684760168</v>
      </c>
      <c r="E11" s="100">
        <v>3197.0214148840214</v>
      </c>
      <c r="F11" s="100">
        <v>6</v>
      </c>
      <c r="G11" s="100">
        <v>3196.7999999999997</v>
      </c>
      <c r="H11" s="100">
        <v>8</v>
      </c>
      <c r="I11" s="100">
        <v>4262.3999999999996</v>
      </c>
      <c r="J11" s="100">
        <v>0.23954217307264342</v>
      </c>
      <c r="K11" s="100">
        <v>127.6280698131044</v>
      </c>
      <c r="L11" s="100">
        <v>6</v>
      </c>
      <c r="M11" s="100">
        <v>3196.7999999999997</v>
      </c>
      <c r="N11" s="100">
        <v>0.75207237483049105</v>
      </c>
      <c r="O11" s="100">
        <v>400.70416130968562</v>
      </c>
      <c r="P11" s="100">
        <v>5.5252514822037675</v>
      </c>
      <c r="Q11" s="100">
        <v>2943.8539897181672</v>
      </c>
      <c r="R11" s="100">
        <v>8.7533726326324732</v>
      </c>
      <c r="S11" s="100">
        <v>4663.7969386665809</v>
      </c>
      <c r="T11" s="100">
        <v>8</v>
      </c>
      <c r="U11" s="100">
        <v>4262.3999999999996</v>
      </c>
      <c r="V11" s="100">
        <v>2.7770224323596149</v>
      </c>
      <c r="W11" s="100">
        <v>1479.5975519612027</v>
      </c>
      <c r="X11" s="100">
        <v>6</v>
      </c>
      <c r="Y11" s="100">
        <v>3196.7999999999997</v>
      </c>
      <c r="Z11" s="100">
        <v>9</v>
      </c>
      <c r="AA11" s="100">
        <v>4795.2</v>
      </c>
      <c r="AB11" s="100">
        <v>1.435956546143301</v>
      </c>
      <c r="AC11" s="100">
        <v>765.0776477851507</v>
      </c>
      <c r="AD11" s="100">
        <v>9.1699974803217508</v>
      </c>
      <c r="AE11" s="100">
        <v>4885.7746575154288</v>
      </c>
      <c r="AF11" s="100">
        <v>2.2486834568705079</v>
      </c>
      <c r="AG11" s="100">
        <v>1198.0985458206064</v>
      </c>
      <c r="AH11" s="100">
        <v>11.129442829766653</v>
      </c>
      <c r="AI11" s="100">
        <v>5929.767139699672</v>
      </c>
      <c r="AJ11" s="100">
        <v>7</v>
      </c>
      <c r="AK11" s="100">
        <v>3729.5999999999995</v>
      </c>
      <c r="AL11" s="100">
        <v>6</v>
      </c>
      <c r="AM11" s="100">
        <v>3196.7999999999997</v>
      </c>
      <c r="AN11" s="100">
        <v>5.4313167618094988</v>
      </c>
      <c r="AO11" s="100">
        <v>2893.8055706921009</v>
      </c>
      <c r="AP11" s="100">
        <v>6.1394126464611931</v>
      </c>
      <c r="AQ11" s="100">
        <v>3271.0790580345233</v>
      </c>
      <c r="AR11" s="100">
        <v>5.5229449492632686E-4</v>
      </c>
      <c r="AS11" s="100">
        <v>0.29426250689674693</v>
      </c>
      <c r="AT11" s="100">
        <v>6.0004104948067463</v>
      </c>
      <c r="AU11" s="100">
        <v>3197.0187116330339</v>
      </c>
      <c r="AV11" s="100">
        <v>9</v>
      </c>
      <c r="AW11" s="100">
        <v>4795.2</v>
      </c>
      <c r="AX11" s="100">
        <v>6.2326338713831646</v>
      </c>
      <c r="AY11" s="100">
        <v>3320.7473266729498</v>
      </c>
      <c r="AZ11" s="100">
        <v>5.0728357410293219</v>
      </c>
      <c r="BA11" s="100">
        <v>2702.8068828204223</v>
      </c>
      <c r="BB11" s="100">
        <v>5.3030386830727316</v>
      </c>
      <c r="BC11" s="100">
        <v>2825.459010341151</v>
      </c>
      <c r="BD11" s="100">
        <v>6.8664354455920131</v>
      </c>
      <c r="BE11" s="100">
        <v>3658.4368054114243</v>
      </c>
      <c r="BF11" s="100">
        <v>4.3211026475495844</v>
      </c>
      <c r="BG11" s="100">
        <v>2302.2834906144185</v>
      </c>
      <c r="BH11" s="100">
        <v>7.0026891176844792</v>
      </c>
      <c r="BI11" s="100">
        <v>3731.0327619022901</v>
      </c>
      <c r="BJ11" s="100">
        <v>2.5615932576100668</v>
      </c>
      <c r="BK11" s="100">
        <v>1364.8168876546436</v>
      </c>
      <c r="BL11" s="100">
        <v>4.3155982394340535</v>
      </c>
      <c r="BM11" s="100">
        <v>2299.3507419704633</v>
      </c>
      <c r="BN11" s="100">
        <v>8.0460180625400088</v>
      </c>
      <c r="BO11" s="100">
        <v>4286.9184237213167</v>
      </c>
      <c r="BP11" s="100">
        <v>1.5850851920098465</v>
      </c>
      <c r="BQ11" s="100">
        <v>844.53339030284621</v>
      </c>
      <c r="BR11" s="100">
        <v>7.1360376481052388</v>
      </c>
      <c r="BS11" s="100">
        <v>3802.0808589104709</v>
      </c>
      <c r="BT11" s="100">
        <v>6.0602294298404393</v>
      </c>
      <c r="BU11" s="100">
        <v>3228.8902402189856</v>
      </c>
      <c r="BV11" s="100">
        <v>10.748328599172098</v>
      </c>
      <c r="BW11" s="100">
        <v>5726.7094776388931</v>
      </c>
      <c r="BX11" s="100">
        <v>6.3922434068280749</v>
      </c>
      <c r="BY11" s="100">
        <v>3405.787287157998</v>
      </c>
      <c r="BZ11" s="100">
        <v>2.0047579381794796</v>
      </c>
      <c r="CA11" s="100">
        <v>1068.1350294620265</v>
      </c>
      <c r="CB11" s="100">
        <v>3.5460907229136103</v>
      </c>
      <c r="CC11" s="100">
        <v>1889.3571371683713</v>
      </c>
      <c r="CD11" s="100">
        <v>8.7060820732741497</v>
      </c>
      <c r="CE11" s="100">
        <v>4638.600528640467</v>
      </c>
      <c r="CF11" s="100">
        <v>2.5404027103241451</v>
      </c>
      <c r="CG11" s="100">
        <v>1353.5265640607045</v>
      </c>
      <c r="CH11" s="100">
        <v>1.6461083134116445</v>
      </c>
      <c r="CI11" s="100">
        <v>877.04650938572411</v>
      </c>
      <c r="CJ11" s="100">
        <v>10.77649999201414</v>
      </c>
      <c r="CK11" s="100">
        <v>5741.7191957451332</v>
      </c>
      <c r="CL11" s="100">
        <v>6.3913808020976504</v>
      </c>
      <c r="CM11" s="100">
        <v>3405.3276913576278</v>
      </c>
      <c r="CN11" s="100">
        <v>6</v>
      </c>
      <c r="CO11" s="100">
        <v>3196.7999999999997</v>
      </c>
      <c r="CP11" s="100">
        <v>3.2825903231246389</v>
      </c>
      <c r="CQ11" s="100">
        <v>1748.9641241608074</v>
      </c>
      <c r="CR11" s="100">
        <v>7.3508121982455465</v>
      </c>
      <c r="CS11" s="100">
        <v>3916.5127392252271</v>
      </c>
      <c r="CT11" s="100">
        <v>8</v>
      </c>
      <c r="CU11" s="100">
        <v>4262.3999999999996</v>
      </c>
    </row>
    <row r="12" spans="1:99">
      <c r="C12" s="99" t="s">
        <v>178</v>
      </c>
      <c r="D12" s="100">
        <v>6.0004155684760168</v>
      </c>
      <c r="E12" s="100">
        <v>3377.0338819383019</v>
      </c>
      <c r="F12" s="100">
        <v>5</v>
      </c>
      <c r="G12" s="100">
        <v>2814</v>
      </c>
      <c r="H12" s="100">
        <v>8</v>
      </c>
      <c r="I12" s="100">
        <v>4502.3999999999996</v>
      </c>
      <c r="J12" s="100">
        <v>0.23954217307264342</v>
      </c>
      <c r="K12" s="100">
        <v>134.81433500528371</v>
      </c>
      <c r="L12" s="100">
        <v>6</v>
      </c>
      <c r="M12" s="100">
        <v>3376.7999999999997</v>
      </c>
      <c r="N12" s="100">
        <v>0.75207237483049105</v>
      </c>
      <c r="O12" s="100">
        <v>423.26633255460035</v>
      </c>
      <c r="P12" s="100">
        <v>5.5252514822037675</v>
      </c>
      <c r="Q12" s="100">
        <v>3109.6115341842801</v>
      </c>
      <c r="R12" s="100">
        <v>7.8780353693692255</v>
      </c>
      <c r="S12" s="100">
        <v>4433.7583058809996</v>
      </c>
      <c r="T12" s="100">
        <v>7</v>
      </c>
      <c r="U12" s="100">
        <v>3939.5999999999995</v>
      </c>
      <c r="V12" s="100">
        <v>2.7770224323596149</v>
      </c>
      <c r="W12" s="100">
        <v>1562.9082249319911</v>
      </c>
      <c r="X12" s="100">
        <v>5</v>
      </c>
      <c r="Y12" s="100">
        <v>2814</v>
      </c>
      <c r="Z12" s="100">
        <v>9</v>
      </c>
      <c r="AA12" s="100">
        <v>5065.2</v>
      </c>
      <c r="AB12" s="100">
        <v>1.435956546143301</v>
      </c>
      <c r="AC12" s="100">
        <v>808.15634416944977</v>
      </c>
      <c r="AD12" s="100">
        <v>9.1699974803217508</v>
      </c>
      <c r="AE12" s="100">
        <v>5160.8745819250807</v>
      </c>
      <c r="AF12" s="100">
        <v>2.569923950709152</v>
      </c>
      <c r="AG12" s="100">
        <v>1446.3531994591106</v>
      </c>
      <c r="AH12" s="100">
        <v>11.129442829766653</v>
      </c>
      <c r="AI12" s="100">
        <v>6263.6504245926717</v>
      </c>
      <c r="AJ12" s="100">
        <v>8</v>
      </c>
      <c r="AK12" s="100">
        <v>4502.3999999999996</v>
      </c>
      <c r="AL12" s="100">
        <v>6</v>
      </c>
      <c r="AM12" s="100">
        <v>3376.7999999999997</v>
      </c>
      <c r="AN12" s="100">
        <v>4.6554143672652843</v>
      </c>
      <c r="AO12" s="100">
        <v>2620.0672058969017</v>
      </c>
      <c r="AP12" s="100">
        <v>7.5037265678970142</v>
      </c>
      <c r="AQ12" s="100">
        <v>4223.0973124124394</v>
      </c>
      <c r="AR12" s="100">
        <v>5.5229449492632686E-4</v>
      </c>
      <c r="AS12" s="100">
        <v>0.31083134174453675</v>
      </c>
      <c r="AT12" s="100">
        <v>6.0003694453260721</v>
      </c>
      <c r="AU12" s="100">
        <v>3377.0079238295129</v>
      </c>
      <c r="AV12" s="100">
        <v>8</v>
      </c>
      <c r="AW12" s="100">
        <v>4502.3999999999996</v>
      </c>
      <c r="AX12" s="100">
        <v>6.2326338713831646</v>
      </c>
      <c r="AY12" s="100">
        <v>3507.7263428144447</v>
      </c>
      <c r="AZ12" s="100">
        <v>5.0728357410293219</v>
      </c>
      <c r="BA12" s="100">
        <v>2854.9919550513023</v>
      </c>
      <c r="BB12" s="100">
        <v>4.5454617283480561</v>
      </c>
      <c r="BC12" s="100">
        <v>2558.1858607142858</v>
      </c>
      <c r="BD12" s="100">
        <v>7.6830545218389474</v>
      </c>
      <c r="BE12" s="100">
        <v>4324.0230848909596</v>
      </c>
      <c r="BF12" s="100">
        <v>4.8542355130488604</v>
      </c>
      <c r="BG12" s="100">
        <v>2731.9637467438984</v>
      </c>
      <c r="BH12" s="100">
        <v>7.7887222376364331</v>
      </c>
      <c r="BI12" s="100">
        <v>4383.4928753417844</v>
      </c>
      <c r="BJ12" s="100">
        <v>2.3543060465807484</v>
      </c>
      <c r="BK12" s="100">
        <v>1325.0034430156452</v>
      </c>
      <c r="BL12" s="100">
        <v>4.3712163088284397</v>
      </c>
      <c r="BM12" s="100">
        <v>2460.1205386086458</v>
      </c>
      <c r="BN12" s="100">
        <v>9.0460180625400088</v>
      </c>
      <c r="BO12" s="100">
        <v>5091.0989655975163</v>
      </c>
      <c r="BP12" s="100">
        <v>1.3559300670219105</v>
      </c>
      <c r="BQ12" s="100">
        <v>763.11744171993121</v>
      </c>
      <c r="BR12" s="100">
        <v>8.2966011430989468</v>
      </c>
      <c r="BS12" s="100">
        <v>4669.3271233360865</v>
      </c>
      <c r="BT12" s="100">
        <v>5.4542064868563953</v>
      </c>
      <c r="BU12" s="100">
        <v>3069.6274108027792</v>
      </c>
      <c r="BV12" s="100">
        <v>8.5734957392548878</v>
      </c>
      <c r="BW12" s="100">
        <v>4825.1634020526508</v>
      </c>
      <c r="BX12" s="100">
        <v>6.3922434068280749</v>
      </c>
      <c r="BY12" s="100">
        <v>3597.5545893628405</v>
      </c>
      <c r="BZ12" s="100">
        <v>2.009582874844174</v>
      </c>
      <c r="CA12" s="100">
        <v>1130.993241962301</v>
      </c>
      <c r="CB12" s="100">
        <v>3.5460907229136103</v>
      </c>
      <c r="CC12" s="100">
        <v>1995.7398588557796</v>
      </c>
      <c r="CD12" s="100">
        <v>7.876690280601566</v>
      </c>
      <c r="CE12" s="100">
        <v>4433.0012899225612</v>
      </c>
      <c r="CF12" s="100">
        <v>2.222852371533627</v>
      </c>
      <c r="CG12" s="100">
        <v>1251.0213146991252</v>
      </c>
      <c r="CH12" s="100">
        <v>1.9094290562010721</v>
      </c>
      <c r="CI12" s="100">
        <v>1074.6266728299634</v>
      </c>
      <c r="CJ12" s="100">
        <v>11.77649999201414</v>
      </c>
      <c r="CK12" s="100">
        <v>6627.8141955055571</v>
      </c>
      <c r="CL12" s="100">
        <v>5.7522427218878853</v>
      </c>
      <c r="CM12" s="100">
        <v>3237.3622038785015</v>
      </c>
      <c r="CN12" s="100">
        <v>7</v>
      </c>
      <c r="CO12" s="100">
        <v>3939.5999999999995</v>
      </c>
      <c r="CP12" s="100">
        <v>3.6473225812495991</v>
      </c>
      <c r="CQ12" s="100">
        <v>2052.7131487272741</v>
      </c>
      <c r="CR12" s="100">
        <v>8.0190678526315047</v>
      </c>
      <c r="CS12" s="100">
        <v>4513.1313874610105</v>
      </c>
      <c r="CT12" s="100">
        <v>8</v>
      </c>
      <c r="CU12" s="100">
        <v>4502.3999999999996</v>
      </c>
    </row>
    <row r="13" spans="1:99">
      <c r="C13" s="99" t="s">
        <v>179</v>
      </c>
      <c r="D13" s="100">
        <v>7.0004155684760168</v>
      </c>
      <c r="E13" s="100">
        <v>596.43540643415668</v>
      </c>
      <c r="F13" s="100">
        <v>6</v>
      </c>
      <c r="G13" s="100">
        <v>511.20000000000005</v>
      </c>
      <c r="H13" s="100">
        <v>9</v>
      </c>
      <c r="I13" s="100">
        <v>766.80000000000007</v>
      </c>
      <c r="J13" s="100">
        <v>0.27946586858475064</v>
      </c>
      <c r="K13" s="100">
        <v>23.810492003420755</v>
      </c>
      <c r="L13" s="100">
        <v>6</v>
      </c>
      <c r="M13" s="100">
        <v>511.20000000000005</v>
      </c>
      <c r="N13" s="100">
        <v>0.83563597203387896</v>
      </c>
      <c r="O13" s="100">
        <v>71.196184817286493</v>
      </c>
      <c r="P13" s="100">
        <v>5.6127933959043954</v>
      </c>
      <c r="Q13" s="100">
        <v>478.20999733105452</v>
      </c>
      <c r="R13" s="100">
        <v>8.7533726326324732</v>
      </c>
      <c r="S13" s="100">
        <v>745.78734830028679</v>
      </c>
      <c r="T13" s="100">
        <v>7</v>
      </c>
      <c r="U13" s="100">
        <v>596.4</v>
      </c>
      <c r="V13" s="100">
        <v>3.4712780404495187</v>
      </c>
      <c r="W13" s="100">
        <v>295.752889046299</v>
      </c>
      <c r="X13" s="100">
        <v>5</v>
      </c>
      <c r="Y13" s="100">
        <v>426</v>
      </c>
      <c r="Z13" s="100">
        <v>10</v>
      </c>
      <c r="AA13" s="100">
        <v>852</v>
      </c>
      <c r="AB13" s="100">
        <v>1.435956546143301</v>
      </c>
      <c r="AC13" s="100">
        <v>122.34349773140926</v>
      </c>
      <c r="AD13" s="100">
        <v>10.169997480321751</v>
      </c>
      <c r="AE13" s="100">
        <v>866.48378532341314</v>
      </c>
      <c r="AF13" s="100">
        <v>2.2486834568705079</v>
      </c>
      <c r="AG13" s="100">
        <v>191.58783052536728</v>
      </c>
      <c r="AH13" s="100">
        <v>11.296035579201352</v>
      </c>
      <c r="AI13" s="100">
        <v>962.42223134795518</v>
      </c>
      <c r="AJ13" s="100">
        <v>7</v>
      </c>
      <c r="AK13" s="100">
        <v>596.4</v>
      </c>
      <c r="AL13" s="100">
        <v>6</v>
      </c>
      <c r="AM13" s="100">
        <v>511.20000000000005</v>
      </c>
      <c r="AN13" s="100">
        <v>5.4313167618094988</v>
      </c>
      <c r="AO13" s="100">
        <v>462.74818810616932</v>
      </c>
      <c r="AP13" s="100">
        <v>6.8215696071791028</v>
      </c>
      <c r="AQ13" s="100">
        <v>581.19773053165954</v>
      </c>
      <c r="AR13" s="100">
        <v>6.2133130679211768E-4</v>
      </c>
      <c r="AS13" s="100">
        <v>5.2937427338688427E-2</v>
      </c>
      <c r="AT13" s="100">
        <v>7.0004515442874213</v>
      </c>
      <c r="AU13" s="100">
        <v>596.43847157328833</v>
      </c>
      <c r="AV13" s="100">
        <v>9</v>
      </c>
      <c r="AW13" s="100">
        <v>766.80000000000007</v>
      </c>
      <c r="AX13" s="100">
        <v>7.0117131053060611</v>
      </c>
      <c r="AY13" s="100">
        <v>597.3979565720764</v>
      </c>
      <c r="AZ13" s="100">
        <v>5.0728357410293219</v>
      </c>
      <c r="BA13" s="100">
        <v>432.20560513569825</v>
      </c>
      <c r="BB13" s="100">
        <v>5.3030386830727316</v>
      </c>
      <c r="BC13" s="100">
        <v>451.81889579779676</v>
      </c>
      <c r="BD13" s="100">
        <v>8.5234938006299217</v>
      </c>
      <c r="BE13" s="100">
        <v>726.20167181366935</v>
      </c>
      <c r="BF13" s="100">
        <v>4.3211026475495844</v>
      </c>
      <c r="BG13" s="100">
        <v>368.15794557122462</v>
      </c>
      <c r="BH13" s="100">
        <v>8.574755357588387</v>
      </c>
      <c r="BI13" s="100">
        <v>730.56915646653056</v>
      </c>
      <c r="BJ13" s="100">
        <v>2.3554231280160765</v>
      </c>
      <c r="BK13" s="100">
        <v>200.68205050696972</v>
      </c>
      <c r="BL13" s="100">
        <v>5.235619137587558</v>
      </c>
      <c r="BM13" s="100">
        <v>446.07475052245996</v>
      </c>
      <c r="BN13" s="100">
        <v>9.2203544062966767</v>
      </c>
      <c r="BO13" s="100">
        <v>785.57419541647687</v>
      </c>
      <c r="BP13" s="100">
        <v>1.3749307499276164</v>
      </c>
      <c r="BQ13" s="100">
        <v>117.14409989383293</v>
      </c>
      <c r="BR13" s="100">
        <v>8.4692578212419409</v>
      </c>
      <c r="BS13" s="100">
        <v>721.58076636981343</v>
      </c>
      <c r="BT13" s="100">
        <v>6.0406457998061072</v>
      </c>
      <c r="BU13" s="100">
        <v>514.66302214348036</v>
      </c>
      <c r="BV13" s="100">
        <v>9.7483285991720976</v>
      </c>
      <c r="BW13" s="100">
        <v>830.55759664946277</v>
      </c>
      <c r="BX13" s="100">
        <v>7.305421036374943</v>
      </c>
      <c r="BY13" s="100">
        <v>622.42187229914521</v>
      </c>
      <c r="BZ13" s="100">
        <v>2.2071637066633052</v>
      </c>
      <c r="CA13" s="100">
        <v>188.05034780771362</v>
      </c>
      <c r="CB13" s="100">
        <v>4.0606607018969685</v>
      </c>
      <c r="CC13" s="100">
        <v>345.96829180162172</v>
      </c>
      <c r="CD13" s="100">
        <v>8.7060820732741497</v>
      </c>
      <c r="CE13" s="100">
        <v>741.75819264295762</v>
      </c>
      <c r="CF13" s="100">
        <v>2.5404027103241451</v>
      </c>
      <c r="CG13" s="100">
        <v>216.44231091961717</v>
      </c>
      <c r="CH13" s="100">
        <v>1.8983984134218925</v>
      </c>
      <c r="CI13" s="100">
        <v>161.74354482354525</v>
      </c>
      <c r="CJ13" s="100">
        <v>12.77649999201414</v>
      </c>
      <c r="CK13" s="100">
        <v>1088.5577993196048</v>
      </c>
      <c r="CL13" s="100">
        <v>6.3913808020976504</v>
      </c>
      <c r="CM13" s="100">
        <v>544.54564433871985</v>
      </c>
      <c r="CN13" s="100">
        <v>7</v>
      </c>
      <c r="CO13" s="100">
        <v>596.4</v>
      </c>
      <c r="CP13" s="100">
        <v>4.0120548393745592</v>
      </c>
      <c r="CQ13" s="100">
        <v>341.82707231471244</v>
      </c>
      <c r="CR13" s="100">
        <v>8.0190678526315047</v>
      </c>
      <c r="CS13" s="100">
        <v>683.22458104420423</v>
      </c>
      <c r="CT13" s="100">
        <v>8</v>
      </c>
      <c r="CU13" s="100">
        <v>681.6</v>
      </c>
    </row>
    <row r="14" spans="1:99">
      <c r="C14" s="99" t="s">
        <v>180</v>
      </c>
      <c r="D14" s="100">
        <v>6.0004155684760168</v>
      </c>
      <c r="E14" s="100">
        <v>2930.6029636436865</v>
      </c>
      <c r="F14" s="100">
        <v>6</v>
      </c>
      <c r="G14" s="100">
        <v>2930.3999999999996</v>
      </c>
      <c r="H14" s="100">
        <v>8</v>
      </c>
      <c r="I14" s="100">
        <v>3907.2</v>
      </c>
      <c r="J14" s="100">
        <v>0.23954217307264342</v>
      </c>
      <c r="K14" s="100">
        <v>116.99239732867903</v>
      </c>
      <c r="L14" s="100">
        <v>6</v>
      </c>
      <c r="M14" s="100">
        <v>2930.3999999999996</v>
      </c>
      <c r="N14" s="100">
        <v>0.75207237483049105</v>
      </c>
      <c r="O14" s="100">
        <v>367.31214786721182</v>
      </c>
      <c r="P14" s="100">
        <v>5.6127933959043954</v>
      </c>
      <c r="Q14" s="100">
        <v>2741.2882945597066</v>
      </c>
      <c r="R14" s="100">
        <v>7.8780353693692255</v>
      </c>
      <c r="S14" s="100">
        <v>3847.6324743999294</v>
      </c>
      <c r="T14" s="100">
        <v>7</v>
      </c>
      <c r="U14" s="100">
        <v>3418.7999999999997</v>
      </c>
      <c r="V14" s="100">
        <v>3.1241502364045668</v>
      </c>
      <c r="W14" s="100">
        <v>1525.8349754599903</v>
      </c>
      <c r="X14" s="100">
        <v>5</v>
      </c>
      <c r="Y14" s="100">
        <v>2442</v>
      </c>
      <c r="Z14" s="100">
        <v>10</v>
      </c>
      <c r="AA14" s="100">
        <v>4884</v>
      </c>
      <c r="AB14" s="100">
        <v>1.435956546143301</v>
      </c>
      <c r="AC14" s="100">
        <v>701.3211771363882</v>
      </c>
      <c r="AD14" s="100">
        <v>9.3162471653619701</v>
      </c>
      <c r="AE14" s="100">
        <v>4550.0551155627863</v>
      </c>
      <c r="AF14" s="100">
        <v>2.2486834568705079</v>
      </c>
      <c r="AG14" s="100">
        <v>1098.2570003355561</v>
      </c>
      <c r="AH14" s="100">
        <v>10.149772746337746</v>
      </c>
      <c r="AI14" s="100">
        <v>4957.1490093113553</v>
      </c>
      <c r="AJ14" s="100">
        <v>7</v>
      </c>
      <c r="AK14" s="100">
        <v>3418.7999999999997</v>
      </c>
      <c r="AL14" s="100">
        <v>6</v>
      </c>
      <c r="AM14" s="100">
        <v>2930.3999999999996</v>
      </c>
      <c r="AN14" s="100">
        <v>4.6554143672652843</v>
      </c>
      <c r="AO14" s="100">
        <v>2273.7043769723646</v>
      </c>
      <c r="AP14" s="100">
        <v>6.8215696071791028</v>
      </c>
      <c r="AQ14" s="100">
        <v>3331.6545961462734</v>
      </c>
      <c r="AR14" s="100">
        <v>6.3355259575038762E-4</v>
      </c>
      <c r="AS14" s="100">
        <v>0.30942708776448929</v>
      </c>
      <c r="AT14" s="100">
        <v>6.0004104948067463</v>
      </c>
      <c r="AU14" s="100">
        <v>2930.6004856636146</v>
      </c>
      <c r="AV14" s="100">
        <v>9</v>
      </c>
      <c r="AW14" s="100">
        <v>4395.5999999999995</v>
      </c>
      <c r="AX14" s="100">
        <v>5.4535546374602699</v>
      </c>
      <c r="AY14" s="100">
        <v>2663.5160849355957</v>
      </c>
      <c r="AZ14" s="100">
        <v>5.0728357410293219</v>
      </c>
      <c r="BA14" s="100">
        <v>2477.5729759187207</v>
      </c>
      <c r="BB14" s="100">
        <v>4.5454617283480561</v>
      </c>
      <c r="BC14" s="100">
        <v>2220.0035081251904</v>
      </c>
      <c r="BD14" s="100">
        <v>6.8664354455920131</v>
      </c>
      <c r="BE14" s="100">
        <v>3353.5670716271388</v>
      </c>
      <c r="BF14" s="100">
        <v>5.8517392589335957</v>
      </c>
      <c r="BG14" s="100">
        <v>2857.9894540631681</v>
      </c>
      <c r="BH14" s="100">
        <v>7.0026891176844792</v>
      </c>
      <c r="BI14" s="100">
        <v>3420.1133650770994</v>
      </c>
      <c r="BJ14" s="100">
        <v>2.3565402094514045</v>
      </c>
      <c r="BK14" s="100">
        <v>1150.9342382960658</v>
      </c>
      <c r="BL14" s="100">
        <v>5.1822107060269484</v>
      </c>
      <c r="BM14" s="100">
        <v>2530.9917088235616</v>
      </c>
      <c r="BN14" s="100">
        <v>9.0460180625400088</v>
      </c>
      <c r="BO14" s="100">
        <v>4418.0752217445397</v>
      </c>
      <c r="BP14" s="100">
        <v>1.5850851920098465</v>
      </c>
      <c r="BQ14" s="100">
        <v>774.15560777760902</v>
      </c>
      <c r="BR14" s="100">
        <v>8.2966011430989468</v>
      </c>
      <c r="BS14" s="100">
        <v>4052.0599982895255</v>
      </c>
      <c r="BT14" s="100">
        <v>5.4542064868563953</v>
      </c>
      <c r="BU14" s="100">
        <v>2663.8344481806635</v>
      </c>
      <c r="BV14" s="100">
        <v>8.7483285991720976</v>
      </c>
      <c r="BW14" s="100">
        <v>4272.6836878356526</v>
      </c>
      <c r="BX14" s="100">
        <v>6.3922434068280749</v>
      </c>
      <c r="BY14" s="100">
        <v>3121.9716798948316</v>
      </c>
      <c r="BZ14" s="100">
        <v>1.8071771063603479</v>
      </c>
      <c r="CA14" s="100">
        <v>882.62529874639392</v>
      </c>
      <c r="CB14" s="100">
        <v>3.6253592734958806</v>
      </c>
      <c r="CC14" s="100">
        <v>1770.6254691753879</v>
      </c>
      <c r="CD14" s="100">
        <v>8.8766902806015668</v>
      </c>
      <c r="CE14" s="100">
        <v>4335.3755330458052</v>
      </c>
      <c r="CF14" s="100">
        <v>2.222852371533627</v>
      </c>
      <c r="CG14" s="100">
        <v>1085.6410982570235</v>
      </c>
      <c r="CH14" s="100">
        <v>2.150688513432141</v>
      </c>
      <c r="CI14" s="100">
        <v>1050.3962699602575</v>
      </c>
      <c r="CJ14" s="100">
        <v>12.64708332667845</v>
      </c>
      <c r="CK14" s="100">
        <v>6176.8354967497544</v>
      </c>
      <c r="CL14" s="100">
        <v>7.0305188823074154</v>
      </c>
      <c r="CM14" s="100">
        <v>3433.7054221189414</v>
      </c>
      <c r="CN14" s="100">
        <v>6</v>
      </c>
      <c r="CO14" s="100">
        <v>2930.3999999999996</v>
      </c>
      <c r="CP14" s="100">
        <v>3.2825903231246389</v>
      </c>
      <c r="CQ14" s="100">
        <v>1603.2171138140736</v>
      </c>
      <c r="CR14" s="100">
        <v>7.3508121982455465</v>
      </c>
      <c r="CS14" s="100">
        <v>3590.1366776231248</v>
      </c>
      <c r="CT14" s="100">
        <v>8</v>
      </c>
      <c r="CU14" s="100">
        <v>3907.2</v>
      </c>
    </row>
    <row r="15" spans="1:99">
      <c r="C15" s="99" t="s">
        <v>181</v>
      </c>
      <c r="D15" s="100">
        <v>6.0003562015508711</v>
      </c>
      <c r="E15" s="100">
        <v>4579.4718530236241</v>
      </c>
      <c r="F15" s="100">
        <v>5</v>
      </c>
      <c r="G15" s="100">
        <v>3815.9999999999995</v>
      </c>
      <c r="H15" s="100">
        <v>8</v>
      </c>
      <c r="I15" s="100">
        <v>6105.5999999999995</v>
      </c>
      <c r="J15" s="100">
        <v>0.23954217307264342</v>
      </c>
      <c r="K15" s="100">
        <v>182.81858648904145</v>
      </c>
      <c r="L15" s="100">
        <v>6</v>
      </c>
      <c r="M15" s="100">
        <v>4579.2</v>
      </c>
      <c r="N15" s="100">
        <v>0.66850877762710315</v>
      </c>
      <c r="O15" s="100">
        <v>510.20589908500506</v>
      </c>
      <c r="P15" s="100">
        <v>5.6127933959043954</v>
      </c>
      <c r="Q15" s="100">
        <v>4283.683919754234</v>
      </c>
      <c r="R15" s="100">
        <v>7.8780353693692255</v>
      </c>
      <c r="S15" s="100">
        <v>6012.5165939025928</v>
      </c>
      <c r="T15" s="100">
        <v>7</v>
      </c>
      <c r="U15" s="100">
        <v>5342.4</v>
      </c>
      <c r="V15" s="100">
        <v>3.1241502364045668</v>
      </c>
      <c r="W15" s="100">
        <v>2384.3514604239654</v>
      </c>
      <c r="X15" s="100">
        <v>5</v>
      </c>
      <c r="Y15" s="100">
        <v>3815.9999999999995</v>
      </c>
      <c r="Z15" s="100">
        <v>10</v>
      </c>
      <c r="AA15" s="100">
        <v>7631.9999999999991</v>
      </c>
      <c r="AB15" s="100">
        <v>1.435956546143301</v>
      </c>
      <c r="AC15" s="100">
        <v>1095.9220360165673</v>
      </c>
      <c r="AD15" s="100">
        <v>9.1699974803217508</v>
      </c>
      <c r="AE15" s="100">
        <v>6998.5420769815591</v>
      </c>
      <c r="AF15" s="100">
        <v>2.2486834568705079</v>
      </c>
      <c r="AG15" s="100">
        <v>1716.1952142835714</v>
      </c>
      <c r="AH15" s="100">
        <v>9.0035099134741401</v>
      </c>
      <c r="AI15" s="100">
        <v>6871.478765963463</v>
      </c>
      <c r="AJ15" s="100">
        <v>7</v>
      </c>
      <c r="AK15" s="100">
        <v>5342.4</v>
      </c>
      <c r="AL15" s="100">
        <v>6</v>
      </c>
      <c r="AM15" s="100">
        <v>4579.2</v>
      </c>
      <c r="AN15" s="100">
        <v>4.6554143672652843</v>
      </c>
      <c r="AO15" s="100">
        <v>3553.0122450968647</v>
      </c>
      <c r="AP15" s="100">
        <v>7.5037265678970142</v>
      </c>
      <c r="AQ15" s="100">
        <v>5726.8441166190005</v>
      </c>
      <c r="AR15" s="100">
        <v>6.3355259575038762E-4</v>
      </c>
      <c r="AS15" s="100">
        <v>0.48352734107669576</v>
      </c>
      <c r="AT15" s="100">
        <v>6.0003694453260721</v>
      </c>
      <c r="AU15" s="100">
        <v>4579.4819606728579</v>
      </c>
      <c r="AV15" s="100">
        <v>9</v>
      </c>
      <c r="AW15" s="100">
        <v>6868.7999999999993</v>
      </c>
      <c r="AX15" s="100">
        <v>6.2326338713831646</v>
      </c>
      <c r="AY15" s="100">
        <v>4756.7461706396307</v>
      </c>
      <c r="AZ15" s="100">
        <v>5.0728357410293219</v>
      </c>
      <c r="BA15" s="100">
        <v>3871.588237553578</v>
      </c>
      <c r="BB15" s="100">
        <v>4.5454617283480561</v>
      </c>
      <c r="BC15" s="100">
        <v>3469.0963910752362</v>
      </c>
      <c r="BD15" s="100">
        <v>7.7068747243829856</v>
      </c>
      <c r="BE15" s="100">
        <v>5881.8867896490938</v>
      </c>
      <c r="BF15" s="100">
        <v>5.7184560425587767</v>
      </c>
      <c r="BG15" s="100">
        <v>4364.3256516808578</v>
      </c>
      <c r="BH15" s="100">
        <v>7.0026891176844792</v>
      </c>
      <c r="BI15" s="100">
        <v>5344.4523346167944</v>
      </c>
      <c r="BJ15" s="100">
        <v>2.3565402094514045</v>
      </c>
      <c r="BK15" s="100">
        <v>1798.5114878533118</v>
      </c>
      <c r="BL15" s="100">
        <v>4.8045225421248876</v>
      </c>
      <c r="BM15" s="100">
        <v>3666.8116041497137</v>
      </c>
      <c r="BN15" s="100">
        <v>9.0460180625400088</v>
      </c>
      <c r="BO15" s="100">
        <v>6903.9209853305338</v>
      </c>
      <c r="BP15" s="100">
        <v>1.5755848505569938</v>
      </c>
      <c r="BQ15" s="100">
        <v>1202.4863579450976</v>
      </c>
      <c r="BR15" s="100">
        <v>8.2966011430989468</v>
      </c>
      <c r="BS15" s="100">
        <v>6331.9659924131156</v>
      </c>
      <c r="BT15" s="100">
        <v>6.0210621697717759</v>
      </c>
      <c r="BU15" s="100">
        <v>4595.2746479698189</v>
      </c>
      <c r="BV15" s="100">
        <v>9.5734957392548878</v>
      </c>
      <c r="BW15" s="100">
        <v>7306.4919481993302</v>
      </c>
      <c r="BX15" s="100">
        <v>5.4790657772812068</v>
      </c>
      <c r="BY15" s="100">
        <v>4181.6230012210162</v>
      </c>
      <c r="BZ15" s="100">
        <v>1.8120020430250423</v>
      </c>
      <c r="CA15" s="100">
        <v>1382.9199592367122</v>
      </c>
      <c r="CB15" s="100">
        <v>3.5460907229136103</v>
      </c>
      <c r="CC15" s="100">
        <v>2706.3764397276673</v>
      </c>
      <c r="CD15" s="100">
        <v>8.8766902806015668</v>
      </c>
      <c r="CE15" s="100">
        <v>6774.690022155115</v>
      </c>
      <c r="CF15" s="100">
        <v>2.222852371533627</v>
      </c>
      <c r="CG15" s="100">
        <v>1696.480929954464</v>
      </c>
      <c r="CH15" s="100">
        <v>1.6571389561908239</v>
      </c>
      <c r="CI15" s="100">
        <v>1264.7284513648367</v>
      </c>
      <c r="CJ15" s="100">
        <v>11.64708332667845</v>
      </c>
      <c r="CK15" s="100">
        <v>8889.0539949209924</v>
      </c>
      <c r="CL15" s="100">
        <v>6.3913808020976504</v>
      </c>
      <c r="CM15" s="100">
        <v>4877.901828160926</v>
      </c>
      <c r="CN15" s="100">
        <v>6</v>
      </c>
      <c r="CO15" s="100">
        <v>4579.2</v>
      </c>
      <c r="CP15" s="100">
        <v>3.6473225812495991</v>
      </c>
      <c r="CQ15" s="100">
        <v>2783.6365940096939</v>
      </c>
      <c r="CR15" s="100">
        <v>7.3508121982455465</v>
      </c>
      <c r="CS15" s="100">
        <v>5610.1398697010009</v>
      </c>
      <c r="CT15" s="100">
        <v>9</v>
      </c>
      <c r="CU15" s="100">
        <v>6868.7999999999993</v>
      </c>
    </row>
    <row r="16" spans="1:99">
      <c r="C16" s="99" t="s">
        <v>182</v>
      </c>
      <c r="D16" s="100">
        <v>7.0004749354011615</v>
      </c>
      <c r="E16" s="100">
        <v>2385.7618579847158</v>
      </c>
      <c r="F16" s="100">
        <v>6</v>
      </c>
      <c r="G16" s="100">
        <v>2044.8000000000002</v>
      </c>
      <c r="H16" s="100">
        <v>8</v>
      </c>
      <c r="I16" s="100">
        <v>2726.4</v>
      </c>
      <c r="J16" s="100">
        <v>0.23954217307264342</v>
      </c>
      <c r="K16" s="100">
        <v>81.635972583156885</v>
      </c>
      <c r="L16" s="100">
        <v>7</v>
      </c>
      <c r="M16" s="100">
        <v>2385.6</v>
      </c>
      <c r="N16" s="100">
        <v>0.66850877762710315</v>
      </c>
      <c r="O16" s="100">
        <v>227.82779141531677</v>
      </c>
      <c r="P16" s="100">
        <v>4.5252514822037675</v>
      </c>
      <c r="Q16" s="100">
        <v>1542.2057051350441</v>
      </c>
      <c r="R16" s="100">
        <v>7.8780353693692255</v>
      </c>
      <c r="S16" s="100">
        <v>2684.834453881032</v>
      </c>
      <c r="T16" s="100">
        <v>8</v>
      </c>
      <c r="U16" s="100">
        <v>2726.4</v>
      </c>
      <c r="V16" s="100">
        <v>3.1241502364045668</v>
      </c>
      <c r="W16" s="100">
        <v>1064.7104005666763</v>
      </c>
      <c r="X16" s="100">
        <v>6</v>
      </c>
      <c r="Y16" s="100">
        <v>2044.8000000000002</v>
      </c>
      <c r="Z16" s="100">
        <v>10</v>
      </c>
      <c r="AA16" s="100">
        <v>3408</v>
      </c>
      <c r="AB16" s="100">
        <v>1.435956546143301</v>
      </c>
      <c r="AC16" s="100">
        <v>489.37399092563703</v>
      </c>
      <c r="AD16" s="100">
        <v>10.169997480321751</v>
      </c>
      <c r="AE16" s="100">
        <v>3465.9351412936526</v>
      </c>
      <c r="AF16" s="100">
        <v>2.2486834568705079</v>
      </c>
      <c r="AG16" s="100">
        <v>766.35132210146912</v>
      </c>
      <c r="AH16" s="100">
        <v>10.149772746337746</v>
      </c>
      <c r="AI16" s="100">
        <v>3459.042551951904</v>
      </c>
      <c r="AJ16" s="100">
        <v>7</v>
      </c>
      <c r="AK16" s="100">
        <v>2385.6</v>
      </c>
      <c r="AL16" s="100">
        <v>7</v>
      </c>
      <c r="AM16" s="100">
        <v>2385.6</v>
      </c>
      <c r="AN16" s="100">
        <v>4.6554143672652843</v>
      </c>
      <c r="AO16" s="100">
        <v>1586.5652163640088</v>
      </c>
      <c r="AP16" s="100">
        <v>6.8215696071791028</v>
      </c>
      <c r="AQ16" s="100">
        <v>2324.7909221266382</v>
      </c>
      <c r="AR16" s="100">
        <v>7.0411706873596232E-4</v>
      </c>
      <c r="AS16" s="100">
        <v>0.23996309702521595</v>
      </c>
      <c r="AT16" s="100">
        <v>6.0004104948067463</v>
      </c>
      <c r="AU16" s="100">
        <v>2044.9398966301392</v>
      </c>
      <c r="AV16" s="100">
        <v>10</v>
      </c>
      <c r="AW16" s="100">
        <v>3408</v>
      </c>
      <c r="AX16" s="100">
        <v>6.2326338713831646</v>
      </c>
      <c r="AY16" s="100">
        <v>2124.0816233673827</v>
      </c>
      <c r="AZ16" s="100">
        <v>5.0728357410293219</v>
      </c>
      <c r="BA16" s="100">
        <v>1728.822420542793</v>
      </c>
      <c r="BB16" s="100">
        <v>5.3030386830727316</v>
      </c>
      <c r="BC16" s="100">
        <v>1807.275583191187</v>
      </c>
      <c r="BD16" s="100">
        <v>6.842615243047975</v>
      </c>
      <c r="BE16" s="100">
        <v>2331.9632748307499</v>
      </c>
      <c r="BF16" s="100">
        <v>4.9208771212362699</v>
      </c>
      <c r="BG16" s="100">
        <v>1677.0349229173207</v>
      </c>
      <c r="BH16" s="100">
        <v>7.0742980795675807</v>
      </c>
      <c r="BI16" s="100">
        <v>2410.9207855166314</v>
      </c>
      <c r="BJ16" s="100">
        <v>2.5627103390453949</v>
      </c>
      <c r="BK16" s="100">
        <v>873.37168354667062</v>
      </c>
      <c r="BL16" s="100">
        <v>4.8601406115192729</v>
      </c>
      <c r="BM16" s="100">
        <v>1656.3359204057683</v>
      </c>
      <c r="BN16" s="100">
        <v>9.2203544062966767</v>
      </c>
      <c r="BO16" s="100">
        <v>3142.2967816659075</v>
      </c>
      <c r="BP16" s="100">
        <v>1.5850851920098465</v>
      </c>
      <c r="BQ16" s="100">
        <v>540.19703343695573</v>
      </c>
      <c r="BR16" s="100">
        <v>8.2966011430989468</v>
      </c>
      <c r="BS16" s="100">
        <v>2827.4816695681211</v>
      </c>
      <c r="BT16" s="100">
        <v>6.0406457998061072</v>
      </c>
      <c r="BU16" s="100">
        <v>2058.6520885739214</v>
      </c>
      <c r="BV16" s="100">
        <v>9.5734957392548878</v>
      </c>
      <c r="BW16" s="100">
        <v>3262.6473479380661</v>
      </c>
      <c r="BX16" s="100">
        <v>6.3922434068280749</v>
      </c>
      <c r="BY16" s="100">
        <v>2178.4765530470081</v>
      </c>
      <c r="BZ16" s="100">
        <v>2.009582874844174</v>
      </c>
      <c r="CA16" s="100">
        <v>684.86584374689448</v>
      </c>
      <c r="CB16" s="100">
        <v>3.5494292115725208</v>
      </c>
      <c r="CC16" s="100">
        <v>1209.6454753039152</v>
      </c>
      <c r="CD16" s="100">
        <v>7.7060820732741506</v>
      </c>
      <c r="CE16" s="100">
        <v>2626.2327705718308</v>
      </c>
      <c r="CF16" s="100">
        <v>2.5404027103241451</v>
      </c>
      <c r="CG16" s="100">
        <v>865.76924367846868</v>
      </c>
      <c r="CH16" s="100">
        <v>1.8983984134218925</v>
      </c>
      <c r="CI16" s="100">
        <v>646.974179294181</v>
      </c>
      <c r="CJ16" s="100">
        <v>12.64708332667845</v>
      </c>
      <c r="CK16" s="100">
        <v>4310.125997732016</v>
      </c>
      <c r="CL16" s="100">
        <v>6.3913808020976504</v>
      </c>
      <c r="CM16" s="100">
        <v>2178.1825773548794</v>
      </c>
      <c r="CN16" s="100">
        <v>7</v>
      </c>
      <c r="CO16" s="100">
        <v>2385.6</v>
      </c>
      <c r="CP16" s="100">
        <v>3.2825903231246389</v>
      </c>
      <c r="CQ16" s="100">
        <v>1118.7067821208771</v>
      </c>
      <c r="CR16" s="100">
        <v>7.3508121982455465</v>
      </c>
      <c r="CS16" s="100">
        <v>2505.1567971620825</v>
      </c>
      <c r="CT16" s="100">
        <v>8</v>
      </c>
      <c r="CU16" s="100">
        <v>2726.4</v>
      </c>
    </row>
    <row r="17" spans="2:99">
      <c r="C17" s="99" t="s">
        <v>183</v>
      </c>
      <c r="D17" s="100">
        <v>7.0004155684760168</v>
      </c>
      <c r="E17" s="100">
        <v>2956.9755361242692</v>
      </c>
      <c r="F17" s="100">
        <v>6</v>
      </c>
      <c r="G17" s="100">
        <v>2534.3999999999996</v>
      </c>
      <c r="H17" s="100">
        <v>7</v>
      </c>
      <c r="I17" s="100">
        <v>2956.7999999999997</v>
      </c>
      <c r="J17" s="100">
        <v>0.23954217307264342</v>
      </c>
      <c r="K17" s="100">
        <v>101.18261390588458</v>
      </c>
      <c r="L17" s="100">
        <v>6</v>
      </c>
      <c r="M17" s="100">
        <v>2534.3999999999996</v>
      </c>
      <c r="N17" s="100">
        <v>0.75207237483049105</v>
      </c>
      <c r="O17" s="100">
        <v>317.67537112839938</v>
      </c>
      <c r="P17" s="100">
        <v>4.6127933959043954</v>
      </c>
      <c r="Q17" s="100">
        <v>1948.4439304300165</v>
      </c>
      <c r="R17" s="100">
        <v>7.8780353693692255</v>
      </c>
      <c r="S17" s="100">
        <v>3327.6821400215608</v>
      </c>
      <c r="T17" s="100">
        <v>6</v>
      </c>
      <c r="U17" s="100">
        <v>2534.3999999999996</v>
      </c>
      <c r="V17" s="100">
        <v>3.1241502364045668</v>
      </c>
      <c r="W17" s="100">
        <v>1319.6410598572888</v>
      </c>
      <c r="X17" s="100">
        <v>5</v>
      </c>
      <c r="Y17" s="100">
        <v>2112</v>
      </c>
      <c r="Z17" s="100">
        <v>9</v>
      </c>
      <c r="AA17" s="100">
        <v>3801.6</v>
      </c>
      <c r="AB17" s="100">
        <v>1.435956546143301</v>
      </c>
      <c r="AC17" s="100">
        <v>606.54804509093037</v>
      </c>
      <c r="AD17" s="100">
        <v>9.1699974803217508</v>
      </c>
      <c r="AE17" s="100">
        <v>3873.4069356879072</v>
      </c>
      <c r="AF17" s="100">
        <v>2.569923950709152</v>
      </c>
      <c r="AG17" s="100">
        <v>1085.5358767795458</v>
      </c>
      <c r="AH17" s="100">
        <v>10.149772746337746</v>
      </c>
      <c r="AI17" s="100">
        <v>4287.2640080530637</v>
      </c>
      <c r="AJ17" s="100">
        <v>7</v>
      </c>
      <c r="AK17" s="100">
        <v>2956.7999999999997</v>
      </c>
      <c r="AL17" s="100">
        <v>6</v>
      </c>
      <c r="AM17" s="100">
        <v>2534.3999999999996</v>
      </c>
      <c r="AN17" s="100">
        <v>4.6554143672652843</v>
      </c>
      <c r="AO17" s="100">
        <v>1966.4470287328561</v>
      </c>
      <c r="AP17" s="100">
        <v>6.1394126464611931</v>
      </c>
      <c r="AQ17" s="100">
        <v>2593.2879018652079</v>
      </c>
      <c r="AR17" s="100">
        <v>5.645157838845968E-4</v>
      </c>
      <c r="AS17" s="100">
        <v>0.23845146711285367</v>
      </c>
      <c r="AT17" s="100">
        <v>6.0004104948067463</v>
      </c>
      <c r="AU17" s="100">
        <v>2534.5733930063693</v>
      </c>
      <c r="AV17" s="100">
        <v>9</v>
      </c>
      <c r="AW17" s="100">
        <v>3801.6</v>
      </c>
      <c r="AX17" s="100">
        <v>6.2326338713831646</v>
      </c>
      <c r="AY17" s="100">
        <v>2632.6645472722485</v>
      </c>
      <c r="AZ17" s="100">
        <v>5.0728357410293219</v>
      </c>
      <c r="BA17" s="100">
        <v>2142.7658170107857</v>
      </c>
      <c r="BB17" s="100">
        <v>4.5454617283480561</v>
      </c>
      <c r="BC17" s="100">
        <v>1920.0030340542187</v>
      </c>
      <c r="BD17" s="100">
        <v>8.5234938006299217</v>
      </c>
      <c r="BE17" s="100">
        <v>3600.3237813860787</v>
      </c>
      <c r="BF17" s="100">
        <v>5.1853231770595016</v>
      </c>
      <c r="BG17" s="100">
        <v>2190.2805099899333</v>
      </c>
      <c r="BH17" s="100">
        <v>7.7887222376364331</v>
      </c>
      <c r="BI17" s="100">
        <v>3289.9562731776291</v>
      </c>
      <c r="BJ17" s="100">
        <v>2.3543060465807484</v>
      </c>
      <c r="BK17" s="100">
        <v>994.45887407570808</v>
      </c>
      <c r="BL17" s="100">
        <v>4.4268343782228259</v>
      </c>
      <c r="BM17" s="100">
        <v>1869.8948413613216</v>
      </c>
      <c r="BN17" s="100">
        <v>9.0460180625400088</v>
      </c>
      <c r="BO17" s="100">
        <v>3821.0380296168996</v>
      </c>
      <c r="BP17" s="100">
        <v>1.3654304084747635</v>
      </c>
      <c r="BQ17" s="100">
        <v>576.75780453974005</v>
      </c>
      <c r="BR17" s="100">
        <v>7.4813510043912288</v>
      </c>
      <c r="BS17" s="100">
        <v>3160.122664254855</v>
      </c>
      <c r="BT17" s="100">
        <v>6.627085112755819</v>
      </c>
      <c r="BU17" s="100">
        <v>2799.2807516280577</v>
      </c>
      <c r="BV17" s="100">
        <v>10.573495739254888</v>
      </c>
      <c r="BW17" s="100">
        <v>4466.2446002612642</v>
      </c>
      <c r="BX17" s="100">
        <v>6.3922434068280749</v>
      </c>
      <c r="BY17" s="100">
        <v>2700.0836150441787</v>
      </c>
      <c r="BZ17" s="100">
        <v>2.009582874844174</v>
      </c>
      <c r="CA17" s="100">
        <v>848.84780633417904</v>
      </c>
      <c r="CB17" s="100">
        <v>3.6253592734958806</v>
      </c>
      <c r="CC17" s="100">
        <v>1531.3517571246598</v>
      </c>
      <c r="CD17" s="100">
        <v>8.8766902806015668</v>
      </c>
      <c r="CE17" s="100">
        <v>3749.5139745261017</v>
      </c>
      <c r="CF17" s="100">
        <v>2.5404027103241451</v>
      </c>
      <c r="CG17" s="100">
        <v>1073.0661048409188</v>
      </c>
      <c r="CH17" s="100">
        <v>1.9094290562010721</v>
      </c>
      <c r="CI17" s="100">
        <v>806.54283333933279</v>
      </c>
      <c r="CJ17" s="100">
        <v>11.64708332667845</v>
      </c>
      <c r="CK17" s="100">
        <v>4919.7279971889766</v>
      </c>
      <c r="CL17" s="100">
        <v>5.7522427218878853</v>
      </c>
      <c r="CM17" s="100">
        <v>2429.7473257254428</v>
      </c>
      <c r="CN17" s="100">
        <v>7</v>
      </c>
      <c r="CO17" s="100">
        <v>2956.7999999999997</v>
      </c>
      <c r="CP17" s="100">
        <v>3.6473225812495991</v>
      </c>
      <c r="CQ17" s="100">
        <v>1540.6290583198306</v>
      </c>
      <c r="CR17" s="100">
        <v>7.3508121982455465</v>
      </c>
      <c r="CS17" s="100">
        <v>3104.9830725389188</v>
      </c>
      <c r="CT17" s="100">
        <v>8</v>
      </c>
      <c r="CU17" s="100">
        <v>3379.2</v>
      </c>
    </row>
    <row r="18" spans="2:99">
      <c r="C18" s="99" t="s">
        <v>184</v>
      </c>
      <c r="D18" s="100">
        <v>6.0004155684760168</v>
      </c>
      <c r="E18" s="100">
        <v>3917.0712831011433</v>
      </c>
      <c r="F18" s="100">
        <v>6</v>
      </c>
      <c r="G18" s="100">
        <v>3916.7999999999997</v>
      </c>
      <c r="H18" s="100">
        <v>7</v>
      </c>
      <c r="I18" s="100">
        <v>4569.5999999999995</v>
      </c>
      <c r="J18" s="100">
        <v>0.23954217307264342</v>
      </c>
      <c r="K18" s="100">
        <v>156.37313058182161</v>
      </c>
      <c r="L18" s="100">
        <v>7</v>
      </c>
      <c r="M18" s="100">
        <v>4569.5999999999995</v>
      </c>
      <c r="N18" s="100">
        <v>0.66850877762710315</v>
      </c>
      <c r="O18" s="100">
        <v>436.40253003497293</v>
      </c>
      <c r="P18" s="100">
        <v>5.5252514822037675</v>
      </c>
      <c r="Q18" s="100">
        <v>3606.8841675826193</v>
      </c>
      <c r="R18" s="100">
        <v>7.8780353693692255</v>
      </c>
      <c r="S18" s="100">
        <v>5142.7814891242297</v>
      </c>
      <c r="T18" s="100">
        <v>7</v>
      </c>
      <c r="U18" s="100">
        <v>4569.5999999999995</v>
      </c>
      <c r="V18" s="100">
        <v>2.7770224323596149</v>
      </c>
      <c r="W18" s="100">
        <v>1812.8402438443566</v>
      </c>
      <c r="X18" s="100">
        <v>5</v>
      </c>
      <c r="Y18" s="100">
        <v>3264</v>
      </c>
      <c r="Z18" s="100">
        <v>10</v>
      </c>
      <c r="AA18" s="100">
        <v>6528</v>
      </c>
      <c r="AB18" s="100">
        <v>1.435956546143301</v>
      </c>
      <c r="AC18" s="100">
        <v>937.39243332234685</v>
      </c>
      <c r="AD18" s="100">
        <v>9.1699974803217508</v>
      </c>
      <c r="AE18" s="100">
        <v>5986.1743551540385</v>
      </c>
      <c r="AF18" s="100">
        <v>2.569923950709152</v>
      </c>
      <c r="AG18" s="100">
        <v>1677.6463550229344</v>
      </c>
      <c r="AH18" s="100">
        <v>9.983179996903047</v>
      </c>
      <c r="AI18" s="100">
        <v>6517.0199019783086</v>
      </c>
      <c r="AJ18" s="100">
        <v>7</v>
      </c>
      <c r="AK18" s="100">
        <v>4569.5999999999995</v>
      </c>
      <c r="AL18" s="100">
        <v>6</v>
      </c>
      <c r="AM18" s="100">
        <v>3916.7999999999997</v>
      </c>
      <c r="AN18" s="100">
        <v>4.6554143672652843</v>
      </c>
      <c r="AO18" s="100">
        <v>3039.0544989507775</v>
      </c>
      <c r="AP18" s="100">
        <v>6.8215696071791028</v>
      </c>
      <c r="AQ18" s="100">
        <v>4453.1206395665176</v>
      </c>
      <c r="AR18" s="100">
        <v>5.645157838845968E-4</v>
      </c>
      <c r="AS18" s="100">
        <v>0.36851590371986476</v>
      </c>
      <c r="AT18" s="100">
        <v>6.0004104948067463</v>
      </c>
      <c r="AU18" s="100">
        <v>3917.0679710098439</v>
      </c>
      <c r="AV18" s="100">
        <v>9</v>
      </c>
      <c r="AW18" s="100">
        <v>5875.2</v>
      </c>
      <c r="AX18" s="100">
        <v>6.2326338713831646</v>
      </c>
      <c r="AY18" s="100">
        <v>4068.6633912389298</v>
      </c>
      <c r="AZ18" s="100">
        <v>5.0728357410293219</v>
      </c>
      <c r="BA18" s="100">
        <v>3311.5471717439409</v>
      </c>
      <c r="BB18" s="100">
        <v>4.5454617283480561</v>
      </c>
      <c r="BC18" s="100">
        <v>2967.277416265611</v>
      </c>
      <c r="BD18" s="100">
        <v>6.8664354455920131</v>
      </c>
      <c r="BE18" s="100">
        <v>4482.4090588824656</v>
      </c>
      <c r="BF18" s="100">
        <v>4.3211026475495844</v>
      </c>
      <c r="BG18" s="100">
        <v>2820.8158083203684</v>
      </c>
      <c r="BH18" s="100">
        <v>7.0742980795675807</v>
      </c>
      <c r="BI18" s="100">
        <v>4618.1017863417164</v>
      </c>
      <c r="BJ18" s="100">
        <v>2.5955157830312681</v>
      </c>
      <c r="BK18" s="100">
        <v>1694.3527031628116</v>
      </c>
      <c r="BL18" s="100">
        <v>4.3155982394340535</v>
      </c>
      <c r="BM18" s="100">
        <v>2817.2225307025501</v>
      </c>
      <c r="BN18" s="100">
        <v>8.2203544062966767</v>
      </c>
      <c r="BO18" s="100">
        <v>5366.2473564304701</v>
      </c>
      <c r="BP18" s="100">
        <v>1.3654304084747635</v>
      </c>
      <c r="BQ18" s="100">
        <v>891.35297065232555</v>
      </c>
      <c r="BR18" s="100">
        <v>8.2966011430989468</v>
      </c>
      <c r="BS18" s="100">
        <v>5416.0212262149917</v>
      </c>
      <c r="BT18" s="100">
        <v>6.0406457998061072</v>
      </c>
      <c r="BU18" s="100">
        <v>3943.3335781134265</v>
      </c>
      <c r="BV18" s="100">
        <v>9.3986628793376781</v>
      </c>
      <c r="BW18" s="100">
        <v>6135.4471276316362</v>
      </c>
      <c r="BX18" s="100">
        <v>6.3922434068280749</v>
      </c>
      <c r="BY18" s="100">
        <v>4172.8564959773666</v>
      </c>
      <c r="BZ18" s="100">
        <v>1.8071771063603479</v>
      </c>
      <c r="CA18" s="100">
        <v>1179.7252150320351</v>
      </c>
      <c r="CB18" s="100">
        <v>3.6253592734958806</v>
      </c>
      <c r="CC18" s="100">
        <v>2366.6345337381108</v>
      </c>
      <c r="CD18" s="100">
        <v>8.7060820732741497</v>
      </c>
      <c r="CE18" s="100">
        <v>5683.3303774333644</v>
      </c>
      <c r="CF18" s="100">
        <v>2.5404027103241451</v>
      </c>
      <c r="CG18" s="100">
        <v>1658.3748892996018</v>
      </c>
      <c r="CH18" s="100">
        <v>1.9094290562010721</v>
      </c>
      <c r="CI18" s="100">
        <v>1246.4752878880597</v>
      </c>
      <c r="CJ18" s="100">
        <v>10.77649999201414</v>
      </c>
      <c r="CK18" s="100">
        <v>7034.8991947868299</v>
      </c>
      <c r="CL18" s="100">
        <v>6.3913808020976504</v>
      </c>
      <c r="CM18" s="100">
        <v>4172.2933876093457</v>
      </c>
      <c r="CN18" s="100">
        <v>6</v>
      </c>
      <c r="CO18" s="100">
        <v>3916.7999999999997</v>
      </c>
      <c r="CP18" s="100">
        <v>3.6473225812495991</v>
      </c>
      <c r="CQ18" s="100">
        <v>2380.9721810397382</v>
      </c>
      <c r="CR18" s="100">
        <v>8.0190678526315047</v>
      </c>
      <c r="CS18" s="100">
        <v>5234.8474941978457</v>
      </c>
      <c r="CT18" s="100">
        <v>8</v>
      </c>
      <c r="CU18" s="100">
        <v>5222.3999999999996</v>
      </c>
    </row>
    <row r="19" spans="2:99">
      <c r="C19" s="99" t="s">
        <v>185</v>
      </c>
      <c r="D19" s="100">
        <v>6.0004155684760168</v>
      </c>
      <c r="E19" s="100">
        <v>1980.1371375970855</v>
      </c>
      <c r="F19" s="100">
        <v>5</v>
      </c>
      <c r="G19" s="100">
        <v>1650</v>
      </c>
      <c r="H19" s="100">
        <v>7</v>
      </c>
      <c r="I19" s="100">
        <v>2310</v>
      </c>
      <c r="J19" s="100">
        <v>0.23954217307264342</v>
      </c>
      <c r="K19" s="100">
        <v>79.048917113972323</v>
      </c>
      <c r="L19" s="100">
        <v>6</v>
      </c>
      <c r="M19" s="100">
        <v>1980</v>
      </c>
      <c r="N19" s="100">
        <v>0.66850877762710315</v>
      </c>
      <c r="O19" s="100">
        <v>220.60789661694403</v>
      </c>
      <c r="P19" s="100">
        <v>5.6127933959043954</v>
      </c>
      <c r="Q19" s="100">
        <v>1852.2218206484504</v>
      </c>
      <c r="R19" s="100">
        <v>7.0026981061059788</v>
      </c>
      <c r="S19" s="100">
        <v>2310.890375014973</v>
      </c>
      <c r="T19" s="100">
        <v>8</v>
      </c>
      <c r="U19" s="100">
        <v>2640</v>
      </c>
      <c r="V19" s="100">
        <v>3.4712780404495187</v>
      </c>
      <c r="W19" s="100">
        <v>1145.5217533483412</v>
      </c>
      <c r="X19" s="100">
        <v>5</v>
      </c>
      <c r="Y19" s="100">
        <v>1650</v>
      </c>
      <c r="Z19" s="100">
        <v>10</v>
      </c>
      <c r="AA19" s="100">
        <v>3300</v>
      </c>
      <c r="AB19" s="100">
        <v>1.1966304551194176</v>
      </c>
      <c r="AC19" s="100">
        <v>394.88805018940781</v>
      </c>
      <c r="AD19" s="100">
        <v>9.3162471653619701</v>
      </c>
      <c r="AE19" s="100">
        <v>3074.3615645694499</v>
      </c>
      <c r="AF19" s="100">
        <v>2.569923950709152</v>
      </c>
      <c r="AG19" s="100">
        <v>848.07490373402015</v>
      </c>
      <c r="AH19" s="100">
        <v>10.149772746337746</v>
      </c>
      <c r="AI19" s="100">
        <v>3349.4250062914562</v>
      </c>
      <c r="AJ19" s="100">
        <v>8</v>
      </c>
      <c r="AK19" s="100">
        <v>2640</v>
      </c>
      <c r="AL19" s="100">
        <v>6</v>
      </c>
      <c r="AM19" s="100">
        <v>1980</v>
      </c>
      <c r="AN19" s="100">
        <v>4.6554143672652843</v>
      </c>
      <c r="AO19" s="100">
        <v>1536.2867411975437</v>
      </c>
      <c r="AP19" s="100">
        <v>7.5037265678970142</v>
      </c>
      <c r="AQ19" s="100">
        <v>2476.2297674060146</v>
      </c>
      <c r="AR19" s="100">
        <v>5.6604344500438058E-4</v>
      </c>
      <c r="AS19" s="100">
        <v>0.18679433685144559</v>
      </c>
      <c r="AT19" s="100">
        <v>6.0004104948067463</v>
      </c>
      <c r="AU19" s="100">
        <v>1980.1354632862262</v>
      </c>
      <c r="AV19" s="100">
        <v>9</v>
      </c>
      <c r="AW19" s="100">
        <v>2970</v>
      </c>
      <c r="AX19" s="100">
        <v>6.2326338713831646</v>
      </c>
      <c r="AY19" s="100">
        <v>2056.7691775564444</v>
      </c>
      <c r="AZ19" s="100">
        <v>5.0728357410293219</v>
      </c>
      <c r="BA19" s="100">
        <v>1674.0357945396763</v>
      </c>
      <c r="BB19" s="100">
        <v>5.3030386830727316</v>
      </c>
      <c r="BC19" s="100">
        <v>1750.0027654140015</v>
      </c>
      <c r="BD19" s="100">
        <v>7.7068747243829856</v>
      </c>
      <c r="BE19" s="100">
        <v>2543.2686590463854</v>
      </c>
      <c r="BF19" s="100">
        <v>4.9208771212362699</v>
      </c>
      <c r="BG19" s="100">
        <v>1623.8894500079691</v>
      </c>
      <c r="BH19" s="100">
        <v>8.574755357588387</v>
      </c>
      <c r="BI19" s="100">
        <v>2829.6692680041679</v>
      </c>
      <c r="BJ19" s="100">
        <v>2.5627103390453949</v>
      </c>
      <c r="BK19" s="100">
        <v>845.69441188498035</v>
      </c>
      <c r="BL19" s="100">
        <v>4.8045225421248876</v>
      </c>
      <c r="BM19" s="100">
        <v>1585.4924389012128</v>
      </c>
      <c r="BN19" s="100">
        <v>8.0460180625400088</v>
      </c>
      <c r="BO19" s="100">
        <v>2655.1859606382031</v>
      </c>
      <c r="BP19" s="100">
        <v>1.5755848505569938</v>
      </c>
      <c r="BQ19" s="100">
        <v>519.94300068380801</v>
      </c>
      <c r="BR19" s="100">
        <v>7.3086943262482338</v>
      </c>
      <c r="BS19" s="100">
        <v>2411.869127661917</v>
      </c>
      <c r="BT19" s="100">
        <v>6.6466687427901512</v>
      </c>
      <c r="BU19" s="100">
        <v>2193.40068512075</v>
      </c>
      <c r="BV19" s="100">
        <v>9.7483285991720976</v>
      </c>
      <c r="BW19" s="100">
        <v>3216.9484377267922</v>
      </c>
      <c r="BX19" s="100">
        <v>6.3922434068280749</v>
      </c>
      <c r="BY19" s="100">
        <v>2109.4403242532649</v>
      </c>
      <c r="BZ19" s="100">
        <v>2.0047579381794796</v>
      </c>
      <c r="CA19" s="100">
        <v>661.57011959922829</v>
      </c>
      <c r="CB19" s="100">
        <v>3.5460907229136103</v>
      </c>
      <c r="CC19" s="100">
        <v>1170.2099385614913</v>
      </c>
      <c r="CD19" s="100">
        <v>8.8766902806015668</v>
      </c>
      <c r="CE19" s="100">
        <v>2929.3077925985172</v>
      </c>
      <c r="CF19" s="100">
        <v>2.222852371533627</v>
      </c>
      <c r="CG19" s="100">
        <v>733.54128260609696</v>
      </c>
      <c r="CH19" s="100">
        <v>2.150688513432141</v>
      </c>
      <c r="CI19" s="100">
        <v>709.72720943260651</v>
      </c>
      <c r="CJ19" s="100">
        <v>11.64708332667845</v>
      </c>
      <c r="CK19" s="100">
        <v>3843.5374978038885</v>
      </c>
      <c r="CL19" s="100">
        <v>7.0305188823074154</v>
      </c>
      <c r="CM19" s="100">
        <v>2320.071231161447</v>
      </c>
      <c r="CN19" s="100">
        <v>6</v>
      </c>
      <c r="CO19" s="100">
        <v>1980</v>
      </c>
      <c r="CP19" s="100">
        <v>3.6473225812495991</v>
      </c>
      <c r="CQ19" s="100">
        <v>1203.6164518123676</v>
      </c>
      <c r="CR19" s="100">
        <v>7.3508121982455465</v>
      </c>
      <c r="CS19" s="100">
        <v>2425.7680254210304</v>
      </c>
      <c r="CT19" s="100">
        <v>9</v>
      </c>
      <c r="CU19" s="100">
        <v>2970</v>
      </c>
    </row>
    <row r="20" spans="2:99">
      <c r="B20" s="99" t="s">
        <v>127</v>
      </c>
      <c r="C20" s="99" t="s">
        <v>186</v>
      </c>
      <c r="D20" s="100">
        <v>9.0004155684760168</v>
      </c>
      <c r="E20" s="100">
        <v>2581.3191850389217</v>
      </c>
      <c r="F20" s="100">
        <v>8</v>
      </c>
      <c r="G20" s="100">
        <v>2294.4</v>
      </c>
      <c r="H20" s="100">
        <v>11</v>
      </c>
      <c r="I20" s="100">
        <v>3154.8</v>
      </c>
      <c r="J20" s="100">
        <v>0.43916065063317961</v>
      </c>
      <c r="K20" s="100">
        <v>125.95127460159591</v>
      </c>
      <c r="L20" s="100">
        <v>6</v>
      </c>
      <c r="M20" s="100">
        <v>1720.8000000000002</v>
      </c>
      <c r="N20" s="100">
        <v>0.58494518042371535</v>
      </c>
      <c r="O20" s="100">
        <v>167.76227774552157</v>
      </c>
      <c r="P20" s="100">
        <v>8.7878772233056512</v>
      </c>
      <c r="Q20" s="100">
        <v>2520.3631876440609</v>
      </c>
      <c r="R20" s="100">
        <v>7.8780353693692255</v>
      </c>
      <c r="S20" s="100">
        <v>2259.420543935094</v>
      </c>
      <c r="T20" s="100">
        <v>7</v>
      </c>
      <c r="U20" s="100">
        <v>2007.6000000000001</v>
      </c>
      <c r="V20" s="100">
        <v>3.8184058444944706</v>
      </c>
      <c r="W20" s="100">
        <v>1095.1187962010142</v>
      </c>
      <c r="X20" s="100">
        <v>8</v>
      </c>
      <c r="Y20" s="100">
        <v>2294.4</v>
      </c>
      <c r="Z20" s="100">
        <v>5</v>
      </c>
      <c r="AA20" s="100">
        <v>1434</v>
      </c>
      <c r="AB20" s="100">
        <v>2.1539348192149514</v>
      </c>
      <c r="AC20" s="100">
        <v>617.74850615084813</v>
      </c>
      <c r="AD20" s="100">
        <v>9.9012459055228472</v>
      </c>
      <c r="AE20" s="100">
        <v>2839.6773257039526</v>
      </c>
      <c r="AF20" s="100">
        <v>2.569923950709152</v>
      </c>
      <c r="AG20" s="100">
        <v>737.0541890633848</v>
      </c>
      <c r="AH20" s="100">
        <v>9.5231745749575314</v>
      </c>
      <c r="AI20" s="100">
        <v>2731.2464680978201</v>
      </c>
      <c r="AJ20" s="100">
        <v>6</v>
      </c>
      <c r="AK20" s="100">
        <v>1720.8000000000002</v>
      </c>
      <c r="AL20" s="100">
        <v>12</v>
      </c>
      <c r="AM20" s="100">
        <v>3441.6000000000004</v>
      </c>
      <c r="AN20" s="100">
        <v>6.9831215508979261</v>
      </c>
      <c r="AO20" s="100">
        <v>2002.7592607975253</v>
      </c>
      <c r="AP20" s="100">
        <v>7.5037265678970142</v>
      </c>
      <c r="AQ20" s="100">
        <v>2152.0687796728639</v>
      </c>
      <c r="AR20" s="100">
        <v>4.3102514351236635E-4</v>
      </c>
      <c r="AS20" s="100">
        <v>0.12361801115934667</v>
      </c>
      <c r="AT20" s="100">
        <v>10.000615742210119</v>
      </c>
      <c r="AU20" s="100">
        <v>2868.1765948658622</v>
      </c>
      <c r="AV20" s="100">
        <v>9</v>
      </c>
      <c r="AW20" s="100">
        <v>2581.2000000000003</v>
      </c>
      <c r="AX20" s="100">
        <v>3.8953961696144783</v>
      </c>
      <c r="AY20" s="100">
        <v>1117.1996214454325</v>
      </c>
      <c r="AZ20" s="100">
        <v>6.7637809880390964</v>
      </c>
      <c r="BA20" s="100">
        <v>1939.8523873696129</v>
      </c>
      <c r="BB20" s="100">
        <v>7.5757695472467592</v>
      </c>
      <c r="BC20" s="100">
        <v>2172.7307061503707</v>
      </c>
      <c r="BD20" s="100">
        <v>5.2570174956421818</v>
      </c>
      <c r="BE20" s="100">
        <v>1507.7126177501777</v>
      </c>
      <c r="BF20" s="100">
        <v>5.7850976507461862</v>
      </c>
      <c r="BG20" s="100">
        <v>1659.1660062340063</v>
      </c>
      <c r="BH20" s="100">
        <v>5.8602766490791787</v>
      </c>
      <c r="BI20" s="100">
        <v>1680.7273429559084</v>
      </c>
      <c r="BJ20" s="100">
        <v>1.9543234881662608</v>
      </c>
      <c r="BK20" s="100">
        <v>560.49997640608365</v>
      </c>
      <c r="BL20" s="100">
        <v>5.9470157178559369</v>
      </c>
      <c r="BM20" s="100">
        <v>1705.6041078810827</v>
      </c>
      <c r="BN20" s="100">
        <v>13.74336343756668</v>
      </c>
      <c r="BO20" s="100">
        <v>3941.5966338941239</v>
      </c>
      <c r="BP20" s="100">
        <v>2.0243947590800127</v>
      </c>
      <c r="BQ20" s="100">
        <v>580.59641690414765</v>
      </c>
      <c r="BR20" s="100">
        <v>14.099418618067483</v>
      </c>
      <c r="BS20" s="100">
        <v>4043.7132596617544</v>
      </c>
      <c r="BT20" s="100">
        <v>3.3849259539234366</v>
      </c>
      <c r="BU20" s="100">
        <v>970.79676358524171</v>
      </c>
      <c r="BV20" s="100">
        <v>13.748328599172098</v>
      </c>
      <c r="BW20" s="100">
        <v>3943.0206422425576</v>
      </c>
      <c r="BX20" s="100">
        <v>10.044953925015548</v>
      </c>
      <c r="BY20" s="100">
        <v>2880.8927856944592</v>
      </c>
      <c r="BZ20" s="100">
        <v>1.7782274863721823</v>
      </c>
      <c r="CA20" s="100">
        <v>509.99564309154192</v>
      </c>
      <c r="CB20" s="100">
        <v>5.084226870963052</v>
      </c>
      <c r="CC20" s="100">
        <v>1458.1562665922033</v>
      </c>
      <c r="CD20" s="100">
        <v>8.3885149025838111</v>
      </c>
      <c r="CE20" s="100">
        <v>2405.8260740610372</v>
      </c>
      <c r="CF20" s="100">
        <v>3.1755033879051813</v>
      </c>
      <c r="CG20" s="100">
        <v>910.73437165120606</v>
      </c>
      <c r="CH20" s="100">
        <v>2.1727497989905</v>
      </c>
      <c r="CI20" s="100">
        <v>623.14464235047546</v>
      </c>
      <c r="CJ20" s="100">
        <v>13.552999984028279</v>
      </c>
      <c r="CK20" s="100">
        <v>3887.0003954193107</v>
      </c>
      <c r="CL20" s="100">
        <v>7.0305188823074154</v>
      </c>
      <c r="CM20" s="100">
        <v>2016.3528154457667</v>
      </c>
      <c r="CN20" s="100">
        <v>9</v>
      </c>
      <c r="CO20" s="100">
        <v>2581.2000000000003</v>
      </c>
      <c r="CP20" s="100">
        <v>2.9178580649996793</v>
      </c>
      <c r="CQ20" s="100">
        <v>836.841693041908</v>
      </c>
      <c r="CR20" s="100">
        <v>5.3460452350876704</v>
      </c>
      <c r="CS20" s="100">
        <v>1533.2457734231439</v>
      </c>
      <c r="CT20" s="100">
        <v>8</v>
      </c>
      <c r="CU20" s="100">
        <v>2294.4</v>
      </c>
    </row>
    <row r="21" spans="2:99">
      <c r="C21" s="99" t="s">
        <v>187</v>
      </c>
      <c r="D21" s="100">
        <v>9.0004155684760168</v>
      </c>
      <c r="E21" s="100">
        <v>561.6259314729034</v>
      </c>
      <c r="F21" s="100">
        <v>10</v>
      </c>
      <c r="G21" s="100">
        <v>624</v>
      </c>
      <c r="H21" s="100">
        <v>10</v>
      </c>
      <c r="I21" s="100">
        <v>624</v>
      </c>
      <c r="J21" s="100">
        <v>0.43916065063317961</v>
      </c>
      <c r="K21" s="100">
        <v>27.403624599510408</v>
      </c>
      <c r="L21" s="100">
        <v>6</v>
      </c>
      <c r="M21" s="100">
        <v>374.4</v>
      </c>
      <c r="N21" s="100">
        <v>0.66850877762710315</v>
      </c>
      <c r="O21" s="100">
        <v>41.714947723931232</v>
      </c>
      <c r="P21" s="100">
        <v>8.8754191370062792</v>
      </c>
      <c r="Q21" s="100">
        <v>553.82615414919178</v>
      </c>
      <c r="R21" s="100">
        <v>7.0026981061059788</v>
      </c>
      <c r="S21" s="100">
        <v>436.96836182101305</v>
      </c>
      <c r="T21" s="100">
        <v>7</v>
      </c>
      <c r="U21" s="100">
        <v>436.8</v>
      </c>
      <c r="V21" s="100">
        <v>3.8184058444944706</v>
      </c>
      <c r="W21" s="100">
        <v>238.26852469645496</v>
      </c>
      <c r="X21" s="100">
        <v>7</v>
      </c>
      <c r="Y21" s="100">
        <v>436.8</v>
      </c>
      <c r="Z21" s="100">
        <v>6</v>
      </c>
      <c r="AA21" s="100">
        <v>374.4</v>
      </c>
      <c r="AB21" s="100">
        <v>1.9146087281910678</v>
      </c>
      <c r="AC21" s="100">
        <v>119.47158463912263</v>
      </c>
      <c r="AD21" s="100">
        <v>11.193745275603284</v>
      </c>
      <c r="AE21" s="100">
        <v>698.48970519764487</v>
      </c>
      <c r="AF21" s="100">
        <v>2.2486834568705079</v>
      </c>
      <c r="AG21" s="100">
        <v>140.31784770871968</v>
      </c>
      <c r="AH21" s="100">
        <v>9.1899890760881338</v>
      </c>
      <c r="AI21" s="100">
        <v>573.45531834789949</v>
      </c>
      <c r="AJ21" s="100">
        <v>7</v>
      </c>
      <c r="AK21" s="100">
        <v>436.8</v>
      </c>
      <c r="AL21" s="100">
        <v>11</v>
      </c>
      <c r="AM21" s="100">
        <v>686.4</v>
      </c>
      <c r="AN21" s="100">
        <v>7.7590239454421406</v>
      </c>
      <c r="AO21" s="100">
        <v>484.16309419558957</v>
      </c>
      <c r="AP21" s="100">
        <v>8.185883528614923</v>
      </c>
      <c r="AQ21" s="100">
        <v>510.79913218557118</v>
      </c>
      <c r="AR21" s="100">
        <v>4.9853429425837344E-4</v>
      </c>
      <c r="AS21" s="100">
        <v>3.1108539961722501E-2</v>
      </c>
      <c r="AT21" s="100">
        <v>10.000574692729446</v>
      </c>
      <c r="AU21" s="100">
        <v>624.03586082631739</v>
      </c>
      <c r="AV21" s="100">
        <v>11</v>
      </c>
      <c r="AW21" s="100">
        <v>686.4</v>
      </c>
      <c r="AX21" s="100">
        <v>5.4535546374602699</v>
      </c>
      <c r="AY21" s="100">
        <v>340.30180937752084</v>
      </c>
      <c r="AZ21" s="100">
        <v>5.9183083645342096</v>
      </c>
      <c r="BA21" s="100">
        <v>369.30244194693466</v>
      </c>
      <c r="BB21" s="100">
        <v>8.3333465019714374</v>
      </c>
      <c r="BC21" s="100">
        <v>520.00082172301768</v>
      </c>
      <c r="BD21" s="100">
        <v>5.2570174956421818</v>
      </c>
      <c r="BE21" s="100">
        <v>328.03789172807211</v>
      </c>
      <c r="BF21" s="100">
        <v>5.7184560425587767</v>
      </c>
      <c r="BG21" s="100">
        <v>356.83165705566768</v>
      </c>
      <c r="BH21" s="100">
        <v>5.0026345672441233</v>
      </c>
      <c r="BI21" s="100">
        <v>312.1643969960333</v>
      </c>
      <c r="BJ21" s="100">
        <v>1.7470362771369421</v>
      </c>
      <c r="BK21" s="100">
        <v>109.01506369334518</v>
      </c>
      <c r="BL21" s="100">
        <v>5.5181287602270421</v>
      </c>
      <c r="BM21" s="100">
        <v>344.33123463816742</v>
      </c>
      <c r="BN21" s="100">
        <v>12.74336343756668</v>
      </c>
      <c r="BO21" s="100">
        <v>795.18587850416088</v>
      </c>
      <c r="BP21" s="100">
        <v>2.0148944176271599</v>
      </c>
      <c r="BQ21" s="100">
        <v>125.72941165993478</v>
      </c>
      <c r="BR21" s="100">
        <v>14.099418618067483</v>
      </c>
      <c r="BS21" s="100">
        <v>879.80372176741093</v>
      </c>
      <c r="BT21" s="100">
        <v>3.9739867516015805</v>
      </c>
      <c r="BU21" s="100">
        <v>247.97677329993863</v>
      </c>
      <c r="BV21" s="100">
        <v>12.748328599172098</v>
      </c>
      <c r="BW21" s="100">
        <v>795.49570458833887</v>
      </c>
      <c r="BX21" s="100">
        <v>10.958131554562414</v>
      </c>
      <c r="BY21" s="100">
        <v>683.78740900469461</v>
      </c>
      <c r="BZ21" s="100">
        <v>1.3830658227339196</v>
      </c>
      <c r="CA21" s="100">
        <v>86.303307338596582</v>
      </c>
      <c r="CB21" s="100">
        <v>4.9256897697985131</v>
      </c>
      <c r="CC21" s="100">
        <v>307.36304163542724</v>
      </c>
      <c r="CD21" s="100">
        <v>8.5591231099112264</v>
      </c>
      <c r="CE21" s="100">
        <v>534.08928205846053</v>
      </c>
      <c r="CF21" s="100">
        <v>3.1755033879051813</v>
      </c>
      <c r="CG21" s="100">
        <v>198.15141140528331</v>
      </c>
      <c r="CH21" s="100">
        <v>2.1727497989905</v>
      </c>
      <c r="CI21" s="100">
        <v>135.57958745700719</v>
      </c>
      <c r="CJ21" s="100">
        <v>13.552999984028279</v>
      </c>
      <c r="CK21" s="100">
        <v>845.70719900336462</v>
      </c>
      <c r="CL21" s="100">
        <v>7.6696569625171804</v>
      </c>
      <c r="CM21" s="100">
        <v>478.58659446107202</v>
      </c>
      <c r="CN21" s="100">
        <v>9</v>
      </c>
      <c r="CO21" s="100">
        <v>561.6</v>
      </c>
      <c r="CP21" s="100">
        <v>2.9178580649996793</v>
      </c>
      <c r="CQ21" s="100">
        <v>182.07434325597998</v>
      </c>
      <c r="CR21" s="100">
        <v>5.3460452350876704</v>
      </c>
      <c r="CS21" s="100">
        <v>333.59322266947061</v>
      </c>
      <c r="CT21" s="100">
        <v>9</v>
      </c>
      <c r="CU21" s="100">
        <v>561.6</v>
      </c>
    </row>
    <row r="22" spans="2:99">
      <c r="C22" s="99" t="s">
        <v>188</v>
      </c>
      <c r="D22" s="100">
        <v>8.0004749354011615</v>
      </c>
      <c r="E22" s="100">
        <v>1497.6889079070972</v>
      </c>
      <c r="F22" s="100">
        <v>10</v>
      </c>
      <c r="G22" s="100">
        <v>1872</v>
      </c>
      <c r="H22" s="100">
        <v>11</v>
      </c>
      <c r="I22" s="100">
        <v>2059.1999999999998</v>
      </c>
      <c r="J22" s="100">
        <v>0.43916065063317961</v>
      </c>
      <c r="K22" s="100">
        <v>82.21087379853121</v>
      </c>
      <c r="L22" s="100">
        <v>6</v>
      </c>
      <c r="M22" s="100">
        <v>1123.1999999999998</v>
      </c>
      <c r="N22" s="100">
        <v>0.66850877762710315</v>
      </c>
      <c r="O22" s="100">
        <v>125.1448431717937</v>
      </c>
      <c r="P22" s="100">
        <v>8.7878772233056512</v>
      </c>
      <c r="Q22" s="100">
        <v>1645.0906162028177</v>
      </c>
      <c r="R22" s="100">
        <v>7.8780353693692255</v>
      </c>
      <c r="S22" s="100">
        <v>1474.7682211459189</v>
      </c>
      <c r="T22" s="100">
        <v>8</v>
      </c>
      <c r="U22" s="100">
        <v>1497.6</v>
      </c>
      <c r="V22" s="100">
        <v>3.8184058444944706</v>
      </c>
      <c r="W22" s="100">
        <v>714.80557408936488</v>
      </c>
      <c r="X22" s="100">
        <v>8</v>
      </c>
      <c r="Y22" s="100">
        <v>1497.6</v>
      </c>
      <c r="Z22" s="100">
        <v>5</v>
      </c>
      <c r="AA22" s="100">
        <v>936</v>
      </c>
      <c r="AB22" s="100">
        <v>2.1539348192149514</v>
      </c>
      <c r="AC22" s="100">
        <v>403.2165981570389</v>
      </c>
      <c r="AD22" s="100">
        <v>10.047495590563065</v>
      </c>
      <c r="AE22" s="100">
        <v>1880.8911745534056</v>
      </c>
      <c r="AF22" s="100">
        <v>2.569923950709152</v>
      </c>
      <c r="AG22" s="100">
        <v>481.08976357275321</v>
      </c>
      <c r="AH22" s="100">
        <v>8.2103189926592268</v>
      </c>
      <c r="AI22" s="100">
        <v>1536.9717154258071</v>
      </c>
      <c r="AJ22" s="100">
        <v>7</v>
      </c>
      <c r="AK22" s="100">
        <v>1310.3999999999999</v>
      </c>
      <c r="AL22" s="100">
        <v>12</v>
      </c>
      <c r="AM22" s="100">
        <v>2246.3999999999996</v>
      </c>
      <c r="AN22" s="100">
        <v>6.2072191563537134</v>
      </c>
      <c r="AO22" s="100">
        <v>1161.991426069415</v>
      </c>
      <c r="AP22" s="100">
        <v>6.8215696071791028</v>
      </c>
      <c r="AQ22" s="100">
        <v>1276.997830463928</v>
      </c>
      <c r="AR22" s="100">
        <v>4.2949748239258257E-4</v>
      </c>
      <c r="AS22" s="100">
        <v>8.0401928703891457E-2</v>
      </c>
      <c r="AT22" s="100">
        <v>10.000615742210119</v>
      </c>
      <c r="AU22" s="100">
        <v>1872.1152669417343</v>
      </c>
      <c r="AV22" s="100">
        <v>9</v>
      </c>
      <c r="AW22" s="100">
        <v>1684.8</v>
      </c>
      <c r="AX22" s="100">
        <v>4.6744754035373735</v>
      </c>
      <c r="AY22" s="100">
        <v>875.06179554219625</v>
      </c>
      <c r="AZ22" s="100">
        <v>5.9183083645342096</v>
      </c>
      <c r="BA22" s="100">
        <v>1107.9073258408039</v>
      </c>
      <c r="BB22" s="100">
        <v>7.5757695472467592</v>
      </c>
      <c r="BC22" s="100">
        <v>1418.1840592445933</v>
      </c>
      <c r="BD22" s="100">
        <v>5.2331972930981427</v>
      </c>
      <c r="BE22" s="100">
        <v>979.65453326797228</v>
      </c>
      <c r="BF22" s="100">
        <v>5.7184560425587767</v>
      </c>
      <c r="BG22" s="100">
        <v>1070.4949711670029</v>
      </c>
      <c r="BH22" s="100">
        <v>5.0742435291272256</v>
      </c>
      <c r="BI22" s="100">
        <v>949.89838865261663</v>
      </c>
      <c r="BJ22" s="100">
        <v>1.9679755787666289</v>
      </c>
      <c r="BK22" s="100">
        <v>368.4050283451129</v>
      </c>
      <c r="BL22" s="100">
        <v>5.4580914151651019</v>
      </c>
      <c r="BM22" s="100">
        <v>1021.754712918907</v>
      </c>
      <c r="BN22" s="100">
        <v>12.74336343756668</v>
      </c>
      <c r="BO22" s="100">
        <v>2385.5576355124822</v>
      </c>
      <c r="BP22" s="100">
        <v>2.0053940761743072</v>
      </c>
      <c r="BQ22" s="100">
        <v>375.40977105983029</v>
      </c>
      <c r="BR22" s="100">
        <v>14.914668756775201</v>
      </c>
      <c r="BS22" s="100">
        <v>2792.0259912683177</v>
      </c>
      <c r="BT22" s="100">
        <v>3.9308038416591677</v>
      </c>
      <c r="BU22" s="100">
        <v>735.84647915859614</v>
      </c>
      <c r="BV22" s="100">
        <v>13.573495739254888</v>
      </c>
      <c r="BW22" s="100">
        <v>2540.958402388515</v>
      </c>
      <c r="BX22" s="100">
        <v>10.044953925015548</v>
      </c>
      <c r="BY22" s="100">
        <v>1880.4153747629105</v>
      </c>
      <c r="BZ22" s="100">
        <v>1.3830658227339196</v>
      </c>
      <c r="CA22" s="100">
        <v>258.90992201578973</v>
      </c>
      <c r="CB22" s="100">
        <v>5.080888382304142</v>
      </c>
      <c r="CC22" s="100">
        <v>951.14230516733528</v>
      </c>
      <c r="CD22" s="100">
        <v>8.5591231099112264</v>
      </c>
      <c r="CE22" s="100">
        <v>1602.2678461753815</v>
      </c>
      <c r="CF22" s="100">
        <v>3.1755033879051813</v>
      </c>
      <c r="CG22" s="100">
        <v>594.45423421584985</v>
      </c>
      <c r="CH22" s="100">
        <v>2.425039899000748</v>
      </c>
      <c r="CI22" s="100">
        <v>453.96746909294001</v>
      </c>
      <c r="CJ22" s="100">
        <v>12.552999984028279</v>
      </c>
      <c r="CK22" s="100">
        <v>2349.9215970100936</v>
      </c>
      <c r="CL22" s="100">
        <v>7.6696569625171804</v>
      </c>
      <c r="CM22" s="100">
        <v>1435.759783383216</v>
      </c>
      <c r="CN22" s="100">
        <v>8</v>
      </c>
      <c r="CO22" s="100">
        <v>1497.6</v>
      </c>
      <c r="CP22" s="100">
        <v>2.5531258068747191</v>
      </c>
      <c r="CQ22" s="100">
        <v>477.94515104694739</v>
      </c>
      <c r="CR22" s="100">
        <v>5.3460452350876704</v>
      </c>
      <c r="CS22" s="100">
        <v>1000.7796680084118</v>
      </c>
      <c r="CT22" s="100">
        <v>8</v>
      </c>
      <c r="CU22" s="100">
        <v>1497.6</v>
      </c>
    </row>
    <row r="23" spans="2:99">
      <c r="C23" s="99" t="s">
        <v>189</v>
      </c>
      <c r="D23" s="100">
        <v>7.0004749354011615</v>
      </c>
      <c r="E23" s="100">
        <v>2058.1396310079413</v>
      </c>
      <c r="F23" s="100">
        <v>9</v>
      </c>
      <c r="G23" s="100">
        <v>2646</v>
      </c>
      <c r="H23" s="100">
        <v>10</v>
      </c>
      <c r="I23" s="100">
        <v>2940</v>
      </c>
      <c r="J23" s="100">
        <v>0.43916065063317961</v>
      </c>
      <c r="K23" s="100">
        <v>129.11323128615481</v>
      </c>
      <c r="L23" s="100">
        <v>6</v>
      </c>
      <c r="M23" s="100">
        <v>1764</v>
      </c>
      <c r="N23" s="100">
        <v>0.66850877762710315</v>
      </c>
      <c r="O23" s="100">
        <v>196.54158062236831</v>
      </c>
      <c r="P23" s="100">
        <v>8.8754191370062792</v>
      </c>
      <c r="Q23" s="100">
        <v>2609.3732262798462</v>
      </c>
      <c r="R23" s="100">
        <v>7.8780353693692255</v>
      </c>
      <c r="S23" s="100">
        <v>2316.1423985945521</v>
      </c>
      <c r="T23" s="100">
        <v>7</v>
      </c>
      <c r="U23" s="100">
        <v>2058</v>
      </c>
      <c r="V23" s="100">
        <v>4.1655336485394221</v>
      </c>
      <c r="W23" s="100">
        <v>1224.6668926705902</v>
      </c>
      <c r="X23" s="100">
        <v>7</v>
      </c>
      <c r="Y23" s="100">
        <v>2058</v>
      </c>
      <c r="Z23" s="100">
        <v>7</v>
      </c>
      <c r="AA23" s="100">
        <v>2058</v>
      </c>
      <c r="AB23" s="100">
        <v>1.9146087281910678</v>
      </c>
      <c r="AC23" s="100">
        <v>562.89496608817387</v>
      </c>
      <c r="AD23" s="100">
        <v>10.193745275603284</v>
      </c>
      <c r="AE23" s="100">
        <v>2996.9611110273654</v>
      </c>
      <c r="AF23" s="100">
        <v>2.2486834568705079</v>
      </c>
      <c r="AG23" s="100">
        <v>661.1129363199293</v>
      </c>
      <c r="AH23" s="100">
        <v>8.2103189926592268</v>
      </c>
      <c r="AI23" s="100">
        <v>2413.8337838418129</v>
      </c>
      <c r="AJ23" s="100">
        <v>6</v>
      </c>
      <c r="AK23" s="100">
        <v>1764</v>
      </c>
      <c r="AL23" s="100">
        <v>10</v>
      </c>
      <c r="AM23" s="100">
        <v>2940</v>
      </c>
      <c r="AN23" s="100">
        <v>6.9831215508979261</v>
      </c>
      <c r="AO23" s="100">
        <v>2053.0377359639901</v>
      </c>
      <c r="AP23" s="100">
        <v>6.8215696071791028</v>
      </c>
      <c r="AQ23" s="100">
        <v>2005.5414645106562</v>
      </c>
      <c r="AR23" s="100">
        <v>5.0006195537815722E-4</v>
      </c>
      <c r="AS23" s="100">
        <v>0.14701821488117822</v>
      </c>
      <c r="AT23" s="100">
        <v>11.000533643248771</v>
      </c>
      <c r="AU23" s="100">
        <v>3234.1568911151385</v>
      </c>
      <c r="AV23" s="100">
        <v>10</v>
      </c>
      <c r="AW23" s="100">
        <v>2940</v>
      </c>
      <c r="AX23" s="100">
        <v>4.6744754035373735</v>
      </c>
      <c r="AY23" s="100">
        <v>1374.2957686399877</v>
      </c>
      <c r="AZ23" s="100">
        <v>5.0728357410293219</v>
      </c>
      <c r="BA23" s="100">
        <v>1491.4137078626206</v>
      </c>
      <c r="BB23" s="100">
        <v>9.0909234566961121</v>
      </c>
      <c r="BC23" s="100">
        <v>2672.7314962686569</v>
      </c>
      <c r="BD23" s="100">
        <v>6.0974567744331543</v>
      </c>
      <c r="BE23" s="100">
        <v>1792.6522916833474</v>
      </c>
      <c r="BF23" s="100">
        <v>6.5826765720686939</v>
      </c>
      <c r="BG23" s="100">
        <v>1935.3069121881961</v>
      </c>
      <c r="BH23" s="100">
        <v>5.1458524910103254</v>
      </c>
      <c r="BI23" s="100">
        <v>1512.8806323570357</v>
      </c>
      <c r="BJ23" s="100">
        <v>1.7470362771369421</v>
      </c>
      <c r="BK23" s="100">
        <v>513.62866547826093</v>
      </c>
      <c r="BL23" s="100">
        <v>5.8936072862953264</v>
      </c>
      <c r="BM23" s="100">
        <v>1732.7205421708259</v>
      </c>
      <c r="BN23" s="100">
        <v>13.91769978132335</v>
      </c>
      <c r="BO23" s="100">
        <v>4091.8037357090648</v>
      </c>
      <c r="BP23" s="100">
        <v>1.80473997554493</v>
      </c>
      <c r="BQ23" s="100">
        <v>530.59355281020942</v>
      </c>
      <c r="BR23" s="100">
        <v>13.111511801216771</v>
      </c>
      <c r="BS23" s="100">
        <v>3854.784469557731</v>
      </c>
      <c r="BT23" s="100">
        <v>3.9334253263875989</v>
      </c>
      <c r="BU23" s="100">
        <v>1156.4270459579541</v>
      </c>
      <c r="BV23" s="100">
        <v>13.748328599172098</v>
      </c>
      <c r="BW23" s="100">
        <v>4042.0086081565969</v>
      </c>
      <c r="BX23" s="100">
        <v>9.1317762954686792</v>
      </c>
      <c r="BY23" s="100">
        <v>2684.7422308677915</v>
      </c>
      <c r="BZ23" s="100">
        <v>1.5806466545530511</v>
      </c>
      <c r="CA23" s="100">
        <v>464.71011643859703</v>
      </c>
      <c r="CB23" s="100">
        <v>5.5195282993641408</v>
      </c>
      <c r="CC23" s="100">
        <v>1622.7413200130575</v>
      </c>
      <c r="CD23" s="100">
        <v>8.2179066952563957</v>
      </c>
      <c r="CE23" s="100">
        <v>2416.0645684053802</v>
      </c>
      <c r="CF23" s="100">
        <v>2.8579530491146636</v>
      </c>
      <c r="CG23" s="100">
        <v>840.23819643971115</v>
      </c>
      <c r="CH23" s="100">
        <v>2.1727497989905</v>
      </c>
      <c r="CI23" s="100">
        <v>638.78844090320706</v>
      </c>
      <c r="CJ23" s="100">
        <v>12.552999984028279</v>
      </c>
      <c r="CK23" s="100">
        <v>3690.5819953043142</v>
      </c>
      <c r="CL23" s="100">
        <v>7.6696569625171804</v>
      </c>
      <c r="CM23" s="100">
        <v>2254.8791469800512</v>
      </c>
      <c r="CN23" s="100">
        <v>9</v>
      </c>
      <c r="CO23" s="100">
        <v>2646</v>
      </c>
      <c r="CP23" s="100">
        <v>2.9178580649996793</v>
      </c>
      <c r="CQ23" s="100">
        <v>857.85027110990575</v>
      </c>
      <c r="CR23" s="100">
        <v>5.3460452350876704</v>
      </c>
      <c r="CS23" s="100">
        <v>1571.7372991157752</v>
      </c>
      <c r="CT23" s="100">
        <v>8</v>
      </c>
      <c r="CU23" s="100">
        <v>2352</v>
      </c>
    </row>
    <row r="24" spans="2:99">
      <c r="C24" s="99" t="s">
        <v>190</v>
      </c>
      <c r="D24" s="100">
        <v>7.0004749354011615</v>
      </c>
      <c r="E24" s="100">
        <v>2570.5743962793063</v>
      </c>
      <c r="F24" s="100">
        <v>10</v>
      </c>
      <c r="G24" s="100">
        <v>3672</v>
      </c>
      <c r="H24" s="100">
        <v>10</v>
      </c>
      <c r="I24" s="100">
        <v>3672</v>
      </c>
      <c r="J24" s="100">
        <v>0.43916065063317961</v>
      </c>
      <c r="K24" s="100">
        <v>161.25979091250355</v>
      </c>
      <c r="L24" s="100">
        <v>6</v>
      </c>
      <c r="M24" s="100">
        <v>2203.1999999999998</v>
      </c>
      <c r="N24" s="100">
        <v>0.58494518042371535</v>
      </c>
      <c r="O24" s="100">
        <v>214.79187025158828</v>
      </c>
      <c r="P24" s="100">
        <v>9.7878772233056512</v>
      </c>
      <c r="Q24" s="100">
        <v>3594.108516397835</v>
      </c>
      <c r="R24" s="100">
        <v>7.8780353693692255</v>
      </c>
      <c r="S24" s="100">
        <v>2892.8145876323797</v>
      </c>
      <c r="T24" s="100">
        <v>7</v>
      </c>
      <c r="U24" s="100">
        <v>2570.4</v>
      </c>
      <c r="V24" s="100">
        <v>3.8184058444944706</v>
      </c>
      <c r="W24" s="100">
        <v>1402.1186260983695</v>
      </c>
      <c r="X24" s="100">
        <v>6</v>
      </c>
      <c r="Y24" s="100">
        <v>2203.1999999999998</v>
      </c>
      <c r="Z24" s="100">
        <v>6</v>
      </c>
      <c r="AA24" s="100">
        <v>2203.1999999999998</v>
      </c>
      <c r="AB24" s="100">
        <v>1.9146087281910678</v>
      </c>
      <c r="AC24" s="100">
        <v>703.04432499176005</v>
      </c>
      <c r="AD24" s="100">
        <v>9.0474955905630647</v>
      </c>
      <c r="AE24" s="100">
        <v>3322.2403808547574</v>
      </c>
      <c r="AF24" s="100">
        <v>2.2486834568705079</v>
      </c>
      <c r="AG24" s="100">
        <v>825.71656536285047</v>
      </c>
      <c r="AH24" s="100">
        <v>8.3769117420939256</v>
      </c>
      <c r="AI24" s="100">
        <v>3076.0019916968895</v>
      </c>
      <c r="AJ24" s="100">
        <v>7</v>
      </c>
      <c r="AK24" s="100">
        <v>2570.4</v>
      </c>
      <c r="AL24" s="100">
        <v>12</v>
      </c>
      <c r="AM24" s="100">
        <v>4406.3999999999996</v>
      </c>
      <c r="AN24" s="100">
        <v>6.2072191563537134</v>
      </c>
      <c r="AO24" s="100">
        <v>2279.2908742130835</v>
      </c>
      <c r="AP24" s="100">
        <v>6.8215696071791028</v>
      </c>
      <c r="AQ24" s="100">
        <v>2504.8803597561664</v>
      </c>
      <c r="AR24" s="100">
        <v>5.0006195537815722E-4</v>
      </c>
      <c r="AS24" s="100">
        <v>0.18362275001485934</v>
      </c>
      <c r="AT24" s="100">
        <v>9.0005336432487706</v>
      </c>
      <c r="AU24" s="100">
        <v>3304.9959538009484</v>
      </c>
      <c r="AV24" s="100">
        <v>10</v>
      </c>
      <c r="AW24" s="100">
        <v>3672</v>
      </c>
      <c r="AX24" s="100">
        <v>4.6744754035373735</v>
      </c>
      <c r="AY24" s="100">
        <v>1716.4673681789234</v>
      </c>
      <c r="AZ24" s="100">
        <v>5.0728357410293219</v>
      </c>
      <c r="BA24" s="100">
        <v>1862.7452841059669</v>
      </c>
      <c r="BB24" s="100">
        <v>9.0909234566961121</v>
      </c>
      <c r="BC24" s="100">
        <v>3338.1870932988122</v>
      </c>
      <c r="BD24" s="100">
        <v>5.2570174956421818</v>
      </c>
      <c r="BE24" s="100">
        <v>1930.376824399809</v>
      </c>
      <c r="BF24" s="100">
        <v>6.6493181802561034</v>
      </c>
      <c r="BG24" s="100">
        <v>2441.629635790041</v>
      </c>
      <c r="BH24" s="100">
        <v>5.0026345672441233</v>
      </c>
      <c r="BI24" s="100">
        <v>1836.9674130920421</v>
      </c>
      <c r="BJ24" s="100">
        <v>1.9543234881662608</v>
      </c>
      <c r="BK24" s="100">
        <v>717.62758485465099</v>
      </c>
      <c r="BL24" s="100">
        <v>5.5137094845594889</v>
      </c>
      <c r="BM24" s="100">
        <v>2024.6341227302444</v>
      </c>
      <c r="BN24" s="100">
        <v>12.74336343756668</v>
      </c>
      <c r="BO24" s="100">
        <v>4679.363054274485</v>
      </c>
      <c r="BP24" s="100">
        <v>2.0243947590800127</v>
      </c>
      <c r="BQ24" s="100">
        <v>743.35775553418057</v>
      </c>
      <c r="BR24" s="100">
        <v>12.766198444930781</v>
      </c>
      <c r="BS24" s="100">
        <v>4687.7480689785825</v>
      </c>
      <c r="BT24" s="100">
        <v>3.345675271073671</v>
      </c>
      <c r="BU24" s="100">
        <v>1228.5319595382521</v>
      </c>
      <c r="BV24" s="100">
        <v>11.748328599172098</v>
      </c>
      <c r="BW24" s="100">
        <v>4313.9862616159944</v>
      </c>
      <c r="BX24" s="100">
        <v>10.958131554562414</v>
      </c>
      <c r="BY24" s="100">
        <v>4023.8259068353182</v>
      </c>
      <c r="BZ24" s="100">
        <v>1.5806466545530511</v>
      </c>
      <c r="CA24" s="100">
        <v>580.41345155188037</v>
      </c>
      <c r="CB24" s="100">
        <v>5.080888382304142</v>
      </c>
      <c r="CC24" s="100">
        <v>1865.7022139820808</v>
      </c>
      <c r="CD24" s="100">
        <v>7.2179066952563957</v>
      </c>
      <c r="CE24" s="100">
        <v>2650.4153384981482</v>
      </c>
      <c r="CF24" s="100">
        <v>2.8579530491146636</v>
      </c>
      <c r="CG24" s="100">
        <v>1049.4403596349046</v>
      </c>
      <c r="CH24" s="100">
        <v>2.1617191562113205</v>
      </c>
      <c r="CI24" s="100">
        <v>793.78327416079685</v>
      </c>
      <c r="CJ24" s="100">
        <v>12.423583318692589</v>
      </c>
      <c r="CK24" s="100">
        <v>4561.9397946239187</v>
      </c>
      <c r="CL24" s="100">
        <v>7.6696569625171804</v>
      </c>
      <c r="CM24" s="100">
        <v>2816.2980366363086</v>
      </c>
      <c r="CN24" s="100">
        <v>9</v>
      </c>
      <c r="CO24" s="100">
        <v>3304.7999999999997</v>
      </c>
      <c r="CP24" s="100">
        <v>2.9178580649996793</v>
      </c>
      <c r="CQ24" s="100">
        <v>1071.4374814678822</v>
      </c>
      <c r="CR24" s="100">
        <v>4.6777895807017114</v>
      </c>
      <c r="CS24" s="100">
        <v>1717.6843340336684</v>
      </c>
      <c r="CT24" s="100">
        <v>9</v>
      </c>
      <c r="CU24" s="100">
        <v>3304.7999999999997</v>
      </c>
    </row>
    <row r="25" spans="2:99">
      <c r="C25" s="99" t="s">
        <v>191</v>
      </c>
      <c r="D25" s="100">
        <v>7.0004155684760168</v>
      </c>
      <c r="E25" s="100">
        <v>3713.0204175196791</v>
      </c>
      <c r="F25" s="100">
        <v>9</v>
      </c>
      <c r="G25" s="100">
        <v>4773.5999999999995</v>
      </c>
      <c r="H25" s="100">
        <v>10</v>
      </c>
      <c r="I25" s="100">
        <v>5304</v>
      </c>
      <c r="J25" s="100">
        <v>0.39923695512107238</v>
      </c>
      <c r="K25" s="100">
        <v>211.75528099621678</v>
      </c>
      <c r="L25" s="100">
        <v>6</v>
      </c>
      <c r="M25" s="100">
        <v>3182.3999999999996</v>
      </c>
      <c r="N25" s="100">
        <v>0.66850877762710315</v>
      </c>
      <c r="O25" s="100">
        <v>354.57705565341547</v>
      </c>
      <c r="P25" s="100">
        <v>8.8754191370062792</v>
      </c>
      <c r="Q25" s="100">
        <v>4707.5223102681302</v>
      </c>
      <c r="R25" s="100">
        <v>7.8780353693692255</v>
      </c>
      <c r="S25" s="100">
        <v>4178.5099599134373</v>
      </c>
      <c r="T25" s="100">
        <v>8</v>
      </c>
      <c r="U25" s="100">
        <v>4243.2</v>
      </c>
      <c r="V25" s="100">
        <v>4.1655336485394221</v>
      </c>
      <c r="W25" s="100">
        <v>2209.3990471853094</v>
      </c>
      <c r="X25" s="100">
        <v>7</v>
      </c>
      <c r="Y25" s="100">
        <v>3712.7999999999997</v>
      </c>
      <c r="Z25" s="100">
        <v>6</v>
      </c>
      <c r="AA25" s="100">
        <v>3182.3999999999996</v>
      </c>
      <c r="AB25" s="100">
        <v>1.9146087281910678</v>
      </c>
      <c r="AC25" s="100">
        <v>1015.5084694325423</v>
      </c>
      <c r="AD25" s="100">
        <v>9.193745275603284</v>
      </c>
      <c r="AE25" s="100">
        <v>4876.3624941799817</v>
      </c>
      <c r="AF25" s="100">
        <v>2.2486834568705079</v>
      </c>
      <c r="AG25" s="100">
        <v>1192.7017055241174</v>
      </c>
      <c r="AH25" s="100">
        <v>8.3769117420939256</v>
      </c>
      <c r="AI25" s="100">
        <v>4443.1139880066175</v>
      </c>
      <c r="AJ25" s="100">
        <v>7</v>
      </c>
      <c r="AK25" s="100">
        <v>3712.7999999999997</v>
      </c>
      <c r="AL25" s="100">
        <v>11</v>
      </c>
      <c r="AM25" s="100">
        <v>5834.4</v>
      </c>
      <c r="AN25" s="100">
        <v>6.2072191563537134</v>
      </c>
      <c r="AO25" s="100">
        <v>3292.3090405300095</v>
      </c>
      <c r="AP25" s="100">
        <v>7.5037265678970142</v>
      </c>
      <c r="AQ25" s="100">
        <v>3979.9765716125762</v>
      </c>
      <c r="AR25" s="100">
        <v>4.9853429425837344E-4</v>
      </c>
      <c r="AS25" s="100">
        <v>0.26442258967464127</v>
      </c>
      <c r="AT25" s="100">
        <v>10.000533643248771</v>
      </c>
      <c r="AU25" s="100">
        <v>5304.2830443791481</v>
      </c>
      <c r="AV25" s="100">
        <v>9</v>
      </c>
      <c r="AW25" s="100">
        <v>4773.5999999999995</v>
      </c>
      <c r="AX25" s="100">
        <v>4.6744754035373735</v>
      </c>
      <c r="AY25" s="100">
        <v>2479.3417540362229</v>
      </c>
      <c r="AZ25" s="100">
        <v>5.0728357410293219</v>
      </c>
      <c r="BA25" s="100">
        <v>2690.632077041952</v>
      </c>
      <c r="BB25" s="100">
        <v>7.5757695472467592</v>
      </c>
      <c r="BC25" s="100">
        <v>4018.188167859681</v>
      </c>
      <c r="BD25" s="100">
        <v>5.2331972930981427</v>
      </c>
      <c r="BE25" s="100">
        <v>2775.6878442592547</v>
      </c>
      <c r="BF25" s="100">
        <v>5.7184560425587767</v>
      </c>
      <c r="BG25" s="100">
        <v>3033.069084973175</v>
      </c>
      <c r="BH25" s="100">
        <v>5.0026345672441233</v>
      </c>
      <c r="BI25" s="100">
        <v>2653.3973744662831</v>
      </c>
      <c r="BJ25" s="100">
        <v>2.3911790021118051</v>
      </c>
      <c r="BK25" s="100">
        <v>1268.2813427201013</v>
      </c>
      <c r="BL25" s="100">
        <v>5.4046829836044941</v>
      </c>
      <c r="BM25" s="100">
        <v>2866.6438545038236</v>
      </c>
      <c r="BN25" s="100">
        <v>11.91769978132335</v>
      </c>
      <c r="BO25" s="100">
        <v>6321.1479640139041</v>
      </c>
      <c r="BP25" s="100">
        <v>1.8142403169977828</v>
      </c>
      <c r="BQ25" s="100">
        <v>962.27306413562394</v>
      </c>
      <c r="BR25" s="100">
        <v>11.950948306223063</v>
      </c>
      <c r="BS25" s="100">
        <v>6338.7829816207122</v>
      </c>
      <c r="BT25" s="100">
        <v>3.345675271073671</v>
      </c>
      <c r="BU25" s="100">
        <v>1774.5461637774749</v>
      </c>
      <c r="BV25" s="100">
        <v>11.748328599172098</v>
      </c>
      <c r="BW25" s="100">
        <v>6231.3134890008805</v>
      </c>
      <c r="BX25" s="100">
        <v>10.958131554562414</v>
      </c>
      <c r="BY25" s="100">
        <v>5812.1929765399036</v>
      </c>
      <c r="BZ25" s="100">
        <v>1.3830658227339196</v>
      </c>
      <c r="CA25" s="100">
        <v>733.57811237807095</v>
      </c>
      <c r="CB25" s="100">
        <v>4.4870498527385143</v>
      </c>
      <c r="CC25" s="100">
        <v>2379.9312418925078</v>
      </c>
      <c r="CD25" s="100">
        <v>8.2179066952563957</v>
      </c>
      <c r="CE25" s="100">
        <v>4358.7777111639925</v>
      </c>
      <c r="CF25" s="100">
        <v>2.8579530491146636</v>
      </c>
      <c r="CG25" s="100">
        <v>1515.8582972504175</v>
      </c>
      <c r="CH25" s="100">
        <v>1.9094290562010721</v>
      </c>
      <c r="CI25" s="100">
        <v>1012.7611714090485</v>
      </c>
      <c r="CJ25" s="100">
        <v>12.2941666533569</v>
      </c>
      <c r="CK25" s="100">
        <v>6520.8259929404994</v>
      </c>
      <c r="CL25" s="100">
        <v>7.6696569625171804</v>
      </c>
      <c r="CM25" s="100">
        <v>4067.9860529191124</v>
      </c>
      <c r="CN25" s="100">
        <v>9</v>
      </c>
      <c r="CO25" s="100">
        <v>4773.5999999999995</v>
      </c>
      <c r="CP25" s="100">
        <v>2.9178580649996793</v>
      </c>
      <c r="CQ25" s="100">
        <v>1547.6319176758298</v>
      </c>
      <c r="CR25" s="100">
        <v>4.6777895807017114</v>
      </c>
      <c r="CS25" s="100">
        <v>2481.0995936041877</v>
      </c>
      <c r="CT25" s="100">
        <v>8</v>
      </c>
      <c r="CU25" s="100">
        <v>4243.2</v>
      </c>
    </row>
    <row r="26" spans="2:99">
      <c r="C26" s="99" t="s">
        <v>192</v>
      </c>
      <c r="D26" s="100">
        <v>8.0004155684760168</v>
      </c>
      <c r="E26" s="100">
        <v>3888.2019662793441</v>
      </c>
      <c r="F26" s="100">
        <v>8</v>
      </c>
      <c r="G26" s="100">
        <v>3888</v>
      </c>
      <c r="H26" s="100">
        <v>11</v>
      </c>
      <c r="I26" s="100">
        <v>5346</v>
      </c>
      <c r="J26" s="100">
        <v>0.43916065063317961</v>
      </c>
      <c r="K26" s="100">
        <v>213.43207620772529</v>
      </c>
      <c r="L26" s="100">
        <v>6</v>
      </c>
      <c r="M26" s="100">
        <v>2916</v>
      </c>
      <c r="N26" s="100">
        <v>0.58494518042371535</v>
      </c>
      <c r="O26" s="100">
        <v>284.28335768592564</v>
      </c>
      <c r="P26" s="100">
        <v>8.8754191370062792</v>
      </c>
      <c r="Q26" s="100">
        <v>4313.4537005850516</v>
      </c>
      <c r="R26" s="100">
        <v>7.0026981061059788</v>
      </c>
      <c r="S26" s="100">
        <v>3403.3112795675056</v>
      </c>
      <c r="T26" s="100">
        <v>7</v>
      </c>
      <c r="U26" s="100">
        <v>3402</v>
      </c>
      <c r="V26" s="100">
        <v>4.1655336485394221</v>
      </c>
      <c r="W26" s="100">
        <v>2024.4493531901592</v>
      </c>
      <c r="X26" s="100">
        <v>7</v>
      </c>
      <c r="Y26" s="100">
        <v>3402</v>
      </c>
      <c r="Z26" s="100">
        <v>6</v>
      </c>
      <c r="AA26" s="100">
        <v>2916</v>
      </c>
      <c r="AB26" s="100">
        <v>1.9146087281910678</v>
      </c>
      <c r="AC26" s="100">
        <v>930.49984190085888</v>
      </c>
      <c r="AD26" s="100">
        <v>11.047495590563065</v>
      </c>
      <c r="AE26" s="100">
        <v>5369.0828570136491</v>
      </c>
      <c r="AF26" s="100">
        <v>2.2486834568705079</v>
      </c>
      <c r="AG26" s="100">
        <v>1092.8601600390668</v>
      </c>
      <c r="AH26" s="100">
        <v>8.3769117420939256</v>
      </c>
      <c r="AI26" s="100">
        <v>4071.1791066576479</v>
      </c>
      <c r="AJ26" s="100">
        <v>7</v>
      </c>
      <c r="AK26" s="100">
        <v>3402</v>
      </c>
      <c r="AL26" s="100">
        <v>11</v>
      </c>
      <c r="AM26" s="100">
        <v>5346</v>
      </c>
      <c r="AN26" s="100">
        <v>6.9831215508979261</v>
      </c>
      <c r="AO26" s="100">
        <v>3393.7970737363921</v>
      </c>
      <c r="AP26" s="100">
        <v>6.8215696071791028</v>
      </c>
      <c r="AQ26" s="100">
        <v>3315.2828290890438</v>
      </c>
      <c r="AR26" s="100">
        <v>4.2949748239258257E-4</v>
      </c>
      <c r="AS26" s="100">
        <v>0.20873577644279512</v>
      </c>
      <c r="AT26" s="100">
        <v>11.000615742210119</v>
      </c>
      <c r="AU26" s="100">
        <v>5346.299250714118</v>
      </c>
      <c r="AV26" s="100">
        <v>9</v>
      </c>
      <c r="AW26" s="100">
        <v>4374</v>
      </c>
      <c r="AX26" s="100">
        <v>4.6744754035373735</v>
      </c>
      <c r="AY26" s="100">
        <v>2271.7950461191635</v>
      </c>
      <c r="AZ26" s="100">
        <v>5.9183083645342096</v>
      </c>
      <c r="BA26" s="100">
        <v>2876.2978651636258</v>
      </c>
      <c r="BB26" s="100">
        <v>7.5757695472467592</v>
      </c>
      <c r="BC26" s="100">
        <v>3681.823999961925</v>
      </c>
      <c r="BD26" s="100">
        <v>6.0974567744331543</v>
      </c>
      <c r="BE26" s="100">
        <v>2963.3639923745131</v>
      </c>
      <c r="BF26" s="100">
        <v>5.6518144343713672</v>
      </c>
      <c r="BG26" s="100">
        <v>2746.7818151044844</v>
      </c>
      <c r="BH26" s="100">
        <v>5.0742435291272256</v>
      </c>
      <c r="BI26" s="100">
        <v>2466.0823551558315</v>
      </c>
      <c r="BJ26" s="100">
        <v>1.9543234881662608</v>
      </c>
      <c r="BK26" s="100">
        <v>949.80121524880269</v>
      </c>
      <c r="BL26" s="100">
        <v>5.4603010529988794</v>
      </c>
      <c r="BM26" s="100">
        <v>2653.7063117574553</v>
      </c>
      <c r="BN26" s="100">
        <v>13.91769978132335</v>
      </c>
      <c r="BO26" s="100">
        <v>6764.0020937231484</v>
      </c>
      <c r="BP26" s="100">
        <v>1.8142403169977828</v>
      </c>
      <c r="BQ26" s="100">
        <v>881.72079406092246</v>
      </c>
      <c r="BR26" s="100">
        <v>13.926761939924488</v>
      </c>
      <c r="BS26" s="100">
        <v>6768.4063028033006</v>
      </c>
      <c r="BT26" s="100">
        <v>3.9294930992949517</v>
      </c>
      <c r="BU26" s="100">
        <v>1909.7336462573464</v>
      </c>
      <c r="BV26" s="100">
        <v>11.748328599172098</v>
      </c>
      <c r="BW26" s="100">
        <v>5709.6876991976396</v>
      </c>
      <c r="BX26" s="100">
        <v>10.958131554562414</v>
      </c>
      <c r="BY26" s="100">
        <v>5325.6519355173332</v>
      </c>
      <c r="BZ26" s="100">
        <v>1.5806466545530511</v>
      </c>
      <c r="CA26" s="100">
        <v>768.19427411278286</v>
      </c>
      <c r="CB26" s="100">
        <v>4.8397442418984209</v>
      </c>
      <c r="CC26" s="100">
        <v>2352.1157015626327</v>
      </c>
      <c r="CD26" s="100">
        <v>8.5591231099112264</v>
      </c>
      <c r="CE26" s="100">
        <v>4159.7338314168564</v>
      </c>
      <c r="CF26" s="100">
        <v>2.5404027103241451</v>
      </c>
      <c r="CG26" s="100">
        <v>1234.6357172175344</v>
      </c>
      <c r="CH26" s="100">
        <v>2.4140092562215685</v>
      </c>
      <c r="CI26" s="100">
        <v>1173.2084985236822</v>
      </c>
      <c r="CJ26" s="100">
        <v>12.423583318692589</v>
      </c>
      <c r="CK26" s="100">
        <v>6037.8614928845982</v>
      </c>
      <c r="CL26" s="100">
        <v>8.3087950427269455</v>
      </c>
      <c r="CM26" s="100">
        <v>4038.0743907652954</v>
      </c>
      <c r="CN26" s="100">
        <v>9</v>
      </c>
      <c r="CO26" s="100">
        <v>4374</v>
      </c>
      <c r="CP26" s="100">
        <v>2.9178580649996793</v>
      </c>
      <c r="CQ26" s="100">
        <v>1418.0790195898442</v>
      </c>
      <c r="CR26" s="100">
        <v>5.3460452350876704</v>
      </c>
      <c r="CS26" s="100">
        <v>2598.177984252608</v>
      </c>
      <c r="CT26" s="100">
        <v>8</v>
      </c>
      <c r="CU26" s="100">
        <v>3888</v>
      </c>
    </row>
    <row r="27" spans="2:99">
      <c r="C27" s="99" t="s">
        <v>193</v>
      </c>
      <c r="D27" s="100">
        <v>8.0004749354011615</v>
      </c>
      <c r="E27" s="100">
        <v>3417.8028924033761</v>
      </c>
      <c r="F27" s="100">
        <v>8</v>
      </c>
      <c r="G27" s="100">
        <v>3417.6</v>
      </c>
      <c r="H27" s="100">
        <v>10</v>
      </c>
      <c r="I27" s="100">
        <v>4272</v>
      </c>
      <c r="J27" s="100">
        <v>0.39923695512107238</v>
      </c>
      <c r="K27" s="100">
        <v>170.55402722772212</v>
      </c>
      <c r="L27" s="100">
        <v>6</v>
      </c>
      <c r="M27" s="100">
        <v>2563.1999999999998</v>
      </c>
      <c r="N27" s="100">
        <v>0.58494518042371535</v>
      </c>
      <c r="O27" s="100">
        <v>249.8885810770112</v>
      </c>
      <c r="P27" s="100">
        <v>8.7878772233056512</v>
      </c>
      <c r="Q27" s="100">
        <v>3754.1811497961739</v>
      </c>
      <c r="R27" s="100">
        <v>7.8780353693692255</v>
      </c>
      <c r="S27" s="100">
        <v>3365.4967097945332</v>
      </c>
      <c r="T27" s="100">
        <v>7</v>
      </c>
      <c r="U27" s="100">
        <v>2990.4</v>
      </c>
      <c r="V27" s="100">
        <v>3.4712780404495187</v>
      </c>
      <c r="W27" s="100">
        <v>1482.9299788800342</v>
      </c>
      <c r="X27" s="100">
        <v>7</v>
      </c>
      <c r="Y27" s="100">
        <v>2990.4</v>
      </c>
      <c r="Z27" s="100">
        <v>6</v>
      </c>
      <c r="AA27" s="100">
        <v>2563.1999999999998</v>
      </c>
      <c r="AB27" s="100">
        <v>1.9146087281910678</v>
      </c>
      <c r="AC27" s="100">
        <v>817.92084868322411</v>
      </c>
      <c r="AD27" s="100">
        <v>9.9012459055228472</v>
      </c>
      <c r="AE27" s="100">
        <v>4229.8122508393599</v>
      </c>
      <c r="AF27" s="100">
        <v>2.2486834568705079</v>
      </c>
      <c r="AG27" s="100">
        <v>960.63757277508091</v>
      </c>
      <c r="AH27" s="100">
        <v>8.2103189926592268</v>
      </c>
      <c r="AI27" s="100">
        <v>3507.4482736640216</v>
      </c>
      <c r="AJ27" s="100">
        <v>6</v>
      </c>
      <c r="AK27" s="100">
        <v>2563.1999999999998</v>
      </c>
      <c r="AL27" s="100">
        <v>11</v>
      </c>
      <c r="AM27" s="100">
        <v>4699.2</v>
      </c>
      <c r="AN27" s="100">
        <v>6.9831215508979261</v>
      </c>
      <c r="AO27" s="100">
        <v>2983.1895265435937</v>
      </c>
      <c r="AP27" s="100">
        <v>6.1394126464611931</v>
      </c>
      <c r="AQ27" s="100">
        <v>2622.7570825682214</v>
      </c>
      <c r="AR27" s="100">
        <v>4.9853429425837344E-4</v>
      </c>
      <c r="AS27" s="100">
        <v>0.21297385050717713</v>
      </c>
      <c r="AT27" s="100">
        <v>9.000656791690794</v>
      </c>
      <c r="AU27" s="100">
        <v>3845.0805814103069</v>
      </c>
      <c r="AV27" s="100">
        <v>10</v>
      </c>
      <c r="AW27" s="100">
        <v>4272</v>
      </c>
      <c r="AX27" s="100">
        <v>4.6744754035373735</v>
      </c>
      <c r="AY27" s="100">
        <v>1996.9358923911659</v>
      </c>
      <c r="AZ27" s="100">
        <v>5.9183083645342096</v>
      </c>
      <c r="BA27" s="100">
        <v>2528.3013333290141</v>
      </c>
      <c r="BB27" s="100">
        <v>9.0909234566961121</v>
      </c>
      <c r="BC27" s="100">
        <v>3883.6425007005791</v>
      </c>
      <c r="BD27" s="100">
        <v>5.2331972930981427</v>
      </c>
      <c r="BE27" s="100">
        <v>2235.6218836115263</v>
      </c>
      <c r="BF27" s="100">
        <v>6.6493181802561034</v>
      </c>
      <c r="BG27" s="100">
        <v>2840.5887266054074</v>
      </c>
      <c r="BH27" s="100">
        <v>5.0026345672441233</v>
      </c>
      <c r="BI27" s="100">
        <v>2137.1254871266892</v>
      </c>
      <c r="BJ27" s="100">
        <v>1.7538623224371261</v>
      </c>
      <c r="BK27" s="100">
        <v>749.24998414514027</v>
      </c>
      <c r="BL27" s="100">
        <v>4.9713767503080462</v>
      </c>
      <c r="BM27" s="100">
        <v>2123.7721477315972</v>
      </c>
      <c r="BN27" s="100">
        <v>11.74336343756668</v>
      </c>
      <c r="BO27" s="100">
        <v>5016.7648605284858</v>
      </c>
      <c r="BP27" s="100">
        <v>1.7952396340920767</v>
      </c>
      <c r="BQ27" s="100">
        <v>766.92637168413512</v>
      </c>
      <c r="BR27" s="100">
        <v>12.938855123073777</v>
      </c>
      <c r="BS27" s="100">
        <v>5527.4789085771172</v>
      </c>
      <c r="BT27" s="100">
        <v>3.8123903282132501</v>
      </c>
      <c r="BU27" s="100">
        <v>1628.6531482127004</v>
      </c>
      <c r="BV27" s="100">
        <v>12.748328599172098</v>
      </c>
      <c r="BW27" s="100">
        <v>5446.0859775663203</v>
      </c>
      <c r="BX27" s="100">
        <v>9.1317762954686792</v>
      </c>
      <c r="BY27" s="100">
        <v>3901.0948334242198</v>
      </c>
      <c r="BZ27" s="100">
        <v>1.5806466545530511</v>
      </c>
      <c r="CA27" s="100">
        <v>675.25225082506336</v>
      </c>
      <c r="CB27" s="100">
        <v>4.5663184033207846</v>
      </c>
      <c r="CC27" s="100">
        <v>1950.7312218986392</v>
      </c>
      <c r="CD27" s="100">
        <v>7.5591231099112264</v>
      </c>
      <c r="CE27" s="100">
        <v>3229.257392554076</v>
      </c>
      <c r="CF27" s="100">
        <v>2.8579530491146636</v>
      </c>
      <c r="CG27" s="100">
        <v>1220.9175425817843</v>
      </c>
      <c r="CH27" s="100">
        <v>2.425039899000748</v>
      </c>
      <c r="CI27" s="100">
        <v>1035.9770448531194</v>
      </c>
      <c r="CJ27" s="100">
        <v>12.2941666533569</v>
      </c>
      <c r="CK27" s="100">
        <v>5252.0679943140676</v>
      </c>
      <c r="CL27" s="100">
        <v>7.6696569625171804</v>
      </c>
      <c r="CM27" s="100">
        <v>3276.4774543873395</v>
      </c>
      <c r="CN27" s="100">
        <v>9</v>
      </c>
      <c r="CO27" s="100">
        <v>3844.7999999999997</v>
      </c>
      <c r="CP27" s="100">
        <v>2.5531258068747191</v>
      </c>
      <c r="CQ27" s="100">
        <v>1090.6953446968801</v>
      </c>
      <c r="CR27" s="100">
        <v>4.6777895807017114</v>
      </c>
      <c r="CS27" s="100">
        <v>1998.351708875771</v>
      </c>
      <c r="CT27" s="100">
        <v>8</v>
      </c>
      <c r="CU27" s="100">
        <v>3417.6</v>
      </c>
    </row>
    <row r="28" spans="2:99">
      <c r="C28" s="99" t="s">
        <v>194</v>
      </c>
      <c r="D28" s="100">
        <v>8.0004155684760168</v>
      </c>
      <c r="E28" s="100">
        <v>5904.3066895353004</v>
      </c>
      <c r="F28" s="100">
        <v>9</v>
      </c>
      <c r="G28" s="100">
        <v>6642</v>
      </c>
      <c r="H28" s="100">
        <v>10</v>
      </c>
      <c r="I28" s="100">
        <v>7380</v>
      </c>
      <c r="J28" s="100">
        <v>0.39923695512107238</v>
      </c>
      <c r="K28" s="100">
        <v>294.63687287935142</v>
      </c>
      <c r="L28" s="100">
        <v>6</v>
      </c>
      <c r="M28" s="100">
        <v>4428</v>
      </c>
      <c r="N28" s="100">
        <v>0.58494518042371535</v>
      </c>
      <c r="O28" s="100">
        <v>431.6895431527019</v>
      </c>
      <c r="P28" s="100">
        <v>7.7878772233056512</v>
      </c>
      <c r="Q28" s="100">
        <v>5747.453390799571</v>
      </c>
      <c r="R28" s="100">
        <v>7.8780353693692255</v>
      </c>
      <c r="S28" s="100">
        <v>5813.9901025944882</v>
      </c>
      <c r="T28" s="100">
        <v>7</v>
      </c>
      <c r="U28" s="100">
        <v>5166</v>
      </c>
      <c r="V28" s="100">
        <v>3.8184058444944706</v>
      </c>
      <c r="W28" s="100">
        <v>2817.9835132369194</v>
      </c>
      <c r="X28" s="100">
        <v>6</v>
      </c>
      <c r="Y28" s="100">
        <v>4428</v>
      </c>
      <c r="Z28" s="100">
        <v>6</v>
      </c>
      <c r="AA28" s="100">
        <v>4428</v>
      </c>
      <c r="AB28" s="100">
        <v>1.9146087281910678</v>
      </c>
      <c r="AC28" s="100">
        <v>1412.9812414050079</v>
      </c>
      <c r="AD28" s="100">
        <v>10.047495590563065</v>
      </c>
      <c r="AE28" s="100">
        <v>7415.0517458355416</v>
      </c>
      <c r="AF28" s="100">
        <v>2.2486834568705079</v>
      </c>
      <c r="AG28" s="100">
        <v>1659.5283911704348</v>
      </c>
      <c r="AH28" s="100">
        <v>8.2103189926592268</v>
      </c>
      <c r="AI28" s="100">
        <v>6059.2154165825095</v>
      </c>
      <c r="AJ28" s="100">
        <v>6</v>
      </c>
      <c r="AK28" s="100">
        <v>4428</v>
      </c>
      <c r="AL28" s="100">
        <v>11</v>
      </c>
      <c r="AM28" s="100">
        <v>8118</v>
      </c>
      <c r="AN28" s="100">
        <v>6.2072191563537134</v>
      </c>
      <c r="AO28" s="100">
        <v>4580.9277373890409</v>
      </c>
      <c r="AP28" s="100">
        <v>6.8215696071791028</v>
      </c>
      <c r="AQ28" s="100">
        <v>5034.3183700981781</v>
      </c>
      <c r="AR28" s="100">
        <v>4.3102514351236635E-4</v>
      </c>
      <c r="AS28" s="100">
        <v>0.31809655591212638</v>
      </c>
      <c r="AT28" s="100">
        <v>9.000615742210119</v>
      </c>
      <c r="AU28" s="100">
        <v>6642.4544177510679</v>
      </c>
      <c r="AV28" s="100">
        <v>10</v>
      </c>
      <c r="AW28" s="100">
        <v>7380</v>
      </c>
      <c r="AX28" s="100">
        <v>4.6744754035373735</v>
      </c>
      <c r="AY28" s="100">
        <v>3449.7628478105817</v>
      </c>
      <c r="AZ28" s="100">
        <v>5.9183083645342096</v>
      </c>
      <c r="BA28" s="100">
        <v>4367.7115730262467</v>
      </c>
      <c r="BB28" s="100">
        <v>7.5757695472467592</v>
      </c>
      <c r="BC28" s="100">
        <v>5590.9179258681079</v>
      </c>
      <c r="BD28" s="100">
        <v>5.2570174956421818</v>
      </c>
      <c r="BE28" s="100">
        <v>3879.6789117839303</v>
      </c>
      <c r="BF28" s="100">
        <v>5.7184560425587767</v>
      </c>
      <c r="BG28" s="100">
        <v>4220.2205594083771</v>
      </c>
      <c r="BH28" s="100">
        <v>5.0742435291272256</v>
      </c>
      <c r="BI28" s="100">
        <v>3744.7917244958926</v>
      </c>
      <c r="BJ28" s="100">
        <v>1.9543234881662608</v>
      </c>
      <c r="BK28" s="100">
        <v>1442.2907342667004</v>
      </c>
      <c r="BL28" s="100">
        <v>4.9713767503080462</v>
      </c>
      <c r="BM28" s="100">
        <v>3668.8760417273379</v>
      </c>
      <c r="BN28" s="100">
        <v>11.91769978132335</v>
      </c>
      <c r="BO28" s="100">
        <v>8795.2624386166317</v>
      </c>
      <c r="BP28" s="100">
        <v>1.7952396340920767</v>
      </c>
      <c r="BQ28" s="100">
        <v>1324.8868499599525</v>
      </c>
      <c r="BR28" s="100">
        <v>13.926761939924488</v>
      </c>
      <c r="BS28" s="100">
        <v>10277.950311664272</v>
      </c>
      <c r="BT28" s="100">
        <v>3.9334253263875989</v>
      </c>
      <c r="BU28" s="100">
        <v>2902.867890874048</v>
      </c>
      <c r="BV28" s="100">
        <v>13.573495739254888</v>
      </c>
      <c r="BW28" s="100">
        <v>10017.239855570107</v>
      </c>
      <c r="BX28" s="100">
        <v>10.044953925015548</v>
      </c>
      <c r="BY28" s="100">
        <v>7413.1759966614745</v>
      </c>
      <c r="BZ28" s="100">
        <v>1.3830658227339196</v>
      </c>
      <c r="CA28" s="100">
        <v>1020.7025771776327</v>
      </c>
      <c r="CB28" s="100">
        <v>4.5696568919796947</v>
      </c>
      <c r="CC28" s="100">
        <v>3372.4067862810148</v>
      </c>
      <c r="CD28" s="100">
        <v>8.3885149025838111</v>
      </c>
      <c r="CE28" s="100">
        <v>6190.7239981068524</v>
      </c>
      <c r="CF28" s="100">
        <v>2.8579530491146636</v>
      </c>
      <c r="CG28" s="100">
        <v>2109.1693502466219</v>
      </c>
      <c r="CH28" s="100">
        <v>1.9204596989802518</v>
      </c>
      <c r="CI28" s="100">
        <v>1417.2992578474259</v>
      </c>
      <c r="CJ28" s="100">
        <v>11.2941666533569</v>
      </c>
      <c r="CK28" s="100">
        <v>8335.0949901773929</v>
      </c>
      <c r="CL28" s="100">
        <v>7.0305188823074154</v>
      </c>
      <c r="CM28" s="100">
        <v>5188.5229351428725</v>
      </c>
      <c r="CN28" s="100">
        <v>8</v>
      </c>
      <c r="CO28" s="100">
        <v>5904</v>
      </c>
      <c r="CP28" s="100">
        <v>2.5531258068747191</v>
      </c>
      <c r="CQ28" s="100">
        <v>1884.2068454735427</v>
      </c>
      <c r="CR28" s="100">
        <v>5.3460452350876704</v>
      </c>
      <c r="CS28" s="100">
        <v>3945.3813834947009</v>
      </c>
      <c r="CT28" s="100">
        <v>8</v>
      </c>
      <c r="CU28" s="100">
        <v>5904</v>
      </c>
    </row>
    <row r="29" spans="2:99">
      <c r="C29" s="99" t="s">
        <v>195</v>
      </c>
      <c r="D29" s="100">
        <v>8.0004155684760168</v>
      </c>
      <c r="E29" s="100">
        <v>2707.3406283722838</v>
      </c>
      <c r="F29" s="100">
        <v>10</v>
      </c>
      <c r="G29" s="100">
        <v>3384</v>
      </c>
      <c r="H29" s="100">
        <v>10</v>
      </c>
      <c r="I29" s="100">
        <v>3384</v>
      </c>
      <c r="J29" s="100">
        <v>0.43916065063317961</v>
      </c>
      <c r="K29" s="100">
        <v>148.61196417426797</v>
      </c>
      <c r="L29" s="100">
        <v>6</v>
      </c>
      <c r="M29" s="100">
        <v>2030.3999999999999</v>
      </c>
      <c r="N29" s="100">
        <v>0.58494518042371535</v>
      </c>
      <c r="O29" s="100">
        <v>197.94544905538527</v>
      </c>
      <c r="P29" s="100">
        <v>8.8754191370062792</v>
      </c>
      <c r="Q29" s="100">
        <v>3003.4418359629249</v>
      </c>
      <c r="R29" s="100">
        <v>7.8780353693692255</v>
      </c>
      <c r="S29" s="100">
        <v>2665.9271689945458</v>
      </c>
      <c r="T29" s="100">
        <v>7</v>
      </c>
      <c r="U29" s="100">
        <v>2368.7999999999997</v>
      </c>
      <c r="V29" s="100">
        <v>3.4712780404495187</v>
      </c>
      <c r="W29" s="100">
        <v>1174.680488888117</v>
      </c>
      <c r="X29" s="100">
        <v>7</v>
      </c>
      <c r="Y29" s="100">
        <v>2368.7999999999997</v>
      </c>
      <c r="Z29" s="100">
        <v>6</v>
      </c>
      <c r="AA29" s="100">
        <v>2030.3999999999999</v>
      </c>
      <c r="AB29" s="100">
        <v>1.9146087281910678</v>
      </c>
      <c r="AC29" s="100">
        <v>647.90359361985725</v>
      </c>
      <c r="AD29" s="100">
        <v>10.047495590563065</v>
      </c>
      <c r="AE29" s="100">
        <v>3400.0725078465407</v>
      </c>
      <c r="AF29" s="100">
        <v>2.2486834568705079</v>
      </c>
      <c r="AG29" s="100">
        <v>760.95448180497976</v>
      </c>
      <c r="AH29" s="100">
        <v>8.3769117420939256</v>
      </c>
      <c r="AI29" s="100">
        <v>2834.7469335245842</v>
      </c>
      <c r="AJ29" s="100">
        <v>7</v>
      </c>
      <c r="AK29" s="100">
        <v>2368.7999999999997</v>
      </c>
      <c r="AL29" s="100">
        <v>11</v>
      </c>
      <c r="AM29" s="100">
        <v>3722.3999999999996</v>
      </c>
      <c r="AN29" s="100">
        <v>6.9831215508979261</v>
      </c>
      <c r="AO29" s="100">
        <v>2363.0883328238579</v>
      </c>
      <c r="AP29" s="100">
        <v>6.8215696071791028</v>
      </c>
      <c r="AQ29" s="100">
        <v>2308.4191550694081</v>
      </c>
      <c r="AR29" s="100">
        <v>4.9700663313858966E-4</v>
      </c>
      <c r="AS29" s="100">
        <v>0.16818704465409873</v>
      </c>
      <c r="AT29" s="100">
        <v>9.0005746927294457</v>
      </c>
      <c r="AU29" s="100">
        <v>3045.7944760196442</v>
      </c>
      <c r="AV29" s="100">
        <v>11</v>
      </c>
      <c r="AW29" s="100">
        <v>3722.3999999999996</v>
      </c>
      <c r="AX29" s="100">
        <v>4.6744754035373735</v>
      </c>
      <c r="AY29" s="100">
        <v>1581.8424765570471</v>
      </c>
      <c r="AZ29" s="100">
        <v>5.9183083645342096</v>
      </c>
      <c r="BA29" s="100">
        <v>2002.7555505583764</v>
      </c>
      <c r="BB29" s="100">
        <v>8.3333465019714374</v>
      </c>
      <c r="BC29" s="100">
        <v>2820.0044562671342</v>
      </c>
      <c r="BD29" s="100">
        <v>5.2570174956421818</v>
      </c>
      <c r="BE29" s="100">
        <v>1778.9747205253143</v>
      </c>
      <c r="BF29" s="100">
        <v>5.7184560425587767</v>
      </c>
      <c r="BG29" s="100">
        <v>1935.1255248018899</v>
      </c>
      <c r="BH29" s="100">
        <v>5.0742435291272256</v>
      </c>
      <c r="BI29" s="100">
        <v>1717.124010256653</v>
      </c>
      <c r="BJ29" s="100">
        <v>2.1488521842259574</v>
      </c>
      <c r="BK29" s="100">
        <v>727.17157914206393</v>
      </c>
      <c r="BL29" s="100">
        <v>5.4580914151651019</v>
      </c>
      <c r="BM29" s="100">
        <v>1847.0181348918704</v>
      </c>
      <c r="BN29" s="100">
        <v>11.91769978132335</v>
      </c>
      <c r="BO29" s="100">
        <v>4032.9496059998214</v>
      </c>
      <c r="BP29" s="100">
        <v>2.0148944176271599</v>
      </c>
      <c r="BQ29" s="100">
        <v>681.84027092503084</v>
      </c>
      <c r="BR29" s="100">
        <v>13.111511801216771</v>
      </c>
      <c r="BS29" s="100">
        <v>4436.9355935317553</v>
      </c>
      <c r="BT29" s="100">
        <v>3.3862366962876522</v>
      </c>
      <c r="BU29" s="100">
        <v>1145.9024980237414</v>
      </c>
      <c r="BV29" s="100">
        <v>11.573495739254888</v>
      </c>
      <c r="BW29" s="100">
        <v>3916.470958163854</v>
      </c>
      <c r="BX29" s="100">
        <v>10.958131554562414</v>
      </c>
      <c r="BY29" s="100">
        <v>3708.2317180639207</v>
      </c>
      <c r="BZ29" s="100">
        <v>1.5806466545530511</v>
      </c>
      <c r="CA29" s="100">
        <v>534.89082790075247</v>
      </c>
      <c r="CB29" s="100">
        <v>5.4402597487818714</v>
      </c>
      <c r="CC29" s="100">
        <v>1840.9838989877851</v>
      </c>
      <c r="CD29" s="100">
        <v>8.2179066952563957</v>
      </c>
      <c r="CE29" s="100">
        <v>2780.9396256747641</v>
      </c>
      <c r="CF29" s="100">
        <v>2.8579530491146636</v>
      </c>
      <c r="CG29" s="100">
        <v>967.13131182040206</v>
      </c>
      <c r="CH29" s="100">
        <v>2.4140092562215685</v>
      </c>
      <c r="CI29" s="100">
        <v>816.90073230537871</v>
      </c>
      <c r="CJ29" s="100">
        <v>13.552999984028279</v>
      </c>
      <c r="CK29" s="100">
        <v>4586.335194595169</v>
      </c>
      <c r="CL29" s="100">
        <v>7.6696569625171804</v>
      </c>
      <c r="CM29" s="100">
        <v>2595.4119161158137</v>
      </c>
      <c r="CN29" s="100">
        <v>9</v>
      </c>
      <c r="CO29" s="100">
        <v>3045.6</v>
      </c>
      <c r="CP29" s="100">
        <v>2.9178580649996793</v>
      </c>
      <c r="CQ29" s="100">
        <v>987.40316919589145</v>
      </c>
      <c r="CR29" s="100">
        <v>5.3460452350876704</v>
      </c>
      <c r="CS29" s="100">
        <v>1809.1017075536674</v>
      </c>
      <c r="CT29" s="100">
        <v>9</v>
      </c>
      <c r="CU29" s="100">
        <v>3045.6</v>
      </c>
    </row>
    <row r="30" spans="2:99">
      <c r="C30" s="99" t="s">
        <v>196</v>
      </c>
      <c r="D30" s="100">
        <v>7.0004749354011615</v>
      </c>
      <c r="E30" s="100">
        <v>974.46611100784162</v>
      </c>
      <c r="F30" s="100">
        <v>8</v>
      </c>
      <c r="G30" s="100">
        <v>1113.5999999999999</v>
      </c>
      <c r="H30" s="100">
        <v>11</v>
      </c>
      <c r="I30" s="100">
        <v>1531.1999999999998</v>
      </c>
      <c r="J30" s="100">
        <v>0.39923695512107238</v>
      </c>
      <c r="K30" s="100">
        <v>55.573784152853271</v>
      </c>
      <c r="L30" s="100">
        <v>6</v>
      </c>
      <c r="M30" s="100">
        <v>835.19999999999993</v>
      </c>
      <c r="N30" s="100">
        <v>0.66850877762710315</v>
      </c>
      <c r="O30" s="100">
        <v>93.056421845692753</v>
      </c>
      <c r="P30" s="100">
        <v>9.7878772233056512</v>
      </c>
      <c r="Q30" s="100">
        <v>1362.4725094841465</v>
      </c>
      <c r="R30" s="100">
        <v>7.0026981061059788</v>
      </c>
      <c r="S30" s="100">
        <v>974.7755763699522</v>
      </c>
      <c r="T30" s="100">
        <v>8</v>
      </c>
      <c r="U30" s="100">
        <v>1113.5999999999999</v>
      </c>
      <c r="V30" s="100">
        <v>4.1655336485394221</v>
      </c>
      <c r="W30" s="100">
        <v>579.84228387668747</v>
      </c>
      <c r="X30" s="100">
        <v>7</v>
      </c>
      <c r="Y30" s="100">
        <v>974.39999999999986</v>
      </c>
      <c r="Z30" s="100">
        <v>6</v>
      </c>
      <c r="AA30" s="100">
        <v>835.19999999999993</v>
      </c>
      <c r="AB30" s="100">
        <v>1.9146087281910678</v>
      </c>
      <c r="AC30" s="100">
        <v>266.51353496419659</v>
      </c>
      <c r="AD30" s="100">
        <v>11.047495590563065</v>
      </c>
      <c r="AE30" s="100">
        <v>1537.8113862063785</v>
      </c>
      <c r="AF30" s="100">
        <v>2.2486834568705079</v>
      </c>
      <c r="AG30" s="100">
        <v>313.01673719637466</v>
      </c>
      <c r="AH30" s="100">
        <v>8.043726243224528</v>
      </c>
      <c r="AI30" s="100">
        <v>1119.6866930568542</v>
      </c>
      <c r="AJ30" s="100">
        <v>7</v>
      </c>
      <c r="AK30" s="100">
        <v>974.39999999999986</v>
      </c>
      <c r="AL30" s="100">
        <v>11</v>
      </c>
      <c r="AM30" s="100">
        <v>1531.1999999999998</v>
      </c>
      <c r="AN30" s="100">
        <v>6.9831215508979261</v>
      </c>
      <c r="AO30" s="100">
        <v>972.05051988499122</v>
      </c>
      <c r="AP30" s="100">
        <v>7.5037265678970142</v>
      </c>
      <c r="AQ30" s="100">
        <v>1044.5187382512643</v>
      </c>
      <c r="AR30" s="100">
        <v>5.0006195537815722E-4</v>
      </c>
      <c r="AS30" s="100">
        <v>6.9608624188639473E-2</v>
      </c>
      <c r="AT30" s="100">
        <v>10.000533643248771</v>
      </c>
      <c r="AU30" s="100">
        <v>1392.0742831402288</v>
      </c>
      <c r="AV30" s="100">
        <v>9</v>
      </c>
      <c r="AW30" s="100">
        <v>1252.8</v>
      </c>
      <c r="AX30" s="100">
        <v>4.6744754035373735</v>
      </c>
      <c r="AY30" s="100">
        <v>650.6869761724023</v>
      </c>
      <c r="AZ30" s="100">
        <v>5.0728357410293219</v>
      </c>
      <c r="BA30" s="100">
        <v>706.13873515128159</v>
      </c>
      <c r="BB30" s="100">
        <v>8.3333465019714374</v>
      </c>
      <c r="BC30" s="100">
        <v>1160.001833074424</v>
      </c>
      <c r="BD30" s="100">
        <v>6.0974567744331543</v>
      </c>
      <c r="BE30" s="100">
        <v>848.76598300109504</v>
      </c>
      <c r="BF30" s="100">
        <v>5.7184560425587767</v>
      </c>
      <c r="BG30" s="100">
        <v>796.00908112418165</v>
      </c>
      <c r="BH30" s="100">
        <v>5.788667687196078</v>
      </c>
      <c r="BI30" s="100">
        <v>805.78254205769395</v>
      </c>
      <c r="BJ30" s="100">
        <v>2.1838917910824867</v>
      </c>
      <c r="BK30" s="100">
        <v>303.99773731868214</v>
      </c>
      <c r="BL30" s="100">
        <v>5.4603010529988794</v>
      </c>
      <c r="BM30" s="100">
        <v>760.07390657744395</v>
      </c>
      <c r="BN30" s="100">
        <v>13.74336343756668</v>
      </c>
      <c r="BO30" s="100">
        <v>1913.0761905092818</v>
      </c>
      <c r="BP30" s="100">
        <v>2.0243947590800127</v>
      </c>
      <c r="BQ30" s="100">
        <v>281.79575046393774</v>
      </c>
      <c r="BR30" s="100">
        <v>12.938855123073777</v>
      </c>
      <c r="BS30" s="100">
        <v>1801.0886331318695</v>
      </c>
      <c r="BT30" s="100">
        <v>4.5578045798228608</v>
      </c>
      <c r="BU30" s="100">
        <v>634.44639751134218</v>
      </c>
      <c r="BV30" s="100">
        <v>13.748328599172098</v>
      </c>
      <c r="BW30" s="100">
        <v>1913.7673410047557</v>
      </c>
      <c r="BX30" s="100">
        <v>9.1317762954686792</v>
      </c>
      <c r="BY30" s="100">
        <v>1271.1432603292401</v>
      </c>
      <c r="BZ30" s="100">
        <v>1.3830658227339196</v>
      </c>
      <c r="CA30" s="100">
        <v>192.52276252456159</v>
      </c>
      <c r="CB30" s="100">
        <v>4.9223512811396013</v>
      </c>
      <c r="CC30" s="100">
        <v>685.19129833463239</v>
      </c>
      <c r="CD30" s="100">
        <v>9.5591231099112264</v>
      </c>
      <c r="CE30" s="100">
        <v>1330.6299368996426</v>
      </c>
      <c r="CF30" s="100">
        <v>3.1755033879051813</v>
      </c>
      <c r="CG30" s="100">
        <v>442.03007159640117</v>
      </c>
      <c r="CH30" s="100">
        <v>2.1617191562113205</v>
      </c>
      <c r="CI30" s="100">
        <v>300.9113065446158</v>
      </c>
      <c r="CJ30" s="100">
        <v>12.423583318692589</v>
      </c>
      <c r="CK30" s="100">
        <v>1729.3627979620082</v>
      </c>
      <c r="CL30" s="100">
        <v>7.6696569625171804</v>
      </c>
      <c r="CM30" s="100">
        <v>1067.6162491823914</v>
      </c>
      <c r="CN30" s="100">
        <v>10</v>
      </c>
      <c r="CO30" s="100">
        <v>1392</v>
      </c>
      <c r="CP30" s="100">
        <v>2.5531258068747191</v>
      </c>
      <c r="CQ30" s="100">
        <v>355.39511231696088</v>
      </c>
      <c r="CR30" s="100">
        <v>5.3460452350876704</v>
      </c>
      <c r="CS30" s="100">
        <v>744.16949672420367</v>
      </c>
      <c r="CT30" s="100">
        <v>8</v>
      </c>
      <c r="CU30" s="100">
        <v>1113.5999999999999</v>
      </c>
    </row>
    <row r="31" spans="2:99">
      <c r="C31" s="99" t="s">
        <v>197</v>
      </c>
      <c r="D31" s="100">
        <v>9.0004155684760168</v>
      </c>
      <c r="E31" s="100">
        <v>3067.3416257366266</v>
      </c>
      <c r="F31" s="100">
        <v>8</v>
      </c>
      <c r="G31" s="100">
        <v>2726.4</v>
      </c>
      <c r="H31" s="100">
        <v>10</v>
      </c>
      <c r="I31" s="100">
        <v>3408</v>
      </c>
      <c r="J31" s="100">
        <v>0.39923695512107238</v>
      </c>
      <c r="K31" s="100">
        <v>136.05995430526147</v>
      </c>
      <c r="L31" s="100">
        <v>6</v>
      </c>
      <c r="M31" s="100">
        <v>2044.8000000000002</v>
      </c>
      <c r="N31" s="100">
        <v>0.66850877762710315</v>
      </c>
      <c r="O31" s="100">
        <v>227.82779141531677</v>
      </c>
      <c r="P31" s="100">
        <v>8.7878772233056512</v>
      </c>
      <c r="Q31" s="100">
        <v>2994.9085577025662</v>
      </c>
      <c r="R31" s="100">
        <v>7.0026981061059788</v>
      </c>
      <c r="S31" s="100">
        <v>2386.5195145609177</v>
      </c>
      <c r="T31" s="100">
        <v>8</v>
      </c>
      <c r="U31" s="100">
        <v>2726.4</v>
      </c>
      <c r="V31" s="100">
        <v>3.4712780404495187</v>
      </c>
      <c r="W31" s="100">
        <v>1183.011556185196</v>
      </c>
      <c r="X31" s="100">
        <v>7</v>
      </c>
      <c r="Y31" s="100">
        <v>2385.6</v>
      </c>
      <c r="Z31" s="100">
        <v>6</v>
      </c>
      <c r="AA31" s="100">
        <v>2044.8000000000002</v>
      </c>
      <c r="AB31" s="100">
        <v>2.1539348192149514</v>
      </c>
      <c r="AC31" s="100">
        <v>734.06098638845549</v>
      </c>
      <c r="AD31" s="100">
        <v>11.193745275603284</v>
      </c>
      <c r="AE31" s="100">
        <v>3814.8283899255994</v>
      </c>
      <c r="AF31" s="100">
        <v>2.2486834568705079</v>
      </c>
      <c r="AG31" s="100">
        <v>766.35132210146912</v>
      </c>
      <c r="AH31" s="100">
        <v>9.1899890760881338</v>
      </c>
      <c r="AI31" s="100">
        <v>3131.9482771308362</v>
      </c>
      <c r="AJ31" s="100">
        <v>6</v>
      </c>
      <c r="AK31" s="100">
        <v>2044.8000000000002</v>
      </c>
      <c r="AL31" s="100">
        <v>11</v>
      </c>
      <c r="AM31" s="100">
        <v>3748.8</v>
      </c>
      <c r="AN31" s="100">
        <v>6.2072191563537134</v>
      </c>
      <c r="AO31" s="100">
        <v>2115.4202884853457</v>
      </c>
      <c r="AP31" s="100">
        <v>6.8215696071791028</v>
      </c>
      <c r="AQ31" s="100">
        <v>2324.7909221266382</v>
      </c>
      <c r="AR31" s="100">
        <v>4.9853429425837344E-4</v>
      </c>
      <c r="AS31" s="100">
        <v>0.16990048748325368</v>
      </c>
      <c r="AT31" s="100">
        <v>11.000574692729446</v>
      </c>
      <c r="AU31" s="100">
        <v>3748.9958552821954</v>
      </c>
      <c r="AV31" s="100">
        <v>9</v>
      </c>
      <c r="AW31" s="100">
        <v>3067.2000000000003</v>
      </c>
      <c r="AX31" s="100">
        <v>4.6744754035373735</v>
      </c>
      <c r="AY31" s="100">
        <v>1593.0612175255369</v>
      </c>
      <c r="AZ31" s="100">
        <v>5.9183083645342096</v>
      </c>
      <c r="BA31" s="100">
        <v>2016.9594906332586</v>
      </c>
      <c r="BB31" s="100">
        <v>8.3333465019714374</v>
      </c>
      <c r="BC31" s="100">
        <v>2840.0044878718659</v>
      </c>
      <c r="BD31" s="100">
        <v>6.0974567744331543</v>
      </c>
      <c r="BE31" s="100">
        <v>2078.0132687268192</v>
      </c>
      <c r="BF31" s="100">
        <v>6.5826765720686939</v>
      </c>
      <c r="BG31" s="100">
        <v>2243.3761757610109</v>
      </c>
      <c r="BH31" s="100">
        <v>5.0026345672441233</v>
      </c>
      <c r="BI31" s="100">
        <v>1704.8978605167972</v>
      </c>
      <c r="BJ31" s="100">
        <v>1.5465751114078075</v>
      </c>
      <c r="BK31" s="100">
        <v>527.07279796778084</v>
      </c>
      <c r="BL31" s="100">
        <v>5.4603010529988794</v>
      </c>
      <c r="BM31" s="100">
        <v>1860.8705988620181</v>
      </c>
      <c r="BN31" s="100">
        <v>12.74336343756668</v>
      </c>
      <c r="BO31" s="100">
        <v>4342.9382595227244</v>
      </c>
      <c r="BP31" s="100">
        <v>2.0053940761743072</v>
      </c>
      <c r="BQ31" s="100">
        <v>683.43830116020388</v>
      </c>
      <c r="BR31" s="100">
        <v>14.099418618067483</v>
      </c>
      <c r="BS31" s="100">
        <v>4805.0818650373985</v>
      </c>
      <c r="BT31" s="100">
        <v>3.9700545245089334</v>
      </c>
      <c r="BU31" s="100">
        <v>1352.9945819526445</v>
      </c>
      <c r="BV31" s="100">
        <v>12.573495739254888</v>
      </c>
      <c r="BW31" s="100">
        <v>4285.0473479380662</v>
      </c>
      <c r="BX31" s="100">
        <v>10.958131554562414</v>
      </c>
      <c r="BY31" s="100">
        <v>3734.5312337948708</v>
      </c>
      <c r="BZ31" s="100">
        <v>1.7782274863721823</v>
      </c>
      <c r="CA31" s="100">
        <v>606.01992735563977</v>
      </c>
      <c r="CB31" s="100">
        <v>4.4870498527385143</v>
      </c>
      <c r="CC31" s="100">
        <v>1529.1865898132858</v>
      </c>
      <c r="CD31" s="100">
        <v>8.7297313172386417</v>
      </c>
      <c r="CE31" s="100">
        <v>2975.0924329149293</v>
      </c>
      <c r="CF31" s="100">
        <v>2.5404027103241451</v>
      </c>
      <c r="CG31" s="100">
        <v>865.76924367846868</v>
      </c>
      <c r="CH31" s="100">
        <v>2.1617191562113205</v>
      </c>
      <c r="CI31" s="100">
        <v>736.71388843681802</v>
      </c>
      <c r="CJ31" s="100">
        <v>12.2941666533569</v>
      </c>
      <c r="CK31" s="100">
        <v>4189.8519954640315</v>
      </c>
      <c r="CL31" s="100">
        <v>7.0305188823074154</v>
      </c>
      <c r="CM31" s="100">
        <v>2396.0008350903672</v>
      </c>
      <c r="CN31" s="100">
        <v>10</v>
      </c>
      <c r="CO31" s="100">
        <v>3408</v>
      </c>
      <c r="CP31" s="100">
        <v>2.5531258068747191</v>
      </c>
      <c r="CQ31" s="100">
        <v>870.10527498290435</v>
      </c>
      <c r="CR31" s="100">
        <v>5.3460452350876704</v>
      </c>
      <c r="CS31" s="100">
        <v>1821.9322161178782</v>
      </c>
      <c r="CT31" s="100">
        <v>9</v>
      </c>
      <c r="CU31" s="100">
        <v>3067.2000000000003</v>
      </c>
    </row>
    <row r="32" spans="2:99">
      <c r="C32" s="99" t="s">
        <v>198</v>
      </c>
      <c r="D32" s="100">
        <v>7.0004749354011615</v>
      </c>
      <c r="E32" s="100">
        <v>5880.3989457369753</v>
      </c>
      <c r="F32" s="100">
        <v>8</v>
      </c>
      <c r="G32" s="100">
        <v>6720</v>
      </c>
      <c r="H32" s="100">
        <v>10</v>
      </c>
      <c r="I32" s="100">
        <v>8400</v>
      </c>
      <c r="J32" s="100">
        <v>0.39923695512107238</v>
      </c>
      <c r="K32" s="100">
        <v>335.35904230170081</v>
      </c>
      <c r="L32" s="100">
        <v>6</v>
      </c>
      <c r="M32" s="100">
        <v>5040</v>
      </c>
      <c r="N32" s="100">
        <v>0.58494518042371535</v>
      </c>
      <c r="O32" s="100">
        <v>491.3539515559209</v>
      </c>
      <c r="P32" s="100">
        <v>7.8754191370062792</v>
      </c>
      <c r="Q32" s="100">
        <v>6615.3520750852749</v>
      </c>
      <c r="R32" s="100">
        <v>7.8780353693692255</v>
      </c>
      <c r="S32" s="100">
        <v>6617.5497102701493</v>
      </c>
      <c r="T32" s="100">
        <v>7</v>
      </c>
      <c r="U32" s="100">
        <v>5880</v>
      </c>
      <c r="V32" s="100">
        <v>3.8184058444944706</v>
      </c>
      <c r="W32" s="100">
        <v>3207.4609093753552</v>
      </c>
      <c r="X32" s="100">
        <v>7</v>
      </c>
      <c r="Y32" s="100">
        <v>5880</v>
      </c>
      <c r="Z32" s="100">
        <v>6</v>
      </c>
      <c r="AA32" s="100">
        <v>5040</v>
      </c>
      <c r="AB32" s="100">
        <v>1.9146087281910678</v>
      </c>
      <c r="AC32" s="100">
        <v>1608.2713316804968</v>
      </c>
      <c r="AD32" s="100">
        <v>9.9012459055228472</v>
      </c>
      <c r="AE32" s="100">
        <v>8317.0465606391917</v>
      </c>
      <c r="AF32" s="100">
        <v>1.9274429630318639</v>
      </c>
      <c r="AG32" s="100">
        <v>1619.0520889467657</v>
      </c>
      <c r="AH32" s="100">
        <v>8.043726243224528</v>
      </c>
      <c r="AI32" s="100">
        <v>6756.7300443086033</v>
      </c>
      <c r="AJ32" s="100">
        <v>6</v>
      </c>
      <c r="AK32" s="100">
        <v>5040</v>
      </c>
      <c r="AL32" s="100">
        <v>10</v>
      </c>
      <c r="AM32" s="100">
        <v>8400</v>
      </c>
      <c r="AN32" s="100">
        <v>6.9831215508979261</v>
      </c>
      <c r="AO32" s="100">
        <v>5865.8221027542577</v>
      </c>
      <c r="AP32" s="100">
        <v>6.8215696071791028</v>
      </c>
      <c r="AQ32" s="100">
        <v>5730.1184700304466</v>
      </c>
      <c r="AR32" s="100">
        <v>4.2796982127279884E-4</v>
      </c>
      <c r="AS32" s="100">
        <v>0.35949464986915103</v>
      </c>
      <c r="AT32" s="100">
        <v>9.000615742210119</v>
      </c>
      <c r="AU32" s="100">
        <v>7560.5172234564998</v>
      </c>
      <c r="AV32" s="100">
        <v>8</v>
      </c>
      <c r="AW32" s="100">
        <v>6720</v>
      </c>
      <c r="AX32" s="100">
        <v>4.6744754035373735</v>
      </c>
      <c r="AY32" s="100">
        <v>3926.5593389713936</v>
      </c>
      <c r="AZ32" s="100">
        <v>5.0728357410293219</v>
      </c>
      <c r="BA32" s="100">
        <v>4261.1820224646308</v>
      </c>
      <c r="BB32" s="100">
        <v>7.5757695472467592</v>
      </c>
      <c r="BC32" s="100">
        <v>6363.6464196872776</v>
      </c>
      <c r="BD32" s="100">
        <v>5.2570174956421818</v>
      </c>
      <c r="BE32" s="100">
        <v>4415.8946963394328</v>
      </c>
      <c r="BF32" s="100">
        <v>5.7184560425587767</v>
      </c>
      <c r="BG32" s="100">
        <v>4803.5030757493723</v>
      </c>
      <c r="BH32" s="100">
        <v>5.0742435291272256</v>
      </c>
      <c r="BI32" s="100">
        <v>4262.3645644668695</v>
      </c>
      <c r="BJ32" s="100">
        <v>1.5397490661076234</v>
      </c>
      <c r="BK32" s="100">
        <v>1293.3892155304036</v>
      </c>
      <c r="BL32" s="100">
        <v>5.4046829836044941</v>
      </c>
      <c r="BM32" s="100">
        <v>4539.9337062277746</v>
      </c>
      <c r="BN32" s="100">
        <v>11.91769978132335</v>
      </c>
      <c r="BO32" s="100">
        <v>10010.867816311615</v>
      </c>
      <c r="BP32" s="100">
        <v>1.7952396340920767</v>
      </c>
      <c r="BQ32" s="100">
        <v>1508.0012926373445</v>
      </c>
      <c r="BR32" s="100">
        <v>11.778291628080069</v>
      </c>
      <c r="BS32" s="100">
        <v>9893.7649675872581</v>
      </c>
      <c r="BT32" s="100">
        <v>3.3469860134378866</v>
      </c>
      <c r="BU32" s="100">
        <v>2811.4682512878248</v>
      </c>
      <c r="BV32" s="100">
        <v>12.573495739254888</v>
      </c>
      <c r="BW32" s="100">
        <v>10561.736420974106</v>
      </c>
      <c r="BX32" s="100">
        <v>10.958131554562414</v>
      </c>
      <c r="BY32" s="100">
        <v>9204.8305058324277</v>
      </c>
      <c r="BZ32" s="100">
        <v>1.3830658227339196</v>
      </c>
      <c r="CA32" s="100">
        <v>1161.7752910964925</v>
      </c>
      <c r="CB32" s="100">
        <v>4.9256897697985131</v>
      </c>
      <c r="CC32" s="100">
        <v>4137.5794066307508</v>
      </c>
      <c r="CD32" s="100">
        <v>7.5591231099112264</v>
      </c>
      <c r="CE32" s="100">
        <v>6349.6634123254298</v>
      </c>
      <c r="CF32" s="100">
        <v>2.5404027103241451</v>
      </c>
      <c r="CG32" s="100">
        <v>2133.938276672282</v>
      </c>
      <c r="CH32" s="100">
        <v>1.9094290562010721</v>
      </c>
      <c r="CI32" s="100">
        <v>1603.9204072089005</v>
      </c>
      <c r="CJ32" s="100">
        <v>12.2941666533569</v>
      </c>
      <c r="CK32" s="100">
        <v>10327.099988819797</v>
      </c>
      <c r="CL32" s="100">
        <v>6.3913808020976504</v>
      </c>
      <c r="CM32" s="100">
        <v>5368.7598737620265</v>
      </c>
      <c r="CN32" s="100">
        <v>8</v>
      </c>
      <c r="CO32" s="100">
        <v>6720</v>
      </c>
      <c r="CP32" s="100">
        <v>2.5531258068747191</v>
      </c>
      <c r="CQ32" s="100">
        <v>2144.625677774764</v>
      </c>
      <c r="CR32" s="100">
        <v>4.6777895807017114</v>
      </c>
      <c r="CS32" s="100">
        <v>3929.3432477894376</v>
      </c>
      <c r="CT32" s="100">
        <v>8</v>
      </c>
      <c r="CU32" s="100">
        <v>6720</v>
      </c>
    </row>
    <row r="33" spans="2:99">
      <c r="C33" s="99" t="s">
        <v>199</v>
      </c>
      <c r="D33" s="100">
        <v>7.0004155684760168</v>
      </c>
      <c r="E33" s="100">
        <v>3318.1969794576321</v>
      </c>
      <c r="F33" s="100">
        <v>9</v>
      </c>
      <c r="G33" s="100">
        <v>4266</v>
      </c>
      <c r="H33" s="100">
        <v>10</v>
      </c>
      <c r="I33" s="100">
        <v>4740</v>
      </c>
      <c r="J33" s="100">
        <v>0.39923695512107238</v>
      </c>
      <c r="K33" s="100">
        <v>189.23831672738831</v>
      </c>
      <c r="L33" s="100">
        <v>6</v>
      </c>
      <c r="M33" s="100">
        <v>2844</v>
      </c>
      <c r="N33" s="100">
        <v>0.66850877762710315</v>
      </c>
      <c r="O33" s="100">
        <v>316.87316059524687</v>
      </c>
      <c r="P33" s="100">
        <v>8.7878772233056512</v>
      </c>
      <c r="Q33" s="100">
        <v>4165.4538038468791</v>
      </c>
      <c r="R33" s="100">
        <v>7.8780353693692255</v>
      </c>
      <c r="S33" s="100">
        <v>3734.1887650810131</v>
      </c>
      <c r="T33" s="100">
        <v>7</v>
      </c>
      <c r="U33" s="100">
        <v>3318</v>
      </c>
      <c r="V33" s="100">
        <v>4.1655336485394221</v>
      </c>
      <c r="W33" s="100">
        <v>1974.462949407686</v>
      </c>
      <c r="X33" s="100">
        <v>8</v>
      </c>
      <c r="Y33" s="100">
        <v>3792</v>
      </c>
      <c r="Z33" s="100">
        <v>6</v>
      </c>
      <c r="AA33" s="100">
        <v>2844</v>
      </c>
      <c r="AB33" s="100">
        <v>2.1539348192149514</v>
      </c>
      <c r="AC33" s="100">
        <v>1020.965104307887</v>
      </c>
      <c r="AD33" s="100">
        <v>9.9012459055228472</v>
      </c>
      <c r="AE33" s="100">
        <v>4693.19055921783</v>
      </c>
      <c r="AF33" s="100">
        <v>2.2486834568705079</v>
      </c>
      <c r="AG33" s="100">
        <v>1065.8759585566206</v>
      </c>
      <c r="AH33" s="100">
        <v>8.5435044915286262</v>
      </c>
      <c r="AI33" s="100">
        <v>4049.6211289845687</v>
      </c>
      <c r="AJ33" s="100">
        <v>6</v>
      </c>
      <c r="AK33" s="100">
        <v>2844</v>
      </c>
      <c r="AL33" s="100">
        <v>11</v>
      </c>
      <c r="AM33" s="100">
        <v>5214</v>
      </c>
      <c r="AN33" s="100">
        <v>6.9831215508979261</v>
      </c>
      <c r="AO33" s="100">
        <v>3309.9996151256169</v>
      </c>
      <c r="AP33" s="100">
        <v>7.5037265678970142</v>
      </c>
      <c r="AQ33" s="100">
        <v>3556.7663931831848</v>
      </c>
      <c r="AR33" s="100">
        <v>5.0006195537815722E-4</v>
      </c>
      <c r="AS33" s="100">
        <v>0.23702936684924653</v>
      </c>
      <c r="AT33" s="100">
        <v>10.000574692729446</v>
      </c>
      <c r="AU33" s="100">
        <v>4740.2724043537573</v>
      </c>
      <c r="AV33" s="100">
        <v>9</v>
      </c>
      <c r="AW33" s="100">
        <v>4266</v>
      </c>
      <c r="AX33" s="100">
        <v>4.6744754035373735</v>
      </c>
      <c r="AY33" s="100">
        <v>2215.7013412767151</v>
      </c>
      <c r="AZ33" s="100">
        <v>5.9183083645342096</v>
      </c>
      <c r="BA33" s="100">
        <v>2805.2781647892152</v>
      </c>
      <c r="BB33" s="100">
        <v>9.0909234566961121</v>
      </c>
      <c r="BC33" s="100">
        <v>4309.0977184739568</v>
      </c>
      <c r="BD33" s="100">
        <v>6.0736365718891161</v>
      </c>
      <c r="BE33" s="100">
        <v>2878.9037350754411</v>
      </c>
      <c r="BF33" s="100">
        <v>6.5826765720686939</v>
      </c>
      <c r="BG33" s="100">
        <v>3120.1886951605611</v>
      </c>
      <c r="BH33" s="100">
        <v>5.0742435291272256</v>
      </c>
      <c r="BI33" s="100">
        <v>2405.1914328063049</v>
      </c>
      <c r="BJ33" s="100">
        <v>1.9543234881662608</v>
      </c>
      <c r="BK33" s="100">
        <v>926.3493333908076</v>
      </c>
      <c r="BL33" s="100">
        <v>5.4024733457707166</v>
      </c>
      <c r="BM33" s="100">
        <v>2560.7723658953196</v>
      </c>
      <c r="BN33" s="100">
        <v>12.74336343756668</v>
      </c>
      <c r="BO33" s="100">
        <v>6040.3542694066064</v>
      </c>
      <c r="BP33" s="100">
        <v>2.0243947590800127</v>
      </c>
      <c r="BQ33" s="100">
        <v>959.56311580392605</v>
      </c>
      <c r="BR33" s="100">
        <v>12.123604984366057</v>
      </c>
      <c r="BS33" s="100">
        <v>5746.5887625895111</v>
      </c>
      <c r="BT33" s="100">
        <v>3.9726760092373645</v>
      </c>
      <c r="BU33" s="100">
        <v>1883.0484283785108</v>
      </c>
      <c r="BV33" s="100">
        <v>12.573495739254888</v>
      </c>
      <c r="BW33" s="100">
        <v>5959.836980406817</v>
      </c>
      <c r="BX33" s="100">
        <v>10.044953925015548</v>
      </c>
      <c r="BY33" s="100">
        <v>4761.3081604573699</v>
      </c>
      <c r="BZ33" s="100">
        <v>1.5806466545530511</v>
      </c>
      <c r="CA33" s="100">
        <v>749.22651425814627</v>
      </c>
      <c r="CB33" s="100">
        <v>5.084226870963052</v>
      </c>
      <c r="CC33" s="100">
        <v>2409.9235368364866</v>
      </c>
      <c r="CD33" s="100">
        <v>7.3885149025838111</v>
      </c>
      <c r="CE33" s="100">
        <v>3502.1560638247265</v>
      </c>
      <c r="CF33" s="100">
        <v>3.1755033879051813</v>
      </c>
      <c r="CG33" s="100">
        <v>1505.1886058670559</v>
      </c>
      <c r="CH33" s="100">
        <v>2.1617191562113205</v>
      </c>
      <c r="CI33" s="100">
        <v>1024.654880044166</v>
      </c>
      <c r="CJ33" s="100">
        <v>13.423583318692589</v>
      </c>
      <c r="CK33" s="100">
        <v>6362.7784930602875</v>
      </c>
      <c r="CL33" s="100">
        <v>7.0305188823074154</v>
      </c>
      <c r="CM33" s="100">
        <v>3332.4659502137147</v>
      </c>
      <c r="CN33" s="100">
        <v>8</v>
      </c>
      <c r="CO33" s="100">
        <v>3792</v>
      </c>
      <c r="CP33" s="100">
        <v>2.5531258068747191</v>
      </c>
      <c r="CQ33" s="100">
        <v>1210.1816324586168</v>
      </c>
      <c r="CR33" s="100">
        <v>5.3460452350876704</v>
      </c>
      <c r="CS33" s="100">
        <v>2534.0254414315559</v>
      </c>
      <c r="CT33" s="100">
        <v>8</v>
      </c>
      <c r="CU33" s="100">
        <v>3792</v>
      </c>
    </row>
    <row r="34" spans="2:99">
      <c r="C34" s="99" t="s">
        <v>200</v>
      </c>
      <c r="D34" s="100">
        <v>8.0004155684760168</v>
      </c>
      <c r="E34" s="100">
        <v>4387.4278977522472</v>
      </c>
      <c r="F34" s="100">
        <v>8</v>
      </c>
      <c r="G34" s="100">
        <v>4387.2</v>
      </c>
      <c r="H34" s="100">
        <v>10</v>
      </c>
      <c r="I34" s="100">
        <v>5484</v>
      </c>
      <c r="J34" s="100">
        <v>0.3593132596089651</v>
      </c>
      <c r="K34" s="100">
        <v>197.04739156955645</v>
      </c>
      <c r="L34" s="100">
        <v>5</v>
      </c>
      <c r="M34" s="100">
        <v>2742</v>
      </c>
      <c r="N34" s="100">
        <v>0.58494518042371535</v>
      </c>
      <c r="O34" s="100">
        <v>320.78393694436551</v>
      </c>
      <c r="P34" s="100">
        <v>8.7878772233056512</v>
      </c>
      <c r="Q34" s="100">
        <v>4819.2718692608187</v>
      </c>
      <c r="R34" s="100">
        <v>7.8780353693692255</v>
      </c>
      <c r="S34" s="100">
        <v>4320.3145965620834</v>
      </c>
      <c r="T34" s="100">
        <v>8</v>
      </c>
      <c r="U34" s="100">
        <v>4387.2</v>
      </c>
      <c r="V34" s="100">
        <v>3.4712780404495187</v>
      </c>
      <c r="W34" s="100">
        <v>1903.648877382516</v>
      </c>
      <c r="X34" s="100">
        <v>7</v>
      </c>
      <c r="Y34" s="100">
        <v>3838.7999999999997</v>
      </c>
      <c r="Z34" s="100">
        <v>5</v>
      </c>
      <c r="AA34" s="100">
        <v>2742</v>
      </c>
      <c r="AB34" s="100">
        <v>1.6752826371671843</v>
      </c>
      <c r="AC34" s="100">
        <v>918.7249982224838</v>
      </c>
      <c r="AD34" s="100">
        <v>9.9012459055228472</v>
      </c>
      <c r="AE34" s="100">
        <v>5429.843254588729</v>
      </c>
      <c r="AF34" s="100">
        <v>2.2486834568705079</v>
      </c>
      <c r="AG34" s="100">
        <v>1233.1780077477865</v>
      </c>
      <c r="AH34" s="100">
        <v>9.3565818255228308</v>
      </c>
      <c r="AI34" s="100">
        <v>5131.1494731167204</v>
      </c>
      <c r="AJ34" s="100">
        <v>7</v>
      </c>
      <c r="AK34" s="100">
        <v>3838.7999999999997</v>
      </c>
      <c r="AL34" s="100">
        <v>10</v>
      </c>
      <c r="AM34" s="100">
        <v>5484</v>
      </c>
      <c r="AN34" s="100">
        <v>6.9831215508979261</v>
      </c>
      <c r="AO34" s="100">
        <v>3829.5438585124225</v>
      </c>
      <c r="AP34" s="100">
        <v>6.8215696071791028</v>
      </c>
      <c r="AQ34" s="100">
        <v>3740.94877257702</v>
      </c>
      <c r="AR34" s="100">
        <v>4.9853429425837344E-4</v>
      </c>
      <c r="AS34" s="100">
        <v>0.27339620697129197</v>
      </c>
      <c r="AT34" s="100">
        <v>10.000574692729446</v>
      </c>
      <c r="AU34" s="100">
        <v>5484.3151614928274</v>
      </c>
      <c r="AV34" s="100">
        <v>10</v>
      </c>
      <c r="AW34" s="100">
        <v>5484</v>
      </c>
      <c r="AX34" s="100">
        <v>4.6744754035373735</v>
      </c>
      <c r="AY34" s="100">
        <v>2563.4823112998956</v>
      </c>
      <c r="AZ34" s="100">
        <v>5.9183083645342096</v>
      </c>
      <c r="BA34" s="100">
        <v>3245.6003071105606</v>
      </c>
      <c r="BB34" s="100">
        <v>7.5757695472467592</v>
      </c>
      <c r="BC34" s="100">
        <v>4154.5520197101223</v>
      </c>
      <c r="BD34" s="100">
        <v>5.2570174956421818</v>
      </c>
      <c r="BE34" s="100">
        <v>2882.9483946101723</v>
      </c>
      <c r="BF34" s="100">
        <v>5.7184560425587767</v>
      </c>
      <c r="BG34" s="100">
        <v>3136.001293739233</v>
      </c>
      <c r="BH34" s="100">
        <v>5.788667687196078</v>
      </c>
      <c r="BI34" s="100">
        <v>3174.5053596583289</v>
      </c>
      <c r="BJ34" s="100">
        <v>1.7606883677373102</v>
      </c>
      <c r="BK34" s="100">
        <v>965.56150086714092</v>
      </c>
      <c r="BL34" s="100">
        <v>5.8936072862953264</v>
      </c>
      <c r="BM34" s="100">
        <v>3232.0542358043567</v>
      </c>
      <c r="BN34" s="100">
        <v>11.91769978132335</v>
      </c>
      <c r="BO34" s="100">
        <v>6535.6665600777251</v>
      </c>
      <c r="BP34" s="100">
        <v>2.0243947590800127</v>
      </c>
      <c r="BQ34" s="100">
        <v>1110.1780858794789</v>
      </c>
      <c r="BR34" s="100">
        <v>12.766198444930781</v>
      </c>
      <c r="BS34" s="100">
        <v>7000.9832272000403</v>
      </c>
      <c r="BT34" s="100">
        <v>3.9334253263875989</v>
      </c>
      <c r="BU34" s="100">
        <v>2157.090448990959</v>
      </c>
      <c r="BV34" s="100">
        <v>12.748328599172098</v>
      </c>
      <c r="BW34" s="100">
        <v>6991.183403785978</v>
      </c>
      <c r="BX34" s="100">
        <v>9.1317762954686792</v>
      </c>
      <c r="BY34" s="100">
        <v>5007.8661204350237</v>
      </c>
      <c r="BZ34" s="100">
        <v>1.5806466545530511</v>
      </c>
      <c r="CA34" s="100">
        <v>866.82662535689315</v>
      </c>
      <c r="CB34" s="100">
        <v>4.5696568919796947</v>
      </c>
      <c r="CC34" s="100">
        <v>2505.9998395616644</v>
      </c>
      <c r="CD34" s="100">
        <v>7.5591231099112264</v>
      </c>
      <c r="CE34" s="100">
        <v>4145.4231134753163</v>
      </c>
      <c r="CF34" s="100">
        <v>2.8579530491146636</v>
      </c>
      <c r="CG34" s="100">
        <v>1567.3014521344815</v>
      </c>
      <c r="CH34" s="100">
        <v>1.9094290562010721</v>
      </c>
      <c r="CI34" s="100">
        <v>1047.1308944206678</v>
      </c>
      <c r="CJ34" s="100">
        <v>13.552999984028279</v>
      </c>
      <c r="CK34" s="100">
        <v>7432.4651912411082</v>
      </c>
      <c r="CL34" s="100">
        <v>7.6696569625171804</v>
      </c>
      <c r="CM34" s="100">
        <v>4206.0398782444217</v>
      </c>
      <c r="CN34" s="100">
        <v>9</v>
      </c>
      <c r="CO34" s="100">
        <v>4935.5999999999995</v>
      </c>
      <c r="CP34" s="100">
        <v>2.5531258068747191</v>
      </c>
      <c r="CQ34" s="100">
        <v>1400.134192490096</v>
      </c>
      <c r="CR34" s="100">
        <v>5.3460452350876704</v>
      </c>
      <c r="CS34" s="100">
        <v>2931.7712069220784</v>
      </c>
      <c r="CT34" s="100">
        <v>8</v>
      </c>
      <c r="CU34" s="100">
        <v>4387.2</v>
      </c>
    </row>
    <row r="35" spans="2:99">
      <c r="C35" s="99" t="s">
        <v>201</v>
      </c>
      <c r="D35" s="100">
        <v>8.0004155684760168</v>
      </c>
      <c r="E35" s="100">
        <v>4022.6089478297404</v>
      </c>
      <c r="F35" s="100">
        <v>9</v>
      </c>
      <c r="G35" s="100">
        <v>4525.1999999999989</v>
      </c>
      <c r="H35" s="100">
        <v>10</v>
      </c>
      <c r="I35" s="100">
        <v>5027.9999999999991</v>
      </c>
      <c r="J35" s="100">
        <v>0.39923695512107238</v>
      </c>
      <c r="K35" s="100">
        <v>200.73634103487515</v>
      </c>
      <c r="L35" s="100">
        <v>5</v>
      </c>
      <c r="M35" s="100">
        <v>2513.9999999999995</v>
      </c>
      <c r="N35" s="100">
        <v>0.58494518042371535</v>
      </c>
      <c r="O35" s="100">
        <v>294.11043671704402</v>
      </c>
      <c r="P35" s="100">
        <v>8.8754191370062792</v>
      </c>
      <c r="Q35" s="100">
        <v>4462.5607420867564</v>
      </c>
      <c r="R35" s="100">
        <v>7.8780353693692255</v>
      </c>
      <c r="S35" s="100">
        <v>3961.0761837188456</v>
      </c>
      <c r="T35" s="100">
        <v>7</v>
      </c>
      <c r="U35" s="100">
        <v>3519.5999999999995</v>
      </c>
      <c r="V35" s="100">
        <v>3.4712780404495187</v>
      </c>
      <c r="W35" s="100">
        <v>1745.3585987380177</v>
      </c>
      <c r="X35" s="100">
        <v>8</v>
      </c>
      <c r="Y35" s="100">
        <v>4022.3999999999992</v>
      </c>
      <c r="Z35" s="100">
        <v>6</v>
      </c>
      <c r="AA35" s="100">
        <v>3016.7999999999993</v>
      </c>
      <c r="AB35" s="100">
        <v>2.1539348192149514</v>
      </c>
      <c r="AC35" s="100">
        <v>1082.9984271012775</v>
      </c>
      <c r="AD35" s="100">
        <v>9.9012459055228472</v>
      </c>
      <c r="AE35" s="100">
        <v>4978.346441296887</v>
      </c>
      <c r="AF35" s="100">
        <v>2.2486834568705079</v>
      </c>
      <c r="AG35" s="100">
        <v>1130.6380421144911</v>
      </c>
      <c r="AH35" s="100">
        <v>9.3565818255228308</v>
      </c>
      <c r="AI35" s="100">
        <v>4704.489341872878</v>
      </c>
      <c r="AJ35" s="100">
        <v>6</v>
      </c>
      <c r="AK35" s="100">
        <v>3016.7999999999993</v>
      </c>
      <c r="AL35" s="100">
        <v>11</v>
      </c>
      <c r="AM35" s="100">
        <v>5530.7999999999993</v>
      </c>
      <c r="AN35" s="100">
        <v>6.9831215508979261</v>
      </c>
      <c r="AO35" s="100">
        <v>3511.1135157914764</v>
      </c>
      <c r="AP35" s="100">
        <v>6.8215696071791028</v>
      </c>
      <c r="AQ35" s="100">
        <v>3429.8851984896523</v>
      </c>
      <c r="AR35" s="100">
        <v>4.2949748239258257E-4</v>
      </c>
      <c r="AS35" s="100">
        <v>0.21595133414699047</v>
      </c>
      <c r="AT35" s="100">
        <v>11.000533643248771</v>
      </c>
      <c r="AU35" s="100">
        <v>5531.0683158254806</v>
      </c>
      <c r="AV35" s="100">
        <v>9</v>
      </c>
      <c r="AW35" s="100">
        <v>4525.1999999999989</v>
      </c>
      <c r="AX35" s="100">
        <v>4.6744754035373735</v>
      </c>
      <c r="AY35" s="100">
        <v>2350.3262328985911</v>
      </c>
      <c r="AZ35" s="100">
        <v>5.9183083645342096</v>
      </c>
      <c r="BA35" s="100">
        <v>2975.7254456877999</v>
      </c>
      <c r="BB35" s="100">
        <v>9.0909234566961121</v>
      </c>
      <c r="BC35" s="100">
        <v>4570.9163140268047</v>
      </c>
      <c r="BD35" s="100">
        <v>5.2331972930981427</v>
      </c>
      <c r="BE35" s="100">
        <v>2631.2515989697458</v>
      </c>
      <c r="BF35" s="100">
        <v>5.7184560425587767</v>
      </c>
      <c r="BG35" s="100">
        <v>2875.2396981985526</v>
      </c>
      <c r="BH35" s="100">
        <v>5.7170587253129774</v>
      </c>
      <c r="BI35" s="100">
        <v>2874.5371270873643</v>
      </c>
      <c r="BJ35" s="100">
        <v>2.1838917910824867</v>
      </c>
      <c r="BK35" s="100">
        <v>1098.060792556274</v>
      </c>
      <c r="BL35" s="100">
        <v>5.0292044575362089</v>
      </c>
      <c r="BM35" s="100">
        <v>2528.6840012492053</v>
      </c>
      <c r="BN35" s="100">
        <v>12.74336343756668</v>
      </c>
      <c r="BO35" s="100">
        <v>6407.3631364085259</v>
      </c>
      <c r="BP35" s="100">
        <v>2.0148944176271599</v>
      </c>
      <c r="BQ35" s="100">
        <v>1013.0889131829358</v>
      </c>
      <c r="BR35" s="100">
        <v>13.926761939924488</v>
      </c>
      <c r="BS35" s="100">
        <v>7002.3759033940305</v>
      </c>
      <c r="BT35" s="100">
        <v>3.7928066981789184</v>
      </c>
      <c r="BU35" s="100">
        <v>1907.0232078443598</v>
      </c>
      <c r="BV35" s="100">
        <v>13.748328599172098</v>
      </c>
      <c r="BW35" s="100">
        <v>6912.6596196637292</v>
      </c>
      <c r="BX35" s="100">
        <v>10.044953925015548</v>
      </c>
      <c r="BY35" s="100">
        <v>5050.6028334978164</v>
      </c>
      <c r="BZ35" s="100">
        <v>1.3830658227339196</v>
      </c>
      <c r="CA35" s="100">
        <v>695.40549567061464</v>
      </c>
      <c r="CB35" s="100">
        <v>4.8464212192162428</v>
      </c>
      <c r="CC35" s="100">
        <v>2436.7805890219265</v>
      </c>
      <c r="CD35" s="100">
        <v>8.5591231099112264</v>
      </c>
      <c r="CE35" s="100">
        <v>4303.5270996633635</v>
      </c>
      <c r="CF35" s="100">
        <v>2.5404027103241451</v>
      </c>
      <c r="CG35" s="100">
        <v>1277.31448275098</v>
      </c>
      <c r="CH35" s="100">
        <v>1.8983984134218925</v>
      </c>
      <c r="CI35" s="100">
        <v>954.51472226852741</v>
      </c>
      <c r="CJ35" s="100">
        <v>13.423583318692589</v>
      </c>
      <c r="CK35" s="100">
        <v>6749.3776926386327</v>
      </c>
      <c r="CL35" s="100">
        <v>7.6696569625171804</v>
      </c>
      <c r="CM35" s="100">
        <v>3856.3035207536377</v>
      </c>
      <c r="CN35" s="100">
        <v>8</v>
      </c>
      <c r="CO35" s="100">
        <v>4022.3999999999992</v>
      </c>
      <c r="CP35" s="100">
        <v>2.5531258068747191</v>
      </c>
      <c r="CQ35" s="100">
        <v>1283.7116556966084</v>
      </c>
      <c r="CR35" s="100">
        <v>5.3460452350876704</v>
      </c>
      <c r="CS35" s="100">
        <v>2687.9915442020801</v>
      </c>
      <c r="CT35" s="100">
        <v>8</v>
      </c>
      <c r="CU35" s="100">
        <v>4022.3999999999992</v>
      </c>
    </row>
    <row r="36" spans="2:99">
      <c r="C36" s="99" t="s">
        <v>202</v>
      </c>
      <c r="D36" s="100">
        <v>7.0004749354011615</v>
      </c>
      <c r="E36" s="100">
        <v>5325.9613308532034</v>
      </c>
      <c r="F36" s="100">
        <v>8</v>
      </c>
      <c r="G36" s="100">
        <v>6086.4</v>
      </c>
      <c r="H36" s="100">
        <v>10</v>
      </c>
      <c r="I36" s="100">
        <v>7608</v>
      </c>
      <c r="J36" s="100">
        <v>0.39923695512107238</v>
      </c>
      <c r="K36" s="100">
        <v>303.73947545611185</v>
      </c>
      <c r="L36" s="100">
        <v>6</v>
      </c>
      <c r="M36" s="100">
        <v>4564.7999999999993</v>
      </c>
      <c r="N36" s="100">
        <v>0.66850877762710315</v>
      </c>
      <c r="O36" s="100">
        <v>508.60147801870005</v>
      </c>
      <c r="P36" s="100">
        <v>7.8754191370062792</v>
      </c>
      <c r="Q36" s="100">
        <v>5991.618879434377</v>
      </c>
      <c r="R36" s="100">
        <v>7.0026981061059788</v>
      </c>
      <c r="S36" s="100">
        <v>5327.6527191254281</v>
      </c>
      <c r="T36" s="100">
        <v>7</v>
      </c>
      <c r="U36" s="100">
        <v>5325.5999999999995</v>
      </c>
      <c r="V36" s="100">
        <v>3.4712780404495187</v>
      </c>
      <c r="W36" s="100">
        <v>2640.9483331739939</v>
      </c>
      <c r="X36" s="100">
        <v>7</v>
      </c>
      <c r="Y36" s="100">
        <v>5325.5999999999995</v>
      </c>
      <c r="Z36" s="100">
        <v>6</v>
      </c>
      <c r="AA36" s="100">
        <v>4564.7999999999993</v>
      </c>
      <c r="AB36" s="100">
        <v>1.9146087281910678</v>
      </c>
      <c r="AC36" s="100">
        <v>1456.6343204077643</v>
      </c>
      <c r="AD36" s="100">
        <v>8.7549962204826279</v>
      </c>
      <c r="AE36" s="100">
        <v>6660.8011245431826</v>
      </c>
      <c r="AF36" s="100">
        <v>2.2486834568705079</v>
      </c>
      <c r="AG36" s="100">
        <v>1710.7983739870822</v>
      </c>
      <c r="AH36" s="100">
        <v>9.1899890760881338</v>
      </c>
      <c r="AI36" s="100">
        <v>6991.7436890878516</v>
      </c>
      <c r="AJ36" s="100">
        <v>7</v>
      </c>
      <c r="AK36" s="100">
        <v>5325.5999999999995</v>
      </c>
      <c r="AL36" s="100">
        <v>11</v>
      </c>
      <c r="AM36" s="100">
        <v>8368.7999999999993</v>
      </c>
      <c r="AN36" s="100">
        <v>6.9831215508979261</v>
      </c>
      <c r="AO36" s="100">
        <v>5312.7588759231421</v>
      </c>
      <c r="AP36" s="100">
        <v>6.8215696071791028</v>
      </c>
      <c r="AQ36" s="100">
        <v>5189.850157141861</v>
      </c>
      <c r="AR36" s="100">
        <v>4.2949748239258257E-4</v>
      </c>
      <c r="AS36" s="100">
        <v>0.32676168460427679</v>
      </c>
      <c r="AT36" s="100">
        <v>9.0005336432487706</v>
      </c>
      <c r="AU36" s="100">
        <v>6847.6059957836642</v>
      </c>
      <c r="AV36" s="100">
        <v>10</v>
      </c>
      <c r="AW36" s="100">
        <v>7608</v>
      </c>
      <c r="AX36" s="100">
        <v>4.6744754035373735</v>
      </c>
      <c r="AY36" s="100">
        <v>3556.3408870112335</v>
      </c>
      <c r="AZ36" s="100">
        <v>5.9183083645342096</v>
      </c>
      <c r="BA36" s="100">
        <v>4502.6490037376261</v>
      </c>
      <c r="BB36" s="100">
        <v>8.3333465019714374</v>
      </c>
      <c r="BC36" s="100">
        <v>6340.0100186998689</v>
      </c>
      <c r="BD36" s="100">
        <v>5.2570174956421818</v>
      </c>
      <c r="BE36" s="100">
        <v>3999.5389106845719</v>
      </c>
      <c r="BF36" s="100">
        <v>5.7184560425587767</v>
      </c>
      <c r="BG36" s="100">
        <v>4350.6013571787171</v>
      </c>
      <c r="BH36" s="100">
        <v>5.0742435291272256</v>
      </c>
      <c r="BI36" s="100">
        <v>3860.4844769599931</v>
      </c>
      <c r="BJ36" s="100">
        <v>1.740210231836758</v>
      </c>
      <c r="BK36" s="100">
        <v>1323.9519443814054</v>
      </c>
      <c r="BL36" s="100">
        <v>5.4024733457707166</v>
      </c>
      <c r="BM36" s="100">
        <v>4110.2017214623611</v>
      </c>
      <c r="BN36" s="100">
        <v>11.91769978132335</v>
      </c>
      <c r="BO36" s="100">
        <v>9066.9859936308039</v>
      </c>
      <c r="BP36" s="100">
        <v>1.9958937347214545</v>
      </c>
      <c r="BQ36" s="100">
        <v>1518.4759533760825</v>
      </c>
      <c r="BR36" s="100">
        <v>12.938855123073777</v>
      </c>
      <c r="BS36" s="100">
        <v>9843.8809776345297</v>
      </c>
      <c r="BT36" s="100">
        <v>3.3430537863452399</v>
      </c>
      <c r="BU36" s="100">
        <v>2543.3953206514584</v>
      </c>
      <c r="BV36" s="100">
        <v>12.573495739254888</v>
      </c>
      <c r="BW36" s="100">
        <v>9565.9155584251184</v>
      </c>
      <c r="BX36" s="100">
        <v>10.044953925015548</v>
      </c>
      <c r="BY36" s="100">
        <v>7642.2009461518282</v>
      </c>
      <c r="BZ36" s="100">
        <v>1.5806466545530511</v>
      </c>
      <c r="CA36" s="100">
        <v>1202.5559747839611</v>
      </c>
      <c r="CB36" s="100">
        <v>4.4903883413974253</v>
      </c>
      <c r="CC36" s="100">
        <v>3416.2874501351607</v>
      </c>
      <c r="CD36" s="100">
        <v>8.5591231099112264</v>
      </c>
      <c r="CE36" s="100">
        <v>6511.7808620204605</v>
      </c>
      <c r="CF36" s="100">
        <v>2.8579530491146636</v>
      </c>
      <c r="CG36" s="100">
        <v>2174.3306797664359</v>
      </c>
      <c r="CH36" s="100">
        <v>2.150688513432141</v>
      </c>
      <c r="CI36" s="100">
        <v>1636.2438210191729</v>
      </c>
      <c r="CJ36" s="100">
        <v>12.423583318692589</v>
      </c>
      <c r="CK36" s="100">
        <v>9451.8621888613216</v>
      </c>
      <c r="CL36" s="100">
        <v>7.0305188823074154</v>
      </c>
      <c r="CM36" s="100">
        <v>5348.818765659481</v>
      </c>
      <c r="CN36" s="100">
        <v>9</v>
      </c>
      <c r="CO36" s="100">
        <v>6847.2</v>
      </c>
      <c r="CP36" s="100">
        <v>2.5531258068747191</v>
      </c>
      <c r="CQ36" s="100">
        <v>1942.4181138702861</v>
      </c>
      <c r="CR36" s="100">
        <v>5.3460452350876704</v>
      </c>
      <c r="CS36" s="100">
        <v>4067.2712148546993</v>
      </c>
      <c r="CT36" s="100">
        <v>7</v>
      </c>
      <c r="CU36" s="100">
        <v>5325.5999999999995</v>
      </c>
    </row>
    <row r="37" spans="2:99">
      <c r="B37" s="99" t="s">
        <v>128</v>
      </c>
      <c r="C37" s="99" t="s">
        <v>203</v>
      </c>
      <c r="D37" s="100">
        <v>15.000296834625725</v>
      </c>
      <c r="E37" s="100">
        <v>12906.255396511973</v>
      </c>
      <c r="F37" s="100">
        <v>13</v>
      </c>
      <c r="G37" s="100">
        <v>11185.199999999999</v>
      </c>
      <c r="H37" s="100">
        <v>18</v>
      </c>
      <c r="I37" s="100">
        <v>15487.199999999999</v>
      </c>
      <c r="J37" s="100">
        <v>0.75855021473003748</v>
      </c>
      <c r="K37" s="100">
        <v>652.6566047537242</v>
      </c>
      <c r="L37" s="100">
        <v>17</v>
      </c>
      <c r="M37" s="100">
        <v>14626.8</v>
      </c>
      <c r="N37" s="100">
        <v>1.5041447496609821</v>
      </c>
      <c r="O37" s="100">
        <v>1294.166142608309</v>
      </c>
      <c r="P37" s="100">
        <v>12.43770956850314</v>
      </c>
      <c r="Q37" s="100">
        <v>10701.4053127401</v>
      </c>
      <c r="R37" s="100">
        <v>10.504047159158969</v>
      </c>
      <c r="S37" s="100">
        <v>9037.6821757403759</v>
      </c>
      <c r="T37" s="100">
        <v>14</v>
      </c>
      <c r="U37" s="100">
        <v>12045.6</v>
      </c>
      <c r="V37" s="100">
        <v>6.9425560808990374</v>
      </c>
      <c r="W37" s="100">
        <v>5973.3752520055314</v>
      </c>
      <c r="X37" s="100">
        <v>13</v>
      </c>
      <c r="Y37" s="100">
        <v>11185.199999999999</v>
      </c>
      <c r="Z37" s="100">
        <v>19</v>
      </c>
      <c r="AA37" s="100">
        <v>16347.6</v>
      </c>
      <c r="AB37" s="100">
        <v>4.0685435474060192</v>
      </c>
      <c r="AC37" s="100">
        <v>3500.5748681881387</v>
      </c>
      <c r="AD37" s="100">
        <v>17.877498110241312</v>
      </c>
      <c r="AE37" s="100">
        <v>15381.799374051625</v>
      </c>
      <c r="AF37" s="100">
        <v>2.8911644445477962</v>
      </c>
      <c r="AG37" s="100">
        <v>2487.5578880889238</v>
      </c>
      <c r="AH37" s="100">
        <v>12.755597497755065</v>
      </c>
      <c r="AI37" s="100">
        <v>10974.916087068457</v>
      </c>
      <c r="AJ37" s="100">
        <v>18</v>
      </c>
      <c r="AK37" s="100">
        <v>15487.199999999999</v>
      </c>
      <c r="AL37" s="100">
        <v>12</v>
      </c>
      <c r="AM37" s="100">
        <v>10324.799999999999</v>
      </c>
      <c r="AN37" s="100">
        <v>9.3108287345305687</v>
      </c>
      <c r="AO37" s="100">
        <v>8011.037043190101</v>
      </c>
      <c r="AP37" s="100">
        <v>10.914511371486565</v>
      </c>
      <c r="AQ37" s="100">
        <v>9390.8455840270399</v>
      </c>
      <c r="AR37" s="100">
        <v>1.1137549565713562E-3</v>
      </c>
      <c r="AS37" s="100">
        <v>0.95827476463399486</v>
      </c>
      <c r="AT37" s="100">
        <v>15.000328395845397</v>
      </c>
      <c r="AU37" s="100">
        <v>12906.28255178538</v>
      </c>
      <c r="AV37" s="100">
        <v>15</v>
      </c>
      <c r="AW37" s="100">
        <v>12906</v>
      </c>
      <c r="AX37" s="100">
        <v>14.802505444535017</v>
      </c>
      <c r="AY37" s="100">
        <v>12736.075684477928</v>
      </c>
      <c r="AZ37" s="100">
        <v>15.218507223087967</v>
      </c>
      <c r="BA37" s="100">
        <v>13094.003614744886</v>
      </c>
      <c r="BB37" s="100">
        <v>9.0909234566961121</v>
      </c>
      <c r="BC37" s="100">
        <v>7821.8305421413343</v>
      </c>
      <c r="BD37" s="100">
        <v>11.956711523425929</v>
      </c>
      <c r="BE37" s="100">
        <v>10287.554594755669</v>
      </c>
      <c r="BF37" s="100">
        <v>12.498937062263293</v>
      </c>
      <c r="BG37" s="100">
        <v>10754.085448371337</v>
      </c>
      <c r="BH37" s="100">
        <v>13.21767965465485</v>
      </c>
      <c r="BI37" s="100">
        <v>11372.491574865033</v>
      </c>
      <c r="BJ37" s="100">
        <v>2.9072055473909741</v>
      </c>
      <c r="BK37" s="100">
        <v>2501.359652975194</v>
      </c>
      <c r="BL37" s="100">
        <v>4.751114110564278</v>
      </c>
      <c r="BM37" s="100">
        <v>4087.8585807295049</v>
      </c>
      <c r="BN37" s="100">
        <v>17.394690750053346</v>
      </c>
      <c r="BO37" s="100">
        <v>14966.391921345899</v>
      </c>
      <c r="BP37" s="100">
        <v>3.9929343995623743</v>
      </c>
      <c r="BQ37" s="100">
        <v>3435.5207573834668</v>
      </c>
      <c r="BR37" s="100">
        <v>10.915008237365095</v>
      </c>
      <c r="BS37" s="100">
        <v>9391.2730874289282</v>
      </c>
      <c r="BT37" s="100">
        <v>7.7607964785865793</v>
      </c>
      <c r="BU37" s="100">
        <v>6677.3892901758927</v>
      </c>
      <c r="BV37" s="100">
        <v>17.573495739254888</v>
      </c>
      <c r="BW37" s="100">
        <v>15120.235734054904</v>
      </c>
      <c r="BX37" s="100">
        <v>14.610842072749886</v>
      </c>
      <c r="BY37" s="100">
        <v>12571.168519394001</v>
      </c>
      <c r="BZ37" s="100">
        <v>3.5564549727443646</v>
      </c>
      <c r="CA37" s="100">
        <v>3059.9738585492514</v>
      </c>
      <c r="CB37" s="100">
        <v>8.5889045303669409</v>
      </c>
      <c r="CC37" s="100">
        <v>7389.8934579277156</v>
      </c>
      <c r="CD37" s="100">
        <v>13.535473865946736</v>
      </c>
      <c r="CE37" s="100">
        <v>11645.921714260572</v>
      </c>
      <c r="CF37" s="100">
        <v>5.0808054206482902</v>
      </c>
      <c r="CG37" s="100">
        <v>4371.5249839257885</v>
      </c>
      <c r="CH37" s="100">
        <v>4.1910705990724857</v>
      </c>
      <c r="CI37" s="100">
        <v>3605.9971434419667</v>
      </c>
      <c r="CJ37" s="100">
        <v>14.16474998802121</v>
      </c>
      <c r="CK37" s="100">
        <v>12187.350889693449</v>
      </c>
      <c r="CL37" s="100">
        <v>8.3087950427269455</v>
      </c>
      <c r="CM37" s="100">
        <v>7148.8872547622641</v>
      </c>
      <c r="CN37" s="100">
        <v>17</v>
      </c>
      <c r="CO37" s="100">
        <v>14626.8</v>
      </c>
      <c r="CP37" s="100">
        <v>6.2004483881243182</v>
      </c>
      <c r="CQ37" s="100">
        <v>5334.8657931421631</v>
      </c>
      <c r="CR37" s="100">
        <v>13.365113087719175</v>
      </c>
      <c r="CS37" s="100">
        <v>11499.343300673578</v>
      </c>
      <c r="CT37" s="100">
        <v>20</v>
      </c>
      <c r="CU37" s="100">
        <v>17208</v>
      </c>
    </row>
    <row r="38" spans="2:99">
      <c r="C38" s="99" t="s">
        <v>204</v>
      </c>
      <c r="D38" s="100">
        <v>13.000237467700581</v>
      </c>
      <c r="E38" s="100">
        <v>16146.294934884121</v>
      </c>
      <c r="F38" s="100">
        <v>12</v>
      </c>
      <c r="G38" s="100">
        <v>14904</v>
      </c>
      <c r="H38" s="100">
        <v>17</v>
      </c>
      <c r="I38" s="100">
        <v>21114</v>
      </c>
      <c r="J38" s="100">
        <v>0.63877912819371574</v>
      </c>
      <c r="K38" s="100">
        <v>793.36367721659497</v>
      </c>
      <c r="L38" s="100">
        <v>16</v>
      </c>
      <c r="M38" s="100">
        <v>19872</v>
      </c>
      <c r="N38" s="100">
        <v>1.5041447496609821</v>
      </c>
      <c r="O38" s="100">
        <v>1868.1477790789397</v>
      </c>
      <c r="P38" s="100">
        <v>12.43770956850314</v>
      </c>
      <c r="Q38" s="100">
        <v>15447.6352840809</v>
      </c>
      <c r="R38" s="100">
        <v>10.504047159158969</v>
      </c>
      <c r="S38" s="100">
        <v>13046.026571675438</v>
      </c>
      <c r="T38" s="100">
        <v>13</v>
      </c>
      <c r="U38" s="100">
        <v>16146</v>
      </c>
      <c r="V38" s="100">
        <v>6.5954282768540855</v>
      </c>
      <c r="W38" s="100">
        <v>8191.5219198527739</v>
      </c>
      <c r="X38" s="100">
        <v>13</v>
      </c>
      <c r="Y38" s="100">
        <v>16146</v>
      </c>
      <c r="Z38" s="100">
        <v>19</v>
      </c>
      <c r="AA38" s="100">
        <v>23598</v>
      </c>
      <c r="AB38" s="100">
        <v>3.3505652743343686</v>
      </c>
      <c r="AC38" s="100">
        <v>4161.4020707232858</v>
      </c>
      <c r="AD38" s="100">
        <v>18.023747795281533</v>
      </c>
      <c r="AE38" s="100">
        <v>22385.494761739665</v>
      </c>
      <c r="AF38" s="100">
        <v>2.8911644445477962</v>
      </c>
      <c r="AG38" s="100">
        <v>3590.8262401283628</v>
      </c>
      <c r="AH38" s="100">
        <v>13.56867483174927</v>
      </c>
      <c r="AI38" s="100">
        <v>16852.294141032595</v>
      </c>
      <c r="AJ38" s="100">
        <v>18</v>
      </c>
      <c r="AK38" s="100">
        <v>22356</v>
      </c>
      <c r="AL38" s="100">
        <v>11</v>
      </c>
      <c r="AM38" s="100">
        <v>13662</v>
      </c>
      <c r="AN38" s="100">
        <v>9.3108287345305687</v>
      </c>
      <c r="AO38" s="100">
        <v>11564.049288286966</v>
      </c>
      <c r="AP38" s="100">
        <v>10.232354410768655</v>
      </c>
      <c r="AQ38" s="100">
        <v>12708.584178174669</v>
      </c>
      <c r="AR38" s="100">
        <v>1.0447181447055653E-3</v>
      </c>
      <c r="AS38" s="100">
        <v>1.297539935724312</v>
      </c>
      <c r="AT38" s="100">
        <v>17.000328395845397</v>
      </c>
      <c r="AU38" s="100">
        <v>21114.407867639984</v>
      </c>
      <c r="AV38" s="100">
        <v>14</v>
      </c>
      <c r="AW38" s="100">
        <v>17388</v>
      </c>
      <c r="AX38" s="100">
        <v>13.244346976689226</v>
      </c>
      <c r="AY38" s="100">
        <v>16449.478945048017</v>
      </c>
      <c r="AZ38" s="100">
        <v>14.373034599583081</v>
      </c>
      <c r="BA38" s="100">
        <v>17851.308972682185</v>
      </c>
      <c r="BB38" s="100">
        <v>9.8485004114207886</v>
      </c>
      <c r="BC38" s="100">
        <v>12231.83751098462</v>
      </c>
      <c r="BD38" s="100">
        <v>10.299653168388019</v>
      </c>
      <c r="BE38" s="100">
        <v>12792.169235137921</v>
      </c>
      <c r="BF38" s="100">
        <v>10.70385439505605</v>
      </c>
      <c r="BG38" s="100">
        <v>13294.187158659613</v>
      </c>
      <c r="BH38" s="100">
        <v>12.503255496585998</v>
      </c>
      <c r="BI38" s="100">
        <v>15529.043326759809</v>
      </c>
      <c r="BJ38" s="100">
        <v>2.6999183363616557</v>
      </c>
      <c r="BK38" s="100">
        <v>3353.2985737611762</v>
      </c>
      <c r="BL38" s="100">
        <v>5.2378287754213346</v>
      </c>
      <c r="BM38" s="100">
        <v>6505.383339073298</v>
      </c>
      <c r="BN38" s="100">
        <v>16.394690750053346</v>
      </c>
      <c r="BO38" s="100">
        <v>20362.205911566256</v>
      </c>
      <c r="BP38" s="100">
        <v>4.3075925976259866</v>
      </c>
      <c r="BQ38" s="100">
        <v>5350.0300062514752</v>
      </c>
      <c r="BR38" s="100">
        <v>10.742351559222099</v>
      </c>
      <c r="BS38" s="100">
        <v>13342.000636553847</v>
      </c>
      <c r="BT38" s="100">
        <v>8.347235791536292</v>
      </c>
      <c r="BU38" s="100">
        <v>10367.266853088075</v>
      </c>
      <c r="BV38" s="100">
        <v>17.398662879337678</v>
      </c>
      <c r="BW38" s="100">
        <v>21609.139296137397</v>
      </c>
      <c r="BX38" s="100">
        <v>14.610842072749886</v>
      </c>
      <c r="BY38" s="100">
        <v>18146.665854355357</v>
      </c>
      <c r="BZ38" s="100">
        <v>3.3588741409252338</v>
      </c>
      <c r="CA38" s="100">
        <v>4171.7216830291409</v>
      </c>
      <c r="CB38" s="100">
        <v>8.5889045303669409</v>
      </c>
      <c r="CC38" s="100">
        <v>10667.41942671574</v>
      </c>
      <c r="CD38" s="100">
        <v>14.535473865946736</v>
      </c>
      <c r="CE38" s="100">
        <v>18053.058541505845</v>
      </c>
      <c r="CF38" s="100">
        <v>4.7632550818577721</v>
      </c>
      <c r="CG38" s="100">
        <v>5915.962811667353</v>
      </c>
      <c r="CH38" s="100">
        <v>3.6754597562728093</v>
      </c>
      <c r="CI38" s="100">
        <v>4564.9210172908288</v>
      </c>
      <c r="CJ38" s="100">
        <v>15.16474998802121</v>
      </c>
      <c r="CK38" s="100">
        <v>18834.619485122344</v>
      </c>
      <c r="CL38" s="100">
        <v>7.6696569625171804</v>
      </c>
      <c r="CM38" s="100">
        <v>9525.7139474463384</v>
      </c>
      <c r="CN38" s="100">
        <v>16</v>
      </c>
      <c r="CO38" s="100">
        <v>19872</v>
      </c>
      <c r="CP38" s="100">
        <v>5.8357161299993585</v>
      </c>
      <c r="CQ38" s="100">
        <v>7247.959433459203</v>
      </c>
      <c r="CR38" s="100">
        <v>13.365113087719175</v>
      </c>
      <c r="CS38" s="100">
        <v>16599.470454947215</v>
      </c>
      <c r="CT38" s="100">
        <v>19</v>
      </c>
      <c r="CU38" s="100">
        <v>23598</v>
      </c>
    </row>
    <row r="39" spans="2:99">
      <c r="C39" s="99" t="s">
        <v>205</v>
      </c>
      <c r="D39" s="100">
        <v>14.000237467700581</v>
      </c>
      <c r="E39" s="100">
        <v>19925.137964031466</v>
      </c>
      <c r="F39" s="100">
        <v>12</v>
      </c>
      <c r="G39" s="100">
        <v>17078.400000000001</v>
      </c>
      <c r="H39" s="100">
        <v>16</v>
      </c>
      <c r="I39" s="100">
        <v>22771.200000000001</v>
      </c>
      <c r="J39" s="100">
        <v>0.63877912819371574</v>
      </c>
      <c r="K39" s="100">
        <v>909.11045524529629</v>
      </c>
      <c r="L39" s="100">
        <v>16</v>
      </c>
      <c r="M39" s="100">
        <v>22771.200000000001</v>
      </c>
      <c r="N39" s="100">
        <v>1.2534539580508186</v>
      </c>
      <c r="O39" s="100">
        <v>1783.915673097925</v>
      </c>
      <c r="P39" s="100">
        <v>12.350167654802512</v>
      </c>
      <c r="Q39" s="100">
        <v>17576.758606314936</v>
      </c>
      <c r="R39" s="100">
        <v>11.379384422422214</v>
      </c>
      <c r="S39" s="100">
        <v>16195.139909991296</v>
      </c>
      <c r="T39" s="100">
        <v>13</v>
      </c>
      <c r="U39" s="100">
        <v>18501.600000000002</v>
      </c>
      <c r="V39" s="100">
        <v>6.9425560808990374</v>
      </c>
      <c r="W39" s="100">
        <v>9880.6458143355103</v>
      </c>
      <c r="X39" s="100">
        <v>13</v>
      </c>
      <c r="Y39" s="100">
        <v>18501.600000000002</v>
      </c>
      <c r="Z39" s="100">
        <v>16</v>
      </c>
      <c r="AA39" s="100">
        <v>22771.200000000001</v>
      </c>
      <c r="AB39" s="100">
        <v>3.3505652743343686</v>
      </c>
      <c r="AC39" s="100">
        <v>4768.5244984326737</v>
      </c>
      <c r="AD39" s="100">
        <v>16.023747795281533</v>
      </c>
      <c r="AE39" s="100">
        <v>22804.99786224468</v>
      </c>
      <c r="AF39" s="100">
        <v>2.8911644445477962</v>
      </c>
      <c r="AG39" s="100">
        <v>4114.7052374804234</v>
      </c>
      <c r="AH39" s="100">
        <v>12.755597497755065</v>
      </c>
      <c r="AI39" s="100">
        <v>18153.766358805009</v>
      </c>
      <c r="AJ39" s="100">
        <v>18</v>
      </c>
      <c r="AK39" s="100">
        <v>25617.600000000002</v>
      </c>
      <c r="AL39" s="100">
        <v>10</v>
      </c>
      <c r="AM39" s="100">
        <v>14232</v>
      </c>
      <c r="AN39" s="100">
        <v>10.086731129074783</v>
      </c>
      <c r="AO39" s="100">
        <v>14355.435742899232</v>
      </c>
      <c r="AP39" s="100">
        <v>8.8680404893328344</v>
      </c>
      <c r="AQ39" s="100">
        <v>12620.99522441849</v>
      </c>
      <c r="AR39" s="100">
        <v>1.1827917684371469E-3</v>
      </c>
      <c r="AS39" s="100">
        <v>1.6833492448397476</v>
      </c>
      <c r="AT39" s="100">
        <v>16.000369445326072</v>
      </c>
      <c r="AU39" s="100">
        <v>22771.725794588066</v>
      </c>
      <c r="AV39" s="100">
        <v>13</v>
      </c>
      <c r="AW39" s="100">
        <v>18501.600000000002</v>
      </c>
      <c r="AX39" s="100">
        <v>13.244346976689226</v>
      </c>
      <c r="AY39" s="100">
        <v>18849.354617224108</v>
      </c>
      <c r="AZ39" s="100">
        <v>13.527561976078193</v>
      </c>
      <c r="BA39" s="100">
        <v>19252.426204354484</v>
      </c>
      <c r="BB39" s="100">
        <v>8.3333465019714374</v>
      </c>
      <c r="BC39" s="100">
        <v>11860.018741605751</v>
      </c>
      <c r="BD39" s="100">
        <v>10.299653168388019</v>
      </c>
      <c r="BE39" s="100">
        <v>14658.46638924983</v>
      </c>
      <c r="BF39" s="100">
        <v>10.770496003243458</v>
      </c>
      <c r="BG39" s="100">
        <v>15328.56991181609</v>
      </c>
      <c r="BH39" s="100">
        <v>13.932103812723701</v>
      </c>
      <c r="BI39" s="100">
        <v>19828.170146268374</v>
      </c>
      <c r="BJ39" s="100">
        <v>2.6999183363616557</v>
      </c>
      <c r="BK39" s="100">
        <v>3842.5237763099085</v>
      </c>
      <c r="BL39" s="100">
        <v>5.2378287754213346</v>
      </c>
      <c r="BM39" s="100">
        <v>7454.477913179644</v>
      </c>
      <c r="BN39" s="100">
        <v>15.394690750053345</v>
      </c>
      <c r="BO39" s="100">
        <v>21909.72387547592</v>
      </c>
      <c r="BP39" s="100">
        <v>4.3170929390788402</v>
      </c>
      <c r="BQ39" s="100">
        <v>6144.0866708970052</v>
      </c>
      <c r="BR39" s="100">
        <v>10.915008237365095</v>
      </c>
      <c r="BS39" s="100">
        <v>15534.239723418004</v>
      </c>
      <c r="BT39" s="100">
        <v>7.1939407956711996</v>
      </c>
      <c r="BU39" s="100">
        <v>10238.416540399252</v>
      </c>
      <c r="BV39" s="100">
        <v>17.748328599172098</v>
      </c>
      <c r="BW39" s="100">
        <v>25259.42126234173</v>
      </c>
      <c r="BX39" s="100">
        <v>14.610842072749886</v>
      </c>
      <c r="BY39" s="100">
        <v>20794.150437937638</v>
      </c>
      <c r="BZ39" s="100">
        <v>3.3588741409252338</v>
      </c>
      <c r="CA39" s="100">
        <v>4780.349677364793</v>
      </c>
      <c r="CB39" s="100">
        <v>8.153603101965853</v>
      </c>
      <c r="CC39" s="100">
        <v>11604.207934717802</v>
      </c>
      <c r="CD39" s="100">
        <v>12.364865658619321</v>
      </c>
      <c r="CE39" s="100">
        <v>17597.676805347019</v>
      </c>
      <c r="CF39" s="100">
        <v>5.3983557594388083</v>
      </c>
      <c r="CG39" s="100">
        <v>7682.9399168333121</v>
      </c>
      <c r="CH39" s="100">
        <v>3.4231696562625613</v>
      </c>
      <c r="CI39" s="100">
        <v>4871.8550547928771</v>
      </c>
      <c r="CJ39" s="100">
        <v>13.035333322685519</v>
      </c>
      <c r="CK39" s="100">
        <v>18551.886384846031</v>
      </c>
      <c r="CL39" s="100">
        <v>7.0305188823074154</v>
      </c>
      <c r="CM39" s="100">
        <v>10005.834473299914</v>
      </c>
      <c r="CN39" s="100">
        <v>15</v>
      </c>
      <c r="CO39" s="100">
        <v>21348</v>
      </c>
      <c r="CP39" s="100">
        <v>6.5651806462492779</v>
      </c>
      <c r="CQ39" s="100">
        <v>9343.565095741973</v>
      </c>
      <c r="CR39" s="100">
        <v>11.360346124561298</v>
      </c>
      <c r="CS39" s="100">
        <v>16168.044604475639</v>
      </c>
      <c r="CT39" s="100">
        <v>17</v>
      </c>
      <c r="CU39" s="100">
        <v>24194.400000000001</v>
      </c>
    </row>
    <row r="40" spans="2:99">
      <c r="C40" s="99" t="s">
        <v>206</v>
      </c>
      <c r="D40" s="100">
        <v>15.000296834625725</v>
      </c>
      <c r="E40" s="100">
        <v>10872.215145736725</v>
      </c>
      <c r="F40" s="100">
        <v>13</v>
      </c>
      <c r="G40" s="100">
        <v>9422.4</v>
      </c>
      <c r="H40" s="100">
        <v>17</v>
      </c>
      <c r="I40" s="100">
        <v>12321.599999999999</v>
      </c>
      <c r="J40" s="100">
        <v>0.71862651921793019</v>
      </c>
      <c r="K40" s="100">
        <v>520.86050112915575</v>
      </c>
      <c r="L40" s="100">
        <v>16</v>
      </c>
      <c r="M40" s="100">
        <v>11596.8</v>
      </c>
      <c r="N40" s="100">
        <v>1.5877083468643702</v>
      </c>
      <c r="O40" s="100">
        <v>1150.7710098072955</v>
      </c>
      <c r="P40" s="100">
        <v>11.350167654802512</v>
      </c>
      <c r="Q40" s="100">
        <v>8226.6015162008607</v>
      </c>
      <c r="R40" s="100">
        <v>10.504047159158969</v>
      </c>
      <c r="S40" s="100">
        <v>7613.3333809584201</v>
      </c>
      <c r="T40" s="100">
        <v>15</v>
      </c>
      <c r="U40" s="100">
        <v>10872</v>
      </c>
      <c r="V40" s="100">
        <v>6.9425560808990374</v>
      </c>
      <c r="W40" s="100">
        <v>5031.9646474356223</v>
      </c>
      <c r="X40" s="100">
        <v>13</v>
      </c>
      <c r="Y40" s="100">
        <v>9422.4</v>
      </c>
      <c r="Z40" s="100">
        <v>18</v>
      </c>
      <c r="AA40" s="100">
        <v>13046.4</v>
      </c>
      <c r="AB40" s="100">
        <v>3.8292174563821355</v>
      </c>
      <c r="AC40" s="100">
        <v>2775.4168123857717</v>
      </c>
      <c r="AD40" s="100">
        <v>20.023747795281533</v>
      </c>
      <c r="AE40" s="100">
        <v>14513.212402020054</v>
      </c>
      <c r="AF40" s="100">
        <v>3.2124049383864399</v>
      </c>
      <c r="AG40" s="100">
        <v>2328.3510993424916</v>
      </c>
      <c r="AH40" s="100">
        <v>12.755597497755065</v>
      </c>
      <c r="AI40" s="100">
        <v>9245.2570663728711</v>
      </c>
      <c r="AJ40" s="100">
        <v>17</v>
      </c>
      <c r="AK40" s="100">
        <v>12321.599999999999</v>
      </c>
      <c r="AL40" s="100">
        <v>12</v>
      </c>
      <c r="AM40" s="100">
        <v>8697.5999999999985</v>
      </c>
      <c r="AN40" s="100">
        <v>10.862633523618998</v>
      </c>
      <c r="AO40" s="100">
        <v>7873.236777919049</v>
      </c>
      <c r="AP40" s="100">
        <v>10.914511371486565</v>
      </c>
      <c r="AQ40" s="100">
        <v>7910.8378420534618</v>
      </c>
      <c r="AR40" s="100">
        <v>1.1812641073173631E-3</v>
      </c>
      <c r="AS40" s="100">
        <v>0.85618022498362478</v>
      </c>
      <c r="AT40" s="100">
        <v>17.000369445326072</v>
      </c>
      <c r="AU40" s="100">
        <v>12321.867773972337</v>
      </c>
      <c r="AV40" s="100">
        <v>16</v>
      </c>
      <c r="AW40" s="100">
        <v>11596.8</v>
      </c>
      <c r="AX40" s="100">
        <v>14.023426210612122</v>
      </c>
      <c r="AY40" s="100">
        <v>10164.179317451666</v>
      </c>
      <c r="AZ40" s="100">
        <v>14.373034599583081</v>
      </c>
      <c r="BA40" s="100">
        <v>10417.575477777817</v>
      </c>
      <c r="BB40" s="100">
        <v>9.0909234566961121</v>
      </c>
      <c r="BC40" s="100">
        <v>6589.1013214133418</v>
      </c>
      <c r="BD40" s="100">
        <v>11.980531725969966</v>
      </c>
      <c r="BE40" s="100">
        <v>8683.4893949830312</v>
      </c>
      <c r="BF40" s="100">
        <v>11.634716532753377</v>
      </c>
      <c r="BG40" s="100">
        <v>8432.8425429396466</v>
      </c>
      <c r="BH40" s="100">
        <v>14.718136932675655</v>
      </c>
      <c r="BI40" s="100">
        <v>10667.705648803314</v>
      </c>
      <c r="BJ40" s="100">
        <v>3.1144927584202935</v>
      </c>
      <c r="BK40" s="100">
        <v>2257.3843513030288</v>
      </c>
      <c r="BL40" s="100">
        <v>5.2422480510888878</v>
      </c>
      <c r="BM40" s="100">
        <v>3799.5813874292257</v>
      </c>
      <c r="BN40" s="100">
        <v>16.394690750053346</v>
      </c>
      <c r="BO40" s="100">
        <v>11882.871855638665</v>
      </c>
      <c r="BP40" s="100">
        <v>4.097438155543756</v>
      </c>
      <c r="BQ40" s="100">
        <v>2969.823175138114</v>
      </c>
      <c r="BR40" s="100">
        <v>11.730258376072813</v>
      </c>
      <c r="BS40" s="100">
        <v>8502.0912709775748</v>
      </c>
      <c r="BT40" s="100">
        <v>8.3864030516049546</v>
      </c>
      <c r="BU40" s="100">
        <v>6078.4649318032707</v>
      </c>
      <c r="BV40" s="100">
        <v>19.573495739254888</v>
      </c>
      <c r="BW40" s="100">
        <v>14186.869711811942</v>
      </c>
      <c r="BX40" s="100">
        <v>15.524019702296755</v>
      </c>
      <c r="BY40" s="100">
        <v>11251.809480224687</v>
      </c>
      <c r="BZ40" s="100">
        <v>3.7540358045634963</v>
      </c>
      <c r="CA40" s="100">
        <v>2720.9251511476218</v>
      </c>
      <c r="CB40" s="100">
        <v>8.2362101412070334</v>
      </c>
      <c r="CC40" s="100">
        <v>5969.6051103468571</v>
      </c>
      <c r="CD40" s="100">
        <v>13.364865658619321</v>
      </c>
      <c r="CE40" s="100">
        <v>9686.8546293672825</v>
      </c>
      <c r="CF40" s="100">
        <v>5.3983557594388083</v>
      </c>
      <c r="CG40" s="100">
        <v>3912.7282544412478</v>
      </c>
      <c r="CH40" s="100">
        <v>3.9498111418414168</v>
      </c>
      <c r="CI40" s="100">
        <v>2862.8231156066586</v>
      </c>
      <c r="CJ40" s="100">
        <v>13.16474998802121</v>
      </c>
      <c r="CK40" s="100">
        <v>9541.8107913177719</v>
      </c>
      <c r="CL40" s="100">
        <v>8.9479331229367105</v>
      </c>
      <c r="CM40" s="100">
        <v>6485.461927504527</v>
      </c>
      <c r="CN40" s="100">
        <v>17</v>
      </c>
      <c r="CO40" s="100">
        <v>12321.599999999999</v>
      </c>
      <c r="CP40" s="100">
        <v>6.2004483881243182</v>
      </c>
      <c r="CQ40" s="100">
        <v>4494.0849917125051</v>
      </c>
      <c r="CR40" s="100">
        <v>14.701624396491093</v>
      </c>
      <c r="CS40" s="100">
        <v>10655.737362576743</v>
      </c>
      <c r="CT40" s="100">
        <v>18</v>
      </c>
      <c r="CU40" s="100">
        <v>13046.4</v>
      </c>
    </row>
    <row r="41" spans="2:99">
      <c r="C41" s="99" t="s">
        <v>207</v>
      </c>
      <c r="D41" s="100">
        <v>15.000296834625725</v>
      </c>
      <c r="E41" s="100">
        <v>9900.1959108529791</v>
      </c>
      <c r="F41" s="100">
        <v>15</v>
      </c>
      <c r="G41" s="100">
        <v>9900</v>
      </c>
      <c r="H41" s="100">
        <v>17</v>
      </c>
      <c r="I41" s="100">
        <v>11220</v>
      </c>
      <c r="J41" s="100">
        <v>0.75855021473003748</v>
      </c>
      <c r="K41" s="100">
        <v>500.64314172182475</v>
      </c>
      <c r="L41" s="100">
        <v>20</v>
      </c>
      <c r="M41" s="100">
        <v>13200</v>
      </c>
      <c r="N41" s="100">
        <v>1.3370175552542063</v>
      </c>
      <c r="O41" s="100">
        <v>882.43158646777613</v>
      </c>
      <c r="P41" s="100">
        <v>12.43770956850314</v>
      </c>
      <c r="Q41" s="100">
        <v>8208.8883152120725</v>
      </c>
      <c r="R41" s="100">
        <v>11.379384422422214</v>
      </c>
      <c r="S41" s="100">
        <v>7510.3937187986612</v>
      </c>
      <c r="T41" s="100">
        <v>15</v>
      </c>
      <c r="U41" s="100">
        <v>9900</v>
      </c>
      <c r="V41" s="100">
        <v>6.9425560808990374</v>
      </c>
      <c r="W41" s="100">
        <v>4582.0870133933649</v>
      </c>
      <c r="X41" s="100">
        <v>14</v>
      </c>
      <c r="Y41" s="100">
        <v>9240</v>
      </c>
      <c r="Z41" s="100">
        <v>20</v>
      </c>
      <c r="AA41" s="100">
        <v>13200</v>
      </c>
      <c r="AB41" s="100">
        <v>3.5898913653582523</v>
      </c>
      <c r="AC41" s="100">
        <v>2369.3283011364465</v>
      </c>
      <c r="AD41" s="100">
        <v>17.023747795281533</v>
      </c>
      <c r="AE41" s="100">
        <v>11235.673544885813</v>
      </c>
      <c r="AF41" s="100">
        <v>3.2124049383864399</v>
      </c>
      <c r="AG41" s="100">
        <v>2120.1872593350504</v>
      </c>
      <c r="AH41" s="100">
        <v>11.77592741432616</v>
      </c>
      <c r="AI41" s="100">
        <v>7772.1120934552655</v>
      </c>
      <c r="AJ41" s="100">
        <v>19</v>
      </c>
      <c r="AK41" s="100">
        <v>12540</v>
      </c>
      <c r="AL41" s="100">
        <v>12</v>
      </c>
      <c r="AM41" s="100">
        <v>7920</v>
      </c>
      <c r="AN41" s="100">
        <v>11.638535918163212</v>
      </c>
      <c r="AO41" s="100">
        <v>7681.4337059877198</v>
      </c>
      <c r="AP41" s="100">
        <v>10.232354410768655</v>
      </c>
      <c r="AQ41" s="100">
        <v>6753.3539111073123</v>
      </c>
      <c r="AR41" s="100">
        <v>1.2518285803029378E-3</v>
      </c>
      <c r="AS41" s="100">
        <v>0.82620686299993895</v>
      </c>
      <c r="AT41" s="100">
        <v>17.000369445326072</v>
      </c>
      <c r="AU41" s="100">
        <v>11220.243833915207</v>
      </c>
      <c r="AV41" s="100">
        <v>16</v>
      </c>
      <c r="AW41" s="100">
        <v>10560</v>
      </c>
      <c r="AX41" s="100">
        <v>15.581584678457913</v>
      </c>
      <c r="AY41" s="100">
        <v>10283.845887782223</v>
      </c>
      <c r="AZ41" s="100">
        <v>13.527561976078193</v>
      </c>
      <c r="BA41" s="100">
        <v>8928.1909042116076</v>
      </c>
      <c r="BB41" s="100">
        <v>10.606077366145463</v>
      </c>
      <c r="BC41" s="100">
        <v>7000.0110616560059</v>
      </c>
      <c r="BD41" s="100">
        <v>11.140092447178992</v>
      </c>
      <c r="BE41" s="100">
        <v>7352.4610151381348</v>
      </c>
      <c r="BF41" s="100">
        <v>10.837137611430869</v>
      </c>
      <c r="BG41" s="100">
        <v>7152.5108235443731</v>
      </c>
      <c r="BH41" s="100">
        <v>13.932103812723701</v>
      </c>
      <c r="BI41" s="100">
        <v>9195.1885163976422</v>
      </c>
      <c r="BJ41" s="100">
        <v>3.1144927584202935</v>
      </c>
      <c r="BK41" s="100">
        <v>2055.5652205573938</v>
      </c>
      <c r="BL41" s="100">
        <v>5.6755542843853357</v>
      </c>
      <c r="BM41" s="100">
        <v>3745.8658276943215</v>
      </c>
      <c r="BN41" s="100">
        <v>18.394690750053346</v>
      </c>
      <c r="BO41" s="100">
        <v>12140.495895035208</v>
      </c>
      <c r="BP41" s="100">
        <v>4.097438155543756</v>
      </c>
      <c r="BQ41" s="100">
        <v>2704.3091826588789</v>
      </c>
      <c r="BR41" s="100">
        <v>11.902915054215809</v>
      </c>
      <c r="BS41" s="100">
        <v>7855.9239357824335</v>
      </c>
      <c r="BT41" s="100">
        <v>7.7803801086209115</v>
      </c>
      <c r="BU41" s="100">
        <v>5135.0508716898012</v>
      </c>
      <c r="BV41" s="100">
        <v>17.748328599172098</v>
      </c>
      <c r="BW41" s="100">
        <v>11713.896875453584</v>
      </c>
      <c r="BX41" s="100">
        <v>14.610842072749886</v>
      </c>
      <c r="BY41" s="100">
        <v>9643.1557680149253</v>
      </c>
      <c r="BZ41" s="100">
        <v>3.7540358045634963</v>
      </c>
      <c r="CA41" s="100">
        <v>2477.6636310119075</v>
      </c>
      <c r="CB41" s="100">
        <v>9.1068129980092092</v>
      </c>
      <c r="CC41" s="100">
        <v>6010.4965786860785</v>
      </c>
      <c r="CD41" s="100">
        <v>14.535473865946736</v>
      </c>
      <c r="CE41" s="100">
        <v>9593.4127515248456</v>
      </c>
      <c r="CF41" s="100">
        <v>4.7632550818577721</v>
      </c>
      <c r="CG41" s="100">
        <v>3143.7483540261296</v>
      </c>
      <c r="CH41" s="100">
        <v>3.9498111418414168</v>
      </c>
      <c r="CI41" s="100">
        <v>2606.8753536153349</v>
      </c>
      <c r="CJ41" s="100">
        <v>15.16474998802121</v>
      </c>
      <c r="CK41" s="100">
        <v>10008.734992094</v>
      </c>
      <c r="CL41" s="100">
        <v>8.3087950427269455</v>
      </c>
      <c r="CM41" s="100">
        <v>5483.8047281997842</v>
      </c>
      <c r="CN41" s="100">
        <v>16</v>
      </c>
      <c r="CO41" s="100">
        <v>10560</v>
      </c>
      <c r="CP41" s="100">
        <v>6.5651806462492779</v>
      </c>
      <c r="CQ41" s="100">
        <v>4333.0192265245232</v>
      </c>
      <c r="CR41" s="100">
        <v>14.033368742105132</v>
      </c>
      <c r="CS41" s="100">
        <v>9262.0233697893873</v>
      </c>
      <c r="CT41" s="100">
        <v>18</v>
      </c>
      <c r="CU41" s="100">
        <v>11880</v>
      </c>
    </row>
    <row r="42" spans="2:99">
      <c r="C42" s="99" t="s">
        <v>208</v>
      </c>
      <c r="D42" s="100">
        <v>15.000296834625725</v>
      </c>
      <c r="E42" s="100">
        <v>12690.251122093363</v>
      </c>
      <c r="F42" s="100">
        <v>15</v>
      </c>
      <c r="G42" s="100">
        <v>12690</v>
      </c>
      <c r="H42" s="100">
        <v>17</v>
      </c>
      <c r="I42" s="100">
        <v>14382</v>
      </c>
      <c r="J42" s="100">
        <v>0.71862651921793019</v>
      </c>
      <c r="K42" s="100">
        <v>607.95803525836891</v>
      </c>
      <c r="L42" s="100">
        <v>19</v>
      </c>
      <c r="M42" s="100">
        <v>16074</v>
      </c>
      <c r="N42" s="100">
        <v>1.3370175552542063</v>
      </c>
      <c r="O42" s="100">
        <v>1131.1168517450585</v>
      </c>
      <c r="P42" s="100">
        <v>13.43770956850314</v>
      </c>
      <c r="Q42" s="100">
        <v>11368.302294953655</v>
      </c>
      <c r="R42" s="100">
        <v>9.6287098958957209</v>
      </c>
      <c r="S42" s="100">
        <v>8145.8885719277796</v>
      </c>
      <c r="T42" s="100">
        <v>16</v>
      </c>
      <c r="U42" s="100">
        <v>13536</v>
      </c>
      <c r="V42" s="100">
        <v>7.2896838849439893</v>
      </c>
      <c r="W42" s="100">
        <v>6167.0725666626149</v>
      </c>
      <c r="X42" s="100">
        <v>14</v>
      </c>
      <c r="Y42" s="100">
        <v>11844</v>
      </c>
      <c r="Z42" s="100">
        <v>20</v>
      </c>
      <c r="AA42" s="100">
        <v>16920</v>
      </c>
      <c r="AB42" s="100">
        <v>3.8292174563821355</v>
      </c>
      <c r="AC42" s="100">
        <v>3239.5179680992865</v>
      </c>
      <c r="AD42" s="100">
        <v>18.023747795281533</v>
      </c>
      <c r="AE42" s="100">
        <v>15248.090634808177</v>
      </c>
      <c r="AF42" s="100">
        <v>3.2124049383864399</v>
      </c>
      <c r="AG42" s="100">
        <v>2717.6945778749282</v>
      </c>
      <c r="AH42" s="100">
        <v>12.755597497755065</v>
      </c>
      <c r="AI42" s="100">
        <v>10791.235483100785</v>
      </c>
      <c r="AJ42" s="100">
        <v>18</v>
      </c>
      <c r="AK42" s="100">
        <v>15228</v>
      </c>
      <c r="AL42" s="100">
        <v>11</v>
      </c>
      <c r="AM42" s="100">
        <v>9306</v>
      </c>
      <c r="AN42" s="100">
        <v>10.862633523618998</v>
      </c>
      <c r="AO42" s="100">
        <v>9189.7879609816719</v>
      </c>
      <c r="AP42" s="100">
        <v>10.232354410768655</v>
      </c>
      <c r="AQ42" s="100">
        <v>8656.5718315102822</v>
      </c>
      <c r="AR42" s="100">
        <v>1.1137549565713562E-3</v>
      </c>
      <c r="AS42" s="100">
        <v>0.94223669325936732</v>
      </c>
      <c r="AT42" s="100">
        <v>16.000410494806747</v>
      </c>
      <c r="AU42" s="100">
        <v>13536.347278606509</v>
      </c>
      <c r="AV42" s="100">
        <v>14</v>
      </c>
      <c r="AW42" s="100">
        <v>11844</v>
      </c>
      <c r="AX42" s="100">
        <v>13.244346976689226</v>
      </c>
      <c r="AY42" s="100">
        <v>11204.717542279084</v>
      </c>
      <c r="AZ42" s="100">
        <v>15.218507223087967</v>
      </c>
      <c r="BA42" s="100">
        <v>12874.857110732421</v>
      </c>
      <c r="BB42" s="100">
        <v>9.0909234566961121</v>
      </c>
      <c r="BC42" s="100">
        <v>7690.9212443649112</v>
      </c>
      <c r="BD42" s="100">
        <v>10.299653168388019</v>
      </c>
      <c r="BE42" s="100">
        <v>8713.5065804562637</v>
      </c>
      <c r="BF42" s="100">
        <v>12.498937062263293</v>
      </c>
      <c r="BG42" s="100">
        <v>10574.100754674746</v>
      </c>
      <c r="BH42" s="100">
        <v>15.432561090744509</v>
      </c>
      <c r="BI42" s="100">
        <v>13055.946682769854</v>
      </c>
      <c r="BJ42" s="100">
        <v>2.9072055473909741</v>
      </c>
      <c r="BK42" s="100">
        <v>2459.4958930927642</v>
      </c>
      <c r="BL42" s="100">
        <v>5.6755542843853357</v>
      </c>
      <c r="BM42" s="100">
        <v>4801.5189245899937</v>
      </c>
      <c r="BN42" s="100">
        <v>16.394690750053346</v>
      </c>
      <c r="BO42" s="100">
        <v>13869.908374545132</v>
      </c>
      <c r="BP42" s="100">
        <v>4.5177470397082162</v>
      </c>
      <c r="BQ42" s="100">
        <v>3822.0139955931509</v>
      </c>
      <c r="BR42" s="100">
        <v>11.902915054215809</v>
      </c>
      <c r="BS42" s="100">
        <v>10069.866135866574</v>
      </c>
      <c r="BT42" s="100">
        <v>8.3864030516049546</v>
      </c>
      <c r="BU42" s="100">
        <v>7094.8969816577919</v>
      </c>
      <c r="BV42" s="100">
        <v>17.748328599172098</v>
      </c>
      <c r="BW42" s="100">
        <v>15015.085994899595</v>
      </c>
      <c r="BX42" s="100">
        <v>14.610842072749886</v>
      </c>
      <c r="BY42" s="100">
        <v>12360.772393546404</v>
      </c>
      <c r="BZ42" s="100">
        <v>3.9516166363826275</v>
      </c>
      <c r="CA42" s="100">
        <v>3343.067674379703</v>
      </c>
      <c r="CB42" s="100">
        <v>8.5889045303669409</v>
      </c>
      <c r="CC42" s="100">
        <v>7266.2132326904321</v>
      </c>
      <c r="CD42" s="100">
        <v>13.70608207327415</v>
      </c>
      <c r="CE42" s="100">
        <v>11595.345433989931</v>
      </c>
      <c r="CF42" s="100">
        <v>4.7632550818577721</v>
      </c>
      <c r="CG42" s="100">
        <v>4029.713799251675</v>
      </c>
      <c r="CH42" s="100">
        <v>3.4342002990417413</v>
      </c>
      <c r="CI42" s="100">
        <v>2905.3334529893132</v>
      </c>
      <c r="CJ42" s="100">
        <v>13.16474998802121</v>
      </c>
      <c r="CK42" s="100">
        <v>11137.378489865943</v>
      </c>
      <c r="CL42" s="100">
        <v>8.3087950427269455</v>
      </c>
      <c r="CM42" s="100">
        <v>7029.2406061469956</v>
      </c>
      <c r="CN42" s="100">
        <v>18</v>
      </c>
      <c r="CO42" s="100">
        <v>15228</v>
      </c>
      <c r="CP42" s="100">
        <v>6.2004483881243182</v>
      </c>
      <c r="CQ42" s="100">
        <v>5245.5793363531729</v>
      </c>
      <c r="CR42" s="100">
        <v>12.028601778947257</v>
      </c>
      <c r="CS42" s="100">
        <v>10176.19710498938</v>
      </c>
      <c r="CT42" s="100">
        <v>20</v>
      </c>
      <c r="CU42" s="100">
        <v>16920</v>
      </c>
    </row>
    <row r="43" spans="2:99">
      <c r="C43" s="99" t="s">
        <v>209</v>
      </c>
      <c r="D43" s="100">
        <v>13.000296834625725</v>
      </c>
      <c r="E43" s="100">
        <v>13291.503483721341</v>
      </c>
      <c r="F43" s="100">
        <v>13</v>
      </c>
      <c r="G43" s="100">
        <v>13291.199999999999</v>
      </c>
      <c r="H43" s="100">
        <v>18</v>
      </c>
      <c r="I43" s="100">
        <v>18403.2</v>
      </c>
      <c r="J43" s="100">
        <v>0.71862651921793019</v>
      </c>
      <c r="K43" s="100">
        <v>734.72375324841187</v>
      </c>
      <c r="L43" s="100">
        <v>18</v>
      </c>
      <c r="M43" s="100">
        <v>18403.2</v>
      </c>
      <c r="N43" s="100">
        <v>1.5041447496609821</v>
      </c>
      <c r="O43" s="100">
        <v>1537.8375920533881</v>
      </c>
      <c r="P43" s="100">
        <v>11.43770956850314</v>
      </c>
      <c r="Q43" s="100">
        <v>11693.91426283761</v>
      </c>
      <c r="R43" s="100">
        <v>9.6287098958957209</v>
      </c>
      <c r="S43" s="100">
        <v>9844.3929975637857</v>
      </c>
      <c r="T43" s="100">
        <v>15</v>
      </c>
      <c r="U43" s="100">
        <v>15336</v>
      </c>
      <c r="V43" s="100">
        <v>6.9425560808990374</v>
      </c>
      <c r="W43" s="100">
        <v>7098.0693371111756</v>
      </c>
      <c r="X43" s="100">
        <v>15</v>
      </c>
      <c r="Y43" s="100">
        <v>15336</v>
      </c>
      <c r="Z43" s="100">
        <v>18</v>
      </c>
      <c r="AA43" s="100">
        <v>18403.2</v>
      </c>
      <c r="AB43" s="100">
        <v>4.0685435474060192</v>
      </c>
      <c r="AC43" s="100">
        <v>4159.6789228679136</v>
      </c>
      <c r="AD43" s="100">
        <v>17.877498110241312</v>
      </c>
      <c r="AE43" s="100">
        <v>18277.954067910716</v>
      </c>
      <c r="AF43" s="100">
        <v>3.5336454322250841</v>
      </c>
      <c r="AG43" s="100">
        <v>3612.7990899069259</v>
      </c>
      <c r="AH43" s="100">
        <v>12.755597497755065</v>
      </c>
      <c r="AI43" s="100">
        <v>13041.322881704778</v>
      </c>
      <c r="AJ43" s="100">
        <v>19</v>
      </c>
      <c r="AK43" s="100">
        <v>19425.599999999999</v>
      </c>
      <c r="AL43" s="100">
        <v>11</v>
      </c>
      <c r="AM43" s="100">
        <v>11246.4</v>
      </c>
      <c r="AN43" s="100">
        <v>10.086731129074783</v>
      </c>
      <c r="AO43" s="100">
        <v>10312.673906366059</v>
      </c>
      <c r="AP43" s="100">
        <v>10.914511371486565</v>
      </c>
      <c r="AQ43" s="100">
        <v>11158.996426207865</v>
      </c>
      <c r="AR43" s="100">
        <v>1.0447181447055653E-3</v>
      </c>
      <c r="AS43" s="100">
        <v>1.06811983114697</v>
      </c>
      <c r="AT43" s="100">
        <v>17.000369445326072</v>
      </c>
      <c r="AU43" s="100">
        <v>17381.177720901374</v>
      </c>
      <c r="AV43" s="100">
        <v>13</v>
      </c>
      <c r="AW43" s="100">
        <v>13291.199999999999</v>
      </c>
      <c r="AX43" s="100">
        <v>13.244346976689226</v>
      </c>
      <c r="AY43" s="100">
        <v>13541.020348967064</v>
      </c>
      <c r="AZ43" s="100">
        <v>13.527561976078193</v>
      </c>
      <c r="BA43" s="100">
        <v>13830.579364342344</v>
      </c>
      <c r="BB43" s="100">
        <v>9.0909234566961121</v>
      </c>
      <c r="BC43" s="100">
        <v>9294.5601421261053</v>
      </c>
      <c r="BD43" s="100">
        <v>11.140092447178992</v>
      </c>
      <c r="BE43" s="100">
        <v>11389.630517995802</v>
      </c>
      <c r="BF43" s="100">
        <v>10.770496003243458</v>
      </c>
      <c r="BG43" s="100">
        <v>11011.755113716112</v>
      </c>
      <c r="BH43" s="100">
        <v>14.646527970792555</v>
      </c>
      <c r="BI43" s="100">
        <v>14974.610197338308</v>
      </c>
      <c r="BJ43" s="100">
        <v>2.9060884659556461</v>
      </c>
      <c r="BK43" s="100">
        <v>2971.1848475930524</v>
      </c>
      <c r="BL43" s="100">
        <v>5.1822107060269484</v>
      </c>
      <c r="BM43" s="100">
        <v>5298.2922258419521</v>
      </c>
      <c r="BN43" s="100">
        <v>16.220354406296678</v>
      </c>
      <c r="BO43" s="100">
        <v>16583.690344997725</v>
      </c>
      <c r="BP43" s="100">
        <v>4.3170929390788402</v>
      </c>
      <c r="BQ43" s="100">
        <v>4413.7958209142062</v>
      </c>
      <c r="BR43" s="100">
        <v>11.902915054215809</v>
      </c>
      <c r="BS43" s="100">
        <v>12169.540351430243</v>
      </c>
      <c r="BT43" s="100">
        <v>8.3668194215706233</v>
      </c>
      <c r="BU43" s="100">
        <v>8554.2361766138056</v>
      </c>
      <c r="BV43" s="100">
        <v>19.748328599172098</v>
      </c>
      <c r="BW43" s="100">
        <v>20190.69115979355</v>
      </c>
      <c r="BX43" s="100">
        <v>13.697664443203019</v>
      </c>
      <c r="BY43" s="100">
        <v>14004.492126730765</v>
      </c>
      <c r="BZ43" s="100">
        <v>3.9516166363826275</v>
      </c>
      <c r="CA43" s="100">
        <v>4040.1328490375981</v>
      </c>
      <c r="CB43" s="100">
        <v>8.9449374081857602</v>
      </c>
      <c r="CC43" s="100">
        <v>9145.3040061291213</v>
      </c>
      <c r="CD43" s="100">
        <v>14.364865658619321</v>
      </c>
      <c r="CE43" s="100">
        <v>14686.638649372393</v>
      </c>
      <c r="CF43" s="100">
        <v>5.0808054206482902</v>
      </c>
      <c r="CG43" s="100">
        <v>5194.6154620708121</v>
      </c>
      <c r="CH43" s="100">
        <v>3.4231696562625613</v>
      </c>
      <c r="CI43" s="100">
        <v>3499.8486565628427</v>
      </c>
      <c r="CJ43" s="100">
        <v>13.16474998802121</v>
      </c>
      <c r="CK43" s="100">
        <v>13459.640387752885</v>
      </c>
      <c r="CL43" s="100">
        <v>7.6696569625171804</v>
      </c>
      <c r="CM43" s="100">
        <v>7841.4572784775655</v>
      </c>
      <c r="CN43" s="100">
        <v>17</v>
      </c>
      <c r="CO43" s="100">
        <v>17380.8</v>
      </c>
      <c r="CP43" s="100">
        <v>6.2004483881243182</v>
      </c>
      <c r="CQ43" s="100">
        <v>6339.3384320183031</v>
      </c>
      <c r="CR43" s="100">
        <v>14.701624396491093</v>
      </c>
      <c r="CS43" s="100">
        <v>15030.940782972493</v>
      </c>
      <c r="CT43" s="100">
        <v>18</v>
      </c>
      <c r="CU43" s="100">
        <v>18403.2</v>
      </c>
    </row>
    <row r="44" spans="2:99">
      <c r="C44" s="99" t="s">
        <v>210</v>
      </c>
      <c r="D44" s="100">
        <v>12.000296834625725</v>
      </c>
      <c r="E44" s="100">
        <v>12269.103483721341</v>
      </c>
      <c r="F44" s="100">
        <v>13</v>
      </c>
      <c r="G44" s="100">
        <v>13291.199999999999</v>
      </c>
      <c r="H44" s="100">
        <v>18</v>
      </c>
      <c r="I44" s="100">
        <v>18403.2</v>
      </c>
      <c r="J44" s="100">
        <v>0.63877912819371574</v>
      </c>
      <c r="K44" s="100">
        <v>653.08778066525497</v>
      </c>
      <c r="L44" s="100">
        <v>18</v>
      </c>
      <c r="M44" s="100">
        <v>18403.2</v>
      </c>
      <c r="N44" s="100">
        <v>1.5041447496609821</v>
      </c>
      <c r="O44" s="100">
        <v>1537.8375920533881</v>
      </c>
      <c r="P44" s="100">
        <v>11.43770956850314</v>
      </c>
      <c r="Q44" s="100">
        <v>11693.91426283761</v>
      </c>
      <c r="R44" s="100">
        <v>11.379384422422214</v>
      </c>
      <c r="S44" s="100">
        <v>11634.282633484472</v>
      </c>
      <c r="T44" s="100">
        <v>14</v>
      </c>
      <c r="U44" s="100">
        <v>14313.6</v>
      </c>
      <c r="V44" s="100">
        <v>6.2483004728091336</v>
      </c>
      <c r="W44" s="100">
        <v>6388.2624034000582</v>
      </c>
      <c r="X44" s="100">
        <v>13</v>
      </c>
      <c r="Y44" s="100">
        <v>13291.199999999999</v>
      </c>
      <c r="Z44" s="100">
        <v>19</v>
      </c>
      <c r="AA44" s="100">
        <v>19425.599999999999</v>
      </c>
      <c r="AB44" s="100">
        <v>3.5898913653582523</v>
      </c>
      <c r="AC44" s="100">
        <v>3670.3049319422771</v>
      </c>
      <c r="AD44" s="100">
        <v>18.023747795281533</v>
      </c>
      <c r="AE44" s="100">
        <v>18427.479745895838</v>
      </c>
      <c r="AF44" s="100">
        <v>3.5336454322250841</v>
      </c>
      <c r="AG44" s="100">
        <v>3612.7990899069259</v>
      </c>
      <c r="AH44" s="100">
        <v>12.755597497755065</v>
      </c>
      <c r="AI44" s="100">
        <v>13041.322881704778</v>
      </c>
      <c r="AJ44" s="100">
        <v>17</v>
      </c>
      <c r="AK44" s="100">
        <v>17380.8</v>
      </c>
      <c r="AL44" s="100">
        <v>10</v>
      </c>
      <c r="AM44" s="100">
        <v>10224</v>
      </c>
      <c r="AN44" s="100">
        <v>10.862633523618998</v>
      </c>
      <c r="AO44" s="100">
        <v>11105.956514548063</v>
      </c>
      <c r="AP44" s="100">
        <v>10.232354410768655</v>
      </c>
      <c r="AQ44" s="100">
        <v>10461.559149569874</v>
      </c>
      <c r="AR44" s="100">
        <v>1.1122272954515724E-3</v>
      </c>
      <c r="AS44" s="100">
        <v>1.1371411868696877</v>
      </c>
      <c r="AT44" s="100">
        <v>15.000410494806747</v>
      </c>
      <c r="AU44" s="100">
        <v>15336.419689890417</v>
      </c>
      <c r="AV44" s="100">
        <v>16</v>
      </c>
      <c r="AW44" s="100">
        <v>16358.4</v>
      </c>
      <c r="AX44" s="100">
        <v>14.023426210612122</v>
      </c>
      <c r="AY44" s="100">
        <v>14337.550957729833</v>
      </c>
      <c r="AZ44" s="100">
        <v>14.373034599583081</v>
      </c>
      <c r="BA44" s="100">
        <v>14694.990574613741</v>
      </c>
      <c r="BB44" s="100">
        <v>9.8485004114207886</v>
      </c>
      <c r="BC44" s="100">
        <v>10069.106820636614</v>
      </c>
      <c r="BD44" s="100">
        <v>11.980531725969966</v>
      </c>
      <c r="BE44" s="100">
        <v>12248.895636631692</v>
      </c>
      <c r="BF44" s="100">
        <v>12.432295454075884</v>
      </c>
      <c r="BG44" s="100">
        <v>12710.778872247183</v>
      </c>
      <c r="BH44" s="100">
        <v>13.21767965465485</v>
      </c>
      <c r="BI44" s="100">
        <v>13513.755678919119</v>
      </c>
      <c r="BJ44" s="100">
        <v>2.6988012549263276</v>
      </c>
      <c r="BK44" s="100">
        <v>2759.2544030366771</v>
      </c>
      <c r="BL44" s="100">
        <v>5.2378287754213346</v>
      </c>
      <c r="BM44" s="100">
        <v>5355.1561399907723</v>
      </c>
      <c r="BN44" s="100">
        <v>17.394690750053346</v>
      </c>
      <c r="BO44" s="100">
        <v>17784.331822854539</v>
      </c>
      <c r="BP44" s="100">
        <v>4.5272473811610698</v>
      </c>
      <c r="BQ44" s="100">
        <v>4628.6577224990779</v>
      </c>
      <c r="BR44" s="100">
        <v>10.742351559222099</v>
      </c>
      <c r="BS44" s="100">
        <v>10982.980234148674</v>
      </c>
      <c r="BT44" s="100">
        <v>7.7607964785865793</v>
      </c>
      <c r="BU44" s="100">
        <v>7934.6383197069181</v>
      </c>
      <c r="BV44" s="100">
        <v>19.573495739254888</v>
      </c>
      <c r="BW44" s="100">
        <v>20011.942043814197</v>
      </c>
      <c r="BX44" s="100">
        <v>12.78448681365615</v>
      </c>
      <c r="BY44" s="100">
        <v>13070.859318282048</v>
      </c>
      <c r="BZ44" s="100">
        <v>3.3588741409252338</v>
      </c>
      <c r="CA44" s="100">
        <v>3434.1129216819591</v>
      </c>
      <c r="CB44" s="100">
        <v>8.6715115696081213</v>
      </c>
      <c r="CC44" s="100">
        <v>8865.7534287673425</v>
      </c>
      <c r="CD44" s="100">
        <v>14.364865658619321</v>
      </c>
      <c r="CE44" s="100">
        <v>14686.638649372393</v>
      </c>
      <c r="CF44" s="100">
        <v>4.7632550818577721</v>
      </c>
      <c r="CG44" s="100">
        <v>4869.9519956913864</v>
      </c>
      <c r="CH44" s="100">
        <v>3.9498111418414168</v>
      </c>
      <c r="CI44" s="100">
        <v>4038.2869114186647</v>
      </c>
      <c r="CJ44" s="100">
        <v>13.2941666533569</v>
      </c>
      <c r="CK44" s="100">
        <v>13591.955986392095</v>
      </c>
      <c r="CL44" s="100">
        <v>8.3087950427269455</v>
      </c>
      <c r="CM44" s="100">
        <v>8494.9120516840285</v>
      </c>
      <c r="CN44" s="100">
        <v>17</v>
      </c>
      <c r="CO44" s="100">
        <v>17380.8</v>
      </c>
      <c r="CP44" s="100">
        <v>6.9299129043742385</v>
      </c>
      <c r="CQ44" s="100">
        <v>7085.1429534322215</v>
      </c>
      <c r="CR44" s="100">
        <v>12.696857433333216</v>
      </c>
      <c r="CS44" s="100">
        <v>12981.26703983988</v>
      </c>
      <c r="CT44" s="100">
        <v>20</v>
      </c>
      <c r="CU44" s="100">
        <v>20448</v>
      </c>
    </row>
    <row r="45" spans="2:99">
      <c r="C45" s="99" t="s">
        <v>211</v>
      </c>
      <c r="D45" s="100">
        <v>14.000296834625725</v>
      </c>
      <c r="E45" s="100">
        <v>17489.170805814458</v>
      </c>
      <c r="F45" s="100">
        <v>12</v>
      </c>
      <c r="G45" s="100">
        <v>14990.400000000001</v>
      </c>
      <c r="H45" s="100">
        <v>18</v>
      </c>
      <c r="I45" s="100">
        <v>22485.600000000002</v>
      </c>
      <c r="J45" s="100">
        <v>0.63877912819371574</v>
      </c>
      <c r="K45" s="100">
        <v>797.96288693958968</v>
      </c>
      <c r="L45" s="100">
        <v>16</v>
      </c>
      <c r="M45" s="100">
        <v>19987.2</v>
      </c>
      <c r="N45" s="100">
        <v>1.3370175552542063</v>
      </c>
      <c r="O45" s="100">
        <v>1670.2023300235546</v>
      </c>
      <c r="P45" s="100">
        <v>12.43770956850314</v>
      </c>
      <c r="Q45" s="100">
        <v>15537.186792974122</v>
      </c>
      <c r="R45" s="100">
        <v>9.6287098958957209</v>
      </c>
      <c r="S45" s="100">
        <v>12028.184401952934</v>
      </c>
      <c r="T45" s="100">
        <v>13</v>
      </c>
      <c r="U45" s="100">
        <v>16239.6</v>
      </c>
      <c r="V45" s="100">
        <v>6.2483004728091336</v>
      </c>
      <c r="W45" s="100">
        <v>7805.3769506331701</v>
      </c>
      <c r="X45" s="100">
        <v>13</v>
      </c>
      <c r="Y45" s="100">
        <v>16239.6</v>
      </c>
      <c r="Z45" s="100">
        <v>16</v>
      </c>
      <c r="AA45" s="100">
        <v>19987.2</v>
      </c>
      <c r="AB45" s="100">
        <v>3.5898913653582523</v>
      </c>
      <c r="AC45" s="100">
        <v>4484.4922936055291</v>
      </c>
      <c r="AD45" s="100">
        <v>18.023747795281533</v>
      </c>
      <c r="AE45" s="100">
        <v>22515.26574586569</v>
      </c>
      <c r="AF45" s="100">
        <v>3.2124049383864399</v>
      </c>
      <c r="AG45" s="100">
        <v>4012.936249032341</v>
      </c>
      <c r="AH45" s="100">
        <v>11.77592741432616</v>
      </c>
      <c r="AI45" s="100">
        <v>14710.48852597624</v>
      </c>
      <c r="AJ45" s="100">
        <v>16</v>
      </c>
      <c r="AK45" s="100">
        <v>19987.2</v>
      </c>
      <c r="AL45" s="100">
        <v>10</v>
      </c>
      <c r="AM45" s="100">
        <v>12492</v>
      </c>
      <c r="AN45" s="100">
        <v>10.086731129074783</v>
      </c>
      <c r="AO45" s="100">
        <v>12600.34452644022</v>
      </c>
      <c r="AP45" s="100">
        <v>9.5501974500507441</v>
      </c>
      <c r="AQ45" s="100">
        <v>11930.106654603391</v>
      </c>
      <c r="AR45" s="100">
        <v>1.0447181447055653E-3</v>
      </c>
      <c r="AS45" s="100">
        <v>1.3050619063661921</v>
      </c>
      <c r="AT45" s="100">
        <v>17.000410494806747</v>
      </c>
      <c r="AU45" s="100">
        <v>21236.91279011259</v>
      </c>
      <c r="AV45" s="100">
        <v>13</v>
      </c>
      <c r="AW45" s="100">
        <v>16239.6</v>
      </c>
      <c r="AX45" s="100">
        <v>14.023426210612122</v>
      </c>
      <c r="AY45" s="100">
        <v>17518.064022296665</v>
      </c>
      <c r="AZ45" s="100">
        <v>13.527561976078193</v>
      </c>
      <c r="BA45" s="100">
        <v>16898.630420516878</v>
      </c>
      <c r="BB45" s="100">
        <v>8.3333465019714374</v>
      </c>
      <c r="BC45" s="100">
        <v>10410.016450262719</v>
      </c>
      <c r="BD45" s="100">
        <v>11.116272244634954</v>
      </c>
      <c r="BE45" s="100">
        <v>13886.447287997986</v>
      </c>
      <c r="BF45" s="100">
        <v>11.568074924565968</v>
      </c>
      <c r="BG45" s="100">
        <v>14450.839195767807</v>
      </c>
      <c r="BH45" s="100">
        <v>14.003712774606804</v>
      </c>
      <c r="BI45" s="100">
        <v>17493.437998038818</v>
      </c>
      <c r="BJ45" s="100">
        <v>2.6659958109404549</v>
      </c>
      <c r="BK45" s="100">
        <v>3330.3619670268163</v>
      </c>
      <c r="BL45" s="100">
        <v>4.7489044727305014</v>
      </c>
      <c r="BM45" s="100">
        <v>5932.3314673349423</v>
      </c>
      <c r="BN45" s="100">
        <v>16.394690750053346</v>
      </c>
      <c r="BO45" s="100">
        <v>20480.247684966642</v>
      </c>
      <c r="BP45" s="100">
        <v>3.7827799574801442</v>
      </c>
      <c r="BQ45" s="100">
        <v>4725.4487228841963</v>
      </c>
      <c r="BR45" s="100">
        <v>11.730258376072813</v>
      </c>
      <c r="BS45" s="100">
        <v>14653.438763390159</v>
      </c>
      <c r="BT45" s="100">
        <v>8.3864030516049546</v>
      </c>
      <c r="BU45" s="100">
        <v>10476.29469206491</v>
      </c>
      <c r="BV45" s="100">
        <v>18.398662879337678</v>
      </c>
      <c r="BW45" s="100">
        <v>22983.609668868627</v>
      </c>
      <c r="BX45" s="100">
        <v>12.78448681365615</v>
      </c>
      <c r="BY45" s="100">
        <v>15970.380927619262</v>
      </c>
      <c r="BZ45" s="100">
        <v>3.7540358045634963</v>
      </c>
      <c r="CA45" s="100">
        <v>4689.54152706072</v>
      </c>
      <c r="CB45" s="100">
        <v>8.5129744684435824</v>
      </c>
      <c r="CC45" s="100">
        <v>10634.407705979724</v>
      </c>
      <c r="CD45" s="100">
        <v>12.364865658619321</v>
      </c>
      <c r="CE45" s="100">
        <v>15446.190180747257</v>
      </c>
      <c r="CF45" s="100">
        <v>5.0808054206482902</v>
      </c>
      <c r="CG45" s="100">
        <v>6346.9421314738447</v>
      </c>
      <c r="CH45" s="100">
        <v>3.4231696562625613</v>
      </c>
      <c r="CI45" s="100">
        <v>4276.2235346031921</v>
      </c>
      <c r="CJ45" s="100">
        <v>14.16474998802121</v>
      </c>
      <c r="CK45" s="100">
        <v>17694.605685036095</v>
      </c>
      <c r="CL45" s="100">
        <v>7.6696569625171804</v>
      </c>
      <c r="CM45" s="100">
        <v>9580.9354775764623</v>
      </c>
      <c r="CN45" s="100">
        <v>18</v>
      </c>
      <c r="CO45" s="100">
        <v>22485.600000000002</v>
      </c>
      <c r="CP45" s="100">
        <v>6.5651806462492779</v>
      </c>
      <c r="CQ45" s="100">
        <v>8201.2236632945987</v>
      </c>
      <c r="CR45" s="100">
        <v>14.033368742105132</v>
      </c>
      <c r="CS45" s="100">
        <v>17530.484232637733</v>
      </c>
      <c r="CT45" s="100">
        <v>20</v>
      </c>
      <c r="CU45" s="100">
        <v>24984</v>
      </c>
    </row>
    <row r="46" spans="2:99">
      <c r="C46" s="99" t="s">
        <v>212</v>
      </c>
      <c r="D46" s="100">
        <v>13.000237467700581</v>
      </c>
      <c r="E46" s="100">
        <v>15756.287810853104</v>
      </c>
      <c r="F46" s="100">
        <v>12</v>
      </c>
      <c r="G46" s="100">
        <v>14544</v>
      </c>
      <c r="H46" s="100">
        <v>17</v>
      </c>
      <c r="I46" s="100">
        <v>20604</v>
      </c>
      <c r="J46" s="100">
        <v>0.71862651921793019</v>
      </c>
      <c r="K46" s="100">
        <v>870.97534129213136</v>
      </c>
      <c r="L46" s="100">
        <v>17</v>
      </c>
      <c r="M46" s="100">
        <v>20604</v>
      </c>
      <c r="N46" s="100">
        <v>1.3370175552542063</v>
      </c>
      <c r="O46" s="100">
        <v>1620.4652769680981</v>
      </c>
      <c r="P46" s="100">
        <v>11.43770956850314</v>
      </c>
      <c r="Q46" s="100">
        <v>13862.503997025806</v>
      </c>
      <c r="R46" s="100">
        <v>10.504047159158969</v>
      </c>
      <c r="S46" s="100">
        <v>12730.90515690067</v>
      </c>
      <c r="T46" s="100">
        <v>15</v>
      </c>
      <c r="U46" s="100">
        <v>18180</v>
      </c>
      <c r="V46" s="100">
        <v>6.5954282768540855</v>
      </c>
      <c r="W46" s="100">
        <v>7993.6590715471521</v>
      </c>
      <c r="X46" s="100">
        <v>12</v>
      </c>
      <c r="Y46" s="100">
        <v>14544</v>
      </c>
      <c r="Z46" s="100">
        <v>16</v>
      </c>
      <c r="AA46" s="100">
        <v>19392</v>
      </c>
      <c r="AB46" s="100">
        <v>3.5898913653582523</v>
      </c>
      <c r="AC46" s="100">
        <v>4350.9483348142021</v>
      </c>
      <c r="AD46" s="100">
        <v>17.877498110241312</v>
      </c>
      <c r="AE46" s="100">
        <v>21667.52770961247</v>
      </c>
      <c r="AF46" s="100">
        <v>3.2124049383864399</v>
      </c>
      <c r="AG46" s="100">
        <v>3893.4347853243653</v>
      </c>
      <c r="AH46" s="100">
        <v>12.755597497755065</v>
      </c>
      <c r="AI46" s="100">
        <v>15459.78416727914</v>
      </c>
      <c r="AJ46" s="100">
        <v>18</v>
      </c>
      <c r="AK46" s="100">
        <v>21816</v>
      </c>
      <c r="AL46" s="100">
        <v>11</v>
      </c>
      <c r="AM46" s="100">
        <v>13332</v>
      </c>
      <c r="AN46" s="100">
        <v>10.086731129074783</v>
      </c>
      <c r="AO46" s="100">
        <v>12225.118128438637</v>
      </c>
      <c r="AP46" s="100">
        <v>9.5501974500507441</v>
      </c>
      <c r="AQ46" s="100">
        <v>11574.839309461502</v>
      </c>
      <c r="AR46" s="100">
        <v>1.1122272954515724E-3</v>
      </c>
      <c r="AS46" s="100">
        <v>1.3480194820873057</v>
      </c>
      <c r="AT46" s="100">
        <v>15.000328395845397</v>
      </c>
      <c r="AU46" s="100">
        <v>18180.398015764622</v>
      </c>
      <c r="AV46" s="100">
        <v>16</v>
      </c>
      <c r="AW46" s="100">
        <v>19392</v>
      </c>
      <c r="AX46" s="100">
        <v>14.023426210612122</v>
      </c>
      <c r="AY46" s="100">
        <v>16996.392567261893</v>
      </c>
      <c r="AZ46" s="100">
        <v>13.527561976078193</v>
      </c>
      <c r="BA46" s="100">
        <v>16395.405115006768</v>
      </c>
      <c r="BB46" s="100">
        <v>9.0909234566961121</v>
      </c>
      <c r="BC46" s="100">
        <v>11018.199229515689</v>
      </c>
      <c r="BD46" s="100">
        <v>11.980531725969966</v>
      </c>
      <c r="BE46" s="100">
        <v>14520.404451875598</v>
      </c>
      <c r="BF46" s="100">
        <v>9.9062754737335421</v>
      </c>
      <c r="BG46" s="100">
        <v>12006.405874165053</v>
      </c>
      <c r="BH46" s="100">
        <v>13.932103812723701</v>
      </c>
      <c r="BI46" s="100">
        <v>16885.709821021126</v>
      </c>
      <c r="BJ46" s="100">
        <v>2.6999183363616557</v>
      </c>
      <c r="BK46" s="100">
        <v>3272.3010236703267</v>
      </c>
      <c r="BL46" s="100">
        <v>5.1866299816945016</v>
      </c>
      <c r="BM46" s="100">
        <v>6286.1955378137363</v>
      </c>
      <c r="BN46" s="100">
        <v>18.394690750053346</v>
      </c>
      <c r="BO46" s="100">
        <v>22294.365189064654</v>
      </c>
      <c r="BP46" s="100">
        <v>3.8872837134615259</v>
      </c>
      <c r="BQ46" s="100">
        <v>4711.3878607153692</v>
      </c>
      <c r="BR46" s="100">
        <v>10.742351559222099</v>
      </c>
      <c r="BS46" s="100">
        <v>13019.730089777184</v>
      </c>
      <c r="BT46" s="100">
        <v>7.1939407956711996</v>
      </c>
      <c r="BU46" s="100">
        <v>8719.0562443534945</v>
      </c>
      <c r="BV46" s="100">
        <v>18.748328599172098</v>
      </c>
      <c r="BW46" s="100">
        <v>22722.974262196582</v>
      </c>
      <c r="BX46" s="100">
        <v>12.78448681365615</v>
      </c>
      <c r="BY46" s="100">
        <v>15494.798018151254</v>
      </c>
      <c r="BZ46" s="100">
        <v>3.5564549727443646</v>
      </c>
      <c r="CA46" s="100">
        <v>4310.4234269661702</v>
      </c>
      <c r="CB46" s="100">
        <v>8.5889045303669409</v>
      </c>
      <c r="CC46" s="100">
        <v>10409.752290804732</v>
      </c>
      <c r="CD46" s="100">
        <v>13.535473865946736</v>
      </c>
      <c r="CE46" s="100">
        <v>16404.994325527445</v>
      </c>
      <c r="CF46" s="100">
        <v>4.7632550818577721</v>
      </c>
      <c r="CG46" s="100">
        <v>5773.0651592116201</v>
      </c>
      <c r="CH46" s="100">
        <v>3.4231696562625613</v>
      </c>
      <c r="CI46" s="100">
        <v>4148.8816233902244</v>
      </c>
      <c r="CJ46" s="100">
        <v>13.035333322685519</v>
      </c>
      <c r="CK46" s="100">
        <v>15798.823987094849</v>
      </c>
      <c r="CL46" s="100">
        <v>8.3087950427269455</v>
      </c>
      <c r="CM46" s="100">
        <v>10070.259591785058</v>
      </c>
      <c r="CN46" s="100">
        <v>18</v>
      </c>
      <c r="CO46" s="100">
        <v>21816</v>
      </c>
      <c r="CP46" s="100">
        <v>6.2004483881243182</v>
      </c>
      <c r="CQ46" s="100">
        <v>7514.9434464066735</v>
      </c>
      <c r="CR46" s="100">
        <v>12.696857433333216</v>
      </c>
      <c r="CS46" s="100">
        <v>15388.591209199858</v>
      </c>
      <c r="CT46" s="100">
        <v>19</v>
      </c>
      <c r="CU46" s="100">
        <v>23028</v>
      </c>
    </row>
    <row r="47" spans="2:99">
      <c r="C47" s="99" t="s">
        <v>213</v>
      </c>
      <c r="D47" s="100">
        <v>14.000296834625725</v>
      </c>
      <c r="E47" s="100">
        <v>21386.853444574255</v>
      </c>
      <c r="F47" s="100">
        <v>13</v>
      </c>
      <c r="G47" s="100">
        <v>19858.8</v>
      </c>
      <c r="H47" s="100">
        <v>16</v>
      </c>
      <c r="I47" s="100">
        <v>24441.599999999999</v>
      </c>
      <c r="J47" s="100">
        <v>0.59885543268160857</v>
      </c>
      <c r="K47" s="100">
        <v>914.81155896442522</v>
      </c>
      <c r="L47" s="100">
        <v>15</v>
      </c>
      <c r="M47" s="100">
        <v>22914</v>
      </c>
      <c r="N47" s="100">
        <v>1.5041447496609821</v>
      </c>
      <c r="O47" s="100">
        <v>2297.7315195821161</v>
      </c>
      <c r="P47" s="100">
        <v>12.43770956850314</v>
      </c>
      <c r="Q47" s="100">
        <v>18999.845136845393</v>
      </c>
      <c r="R47" s="100">
        <v>11.379384422422214</v>
      </c>
      <c r="S47" s="100">
        <v>17383.147643692173</v>
      </c>
      <c r="T47" s="100">
        <v>13</v>
      </c>
      <c r="U47" s="100">
        <v>19858.8</v>
      </c>
      <c r="V47" s="100">
        <v>6.9425560808990374</v>
      </c>
      <c r="W47" s="100">
        <v>10605.448669181369</v>
      </c>
      <c r="X47" s="100">
        <v>12</v>
      </c>
      <c r="Y47" s="100">
        <v>18331.199999999997</v>
      </c>
      <c r="Z47" s="100">
        <v>17</v>
      </c>
      <c r="AA47" s="100">
        <v>25969.199999999997</v>
      </c>
      <c r="AB47" s="100">
        <v>3.3505652743343686</v>
      </c>
      <c r="AC47" s="100">
        <v>5118.3235130731809</v>
      </c>
      <c r="AD47" s="100">
        <v>15.877498110241314</v>
      </c>
      <c r="AE47" s="100">
        <v>24254.466113204631</v>
      </c>
      <c r="AF47" s="100">
        <v>2.8911644445477962</v>
      </c>
      <c r="AG47" s="100">
        <v>4416.5428054912136</v>
      </c>
      <c r="AH47" s="100">
        <v>12.589004748320367</v>
      </c>
      <c r="AI47" s="100">
        <v>19230.963653534192</v>
      </c>
      <c r="AJ47" s="100">
        <v>19</v>
      </c>
      <c r="AK47" s="100">
        <v>29024.399999999998</v>
      </c>
      <c r="AL47" s="100">
        <v>10</v>
      </c>
      <c r="AM47" s="100">
        <v>15276</v>
      </c>
      <c r="AN47" s="100">
        <v>10.086731129074783</v>
      </c>
      <c r="AO47" s="100">
        <v>15408.490472774638</v>
      </c>
      <c r="AP47" s="100">
        <v>8.8680404893328344</v>
      </c>
      <c r="AQ47" s="100">
        <v>13546.818651504836</v>
      </c>
      <c r="AR47" s="100">
        <v>1.0447181447055653E-3</v>
      </c>
      <c r="AS47" s="100">
        <v>1.5959114378522214</v>
      </c>
      <c r="AT47" s="100">
        <v>17.000328395845397</v>
      </c>
      <c r="AU47" s="100">
        <v>25969.701657493428</v>
      </c>
      <c r="AV47" s="100">
        <v>13</v>
      </c>
      <c r="AW47" s="100">
        <v>19858.8</v>
      </c>
      <c r="AX47" s="100">
        <v>11.686188508843435</v>
      </c>
      <c r="AY47" s="100">
        <v>17851.821566109229</v>
      </c>
      <c r="AZ47" s="100">
        <v>14.373034599583081</v>
      </c>
      <c r="BA47" s="100">
        <v>21956.247654323113</v>
      </c>
      <c r="BB47" s="100">
        <v>9.0909234566961121</v>
      </c>
      <c r="BC47" s="100">
        <v>13887.294672448979</v>
      </c>
      <c r="BD47" s="100">
        <v>11.116272244634954</v>
      </c>
      <c r="BE47" s="100">
        <v>16981.217480904357</v>
      </c>
      <c r="BF47" s="100">
        <v>9.9062754737335421</v>
      </c>
      <c r="BG47" s="100">
        <v>15132.826413675359</v>
      </c>
      <c r="BH47" s="100">
        <v>13.21767965465485</v>
      </c>
      <c r="BI47" s="100">
        <v>20191.327440450747</v>
      </c>
      <c r="BJ47" s="100">
        <v>2.9072055473909741</v>
      </c>
      <c r="BK47" s="100">
        <v>4441.0471941944515</v>
      </c>
      <c r="BL47" s="100">
        <v>4.8023129042911101</v>
      </c>
      <c r="BM47" s="100">
        <v>7336.0131925950991</v>
      </c>
      <c r="BN47" s="100">
        <v>16.394690750053346</v>
      </c>
      <c r="BO47" s="100">
        <v>25044.52958978149</v>
      </c>
      <c r="BP47" s="100">
        <v>3.8872837134615259</v>
      </c>
      <c r="BQ47" s="100">
        <v>5938.2146006838266</v>
      </c>
      <c r="BR47" s="100">
        <v>10.742351559222099</v>
      </c>
      <c r="BS47" s="100">
        <v>16410.016241867677</v>
      </c>
      <c r="BT47" s="100">
        <v>7.1939407956711996</v>
      </c>
      <c r="BU47" s="100">
        <v>10989.463959467324</v>
      </c>
      <c r="BV47" s="100">
        <v>18.748328599172098</v>
      </c>
      <c r="BW47" s="100">
        <v>28639.946768095295</v>
      </c>
      <c r="BX47" s="100">
        <v>14.610842072749886</v>
      </c>
      <c r="BY47" s="100">
        <v>22319.522350332725</v>
      </c>
      <c r="BZ47" s="100">
        <v>3.3588741409252338</v>
      </c>
      <c r="CA47" s="100">
        <v>5131.0161376773867</v>
      </c>
      <c r="CB47" s="100">
        <v>8.0743345513835827</v>
      </c>
      <c r="CC47" s="100">
        <v>12334.353460693561</v>
      </c>
      <c r="CD47" s="100">
        <v>12.364865658619321</v>
      </c>
      <c r="CE47" s="100">
        <v>18888.568780106874</v>
      </c>
      <c r="CF47" s="100">
        <v>4.7632550818577721</v>
      </c>
      <c r="CG47" s="100">
        <v>7276.3484630459325</v>
      </c>
      <c r="CH47" s="100">
        <v>3.4342002990417413</v>
      </c>
      <c r="CI47" s="100">
        <v>5246.084376816164</v>
      </c>
      <c r="CJ47" s="100">
        <v>13.035333322685519</v>
      </c>
      <c r="CK47" s="100">
        <v>19912.775183734397</v>
      </c>
      <c r="CL47" s="100">
        <v>7.6696569625171804</v>
      </c>
      <c r="CM47" s="100">
        <v>11716.167975941244</v>
      </c>
      <c r="CN47" s="100">
        <v>16</v>
      </c>
      <c r="CO47" s="100">
        <v>24441.599999999999</v>
      </c>
      <c r="CP47" s="100">
        <v>6.2004483881243182</v>
      </c>
      <c r="CQ47" s="100">
        <v>9471.8049576987087</v>
      </c>
      <c r="CR47" s="100">
        <v>13.365113087719175</v>
      </c>
      <c r="CS47" s="100">
        <v>20416.546752799812</v>
      </c>
      <c r="CT47" s="100">
        <v>18</v>
      </c>
      <c r="CU47" s="100">
        <v>27496.799999999999</v>
      </c>
    </row>
    <row r="48" spans="2:99">
      <c r="C48" s="99" t="s">
        <v>214</v>
      </c>
      <c r="D48" s="100">
        <v>13.000296834625725</v>
      </c>
      <c r="E48" s="100">
        <v>11279.057533721279</v>
      </c>
      <c r="F48" s="100">
        <v>13</v>
      </c>
      <c r="G48" s="100">
        <v>11278.800000000001</v>
      </c>
      <c r="H48" s="100">
        <v>19</v>
      </c>
      <c r="I48" s="100">
        <v>16484.400000000001</v>
      </c>
      <c r="J48" s="100">
        <v>0.63877912819371574</v>
      </c>
      <c r="K48" s="100">
        <v>554.20477162086775</v>
      </c>
      <c r="L48" s="100">
        <v>18</v>
      </c>
      <c r="M48" s="100">
        <v>15616.800000000001</v>
      </c>
      <c r="N48" s="100">
        <v>1.512773193311908</v>
      </c>
      <c r="O48" s="100">
        <v>1312.4820225174115</v>
      </c>
      <c r="P48" s="100">
        <v>12.43770956850314</v>
      </c>
      <c r="Q48" s="100">
        <v>10790.956821633325</v>
      </c>
      <c r="R48" s="100">
        <v>9.6287098958957209</v>
      </c>
      <c r="S48" s="100">
        <v>8353.8687056791277</v>
      </c>
      <c r="T48" s="100">
        <v>16</v>
      </c>
      <c r="U48" s="100">
        <v>13881.6</v>
      </c>
      <c r="V48" s="100">
        <v>6.5954282768540855</v>
      </c>
      <c r="W48" s="100">
        <v>5722.1935729986044</v>
      </c>
      <c r="X48" s="100">
        <v>13</v>
      </c>
      <c r="Y48" s="100">
        <v>11278.800000000001</v>
      </c>
      <c r="Z48" s="100">
        <v>19</v>
      </c>
      <c r="AA48" s="100">
        <v>16484.400000000001</v>
      </c>
      <c r="AB48" s="100">
        <v>3.8292174563821355</v>
      </c>
      <c r="AC48" s="100">
        <v>3322.2290651571407</v>
      </c>
      <c r="AD48" s="100">
        <v>19.023747795281533</v>
      </c>
      <c r="AE48" s="100">
        <v>16505.00358718626</v>
      </c>
      <c r="AF48" s="100">
        <v>3.2124049383864399</v>
      </c>
      <c r="AG48" s="100">
        <v>2787.0825245440756</v>
      </c>
      <c r="AH48" s="100">
        <v>12.922190247189764</v>
      </c>
      <c r="AI48" s="100">
        <v>11211.292258461839</v>
      </c>
      <c r="AJ48" s="100">
        <v>20</v>
      </c>
      <c r="AK48" s="100">
        <v>17352</v>
      </c>
      <c r="AL48" s="100">
        <v>12</v>
      </c>
      <c r="AM48" s="100">
        <v>10411.200000000001</v>
      </c>
      <c r="AN48" s="100">
        <v>10.086731129074783</v>
      </c>
      <c r="AO48" s="100">
        <v>8751.247927585282</v>
      </c>
      <c r="AP48" s="100">
        <v>10.914511371486565</v>
      </c>
      <c r="AQ48" s="100">
        <v>9469.4300659017445</v>
      </c>
      <c r="AR48" s="100">
        <v>1.0447181447055653E-3</v>
      </c>
      <c r="AS48" s="100">
        <v>0.9063974623465485</v>
      </c>
      <c r="AT48" s="100">
        <v>17.000328395845397</v>
      </c>
      <c r="AU48" s="100">
        <v>14749.484916235468</v>
      </c>
      <c r="AV48" s="100">
        <v>15</v>
      </c>
      <c r="AW48" s="100">
        <v>13014</v>
      </c>
      <c r="AX48" s="100">
        <v>15.581584678457913</v>
      </c>
      <c r="AY48" s="100">
        <v>13518.582867030085</v>
      </c>
      <c r="AZ48" s="100">
        <v>15.218507223087967</v>
      </c>
      <c r="BA48" s="100">
        <v>13203.57686675112</v>
      </c>
      <c r="BB48" s="100">
        <v>9.0909234566961121</v>
      </c>
      <c r="BC48" s="100">
        <v>7887.2851910295467</v>
      </c>
      <c r="BD48" s="100">
        <v>11.140092447178992</v>
      </c>
      <c r="BE48" s="100">
        <v>9665.1442071724941</v>
      </c>
      <c r="BF48" s="100">
        <v>10.770496003243458</v>
      </c>
      <c r="BG48" s="100">
        <v>9344.4823324140252</v>
      </c>
      <c r="BH48" s="100">
        <v>14.718136932675655</v>
      </c>
      <c r="BI48" s="100">
        <v>12769.4556027894</v>
      </c>
      <c r="BJ48" s="100">
        <v>3.1156098398556216</v>
      </c>
      <c r="BK48" s="100">
        <v>2703.1030970587371</v>
      </c>
      <c r="BL48" s="100">
        <v>4.8067321799586633</v>
      </c>
      <c r="BM48" s="100">
        <v>4170.3208393321365</v>
      </c>
      <c r="BN48" s="100">
        <v>16.394690750053346</v>
      </c>
      <c r="BO48" s="100">
        <v>14224.033694746284</v>
      </c>
      <c r="BP48" s="100">
        <v>4.3075925976259866</v>
      </c>
      <c r="BQ48" s="100">
        <v>3737.2673377003061</v>
      </c>
      <c r="BR48" s="100">
        <v>10.742351559222099</v>
      </c>
      <c r="BS48" s="100">
        <v>9320.0642127810934</v>
      </c>
      <c r="BT48" s="100">
        <v>7.7999637386552436</v>
      </c>
      <c r="BU48" s="100">
        <v>6767.2485396572893</v>
      </c>
      <c r="BV48" s="100">
        <v>18.573495739254888</v>
      </c>
      <c r="BW48" s="100">
        <v>16114.364903377542</v>
      </c>
      <c r="BX48" s="100">
        <v>14.610842072749886</v>
      </c>
      <c r="BY48" s="100">
        <v>12676.366582317802</v>
      </c>
      <c r="BZ48" s="100">
        <v>3.5564549727443646</v>
      </c>
      <c r="CA48" s="100">
        <v>3085.580334353011</v>
      </c>
      <c r="CB48" s="100">
        <v>8.6681730809492112</v>
      </c>
      <c r="CC48" s="100">
        <v>7520.5069650315363</v>
      </c>
      <c r="CD48" s="100">
        <v>14.364865658619321</v>
      </c>
      <c r="CE48" s="100">
        <v>12462.957445418124</v>
      </c>
      <c r="CF48" s="100">
        <v>4.7632550818577721</v>
      </c>
      <c r="CG48" s="100">
        <v>4132.6001090198033</v>
      </c>
      <c r="CH48" s="100">
        <v>3.9498111418414168</v>
      </c>
      <c r="CI48" s="100">
        <v>3426.8561466616134</v>
      </c>
      <c r="CJ48" s="100">
        <v>13.16474998802121</v>
      </c>
      <c r="CK48" s="100">
        <v>11421.737089607203</v>
      </c>
      <c r="CL48" s="100">
        <v>7.6696569625171804</v>
      </c>
      <c r="CM48" s="100">
        <v>6654.1943806799063</v>
      </c>
      <c r="CN48" s="100">
        <v>16</v>
      </c>
      <c r="CO48" s="100">
        <v>13881.6</v>
      </c>
      <c r="CP48" s="100">
        <v>6.9299129043742385</v>
      </c>
      <c r="CQ48" s="100">
        <v>6012.3924358350896</v>
      </c>
      <c r="CR48" s="100">
        <v>13.365113087719175</v>
      </c>
      <c r="CS48" s="100">
        <v>11595.572114905157</v>
      </c>
      <c r="CT48" s="100">
        <v>20</v>
      </c>
      <c r="CU48" s="100">
        <v>17352</v>
      </c>
    </row>
    <row r="49" spans="2:99">
      <c r="B49" s="99" t="s">
        <v>129</v>
      </c>
      <c r="C49" s="99" t="s">
        <v>215</v>
      </c>
      <c r="D49" s="100">
        <v>9.68121598259102</v>
      </c>
      <c r="E49" s="100">
        <v>9537.9339860486725</v>
      </c>
      <c r="F49" s="100">
        <v>4.7249547083447059</v>
      </c>
      <c r="G49" s="100">
        <v>4655.0253786612038</v>
      </c>
      <c r="H49" s="100">
        <v>5.9148820614905055</v>
      </c>
      <c r="I49" s="100">
        <v>5827.3418069804457</v>
      </c>
      <c r="J49" s="100">
        <v>7.9213172177089</v>
      </c>
      <c r="K49" s="100">
        <v>7804.0817228868073</v>
      </c>
      <c r="L49" s="100">
        <v>1.8408589689766282</v>
      </c>
      <c r="M49" s="100">
        <v>1813.6142562357738</v>
      </c>
      <c r="N49" s="100">
        <v>6.6817462074167899</v>
      </c>
      <c r="O49" s="100">
        <v>6582.8563635470209</v>
      </c>
      <c r="P49" s="100">
        <v>4.0287805958517326</v>
      </c>
      <c r="Q49" s="100">
        <v>3969.1546430331268</v>
      </c>
      <c r="R49" s="100">
        <v>10.627282436126318</v>
      </c>
      <c r="S49" s="100">
        <v>10469.998656071648</v>
      </c>
      <c r="T49" s="100">
        <v>6.0858793431337519</v>
      </c>
      <c r="U49" s="100">
        <v>5995.8083288553717</v>
      </c>
      <c r="V49" s="100">
        <v>2.4208427782284216</v>
      </c>
      <c r="W49" s="100">
        <v>2385.0143051106406</v>
      </c>
      <c r="X49" s="100">
        <v>4.4901904015707679</v>
      </c>
      <c r="Y49" s="100">
        <v>4423.7355836275201</v>
      </c>
      <c r="Z49" s="100">
        <v>8.6614698947928694</v>
      </c>
      <c r="AA49" s="100">
        <v>8533.2801403499343</v>
      </c>
      <c r="AB49" s="100">
        <v>0.72395366585655518</v>
      </c>
      <c r="AC49" s="100">
        <v>713.23915160187812</v>
      </c>
      <c r="AD49" s="100">
        <v>4.8821543426701185E-4</v>
      </c>
      <c r="AE49" s="100">
        <v>0.48098984583986004</v>
      </c>
      <c r="AF49" s="100">
        <v>6.0003901712536534</v>
      </c>
      <c r="AG49" s="100">
        <v>5911.5843967190985</v>
      </c>
      <c r="AH49" s="100">
        <v>6.4396471267905122</v>
      </c>
      <c r="AI49" s="100">
        <v>6344.3403493140122</v>
      </c>
      <c r="AJ49" s="100">
        <v>8.4537005663647946</v>
      </c>
      <c r="AK49" s="100">
        <v>8328.585797982596</v>
      </c>
      <c r="AL49" s="100">
        <v>6.0058713370825059</v>
      </c>
      <c r="AM49" s="100">
        <v>5916.9844412936845</v>
      </c>
      <c r="AN49" s="100">
        <v>11</v>
      </c>
      <c r="AO49" s="100">
        <v>10837.199999999999</v>
      </c>
      <c r="AP49" s="100">
        <v>5.0691358503209782</v>
      </c>
      <c r="AQ49" s="100">
        <v>4994.1126397362277</v>
      </c>
      <c r="AR49" s="100">
        <v>8.6053261856888845</v>
      </c>
      <c r="AS49" s="100">
        <v>8477.9673581406878</v>
      </c>
      <c r="AT49" s="100">
        <v>3.8025219698987498</v>
      </c>
      <c r="AU49" s="100">
        <v>3746.244644744248</v>
      </c>
      <c r="AV49" s="100">
        <v>9.3036536992494625</v>
      </c>
      <c r="AW49" s="100">
        <v>9165.9596245005705</v>
      </c>
      <c r="AX49" s="100">
        <v>3.0630777267449538</v>
      </c>
      <c r="AY49" s="100">
        <v>3017.7441763891284</v>
      </c>
      <c r="AZ49" s="100">
        <v>8.5442753529595681</v>
      </c>
      <c r="BA49" s="100">
        <v>8417.8200777357652</v>
      </c>
      <c r="BB49" s="100">
        <v>1.9290977632114688</v>
      </c>
      <c r="BC49" s="100">
        <v>1900.5471163159389</v>
      </c>
      <c r="BD49" s="100">
        <v>4.4022970870088658</v>
      </c>
      <c r="BE49" s="100">
        <v>4337.1430901211343</v>
      </c>
      <c r="BF49" s="100">
        <v>5.7020329871978683</v>
      </c>
      <c r="BG49" s="100">
        <v>5617.6428989873393</v>
      </c>
      <c r="BH49" s="100">
        <v>2.6497129519650251</v>
      </c>
      <c r="BI49" s="100">
        <v>2610.4972002759428</v>
      </c>
      <c r="BJ49" s="100">
        <v>2.8071908659943055</v>
      </c>
      <c r="BK49" s="100">
        <v>2765.6444411775897</v>
      </c>
      <c r="BL49" s="100">
        <v>7.2295615955327346</v>
      </c>
      <c r="BM49" s="100">
        <v>7122.56408391885</v>
      </c>
      <c r="BN49" s="100">
        <v>2.9758262865561109</v>
      </c>
      <c r="BO49" s="100">
        <v>2931.7840575150803</v>
      </c>
      <c r="BP49" s="100">
        <v>7.4505240576228182</v>
      </c>
      <c r="BQ49" s="100">
        <v>7340.2563015699998</v>
      </c>
      <c r="BR49" s="100">
        <v>1.6327374138803306</v>
      </c>
      <c r="BS49" s="100">
        <v>1608.5729001549016</v>
      </c>
      <c r="BT49" s="100">
        <v>6</v>
      </c>
      <c r="BU49" s="100">
        <v>5911.2</v>
      </c>
      <c r="BV49" s="100">
        <v>2.2920777315241931</v>
      </c>
      <c r="BW49" s="100">
        <v>2258.1549810976348</v>
      </c>
      <c r="BX49" s="100">
        <v>8.6134155902925684</v>
      </c>
      <c r="BY49" s="100">
        <v>8485.9370395562382</v>
      </c>
      <c r="BZ49" s="100">
        <v>5.8247982393166637</v>
      </c>
      <c r="CA49" s="100">
        <v>5738.5912253747765</v>
      </c>
      <c r="CB49" s="100">
        <v>8</v>
      </c>
      <c r="CC49" s="100">
        <v>7881.5999999999995</v>
      </c>
      <c r="CD49" s="100">
        <v>8</v>
      </c>
      <c r="CE49" s="100">
        <v>7881.5999999999995</v>
      </c>
      <c r="CF49" s="100">
        <v>3.6288046451872602</v>
      </c>
      <c r="CG49" s="100">
        <v>3575.0983364384883</v>
      </c>
      <c r="CH49" s="100">
        <v>7</v>
      </c>
      <c r="CI49" s="100">
        <v>6896.4</v>
      </c>
      <c r="CJ49" s="100">
        <v>6.5130951030374495</v>
      </c>
      <c r="CK49" s="100">
        <v>6416.7012955124947</v>
      </c>
      <c r="CL49" s="100">
        <v>9.0975411135245032</v>
      </c>
      <c r="CM49" s="100">
        <v>8962.8975050443405</v>
      </c>
      <c r="CN49" s="100">
        <v>5.2105354733473872</v>
      </c>
      <c r="CO49" s="100">
        <v>5133.4195483418453</v>
      </c>
      <c r="CP49" s="100">
        <v>7.0879997605997005</v>
      </c>
      <c r="CQ49" s="100">
        <v>6983.0973641428245</v>
      </c>
      <c r="CR49" s="100">
        <v>5.1064033960118973</v>
      </c>
      <c r="CS49" s="100">
        <v>5030.8286257509208</v>
      </c>
      <c r="CT49" s="100">
        <v>8.5216258346366072</v>
      </c>
      <c r="CU49" s="100">
        <v>8395.5057722839847</v>
      </c>
    </row>
    <row r="50" spans="2:99">
      <c r="C50" s="99" t="s">
        <v>216</v>
      </c>
      <c r="D50" s="100">
        <v>12.000356201550872</v>
      </c>
      <c r="E50" s="100">
        <v>3384.100448837346</v>
      </c>
      <c r="F50" s="100">
        <v>11</v>
      </c>
      <c r="G50" s="100">
        <v>3102</v>
      </c>
      <c r="H50" s="100">
        <v>7</v>
      </c>
      <c r="I50" s="100">
        <v>1974</v>
      </c>
      <c r="J50" s="100">
        <v>0.3593132596089651</v>
      </c>
      <c r="K50" s="100">
        <v>101.32633920972816</v>
      </c>
      <c r="L50" s="100">
        <v>7</v>
      </c>
      <c r="M50" s="100">
        <v>1974</v>
      </c>
      <c r="N50" s="100">
        <v>0.58494518042371535</v>
      </c>
      <c r="O50" s="100">
        <v>164.95454087948772</v>
      </c>
      <c r="P50" s="100">
        <v>9.3501676548025117</v>
      </c>
      <c r="Q50" s="100">
        <v>2636.7472786543085</v>
      </c>
      <c r="R50" s="100">
        <v>9.6287098958957209</v>
      </c>
      <c r="S50" s="100">
        <v>2715.2961906425935</v>
      </c>
      <c r="T50" s="100">
        <v>6</v>
      </c>
      <c r="U50" s="100">
        <v>1692</v>
      </c>
      <c r="V50" s="100">
        <v>2.082766824269711</v>
      </c>
      <c r="W50" s="100">
        <v>587.3402444440585</v>
      </c>
      <c r="X50" s="100">
        <v>9</v>
      </c>
      <c r="Y50" s="100">
        <v>2538</v>
      </c>
      <c r="Z50" s="100">
        <v>9</v>
      </c>
      <c r="AA50" s="100">
        <v>2538</v>
      </c>
      <c r="AB50" s="100">
        <v>1.9146087281910678</v>
      </c>
      <c r="AC50" s="100">
        <v>539.91966134988115</v>
      </c>
      <c r="AD50" s="100">
        <v>8.7312484252010947</v>
      </c>
      <c r="AE50" s="100">
        <v>2462.2120559067089</v>
      </c>
      <c r="AF50" s="100">
        <v>2.2486834568705079</v>
      </c>
      <c r="AG50" s="100">
        <v>634.12873483748319</v>
      </c>
      <c r="AH50" s="100">
        <v>8.5037316651700436</v>
      </c>
      <c r="AI50" s="100">
        <v>2398.0523295779522</v>
      </c>
      <c r="AJ50" s="100">
        <v>10</v>
      </c>
      <c r="AK50" s="100">
        <v>2820</v>
      </c>
      <c r="AL50" s="100">
        <v>8</v>
      </c>
      <c r="AM50" s="100">
        <v>2256</v>
      </c>
      <c r="AN50" s="100">
        <v>8.5349263399863542</v>
      </c>
      <c r="AO50" s="100">
        <v>2406.8492278761519</v>
      </c>
      <c r="AP50" s="100">
        <v>7.5037265678970142</v>
      </c>
      <c r="AQ50" s="100">
        <v>2116.0508921469582</v>
      </c>
      <c r="AR50" s="100">
        <v>6.9800642425682719E-4</v>
      </c>
      <c r="AS50" s="100">
        <v>0.19683781164042527</v>
      </c>
      <c r="AT50" s="100">
        <v>9.0001641979226985</v>
      </c>
      <c r="AU50" s="100">
        <v>2538.0463038142011</v>
      </c>
      <c r="AV50" s="100">
        <v>9</v>
      </c>
      <c r="AW50" s="100">
        <v>2538</v>
      </c>
      <c r="AX50" s="100">
        <v>7.0117131053060611</v>
      </c>
      <c r="AY50" s="100">
        <v>1977.3030956963091</v>
      </c>
      <c r="AZ50" s="100">
        <v>6.7637809880390964</v>
      </c>
      <c r="BA50" s="100">
        <v>1907.3862386270253</v>
      </c>
      <c r="BB50" s="100">
        <v>9.0909234566961121</v>
      </c>
      <c r="BC50" s="100">
        <v>2563.6404147883036</v>
      </c>
      <c r="BD50" s="100">
        <v>6.7949748379598978</v>
      </c>
      <c r="BE50" s="100">
        <v>1916.1829043046912</v>
      </c>
      <c r="BF50" s="100">
        <v>8.1111928065263008</v>
      </c>
      <c r="BG50" s="100">
        <v>2287.3563714404168</v>
      </c>
      <c r="BH50" s="100">
        <v>5.2874049540143711</v>
      </c>
      <c r="BI50" s="100">
        <v>1491.0481970320527</v>
      </c>
      <c r="BJ50" s="100">
        <v>2.2864609957383464</v>
      </c>
      <c r="BK50" s="100">
        <v>644.78200079821363</v>
      </c>
      <c r="BL50" s="100">
        <v>5.0020986708411286</v>
      </c>
      <c r="BM50" s="100">
        <v>1410.5918251771982</v>
      </c>
      <c r="BN50" s="100">
        <v>8.0460180625400088</v>
      </c>
      <c r="BO50" s="100">
        <v>2268.9770936362825</v>
      </c>
      <c r="BP50" s="100">
        <v>1.681235536657842</v>
      </c>
      <c r="BQ50" s="100">
        <v>474.10842133751146</v>
      </c>
      <c r="BR50" s="100">
        <v>7.9512877868129568</v>
      </c>
      <c r="BS50" s="100">
        <v>2242.2631558812536</v>
      </c>
      <c r="BT50" s="100">
        <v>3.7685581408032403</v>
      </c>
      <c r="BU50" s="100">
        <v>1062.7333957065136</v>
      </c>
      <c r="BV50" s="100">
        <v>8.2238300194204683</v>
      </c>
      <c r="BW50" s="100">
        <v>2319.1200654765721</v>
      </c>
      <c r="BX50" s="100">
        <v>7.305421036374943</v>
      </c>
      <c r="BY50" s="100">
        <v>2060.1287322577341</v>
      </c>
      <c r="BZ50" s="100">
        <v>2.5975004336368737</v>
      </c>
      <c r="CA50" s="100">
        <v>732.49512228559843</v>
      </c>
      <c r="CB50" s="100">
        <v>4.2548179898923353</v>
      </c>
      <c r="CC50" s="100">
        <v>1199.8586731496387</v>
      </c>
      <c r="CD50" s="100">
        <v>10.194257451291906</v>
      </c>
      <c r="CE50" s="100">
        <v>2874.7806012643173</v>
      </c>
      <c r="CF50" s="100">
        <v>1.9053020327431089</v>
      </c>
      <c r="CG50" s="100">
        <v>537.29517323355674</v>
      </c>
      <c r="CH50" s="100">
        <v>1.5909550995157464</v>
      </c>
      <c r="CI50" s="100">
        <v>448.6493380634405</v>
      </c>
      <c r="CJ50" s="100">
        <v>12.64708332667845</v>
      </c>
      <c r="CK50" s="100">
        <v>3566.4774981233227</v>
      </c>
      <c r="CL50" s="100">
        <v>6.3913808020976504</v>
      </c>
      <c r="CM50" s="100">
        <v>1802.3693861915374</v>
      </c>
      <c r="CN50" s="100">
        <v>9</v>
      </c>
      <c r="CO50" s="100">
        <v>2538</v>
      </c>
      <c r="CP50" s="100">
        <v>2.9178580649996793</v>
      </c>
      <c r="CQ50" s="100">
        <v>822.8359743299095</v>
      </c>
      <c r="CR50" s="100">
        <v>6.0143008894736285</v>
      </c>
      <c r="CS50" s="100">
        <v>1696.0328508315633</v>
      </c>
      <c r="CT50" s="100">
        <v>8</v>
      </c>
      <c r="CU50" s="100">
        <v>2256</v>
      </c>
    </row>
    <row r="51" spans="2:99">
      <c r="C51" s="99" t="s">
        <v>217</v>
      </c>
      <c r="D51" s="100">
        <v>11.000356201550872</v>
      </c>
      <c r="E51" s="100">
        <v>9398.7043386050645</v>
      </c>
      <c r="F51" s="100">
        <v>11</v>
      </c>
      <c r="G51" s="100">
        <v>9398.4</v>
      </c>
      <c r="H51" s="100">
        <v>7</v>
      </c>
      <c r="I51" s="100">
        <v>5980.8</v>
      </c>
      <c r="J51" s="100">
        <v>0.3593132596089651</v>
      </c>
      <c r="K51" s="100">
        <v>306.99724900989975</v>
      </c>
      <c r="L51" s="100">
        <v>6</v>
      </c>
      <c r="M51" s="100">
        <v>5126.3999999999996</v>
      </c>
      <c r="N51" s="100">
        <v>0.58494518042371535</v>
      </c>
      <c r="O51" s="100">
        <v>499.77716215402239</v>
      </c>
      <c r="P51" s="100">
        <v>9.3501676548025117</v>
      </c>
      <c r="Q51" s="100">
        <v>7988.7832442632662</v>
      </c>
      <c r="R51" s="100">
        <v>8.7533726326324732</v>
      </c>
      <c r="S51" s="100">
        <v>7478.8815773211845</v>
      </c>
      <c r="T51" s="100">
        <v>7</v>
      </c>
      <c r="U51" s="100">
        <v>5980.8</v>
      </c>
      <c r="V51" s="100">
        <v>2.082766824269711</v>
      </c>
      <c r="W51" s="100">
        <v>1779.5159746560412</v>
      </c>
      <c r="X51" s="100">
        <v>9</v>
      </c>
      <c r="Y51" s="100">
        <v>7689.5999999999995</v>
      </c>
      <c r="Z51" s="100">
        <v>8</v>
      </c>
      <c r="AA51" s="100">
        <v>6835.2</v>
      </c>
      <c r="AB51" s="100">
        <v>1.9146087281910678</v>
      </c>
      <c r="AC51" s="100">
        <v>1635.8416973664482</v>
      </c>
      <c r="AD51" s="100">
        <v>7.7312484252010947</v>
      </c>
      <c r="AE51" s="100">
        <v>6605.5786544918155</v>
      </c>
      <c r="AF51" s="100">
        <v>1.9274429630318639</v>
      </c>
      <c r="AG51" s="100">
        <v>1646.8072676144245</v>
      </c>
      <c r="AH51" s="100">
        <v>9.6499944980336476</v>
      </c>
      <c r="AI51" s="100">
        <v>8244.9552991199489</v>
      </c>
      <c r="AJ51" s="100">
        <v>10</v>
      </c>
      <c r="AK51" s="100">
        <v>8544</v>
      </c>
      <c r="AL51" s="100">
        <v>7</v>
      </c>
      <c r="AM51" s="100">
        <v>5980.8</v>
      </c>
      <c r="AN51" s="100">
        <v>9.3108287345305687</v>
      </c>
      <c r="AO51" s="100">
        <v>7955.1720707829181</v>
      </c>
      <c r="AP51" s="100">
        <v>6.8215696071791028</v>
      </c>
      <c r="AQ51" s="100">
        <v>5828.349072373825</v>
      </c>
      <c r="AR51" s="100">
        <v>6.2744195127125259E-4</v>
      </c>
      <c r="AS51" s="100">
        <v>0.53608640316615819</v>
      </c>
      <c r="AT51" s="100">
        <v>9.0001641979226985</v>
      </c>
      <c r="AU51" s="100">
        <v>7689.7402907051537</v>
      </c>
      <c r="AV51" s="100">
        <v>9</v>
      </c>
      <c r="AW51" s="100">
        <v>7689.5999999999995</v>
      </c>
      <c r="AX51" s="100">
        <v>7.7907923392289566</v>
      </c>
      <c r="AY51" s="100">
        <v>6656.45297463722</v>
      </c>
      <c r="AZ51" s="100">
        <v>5.9183083645342096</v>
      </c>
      <c r="BA51" s="100">
        <v>5056.6026666580283</v>
      </c>
      <c r="BB51" s="100">
        <v>7.5757695472467592</v>
      </c>
      <c r="BC51" s="100">
        <v>6472.7375011676313</v>
      </c>
      <c r="BD51" s="100">
        <v>6.8187950405039368</v>
      </c>
      <c r="BE51" s="100">
        <v>5825.9784826065634</v>
      </c>
      <c r="BF51" s="100">
        <v>8.9087717278488086</v>
      </c>
      <c r="BG51" s="100">
        <v>7611.6545642740221</v>
      </c>
      <c r="BH51" s="100">
        <v>5.2874049540143711</v>
      </c>
      <c r="BI51" s="100">
        <v>4517.5587927098786</v>
      </c>
      <c r="BJ51" s="100">
        <v>2.0780567032736994</v>
      </c>
      <c r="BK51" s="100">
        <v>1775.4916472770487</v>
      </c>
      <c r="BL51" s="100">
        <v>4.566582799710905</v>
      </c>
      <c r="BM51" s="100">
        <v>3901.6883440729971</v>
      </c>
      <c r="BN51" s="100">
        <v>8.0460180625400088</v>
      </c>
      <c r="BO51" s="100">
        <v>6874.5178326341829</v>
      </c>
      <c r="BP51" s="100">
        <v>1.4710810945756116</v>
      </c>
      <c r="BQ51" s="100">
        <v>1256.8916872054026</v>
      </c>
      <c r="BR51" s="100">
        <v>6.9633809699622438</v>
      </c>
      <c r="BS51" s="100">
        <v>5949.5127007357405</v>
      </c>
      <c r="BT51" s="100">
        <v>3.7293074579534742</v>
      </c>
      <c r="BU51" s="100">
        <v>3186.3202920754484</v>
      </c>
      <c r="BV51" s="100">
        <v>8.0489971595032586</v>
      </c>
      <c r="BW51" s="100">
        <v>6877.063173079584</v>
      </c>
      <c r="BX51" s="100">
        <v>7.305421036374943</v>
      </c>
      <c r="BY51" s="100">
        <v>6241.7517334787508</v>
      </c>
      <c r="BZ51" s="100">
        <v>2.2023387699986108</v>
      </c>
      <c r="CA51" s="100">
        <v>1881.6782450868129</v>
      </c>
      <c r="CB51" s="100">
        <v>3.8228550501501584</v>
      </c>
      <c r="CC51" s="100">
        <v>3266.2473548482953</v>
      </c>
      <c r="CD51" s="100">
        <v>9.0236492439644902</v>
      </c>
      <c r="CE51" s="100">
        <v>7709.8059140432606</v>
      </c>
      <c r="CF51" s="100">
        <v>1.9053020327431089</v>
      </c>
      <c r="CG51" s="100">
        <v>1627.8900567757123</v>
      </c>
      <c r="CH51" s="100">
        <v>1.5909550995157464</v>
      </c>
      <c r="CI51" s="100">
        <v>1359.3120370262536</v>
      </c>
      <c r="CJ51" s="100">
        <v>11.64708332667845</v>
      </c>
      <c r="CK51" s="100">
        <v>9951.2679943140665</v>
      </c>
      <c r="CL51" s="100">
        <v>5.7522427218878853</v>
      </c>
      <c r="CM51" s="100">
        <v>4914.7161815810086</v>
      </c>
      <c r="CN51" s="100">
        <v>9</v>
      </c>
      <c r="CO51" s="100">
        <v>7689.5999999999995</v>
      </c>
      <c r="CP51" s="100">
        <v>2.9178580649996793</v>
      </c>
      <c r="CQ51" s="100">
        <v>2493.0179307357257</v>
      </c>
      <c r="CR51" s="100">
        <v>6.0143008894736285</v>
      </c>
      <c r="CS51" s="100">
        <v>5138.6186799662682</v>
      </c>
      <c r="CT51" s="100">
        <v>8</v>
      </c>
      <c r="CU51" s="100">
        <v>6835.2</v>
      </c>
    </row>
    <row r="52" spans="2:99">
      <c r="C52" s="99" t="s">
        <v>218</v>
      </c>
      <c r="D52" s="100">
        <v>12.000356201550872</v>
      </c>
      <c r="E52" s="100">
        <v>6480.1923488374705</v>
      </c>
      <c r="F52" s="100">
        <v>11</v>
      </c>
      <c r="G52" s="100">
        <v>5940</v>
      </c>
      <c r="H52" s="100">
        <v>6</v>
      </c>
      <c r="I52" s="100">
        <v>3240</v>
      </c>
      <c r="J52" s="100">
        <v>0.39923695512107238</v>
      </c>
      <c r="K52" s="100">
        <v>215.58795576537909</v>
      </c>
      <c r="L52" s="100">
        <v>7</v>
      </c>
      <c r="M52" s="100">
        <v>3780</v>
      </c>
      <c r="N52" s="100">
        <v>0.58494518042371535</v>
      </c>
      <c r="O52" s="100">
        <v>315.87039742880631</v>
      </c>
      <c r="P52" s="100">
        <v>10.350167654802512</v>
      </c>
      <c r="Q52" s="100">
        <v>5589.0905335933567</v>
      </c>
      <c r="R52" s="100">
        <v>9.6287098958957209</v>
      </c>
      <c r="S52" s="100">
        <v>5199.5033437836892</v>
      </c>
      <c r="T52" s="100">
        <v>6</v>
      </c>
      <c r="U52" s="100">
        <v>3240</v>
      </c>
      <c r="V52" s="100">
        <v>2.082766824269711</v>
      </c>
      <c r="W52" s="100">
        <v>1124.694085105644</v>
      </c>
      <c r="X52" s="100">
        <v>8</v>
      </c>
      <c r="Y52" s="100">
        <v>4320</v>
      </c>
      <c r="Z52" s="100">
        <v>9</v>
      </c>
      <c r="AA52" s="100">
        <v>4860</v>
      </c>
      <c r="AB52" s="100">
        <v>1.9146087281910678</v>
      </c>
      <c r="AC52" s="100">
        <v>1033.8887132231766</v>
      </c>
      <c r="AD52" s="100">
        <v>8.7312484252010947</v>
      </c>
      <c r="AE52" s="100">
        <v>4714.8741496085913</v>
      </c>
      <c r="AF52" s="100">
        <v>1.9274429630318639</v>
      </c>
      <c r="AG52" s="100">
        <v>1040.8192000372064</v>
      </c>
      <c r="AH52" s="100">
        <v>8.5037316651700436</v>
      </c>
      <c r="AI52" s="100">
        <v>4592.0150991918235</v>
      </c>
      <c r="AJ52" s="100">
        <v>11</v>
      </c>
      <c r="AK52" s="100">
        <v>5940</v>
      </c>
      <c r="AL52" s="100">
        <v>8</v>
      </c>
      <c r="AM52" s="100">
        <v>4320</v>
      </c>
      <c r="AN52" s="100">
        <v>8.5349263399863542</v>
      </c>
      <c r="AO52" s="100">
        <v>4608.860223592631</v>
      </c>
      <c r="AP52" s="100">
        <v>6.8215696071791028</v>
      </c>
      <c r="AQ52" s="100">
        <v>3683.6475878767155</v>
      </c>
      <c r="AR52" s="100">
        <v>6.2896961239103637E-4</v>
      </c>
      <c r="AS52" s="100">
        <v>0.33964359069115962</v>
      </c>
      <c r="AT52" s="100">
        <v>8.0002052474033736</v>
      </c>
      <c r="AU52" s="100">
        <v>4320.1108335978215</v>
      </c>
      <c r="AV52" s="100">
        <v>9</v>
      </c>
      <c r="AW52" s="100">
        <v>4860</v>
      </c>
      <c r="AX52" s="100">
        <v>7.0117131053060611</v>
      </c>
      <c r="AY52" s="100">
        <v>3786.3250768652729</v>
      </c>
      <c r="AZ52" s="100">
        <v>6.7637809880390964</v>
      </c>
      <c r="BA52" s="100">
        <v>3652.4417335411122</v>
      </c>
      <c r="BB52" s="100">
        <v>8.3333465019714374</v>
      </c>
      <c r="BC52" s="100">
        <v>4500.0071110645758</v>
      </c>
      <c r="BD52" s="100">
        <v>6.8187950405039368</v>
      </c>
      <c r="BE52" s="100">
        <v>3682.1493218721257</v>
      </c>
      <c r="BF52" s="100">
        <v>8.9754133360362172</v>
      </c>
      <c r="BG52" s="100">
        <v>4846.7232014595575</v>
      </c>
      <c r="BH52" s="100">
        <v>6.0018291120832234</v>
      </c>
      <c r="BI52" s="100">
        <v>3240.9877205249409</v>
      </c>
      <c r="BJ52" s="100">
        <v>2.0780567032736994</v>
      </c>
      <c r="BK52" s="100">
        <v>1122.1506197677977</v>
      </c>
      <c r="BL52" s="100">
        <v>5.4354049041375765</v>
      </c>
      <c r="BM52" s="100">
        <v>2935.1186482342914</v>
      </c>
      <c r="BN52" s="100">
        <v>8.2203544062966767</v>
      </c>
      <c r="BO52" s="100">
        <v>4438.991379400205</v>
      </c>
      <c r="BP52" s="100">
        <v>1.681235536657842</v>
      </c>
      <c r="BQ52" s="100">
        <v>907.86718979523471</v>
      </c>
      <c r="BR52" s="100">
        <v>7.7786311086699618</v>
      </c>
      <c r="BS52" s="100">
        <v>4200.4607986817791</v>
      </c>
      <c r="BT52" s="100">
        <v>3.726685973225043</v>
      </c>
      <c r="BU52" s="100">
        <v>2012.4104255415232</v>
      </c>
      <c r="BV52" s="100">
        <v>9.2238300194204683</v>
      </c>
      <c r="BW52" s="100">
        <v>4980.8682104870531</v>
      </c>
      <c r="BX52" s="100">
        <v>7.305421036374943</v>
      </c>
      <c r="BY52" s="100">
        <v>3944.9273596424691</v>
      </c>
      <c r="BZ52" s="100">
        <v>2.3999196018177424</v>
      </c>
      <c r="CA52" s="100">
        <v>1295.9565849815808</v>
      </c>
      <c r="CB52" s="100">
        <v>3.8195165614912479</v>
      </c>
      <c r="CC52" s="100">
        <v>2062.5389432052739</v>
      </c>
      <c r="CD52" s="100">
        <v>10.02364924396449</v>
      </c>
      <c r="CE52" s="100">
        <v>5412.7705917408248</v>
      </c>
      <c r="CF52" s="100">
        <v>1.9053020327431089</v>
      </c>
      <c r="CG52" s="100">
        <v>1028.8630976812788</v>
      </c>
      <c r="CH52" s="100">
        <v>1.9167064385565353</v>
      </c>
      <c r="CI52" s="100">
        <v>1035.0214768205292</v>
      </c>
      <c r="CJ52" s="100">
        <v>11.64708332667845</v>
      </c>
      <c r="CK52" s="100">
        <v>6289.4249964063629</v>
      </c>
      <c r="CL52" s="100">
        <v>5.7522427218878853</v>
      </c>
      <c r="CM52" s="100">
        <v>3106.2110698194579</v>
      </c>
      <c r="CN52" s="100">
        <v>10</v>
      </c>
      <c r="CO52" s="100">
        <v>5400</v>
      </c>
      <c r="CP52" s="100">
        <v>3.2825903231246389</v>
      </c>
      <c r="CQ52" s="100">
        <v>1772.598774487305</v>
      </c>
      <c r="CR52" s="100">
        <v>5.3460452350876704</v>
      </c>
      <c r="CS52" s="100">
        <v>2886.8644269473421</v>
      </c>
      <c r="CT52" s="100">
        <v>8</v>
      </c>
      <c r="CU52" s="100">
        <v>4320</v>
      </c>
    </row>
    <row r="53" spans="2:99">
      <c r="C53" s="99" t="s">
        <v>219</v>
      </c>
      <c r="D53" s="100">
        <v>12.000356201550872</v>
      </c>
      <c r="E53" s="100">
        <v>4881.7449027908951</v>
      </c>
      <c r="F53" s="100">
        <v>12</v>
      </c>
      <c r="G53" s="100">
        <v>4881.6000000000004</v>
      </c>
      <c r="H53" s="100">
        <v>7</v>
      </c>
      <c r="I53" s="100">
        <v>2847.6</v>
      </c>
      <c r="J53" s="100">
        <v>0.3593132596089651</v>
      </c>
      <c r="K53" s="100">
        <v>146.168634008927</v>
      </c>
      <c r="L53" s="100">
        <v>7</v>
      </c>
      <c r="M53" s="100">
        <v>2847.6</v>
      </c>
      <c r="N53" s="100">
        <v>0.50138158322032744</v>
      </c>
      <c r="O53" s="100">
        <v>203.96202805402922</v>
      </c>
      <c r="P53" s="100">
        <v>10.350167654802512</v>
      </c>
      <c r="Q53" s="100">
        <v>4210.4482019736615</v>
      </c>
      <c r="R53" s="100">
        <v>8.7533726326324732</v>
      </c>
      <c r="S53" s="100">
        <v>3560.8719869548904</v>
      </c>
      <c r="T53" s="100">
        <v>7</v>
      </c>
      <c r="U53" s="100">
        <v>2847.6</v>
      </c>
      <c r="V53" s="100">
        <v>2.4298946283146634</v>
      </c>
      <c r="W53" s="100">
        <v>988.48113479840515</v>
      </c>
      <c r="X53" s="100">
        <v>9</v>
      </c>
      <c r="Y53" s="100">
        <v>3661.2000000000003</v>
      </c>
      <c r="Z53" s="100">
        <v>8</v>
      </c>
      <c r="AA53" s="100">
        <v>3254.4</v>
      </c>
      <c r="AB53" s="100">
        <v>1.9146087281910678</v>
      </c>
      <c r="AC53" s="100">
        <v>778.8628306281264</v>
      </c>
      <c r="AD53" s="100">
        <v>8.877498110241314</v>
      </c>
      <c r="AE53" s="100">
        <v>3611.3662312461665</v>
      </c>
      <c r="AF53" s="100">
        <v>1.9274429630318639</v>
      </c>
      <c r="AG53" s="100">
        <v>784.08379736136226</v>
      </c>
      <c r="AH53" s="100">
        <v>8.6703244146047425</v>
      </c>
      <c r="AI53" s="100">
        <v>3527.0879718612096</v>
      </c>
      <c r="AJ53" s="100">
        <v>10</v>
      </c>
      <c r="AK53" s="100">
        <v>4068</v>
      </c>
      <c r="AL53" s="100">
        <v>8</v>
      </c>
      <c r="AM53" s="100">
        <v>3254.4</v>
      </c>
      <c r="AN53" s="100">
        <v>9.3108287345305687</v>
      </c>
      <c r="AO53" s="100">
        <v>3787.6451292070356</v>
      </c>
      <c r="AP53" s="100">
        <v>7.5037265678970142</v>
      </c>
      <c r="AQ53" s="100">
        <v>3052.5159678205055</v>
      </c>
      <c r="AR53" s="100">
        <v>6.2744195127125259E-4</v>
      </c>
      <c r="AS53" s="100">
        <v>0.25524338577714556</v>
      </c>
      <c r="AT53" s="100">
        <v>8.0001641979226985</v>
      </c>
      <c r="AU53" s="100">
        <v>3254.4667957149541</v>
      </c>
      <c r="AV53" s="100">
        <v>11</v>
      </c>
      <c r="AW53" s="100">
        <v>4474.8</v>
      </c>
      <c r="AX53" s="100">
        <v>7.0117131053060611</v>
      </c>
      <c r="AY53" s="100">
        <v>2852.3648912385056</v>
      </c>
      <c r="AZ53" s="100">
        <v>7.6092536115439833</v>
      </c>
      <c r="BA53" s="100">
        <v>3095.4443691760926</v>
      </c>
      <c r="BB53" s="100">
        <v>8.3333465019714374</v>
      </c>
      <c r="BC53" s="100">
        <v>3390.0053570019809</v>
      </c>
      <c r="BD53" s="100">
        <v>7.6592343192949084</v>
      </c>
      <c r="BE53" s="100">
        <v>3115.7765210891689</v>
      </c>
      <c r="BF53" s="100">
        <v>9.8396338655461335</v>
      </c>
      <c r="BG53" s="100">
        <v>4002.7630565041673</v>
      </c>
      <c r="BH53" s="100">
        <v>5.2874049540143711</v>
      </c>
      <c r="BI53" s="100">
        <v>2150.9163352930464</v>
      </c>
      <c r="BJ53" s="100">
        <v>2.2864609957383464</v>
      </c>
      <c r="BK53" s="100">
        <v>930.13233306635937</v>
      </c>
      <c r="BL53" s="100">
        <v>5.0020986708411286</v>
      </c>
      <c r="BM53" s="100">
        <v>2034.8537392981711</v>
      </c>
      <c r="BN53" s="100">
        <v>7.0460180625400088</v>
      </c>
      <c r="BO53" s="100">
        <v>2866.3201478412757</v>
      </c>
      <c r="BP53" s="100">
        <v>1.4710810945756116</v>
      </c>
      <c r="BQ53" s="100">
        <v>598.43578927335886</v>
      </c>
      <c r="BR53" s="100">
        <v>6.9633809699622438</v>
      </c>
      <c r="BS53" s="100">
        <v>2832.7033785806407</v>
      </c>
      <c r="BT53" s="100">
        <v>3.7672473984390251</v>
      </c>
      <c r="BU53" s="100">
        <v>1532.5162416849955</v>
      </c>
      <c r="BV53" s="100">
        <v>8.2238300194204683</v>
      </c>
      <c r="BW53" s="100">
        <v>3345.4540519002467</v>
      </c>
      <c r="BX53" s="100">
        <v>8.218598665921812</v>
      </c>
      <c r="BY53" s="100">
        <v>3343.3259372969933</v>
      </c>
      <c r="BZ53" s="100">
        <v>2.5926754969721792</v>
      </c>
      <c r="CA53" s="100">
        <v>1054.7003921682826</v>
      </c>
      <c r="CB53" s="100">
        <v>3.8195165614912479</v>
      </c>
      <c r="CC53" s="100">
        <v>1553.7793372146398</v>
      </c>
      <c r="CD53" s="100">
        <v>10.02364924396449</v>
      </c>
      <c r="CE53" s="100">
        <v>4077.6205124447547</v>
      </c>
      <c r="CF53" s="100">
        <v>1.9053020327431089</v>
      </c>
      <c r="CG53" s="100">
        <v>775.0768669198967</v>
      </c>
      <c r="CH53" s="100">
        <v>1.9186991019496831</v>
      </c>
      <c r="CI53" s="100">
        <v>780.52679467313112</v>
      </c>
      <c r="CJ53" s="100">
        <v>11.64708332667845</v>
      </c>
      <c r="CK53" s="100">
        <v>4738.033497292794</v>
      </c>
      <c r="CL53" s="100">
        <v>5.7522427218878853</v>
      </c>
      <c r="CM53" s="100">
        <v>2340.0123392639916</v>
      </c>
      <c r="CN53" s="100">
        <v>11</v>
      </c>
      <c r="CO53" s="100">
        <v>4474.8</v>
      </c>
      <c r="CP53" s="100">
        <v>3.2825903231246389</v>
      </c>
      <c r="CQ53" s="100">
        <v>1335.3577434471031</v>
      </c>
      <c r="CR53" s="100">
        <v>6.0143008894736285</v>
      </c>
      <c r="CS53" s="100">
        <v>2446.6176018378724</v>
      </c>
      <c r="CT53" s="100">
        <v>8</v>
      </c>
      <c r="CU53" s="100">
        <v>3254.4</v>
      </c>
    </row>
    <row r="54" spans="2:99">
      <c r="C54" s="99" t="s">
        <v>220</v>
      </c>
      <c r="D54" s="100">
        <v>13.000356201550872</v>
      </c>
      <c r="E54" s="100">
        <v>4352.5192562792317</v>
      </c>
      <c r="F54" s="100">
        <v>11</v>
      </c>
      <c r="G54" s="100">
        <v>3682.8</v>
      </c>
      <c r="H54" s="100">
        <v>8</v>
      </c>
      <c r="I54" s="100">
        <v>2678.4</v>
      </c>
      <c r="J54" s="100">
        <v>0.3593132596089651</v>
      </c>
      <c r="K54" s="100">
        <v>120.29807931708152</v>
      </c>
      <c r="L54" s="100">
        <v>7</v>
      </c>
      <c r="M54" s="100">
        <v>2343.6</v>
      </c>
      <c r="N54" s="100">
        <v>0.50138158322032744</v>
      </c>
      <c r="O54" s="100">
        <v>167.86255406216563</v>
      </c>
      <c r="P54" s="100">
        <v>11.350167654802512</v>
      </c>
      <c r="Q54" s="100">
        <v>3800.0361308278812</v>
      </c>
      <c r="R54" s="100">
        <v>8.7533726326324732</v>
      </c>
      <c r="S54" s="100">
        <v>2930.6291574053521</v>
      </c>
      <c r="T54" s="100">
        <v>7</v>
      </c>
      <c r="U54" s="100">
        <v>2343.6</v>
      </c>
      <c r="V54" s="100">
        <v>2.082766824269711</v>
      </c>
      <c r="W54" s="100">
        <v>697.31033276549931</v>
      </c>
      <c r="X54" s="100">
        <v>9</v>
      </c>
      <c r="Y54" s="100">
        <v>3013.2000000000003</v>
      </c>
      <c r="Z54" s="100">
        <v>8</v>
      </c>
      <c r="AA54" s="100">
        <v>2678.4</v>
      </c>
      <c r="AB54" s="100">
        <v>1.9146087281910678</v>
      </c>
      <c r="AC54" s="100">
        <v>641.01100219836951</v>
      </c>
      <c r="AD54" s="100">
        <v>7.7312484252010947</v>
      </c>
      <c r="AE54" s="100">
        <v>2588.4219727573268</v>
      </c>
      <c r="AF54" s="100">
        <v>1.9274429630318639</v>
      </c>
      <c r="AG54" s="100">
        <v>645.30790402306809</v>
      </c>
      <c r="AH54" s="100">
        <v>8.5037316651700436</v>
      </c>
      <c r="AI54" s="100">
        <v>2847.0493614989309</v>
      </c>
      <c r="AJ54" s="100">
        <v>11</v>
      </c>
      <c r="AK54" s="100">
        <v>3682.8</v>
      </c>
      <c r="AL54" s="100">
        <v>7</v>
      </c>
      <c r="AM54" s="100">
        <v>2343.6</v>
      </c>
      <c r="AN54" s="100">
        <v>8.5349263399863542</v>
      </c>
      <c r="AO54" s="100">
        <v>2857.4933386274315</v>
      </c>
      <c r="AP54" s="100">
        <v>7.5037265678970142</v>
      </c>
      <c r="AQ54" s="100">
        <v>2512.2476549319204</v>
      </c>
      <c r="AR54" s="100">
        <v>6.9800642425682719E-4</v>
      </c>
      <c r="AS54" s="100">
        <v>0.23369255084118576</v>
      </c>
      <c r="AT54" s="100">
        <v>10.000164197922699</v>
      </c>
      <c r="AU54" s="100">
        <v>3348.0549734645197</v>
      </c>
      <c r="AV54" s="100">
        <v>9</v>
      </c>
      <c r="AW54" s="100">
        <v>3013.2000000000003</v>
      </c>
      <c r="AX54" s="100">
        <v>7.7907923392289566</v>
      </c>
      <c r="AY54" s="100">
        <v>2608.3572751738548</v>
      </c>
      <c r="AZ54" s="100">
        <v>6.7637809880390964</v>
      </c>
      <c r="BA54" s="100">
        <v>2264.5138747954898</v>
      </c>
      <c r="BB54" s="100">
        <v>8.3333465019714374</v>
      </c>
      <c r="BC54" s="100">
        <v>2790.0044088600375</v>
      </c>
      <c r="BD54" s="100">
        <v>7.6592343192949084</v>
      </c>
      <c r="BE54" s="100">
        <v>2564.3116500999354</v>
      </c>
      <c r="BF54" s="100">
        <v>8.9087717278488086</v>
      </c>
      <c r="BG54" s="100">
        <v>2982.6567744837812</v>
      </c>
      <c r="BH54" s="100">
        <v>6.0018291120832234</v>
      </c>
      <c r="BI54" s="100">
        <v>2009.4123867254632</v>
      </c>
      <c r="BJ54" s="100">
        <v>1.8707694922443807</v>
      </c>
      <c r="BK54" s="100">
        <v>626.33362600341866</v>
      </c>
      <c r="BL54" s="100">
        <v>4.5687924375446816</v>
      </c>
      <c r="BM54" s="100">
        <v>1529.6317080899594</v>
      </c>
      <c r="BN54" s="100">
        <v>8.2203544062966767</v>
      </c>
      <c r="BO54" s="100">
        <v>2752.1746552281274</v>
      </c>
      <c r="BP54" s="100">
        <v>1.5565841676512879</v>
      </c>
      <c r="BQ54" s="100">
        <v>521.1443793296512</v>
      </c>
      <c r="BR54" s="100">
        <v>6.9633809699622438</v>
      </c>
      <c r="BS54" s="100">
        <v>2331.3399487433594</v>
      </c>
      <c r="BT54" s="100">
        <v>3.7672473984390251</v>
      </c>
      <c r="BU54" s="100">
        <v>1261.2744289973857</v>
      </c>
      <c r="BV54" s="100">
        <v>8.2238300194204683</v>
      </c>
      <c r="BW54" s="100">
        <v>2753.338290501973</v>
      </c>
      <c r="BX54" s="100">
        <v>8.218598665921812</v>
      </c>
      <c r="BY54" s="100">
        <v>2751.5868333506228</v>
      </c>
      <c r="BZ54" s="100">
        <v>2.3999196018177424</v>
      </c>
      <c r="CA54" s="100">
        <v>803.49308268858022</v>
      </c>
      <c r="CB54" s="100">
        <v>4.2581564785512462</v>
      </c>
      <c r="CC54" s="100">
        <v>1425.6307890189573</v>
      </c>
      <c r="CD54" s="100">
        <v>11.194257451291906</v>
      </c>
      <c r="CE54" s="100">
        <v>3747.8373946925303</v>
      </c>
      <c r="CF54" s="100">
        <v>2.222852371533627</v>
      </c>
      <c r="CG54" s="100">
        <v>744.21097398945835</v>
      </c>
      <c r="CH54" s="100">
        <v>1.9167064385565353</v>
      </c>
      <c r="CI54" s="100">
        <v>641.71331562872808</v>
      </c>
      <c r="CJ54" s="100">
        <v>11.64708332667845</v>
      </c>
      <c r="CK54" s="100">
        <v>3899.4434977719452</v>
      </c>
      <c r="CL54" s="100">
        <v>6.3913808020976504</v>
      </c>
      <c r="CM54" s="100">
        <v>2139.8342925422935</v>
      </c>
      <c r="CN54" s="100">
        <v>9</v>
      </c>
      <c r="CO54" s="100">
        <v>3013.2000000000003</v>
      </c>
      <c r="CP54" s="100">
        <v>3.2825903231246389</v>
      </c>
      <c r="CQ54" s="100">
        <v>1099.0112401821291</v>
      </c>
      <c r="CR54" s="100">
        <v>6.6825565438595875</v>
      </c>
      <c r="CS54" s="100">
        <v>2237.3199308841899</v>
      </c>
      <c r="CT54" s="100">
        <v>8</v>
      </c>
      <c r="CU54" s="100">
        <v>2678.4</v>
      </c>
    </row>
    <row r="55" spans="2:99">
      <c r="C55" s="99" t="s">
        <v>221</v>
      </c>
      <c r="D55" s="100">
        <v>12.000415568476017</v>
      </c>
      <c r="E55" s="100">
        <v>7963.4757712406854</v>
      </c>
      <c r="F55" s="100">
        <v>10</v>
      </c>
      <c r="G55" s="100">
        <v>6636</v>
      </c>
      <c r="H55" s="100">
        <v>7</v>
      </c>
      <c r="I55" s="100">
        <v>4645.2</v>
      </c>
      <c r="J55" s="100">
        <v>0.39923695512107238</v>
      </c>
      <c r="K55" s="100">
        <v>264.93364341834365</v>
      </c>
      <c r="L55" s="100">
        <v>7</v>
      </c>
      <c r="M55" s="100">
        <v>4645.2</v>
      </c>
      <c r="N55" s="100">
        <v>0.58494518042371535</v>
      </c>
      <c r="O55" s="100">
        <v>388.16962172917749</v>
      </c>
      <c r="P55" s="100">
        <v>10.350167654802512</v>
      </c>
      <c r="Q55" s="100">
        <v>6868.3712557269473</v>
      </c>
      <c r="R55" s="100">
        <v>7.8780353693692255</v>
      </c>
      <c r="S55" s="100">
        <v>5227.864271113418</v>
      </c>
      <c r="T55" s="100">
        <v>6</v>
      </c>
      <c r="U55" s="100">
        <v>3981.6000000000004</v>
      </c>
      <c r="V55" s="100">
        <v>2.082766824269711</v>
      </c>
      <c r="W55" s="100">
        <v>1382.1240645853802</v>
      </c>
      <c r="X55" s="100">
        <v>9</v>
      </c>
      <c r="Y55" s="100">
        <v>5972.4000000000005</v>
      </c>
      <c r="Z55" s="100">
        <v>8</v>
      </c>
      <c r="AA55" s="100">
        <v>5308.8</v>
      </c>
      <c r="AB55" s="100">
        <v>2.1539348192149514</v>
      </c>
      <c r="AC55" s="100">
        <v>1429.3511460310419</v>
      </c>
      <c r="AD55" s="100">
        <v>7.7312484252010947</v>
      </c>
      <c r="AE55" s="100">
        <v>5130.456454963447</v>
      </c>
      <c r="AF55" s="100">
        <v>1.9274429630318639</v>
      </c>
      <c r="AG55" s="100">
        <v>1279.0511502679449</v>
      </c>
      <c r="AH55" s="100">
        <v>9.6499944980336476</v>
      </c>
      <c r="AI55" s="100">
        <v>6403.7363488951287</v>
      </c>
      <c r="AJ55" s="100">
        <v>10</v>
      </c>
      <c r="AK55" s="100">
        <v>6636</v>
      </c>
      <c r="AL55" s="100">
        <v>7</v>
      </c>
      <c r="AM55" s="100">
        <v>4645.2</v>
      </c>
      <c r="AN55" s="100">
        <v>7.7590239454421406</v>
      </c>
      <c r="AO55" s="100">
        <v>5148.8882901954048</v>
      </c>
      <c r="AP55" s="100">
        <v>7.5037265678970142</v>
      </c>
      <c r="AQ55" s="100">
        <v>4979.4729504564584</v>
      </c>
      <c r="AR55" s="100">
        <v>6.2744195127125259E-4</v>
      </c>
      <c r="AS55" s="100">
        <v>0.41637047886360323</v>
      </c>
      <c r="AT55" s="100">
        <v>9.0002052474033736</v>
      </c>
      <c r="AU55" s="100">
        <v>5972.5362021768788</v>
      </c>
      <c r="AV55" s="100">
        <v>10</v>
      </c>
      <c r="AW55" s="100">
        <v>6636</v>
      </c>
      <c r="AX55" s="100">
        <v>7.0117131053060611</v>
      </c>
      <c r="AY55" s="100">
        <v>4652.9728166811019</v>
      </c>
      <c r="AZ55" s="100">
        <v>6.7637809880390964</v>
      </c>
      <c r="BA55" s="100">
        <v>4488.4450636627444</v>
      </c>
      <c r="BB55" s="100">
        <v>8.3333465019714374</v>
      </c>
      <c r="BC55" s="100">
        <v>5530.0087387082458</v>
      </c>
      <c r="BD55" s="100">
        <v>6.8187950405039368</v>
      </c>
      <c r="BE55" s="100">
        <v>4524.9523888784124</v>
      </c>
      <c r="BF55" s="100">
        <v>8.9754133360362172</v>
      </c>
      <c r="BG55" s="100">
        <v>5956.0842897936336</v>
      </c>
      <c r="BH55" s="100">
        <v>5.3590139158974726</v>
      </c>
      <c r="BI55" s="100">
        <v>3556.2416345895631</v>
      </c>
      <c r="BJ55" s="100">
        <v>2.0769396218383713</v>
      </c>
      <c r="BK55" s="100">
        <v>1378.2571330519434</v>
      </c>
      <c r="BL55" s="100">
        <v>5.0020986708411286</v>
      </c>
      <c r="BM55" s="100">
        <v>3319.3926779701728</v>
      </c>
      <c r="BN55" s="100">
        <v>8.2203544062966767</v>
      </c>
      <c r="BO55" s="100">
        <v>5455.0271840184751</v>
      </c>
      <c r="BP55" s="100">
        <v>1.681235536657842</v>
      </c>
      <c r="BQ55" s="100">
        <v>1115.6679021261439</v>
      </c>
      <c r="BR55" s="100">
        <v>6.9633809699622438</v>
      </c>
      <c r="BS55" s="100">
        <v>4620.899611666945</v>
      </c>
      <c r="BT55" s="100">
        <v>3.7293074579534742</v>
      </c>
      <c r="BU55" s="100">
        <v>2474.7684290979255</v>
      </c>
      <c r="BV55" s="100">
        <v>8.2238300194204683</v>
      </c>
      <c r="BW55" s="100">
        <v>5457.333600887423</v>
      </c>
      <c r="BX55" s="100">
        <v>7.305421036374943</v>
      </c>
      <c r="BY55" s="100">
        <v>4847.8773997384124</v>
      </c>
      <c r="BZ55" s="100">
        <v>2.2023387699986108</v>
      </c>
      <c r="CA55" s="100">
        <v>1461.4720077710781</v>
      </c>
      <c r="CB55" s="100">
        <v>4.2581564785512462</v>
      </c>
      <c r="CC55" s="100">
        <v>2825.712639166607</v>
      </c>
      <c r="CD55" s="100">
        <v>10.02364924396449</v>
      </c>
      <c r="CE55" s="100">
        <v>6651.6936382948361</v>
      </c>
      <c r="CF55" s="100">
        <v>1.9053020327431089</v>
      </c>
      <c r="CG55" s="100">
        <v>1264.3584289283272</v>
      </c>
      <c r="CH55" s="100">
        <v>1.5909550995157464</v>
      </c>
      <c r="CI55" s="100">
        <v>1055.7578040386493</v>
      </c>
      <c r="CJ55" s="100">
        <v>11.64708332667845</v>
      </c>
      <c r="CK55" s="100">
        <v>7729.0044955838193</v>
      </c>
      <c r="CL55" s="100">
        <v>5.7522427218878853</v>
      </c>
      <c r="CM55" s="100">
        <v>3817.1882702448006</v>
      </c>
      <c r="CN55" s="100">
        <v>9</v>
      </c>
      <c r="CO55" s="100">
        <v>5972.4000000000005</v>
      </c>
      <c r="CP55" s="100">
        <v>3.2825903231246389</v>
      </c>
      <c r="CQ55" s="100">
        <v>2178.3269384255104</v>
      </c>
      <c r="CR55" s="100">
        <v>6.0143008894736285</v>
      </c>
      <c r="CS55" s="100">
        <v>3991.0900702547001</v>
      </c>
      <c r="CT55" s="100">
        <v>8</v>
      </c>
      <c r="CU55" s="100">
        <v>5308.8</v>
      </c>
    </row>
    <row r="56" spans="2:99">
      <c r="C56" s="99" t="s">
        <v>222</v>
      </c>
      <c r="D56" s="100">
        <v>6.2919478767580879</v>
      </c>
      <c r="E56" s="100">
        <v>6176.1760358257388</v>
      </c>
      <c r="F56" s="100">
        <v>0.63843685178449483</v>
      </c>
      <c r="G56" s="100">
        <v>626.68961371166006</v>
      </c>
      <c r="H56" s="100">
        <v>3.8669202290641698</v>
      </c>
      <c r="I56" s="100">
        <v>3795.7688968493885</v>
      </c>
      <c r="J56" s="100">
        <v>6.4322133244331354</v>
      </c>
      <c r="K56" s="100">
        <v>6313.8605992635648</v>
      </c>
      <c r="L56" s="100">
        <v>6.5798822784304605</v>
      </c>
      <c r="M56" s="100">
        <v>6458.812444507339</v>
      </c>
      <c r="N56" s="100">
        <v>4.5634556870204257</v>
      </c>
      <c r="O56" s="100">
        <v>4479.4881023792495</v>
      </c>
      <c r="P56" s="100">
        <v>7.6229144644521805</v>
      </c>
      <c r="Q56" s="100">
        <v>7482.6528383062596</v>
      </c>
      <c r="R56" s="100">
        <v>6.7377706814842018</v>
      </c>
      <c r="S56" s="100">
        <v>6613.7957009448919</v>
      </c>
      <c r="T56" s="100">
        <v>5.9178993122660151</v>
      </c>
      <c r="U56" s="100">
        <v>5809.0099649203203</v>
      </c>
      <c r="V56" s="100">
        <v>4.1621783126826226E-4</v>
      </c>
      <c r="W56" s="100">
        <v>0.40855942317292621</v>
      </c>
      <c r="X56" s="100">
        <v>5.1995706138667535</v>
      </c>
      <c r="Y56" s="100">
        <v>5103.8985145716051</v>
      </c>
      <c r="Z56" s="100">
        <v>6.7057544105674625</v>
      </c>
      <c r="AA56" s="100">
        <v>6582.368529413021</v>
      </c>
      <c r="AB56" s="100">
        <v>7.029927542036707E-4</v>
      </c>
      <c r="AC56" s="100">
        <v>0.69005768752632313</v>
      </c>
      <c r="AD56" s="100">
        <v>4.979591250948317E-4</v>
      </c>
      <c r="AE56" s="100">
        <v>0.48879667719308678</v>
      </c>
      <c r="AF56" s="100">
        <v>5.0331027723357442</v>
      </c>
      <c r="AG56" s="100">
        <v>4940.4936813247659</v>
      </c>
      <c r="AH56" s="100">
        <v>6.83219748660375</v>
      </c>
      <c r="AI56" s="100">
        <v>6706.4850528502402</v>
      </c>
      <c r="AJ56" s="100">
        <v>6.858339576329799</v>
      </c>
      <c r="AK56" s="100">
        <v>6732.1461281253296</v>
      </c>
      <c r="AL56" s="100">
        <v>0.33686309244000329</v>
      </c>
      <c r="AM56" s="100">
        <v>330.66481153910718</v>
      </c>
      <c r="AN56" s="100">
        <v>12.215312088204842</v>
      </c>
      <c r="AO56" s="100">
        <v>11990.550345781872</v>
      </c>
      <c r="AP56" s="100">
        <v>2.6790937365615921</v>
      </c>
      <c r="AQ56" s="100">
        <v>2629.7984118088584</v>
      </c>
      <c r="AR56" s="100">
        <v>9.4084243424806679</v>
      </c>
      <c r="AS56" s="100">
        <v>9235.3093345790221</v>
      </c>
      <c r="AT56" s="100">
        <v>2.1352046694356326</v>
      </c>
      <c r="AU56" s="100">
        <v>2095.9169035180166</v>
      </c>
      <c r="AV56" s="100">
        <v>11.000908753792986</v>
      </c>
      <c r="AW56" s="100">
        <v>10798.492032723194</v>
      </c>
      <c r="AX56" s="100">
        <v>7.1038298551659542</v>
      </c>
      <c r="AY56" s="100">
        <v>6973.1193858308998</v>
      </c>
      <c r="AZ56" s="100">
        <v>7.6470215902119474</v>
      </c>
      <c r="BA56" s="100">
        <v>7506.316392952047</v>
      </c>
      <c r="BB56" s="100">
        <v>6.5155121327881131</v>
      </c>
      <c r="BC56" s="100">
        <v>6395.6267095448111</v>
      </c>
      <c r="BD56" s="100">
        <v>5.2469518550300363E-4</v>
      </c>
      <c r="BE56" s="100">
        <v>0.51504079408974834</v>
      </c>
      <c r="BF56" s="100">
        <v>6.7460809564621029E-4</v>
      </c>
      <c r="BG56" s="100">
        <v>0.66219530668631998</v>
      </c>
      <c r="BH56" s="100">
        <v>4.8558746981297259E-4</v>
      </c>
      <c r="BI56" s="100">
        <v>0.47665266036841386</v>
      </c>
      <c r="BJ56" s="100">
        <v>4.9092359585487346E-4</v>
      </c>
      <c r="BK56" s="100">
        <v>0.48189060169114373</v>
      </c>
      <c r="BL56" s="100">
        <v>6.8676544302346203</v>
      </c>
      <c r="BM56" s="100">
        <v>6741.2895887183031</v>
      </c>
      <c r="BN56" s="100">
        <v>4.4113228955752843</v>
      </c>
      <c r="BO56" s="100">
        <v>4330.1545542966987</v>
      </c>
      <c r="BP56" s="100">
        <v>4.3048003343789736</v>
      </c>
      <c r="BQ56" s="100">
        <v>4225.5920082264001</v>
      </c>
      <c r="BR56" s="100">
        <v>5.3531618188686503</v>
      </c>
      <c r="BS56" s="100">
        <v>5254.6636414014665</v>
      </c>
      <c r="BT56" s="100">
        <v>5.1100943699520966</v>
      </c>
      <c r="BU56" s="100">
        <v>5016.0686335449773</v>
      </c>
      <c r="BV56" s="100">
        <v>4.9126857589776254</v>
      </c>
      <c r="BW56" s="100">
        <v>4822.2923410124367</v>
      </c>
      <c r="BX56" s="100">
        <v>6.2662819793813176</v>
      </c>
      <c r="BY56" s="100">
        <v>6150.9823909607012</v>
      </c>
      <c r="BZ56" s="100">
        <v>6.4392880426108023</v>
      </c>
      <c r="CA56" s="100">
        <v>6320.805142626763</v>
      </c>
      <c r="CB56" s="100">
        <v>4.8569741553430665</v>
      </c>
      <c r="CC56" s="100">
        <v>4767.6058308847532</v>
      </c>
      <c r="CD56" s="100">
        <v>5.1499061375625121</v>
      </c>
      <c r="CE56" s="100">
        <v>5055.1478646313617</v>
      </c>
      <c r="CF56" s="100">
        <v>5.1387253054665907</v>
      </c>
      <c r="CG56" s="100">
        <v>5044.1727598460047</v>
      </c>
      <c r="CH56" s="100">
        <v>0.64379917092882566</v>
      </c>
      <c r="CI56" s="100">
        <v>631.9532661837352</v>
      </c>
      <c r="CJ56" s="100">
        <v>10.313825802204892</v>
      </c>
      <c r="CK56" s="100">
        <v>10124.051407444322</v>
      </c>
      <c r="CL56" s="100">
        <v>9</v>
      </c>
      <c r="CM56" s="100">
        <v>8834.4</v>
      </c>
      <c r="CN56" s="100">
        <v>6.4827679898887638</v>
      </c>
      <c r="CO56" s="100">
        <v>6363.4850588748095</v>
      </c>
      <c r="CP56" s="100">
        <v>0.95667492565875678</v>
      </c>
      <c r="CQ56" s="100">
        <v>939.07210702663554</v>
      </c>
      <c r="CR56" s="100">
        <v>9.2580000083100042</v>
      </c>
      <c r="CS56" s="100">
        <v>9087.6528081570996</v>
      </c>
      <c r="CT56" s="100">
        <v>1.8269916384022826</v>
      </c>
      <c r="CU56" s="100">
        <v>1793.3749922556804</v>
      </c>
    </row>
    <row r="57" spans="2:99">
      <c r="C57" s="99" t="s">
        <v>223</v>
      </c>
      <c r="D57" s="100">
        <v>11.000356201550872</v>
      </c>
      <c r="E57" s="100">
        <v>15523.702671628591</v>
      </c>
      <c r="F57" s="100">
        <v>9</v>
      </c>
      <c r="G57" s="100">
        <v>12700.800000000001</v>
      </c>
      <c r="H57" s="100">
        <v>6</v>
      </c>
      <c r="I57" s="100">
        <v>8467.2000000000007</v>
      </c>
      <c r="J57" s="100">
        <v>0.3593132596089651</v>
      </c>
      <c r="K57" s="100">
        <v>507.06287196017155</v>
      </c>
      <c r="L57" s="100">
        <v>7</v>
      </c>
      <c r="M57" s="100">
        <v>9878.4</v>
      </c>
      <c r="N57" s="100">
        <v>0.50138158322032744</v>
      </c>
      <c r="O57" s="100">
        <v>707.54969024052616</v>
      </c>
      <c r="P57" s="100">
        <v>8.2626257411018837</v>
      </c>
      <c r="Q57" s="100">
        <v>11660.217445842978</v>
      </c>
      <c r="R57" s="100">
        <v>7.8780353693692255</v>
      </c>
      <c r="S57" s="100">
        <v>11117.483513253852</v>
      </c>
      <c r="T57" s="100">
        <v>6</v>
      </c>
      <c r="U57" s="100">
        <v>8467.2000000000007</v>
      </c>
      <c r="V57" s="100">
        <v>2.082766824269711</v>
      </c>
      <c r="W57" s="100">
        <v>2939.2005424094164</v>
      </c>
      <c r="X57" s="100">
        <v>8</v>
      </c>
      <c r="Y57" s="100">
        <v>11289.6</v>
      </c>
      <c r="Z57" s="100">
        <v>7</v>
      </c>
      <c r="AA57" s="100">
        <v>9878.4</v>
      </c>
      <c r="AB57" s="100">
        <v>1.6752826371671843</v>
      </c>
      <c r="AC57" s="100">
        <v>2364.1588575703304</v>
      </c>
      <c r="AD57" s="100">
        <v>6.7312484252010947</v>
      </c>
      <c r="AE57" s="100">
        <v>9499.1377776437857</v>
      </c>
      <c r="AF57" s="100">
        <v>1.9274429630318639</v>
      </c>
      <c r="AG57" s="100">
        <v>2720.0075094305666</v>
      </c>
      <c r="AH57" s="100">
        <v>8.5037316651700436</v>
      </c>
      <c r="AI57" s="100">
        <v>12000.466125887966</v>
      </c>
      <c r="AJ57" s="100">
        <v>9</v>
      </c>
      <c r="AK57" s="100">
        <v>12700.800000000001</v>
      </c>
      <c r="AL57" s="100">
        <v>7</v>
      </c>
      <c r="AM57" s="100">
        <v>9878.4</v>
      </c>
      <c r="AN57" s="100">
        <v>8.5349263399863542</v>
      </c>
      <c r="AO57" s="100">
        <v>12044.488050988743</v>
      </c>
      <c r="AP57" s="100">
        <v>6.8215696071791028</v>
      </c>
      <c r="AQ57" s="100">
        <v>9626.59902965115</v>
      </c>
      <c r="AR57" s="100">
        <v>6.2896961239103637E-4</v>
      </c>
      <c r="AS57" s="100">
        <v>0.88760191700623059</v>
      </c>
      <c r="AT57" s="100">
        <v>8.0001641979226985</v>
      </c>
      <c r="AU57" s="100">
        <v>11289.831716108512</v>
      </c>
      <c r="AV57" s="100">
        <v>9</v>
      </c>
      <c r="AW57" s="100">
        <v>12700.800000000001</v>
      </c>
      <c r="AX57" s="100">
        <v>7.0117131053060611</v>
      </c>
      <c r="AY57" s="100">
        <v>9894.9295342079131</v>
      </c>
      <c r="AZ57" s="100">
        <v>5.9183083645342096</v>
      </c>
      <c r="BA57" s="100">
        <v>8351.9167640306769</v>
      </c>
      <c r="BB57" s="100">
        <v>6.8181925925220837</v>
      </c>
      <c r="BC57" s="100">
        <v>9621.8333865671648</v>
      </c>
      <c r="BD57" s="100">
        <v>7.6592343192949084</v>
      </c>
      <c r="BE57" s="100">
        <v>10808.711471388975</v>
      </c>
      <c r="BF57" s="100">
        <v>8.0445511983388904</v>
      </c>
      <c r="BG57" s="100">
        <v>11352.470651095842</v>
      </c>
      <c r="BH57" s="100">
        <v>5.3590139158974726</v>
      </c>
      <c r="BI57" s="100">
        <v>7562.6404381145139</v>
      </c>
      <c r="BJ57" s="100">
        <v>2.0441341778524982</v>
      </c>
      <c r="BK57" s="100">
        <v>2884.6821517854455</v>
      </c>
      <c r="BL57" s="100">
        <v>4.5687924375446816</v>
      </c>
      <c r="BM57" s="100">
        <v>6447.4798878630545</v>
      </c>
      <c r="BN57" s="100">
        <v>7.2203544062966767</v>
      </c>
      <c r="BO57" s="100">
        <v>10189.364138165871</v>
      </c>
      <c r="BP57" s="100">
        <v>1.2609266524933813</v>
      </c>
      <c r="BQ57" s="100">
        <v>1779.4196919986598</v>
      </c>
      <c r="BR57" s="100">
        <v>6.7907242918192496</v>
      </c>
      <c r="BS57" s="100">
        <v>9583.0701206153262</v>
      </c>
      <c r="BT57" s="100">
        <v>3.726685973225043</v>
      </c>
      <c r="BU57" s="100">
        <v>5259.099245415181</v>
      </c>
      <c r="BV57" s="100">
        <v>8.2238300194204683</v>
      </c>
      <c r="BW57" s="100">
        <v>11605.468923406166</v>
      </c>
      <c r="BX57" s="100">
        <v>6.3922434068280749</v>
      </c>
      <c r="BY57" s="100">
        <v>9020.733895715779</v>
      </c>
      <c r="BZ57" s="100">
        <v>2.2023387699986108</v>
      </c>
      <c r="CA57" s="100">
        <v>3107.9404722220397</v>
      </c>
      <c r="CB57" s="100">
        <v>3.743586499567888</v>
      </c>
      <c r="CC57" s="100">
        <v>5282.9492681902038</v>
      </c>
      <c r="CD57" s="100">
        <v>9.0236492439644902</v>
      </c>
      <c r="CE57" s="100">
        <v>12734.173813082689</v>
      </c>
      <c r="CF57" s="100">
        <v>1.9053020327431089</v>
      </c>
      <c r="CG57" s="100">
        <v>2688.7622286070755</v>
      </c>
      <c r="CH57" s="100">
        <v>1.6644163385462871</v>
      </c>
      <c r="CI57" s="100">
        <v>2348.8243369565203</v>
      </c>
      <c r="CJ57" s="100">
        <v>9.6470833266784499</v>
      </c>
      <c r="CK57" s="100">
        <v>13613.963990608629</v>
      </c>
      <c r="CL57" s="100">
        <v>5.1131046416781203</v>
      </c>
      <c r="CM57" s="100">
        <v>7215.6132703361636</v>
      </c>
      <c r="CN57" s="100">
        <v>10</v>
      </c>
      <c r="CO57" s="100">
        <v>14112</v>
      </c>
      <c r="CP57" s="100">
        <v>2.9178580649996793</v>
      </c>
      <c r="CQ57" s="100">
        <v>4117.6813013275478</v>
      </c>
      <c r="CR57" s="100">
        <v>6.0143008894736285</v>
      </c>
      <c r="CS57" s="100">
        <v>8487.3814152251853</v>
      </c>
      <c r="CT57" s="100">
        <v>7</v>
      </c>
      <c r="CU57" s="100">
        <v>9878.4</v>
      </c>
    </row>
    <row r="58" spans="2:99">
      <c r="C58" s="99" t="s">
        <v>224</v>
      </c>
      <c r="D58" s="100">
        <v>8.8011054387191106</v>
      </c>
      <c r="E58" s="100">
        <v>10360.661322460137</v>
      </c>
      <c r="F58" s="100">
        <v>4.2524592375102355</v>
      </c>
      <c r="G58" s="100">
        <v>5005.9950143970491</v>
      </c>
      <c r="H58" s="100">
        <v>5.1537599933439386</v>
      </c>
      <c r="I58" s="100">
        <v>6067.0062641644845</v>
      </c>
      <c r="J58" s="100">
        <v>7.0719143200890215</v>
      </c>
      <c r="K58" s="100">
        <v>8325.0575376087963</v>
      </c>
      <c r="L58" s="100">
        <v>1.8408589689766282</v>
      </c>
      <c r="M58" s="100">
        <v>2167.0591782792867</v>
      </c>
      <c r="N58" s="100">
        <v>6.6817462074167899</v>
      </c>
      <c r="O58" s="100">
        <v>7865.7516353710453</v>
      </c>
      <c r="P58" s="100">
        <v>4.0287805958517326</v>
      </c>
      <c r="Q58" s="100">
        <v>4742.68051743666</v>
      </c>
      <c r="R58" s="100">
        <v>10.627282436126318</v>
      </c>
      <c r="S58" s="100">
        <v>12510.436883807903</v>
      </c>
      <c r="T58" s="100">
        <v>5.2164680084003585</v>
      </c>
      <c r="U58" s="100">
        <v>6140.8261394889023</v>
      </c>
      <c r="V58" s="100">
        <v>2.4208427782284216</v>
      </c>
      <c r="W58" s="100">
        <v>2849.816118530498</v>
      </c>
      <c r="X58" s="100">
        <v>3.5297189534760594</v>
      </c>
      <c r="Y58" s="100">
        <v>4155.185152032017</v>
      </c>
      <c r="Z58" s="100">
        <v>8.6614698947928694</v>
      </c>
      <c r="AA58" s="100">
        <v>10196.282360150166</v>
      </c>
      <c r="AB58" s="100">
        <v>0.72395366585655518</v>
      </c>
      <c r="AC58" s="100">
        <v>852.23825544633678</v>
      </c>
      <c r="AD58" s="100">
        <v>4.184703722288673E-4</v>
      </c>
      <c r="AE58" s="100">
        <v>0.49262332218782262</v>
      </c>
      <c r="AF58" s="100">
        <v>6.0003901712536534</v>
      </c>
      <c r="AG58" s="100">
        <v>7063.6593095998014</v>
      </c>
      <c r="AH58" s="100">
        <v>6.4396471267905122</v>
      </c>
      <c r="AI58" s="100">
        <v>7580.7525976577908</v>
      </c>
      <c r="AJ58" s="100">
        <v>9.2990706230012741</v>
      </c>
      <c r="AK58" s="100">
        <v>10946.8659373971</v>
      </c>
      <c r="AL58" s="100">
        <v>6.0058713370825059</v>
      </c>
      <c r="AM58" s="100">
        <v>7070.1117380135265</v>
      </c>
      <c r="AN58" s="100">
        <v>11</v>
      </c>
      <c r="AO58" s="100">
        <v>12949.2</v>
      </c>
      <c r="AP58" s="100">
        <v>5.0691358503209782</v>
      </c>
      <c r="AQ58" s="100">
        <v>5967.3867229978559</v>
      </c>
      <c r="AR58" s="100">
        <v>9.6053261856888845</v>
      </c>
      <c r="AS58" s="100">
        <v>11307.389985792955</v>
      </c>
      <c r="AT58" s="100">
        <v>3.8025219698987498</v>
      </c>
      <c r="AU58" s="100">
        <v>4476.3288629648086</v>
      </c>
      <c r="AV58" s="100">
        <v>9.2602745993566824</v>
      </c>
      <c r="AW58" s="100">
        <v>10901.195258362686</v>
      </c>
      <c r="AX58" s="100">
        <v>3.4034196963832821</v>
      </c>
      <c r="AY58" s="100">
        <v>4006.5056665824</v>
      </c>
      <c r="AZ58" s="100">
        <v>7.5442753529595681</v>
      </c>
      <c r="BA58" s="100">
        <v>8881.1209455040043</v>
      </c>
      <c r="BB58" s="100">
        <v>1.7545155398256311</v>
      </c>
      <c r="BC58" s="100">
        <v>2065.4156934827329</v>
      </c>
      <c r="BD58" s="100">
        <v>4.4022970870088658</v>
      </c>
      <c r="BE58" s="100">
        <v>5182.3841308268375</v>
      </c>
      <c r="BF58" s="100">
        <v>5.0910945795875699</v>
      </c>
      <c r="BG58" s="100">
        <v>5993.2365390904879</v>
      </c>
      <c r="BH58" s="100">
        <v>2.3827044386803964</v>
      </c>
      <c r="BI58" s="100">
        <v>2804.9196652145629</v>
      </c>
      <c r="BJ58" s="100">
        <v>2.8071908659943055</v>
      </c>
      <c r="BK58" s="100">
        <v>3304.6250874484963</v>
      </c>
      <c r="BL58" s="100">
        <v>7.9036423348812734</v>
      </c>
      <c r="BM58" s="100">
        <v>9304.1677566222352</v>
      </c>
      <c r="BN58" s="100">
        <v>3.2672371850501674</v>
      </c>
      <c r="BO58" s="100">
        <v>3846.1916142410573</v>
      </c>
      <c r="BP58" s="100">
        <v>6.4505240576228182</v>
      </c>
      <c r="BQ58" s="100">
        <v>7593.5569206335822</v>
      </c>
      <c r="BR58" s="100">
        <v>1.8047957318867562</v>
      </c>
      <c r="BS58" s="100">
        <v>2124.6055355770895</v>
      </c>
      <c r="BT58" s="100">
        <v>6</v>
      </c>
      <c r="BU58" s="100">
        <v>7063.2000000000007</v>
      </c>
      <c r="BV58" s="100">
        <v>2.6531462613663166</v>
      </c>
      <c r="BW58" s="100">
        <v>3123.2837788804281</v>
      </c>
      <c r="BX58" s="100">
        <v>8.6134155902925684</v>
      </c>
      <c r="BY58" s="100">
        <v>10139.712832892412</v>
      </c>
      <c r="BZ58" s="100">
        <v>6.3543253519818137</v>
      </c>
      <c r="CA58" s="100">
        <v>7480.3118043529912</v>
      </c>
      <c r="CB58" s="100">
        <v>9</v>
      </c>
      <c r="CC58" s="100">
        <v>10594.800000000001</v>
      </c>
      <c r="CD58" s="100">
        <v>9</v>
      </c>
      <c r="CE58" s="100">
        <v>10594.800000000001</v>
      </c>
      <c r="CF58" s="100">
        <v>3.0240038709893837</v>
      </c>
      <c r="CG58" s="100">
        <v>3559.8573569287028</v>
      </c>
      <c r="CH58" s="100">
        <v>6</v>
      </c>
      <c r="CI58" s="100">
        <v>7063.2000000000007</v>
      </c>
      <c r="CJ58" s="100">
        <v>5.8617855927337041</v>
      </c>
      <c r="CK58" s="100">
        <v>6900.4939997661168</v>
      </c>
      <c r="CL58" s="100">
        <v>9.0684745940548748</v>
      </c>
      <c r="CM58" s="100">
        <v>10675.408292121399</v>
      </c>
      <c r="CN58" s="100">
        <v>4.0935278021455055</v>
      </c>
      <c r="CO58" s="100">
        <v>4818.900928685689</v>
      </c>
      <c r="CP58" s="100">
        <v>7.8750086866102595</v>
      </c>
      <c r="CQ58" s="100">
        <v>9270.4602258775976</v>
      </c>
      <c r="CR58" s="100">
        <v>5.7447038205133838</v>
      </c>
      <c r="CS58" s="100">
        <v>6762.6653375083561</v>
      </c>
      <c r="CT58" s="100">
        <v>8.5216258346366072</v>
      </c>
      <c r="CU58" s="100">
        <v>10031.657932534214</v>
      </c>
    </row>
    <row r="59" spans="2:99">
      <c r="C59" s="99" t="s">
        <v>225</v>
      </c>
      <c r="D59" s="100">
        <v>11.000356201550872</v>
      </c>
      <c r="E59" s="100">
        <v>3339.7081427908442</v>
      </c>
      <c r="F59" s="100">
        <v>12</v>
      </c>
      <c r="G59" s="100">
        <v>3643.2</v>
      </c>
      <c r="H59" s="100">
        <v>7</v>
      </c>
      <c r="I59" s="100">
        <v>2125.1999999999998</v>
      </c>
      <c r="J59" s="100">
        <v>0.3593132596089651</v>
      </c>
      <c r="K59" s="100">
        <v>109.08750561728179</v>
      </c>
      <c r="L59" s="100">
        <v>7</v>
      </c>
      <c r="M59" s="100">
        <v>2125.1999999999998</v>
      </c>
      <c r="N59" s="100">
        <v>0.58494518042371535</v>
      </c>
      <c r="O59" s="100">
        <v>177.58935677663996</v>
      </c>
      <c r="P59" s="100">
        <v>9.3501676548025117</v>
      </c>
      <c r="Q59" s="100">
        <v>2838.7108999980424</v>
      </c>
      <c r="R59" s="100">
        <v>8.7533726326324732</v>
      </c>
      <c r="S59" s="100">
        <v>2657.5239312672184</v>
      </c>
      <c r="T59" s="100">
        <v>7</v>
      </c>
      <c r="U59" s="100">
        <v>2125.1999999999998</v>
      </c>
      <c r="V59" s="100">
        <v>2.4298946283146634</v>
      </c>
      <c r="W59" s="100">
        <v>737.71600915633178</v>
      </c>
      <c r="X59" s="100">
        <v>9</v>
      </c>
      <c r="Y59" s="100">
        <v>2732.3999999999996</v>
      </c>
      <c r="Z59" s="100">
        <v>8</v>
      </c>
      <c r="AA59" s="100">
        <v>2428.7999999999997</v>
      </c>
      <c r="AB59" s="100">
        <v>2.1539348192149514</v>
      </c>
      <c r="AC59" s="100">
        <v>653.93461111365923</v>
      </c>
      <c r="AD59" s="100">
        <v>8.7312484252010947</v>
      </c>
      <c r="AE59" s="100">
        <v>2650.807021891052</v>
      </c>
      <c r="AF59" s="100">
        <v>2.2486834568705079</v>
      </c>
      <c r="AG59" s="100">
        <v>682.70029750588606</v>
      </c>
      <c r="AH59" s="100">
        <v>9.6499944980336476</v>
      </c>
      <c r="AI59" s="100">
        <v>2929.7383296030152</v>
      </c>
      <c r="AJ59" s="100">
        <v>12</v>
      </c>
      <c r="AK59" s="100">
        <v>3643.2</v>
      </c>
      <c r="AL59" s="100">
        <v>7</v>
      </c>
      <c r="AM59" s="100">
        <v>2125.1999999999998</v>
      </c>
      <c r="AN59" s="100">
        <v>9.3108287345305687</v>
      </c>
      <c r="AO59" s="100">
        <v>2826.7676038034801</v>
      </c>
      <c r="AP59" s="100">
        <v>7.5037265678970142</v>
      </c>
      <c r="AQ59" s="100">
        <v>2278.1313860135333</v>
      </c>
      <c r="AR59" s="100">
        <v>6.2744195127125259E-4</v>
      </c>
      <c r="AS59" s="100">
        <v>0.19049137640595226</v>
      </c>
      <c r="AT59" s="100">
        <v>9.0002052474033736</v>
      </c>
      <c r="AU59" s="100">
        <v>2732.4623131116641</v>
      </c>
      <c r="AV59" s="100">
        <v>10</v>
      </c>
      <c r="AW59" s="100">
        <v>3035.9999999999995</v>
      </c>
      <c r="AX59" s="100">
        <v>7.0117131053060611</v>
      </c>
      <c r="AY59" s="100">
        <v>2128.7560987709198</v>
      </c>
      <c r="AZ59" s="100">
        <v>6.7637809880390964</v>
      </c>
      <c r="BA59" s="100">
        <v>2053.4839079686694</v>
      </c>
      <c r="BB59" s="100">
        <v>8.3333465019714374</v>
      </c>
      <c r="BC59" s="100">
        <v>2530.0039979985281</v>
      </c>
      <c r="BD59" s="100">
        <v>6.8187950405039368</v>
      </c>
      <c r="BE59" s="100">
        <v>2070.186174296995</v>
      </c>
      <c r="BF59" s="100">
        <v>8.1111928065263008</v>
      </c>
      <c r="BG59" s="100">
        <v>2462.5581360613846</v>
      </c>
      <c r="BH59" s="100">
        <v>6.0018291120832234</v>
      </c>
      <c r="BI59" s="100">
        <v>1822.1553184284664</v>
      </c>
      <c r="BJ59" s="100">
        <v>2.0441341778524982</v>
      </c>
      <c r="BK59" s="100">
        <v>620.59913639601837</v>
      </c>
      <c r="BL59" s="100">
        <v>5.8687111374340244</v>
      </c>
      <c r="BM59" s="100">
        <v>1781.7407013249697</v>
      </c>
      <c r="BN59" s="100">
        <v>8.2203544062966767</v>
      </c>
      <c r="BO59" s="100">
        <v>2495.6995977516708</v>
      </c>
      <c r="BP59" s="100">
        <v>1.5565841676512879</v>
      </c>
      <c r="BQ59" s="100">
        <v>472.57895329893097</v>
      </c>
      <c r="BR59" s="100">
        <v>7.9512877868129568</v>
      </c>
      <c r="BS59" s="100">
        <v>2414.0109720764135</v>
      </c>
      <c r="BT59" s="100">
        <v>3.7293074579534742</v>
      </c>
      <c r="BU59" s="100">
        <v>1132.2177442346747</v>
      </c>
      <c r="BV59" s="100">
        <v>9.2238300194204683</v>
      </c>
      <c r="BW59" s="100">
        <v>2800.3547938960537</v>
      </c>
      <c r="BX59" s="100">
        <v>7.305421036374943</v>
      </c>
      <c r="BY59" s="100">
        <v>2217.9258266434326</v>
      </c>
      <c r="BZ59" s="100">
        <v>2.5975004336368737</v>
      </c>
      <c r="CA59" s="100">
        <v>788.60113165215478</v>
      </c>
      <c r="CB59" s="100">
        <v>4.2548179898923353</v>
      </c>
      <c r="CC59" s="100">
        <v>1291.7627417313129</v>
      </c>
      <c r="CD59" s="100">
        <v>10.02364924396449</v>
      </c>
      <c r="CE59" s="100">
        <v>3043.1799104676188</v>
      </c>
      <c r="CF59" s="100">
        <v>2.222852371533627</v>
      </c>
      <c r="CG59" s="100">
        <v>674.85797999760905</v>
      </c>
      <c r="CH59" s="100">
        <v>1.8542758423051742</v>
      </c>
      <c r="CI59" s="100">
        <v>562.95814572385086</v>
      </c>
      <c r="CJ59" s="100">
        <v>11.64708332667845</v>
      </c>
      <c r="CK59" s="100">
        <v>3536.0544979795768</v>
      </c>
      <c r="CL59" s="100">
        <v>5.7522427218878853</v>
      </c>
      <c r="CM59" s="100">
        <v>1746.3808903651618</v>
      </c>
      <c r="CN59" s="100">
        <v>11</v>
      </c>
      <c r="CO59" s="100">
        <v>3339.5999999999995</v>
      </c>
      <c r="CP59" s="100">
        <v>3.2825903231246389</v>
      </c>
      <c r="CQ59" s="100">
        <v>996.59442210064026</v>
      </c>
      <c r="CR59" s="100">
        <v>6.0143008894736285</v>
      </c>
      <c r="CS59" s="100">
        <v>1825.9417500441934</v>
      </c>
      <c r="CT59" s="100">
        <v>8</v>
      </c>
      <c r="CU59" s="100">
        <v>2428.7999999999997</v>
      </c>
    </row>
    <row r="60" spans="2:99">
      <c r="C60" s="99" t="s">
        <v>226</v>
      </c>
      <c r="D60" s="100">
        <v>10.000356201550872</v>
      </c>
      <c r="E60" s="100">
        <v>6516.2321009305488</v>
      </c>
      <c r="F60" s="100">
        <v>12</v>
      </c>
      <c r="G60" s="100">
        <v>7819.2000000000007</v>
      </c>
      <c r="H60" s="100">
        <v>6</v>
      </c>
      <c r="I60" s="100">
        <v>3909.6000000000004</v>
      </c>
      <c r="J60" s="100">
        <v>0.31938956409685787</v>
      </c>
      <c r="K60" s="100">
        <v>208.11423996551258</v>
      </c>
      <c r="L60" s="100">
        <v>7</v>
      </c>
      <c r="M60" s="100">
        <v>4561.2</v>
      </c>
      <c r="N60" s="100">
        <v>0.58494518042371535</v>
      </c>
      <c r="O60" s="100">
        <v>381.15027956409295</v>
      </c>
      <c r="P60" s="100">
        <v>10.262625741101884</v>
      </c>
      <c r="Q60" s="100">
        <v>6687.1269329019879</v>
      </c>
      <c r="R60" s="100">
        <v>8.7533726326324732</v>
      </c>
      <c r="S60" s="100">
        <v>5703.6976074233198</v>
      </c>
      <c r="T60" s="100">
        <v>6</v>
      </c>
      <c r="U60" s="100">
        <v>3909.6000000000004</v>
      </c>
      <c r="V60" s="100">
        <v>2.082766824269711</v>
      </c>
      <c r="W60" s="100">
        <v>1357.1308626941438</v>
      </c>
      <c r="X60" s="100">
        <v>9</v>
      </c>
      <c r="Y60" s="100">
        <v>5864.4000000000005</v>
      </c>
      <c r="Z60" s="100">
        <v>8</v>
      </c>
      <c r="AA60" s="100">
        <v>5212.8</v>
      </c>
      <c r="AB60" s="100">
        <v>1.6752826371671843</v>
      </c>
      <c r="AC60" s="100">
        <v>1091.6141663781373</v>
      </c>
      <c r="AD60" s="100">
        <v>7.7312484252010947</v>
      </c>
      <c r="AE60" s="100">
        <v>5037.6814738610337</v>
      </c>
      <c r="AF60" s="100">
        <v>2.2486834568705079</v>
      </c>
      <c r="AG60" s="100">
        <v>1465.2421404968229</v>
      </c>
      <c r="AH60" s="100">
        <v>8.6703244146047425</v>
      </c>
      <c r="AI60" s="100">
        <v>5649.5833885564507</v>
      </c>
      <c r="AJ60" s="100">
        <v>10</v>
      </c>
      <c r="AK60" s="100">
        <v>6516</v>
      </c>
      <c r="AL60" s="100">
        <v>8</v>
      </c>
      <c r="AM60" s="100">
        <v>5212.8</v>
      </c>
      <c r="AN60" s="100">
        <v>9.3108287345305687</v>
      </c>
      <c r="AO60" s="100">
        <v>6066.9360034201191</v>
      </c>
      <c r="AP60" s="100">
        <v>6.8215696071791028</v>
      </c>
      <c r="AQ60" s="100">
        <v>4444.9347560379038</v>
      </c>
      <c r="AR60" s="100">
        <v>6.9647876313704352E-4</v>
      </c>
      <c r="AS60" s="100">
        <v>0.45382556206009755</v>
      </c>
      <c r="AT60" s="100">
        <v>9.0002052474033736</v>
      </c>
      <c r="AU60" s="100">
        <v>5864.5337392080382</v>
      </c>
      <c r="AV60" s="100">
        <v>10</v>
      </c>
      <c r="AW60" s="100">
        <v>6516</v>
      </c>
      <c r="AX60" s="100">
        <v>7.7907923392289566</v>
      </c>
      <c r="AY60" s="100">
        <v>5076.4802882415879</v>
      </c>
      <c r="AZ60" s="100">
        <v>6.7637809880390964</v>
      </c>
      <c r="BA60" s="100">
        <v>4407.279691806275</v>
      </c>
      <c r="BB60" s="100">
        <v>8.3333465019714374</v>
      </c>
      <c r="BC60" s="100">
        <v>5430.0085806845891</v>
      </c>
      <c r="BD60" s="100">
        <v>7.6592343192949084</v>
      </c>
      <c r="BE60" s="100">
        <v>4990.7570824525628</v>
      </c>
      <c r="BF60" s="100">
        <v>8.1111928065263008</v>
      </c>
      <c r="BG60" s="100">
        <v>5285.253232732538</v>
      </c>
      <c r="BH60" s="100">
        <v>5.2874049540143711</v>
      </c>
      <c r="BI60" s="100">
        <v>3445.2730680357645</v>
      </c>
      <c r="BJ60" s="100">
        <v>2.0780567032736994</v>
      </c>
      <c r="BK60" s="100">
        <v>1354.0617478531426</v>
      </c>
      <c r="BL60" s="100">
        <v>4.999889033007352</v>
      </c>
      <c r="BM60" s="100">
        <v>3257.9276939075908</v>
      </c>
      <c r="BN60" s="100">
        <v>8.2203544062966767</v>
      </c>
      <c r="BO60" s="100">
        <v>5356.3829311429145</v>
      </c>
      <c r="BP60" s="100">
        <v>1.4710810945756116</v>
      </c>
      <c r="BQ60" s="100">
        <v>958.55644122546857</v>
      </c>
      <c r="BR60" s="100">
        <v>6.9633809699622438</v>
      </c>
      <c r="BS60" s="100">
        <v>4537.3390400273984</v>
      </c>
      <c r="BT60" s="100">
        <v>3.726685973225043</v>
      </c>
      <c r="BU60" s="100">
        <v>2428.308580153438</v>
      </c>
      <c r="BV60" s="100">
        <v>8.2238300194204683</v>
      </c>
      <c r="BW60" s="100">
        <v>5358.647640654377</v>
      </c>
      <c r="BX60" s="100">
        <v>7.305421036374943</v>
      </c>
      <c r="BY60" s="100">
        <v>4760.2123473019128</v>
      </c>
      <c r="BZ60" s="100">
        <v>2.3999196018177424</v>
      </c>
      <c r="CA60" s="100">
        <v>1563.7876125444411</v>
      </c>
      <c r="CB60" s="100">
        <v>4.2581564785512462</v>
      </c>
      <c r="CC60" s="100">
        <v>2774.6147614239921</v>
      </c>
      <c r="CD60" s="100">
        <v>10.02364924396449</v>
      </c>
      <c r="CE60" s="100">
        <v>6531.409847367262</v>
      </c>
      <c r="CF60" s="100">
        <v>2.222852371533627</v>
      </c>
      <c r="CG60" s="100">
        <v>1448.4106052913114</v>
      </c>
      <c r="CH60" s="100">
        <v>1.6664090019394349</v>
      </c>
      <c r="CI60" s="100">
        <v>1085.8321056637358</v>
      </c>
      <c r="CJ60" s="100">
        <v>9.5176666613427603</v>
      </c>
      <c r="CK60" s="100">
        <v>6201.7115965309431</v>
      </c>
      <c r="CL60" s="100">
        <v>6.3913808020976504</v>
      </c>
      <c r="CM60" s="100">
        <v>4164.6237306468292</v>
      </c>
      <c r="CN60" s="100">
        <v>10</v>
      </c>
      <c r="CO60" s="100">
        <v>6516</v>
      </c>
      <c r="CP60" s="100">
        <v>3.2825903231246389</v>
      </c>
      <c r="CQ60" s="100">
        <v>2138.935854548015</v>
      </c>
      <c r="CR60" s="100">
        <v>6.0143008894736285</v>
      </c>
      <c r="CS60" s="100">
        <v>3918.9184595810166</v>
      </c>
      <c r="CT60" s="100">
        <v>7</v>
      </c>
      <c r="CU60" s="100">
        <v>4561.2</v>
      </c>
    </row>
    <row r="61" spans="2:99">
      <c r="C61" s="99" t="s">
        <v>227</v>
      </c>
      <c r="D61" s="100">
        <v>11.000356201550872</v>
      </c>
      <c r="E61" s="100">
        <v>10467.938961395808</v>
      </c>
      <c r="F61" s="100">
        <v>10</v>
      </c>
      <c r="G61" s="100">
        <v>9516</v>
      </c>
      <c r="H61" s="100">
        <v>6</v>
      </c>
      <c r="I61" s="100">
        <v>5709.5999999999995</v>
      </c>
      <c r="J61" s="100">
        <v>0.39923695512107238</v>
      </c>
      <c r="K61" s="100">
        <v>379.91388649321243</v>
      </c>
      <c r="L61" s="100">
        <v>6</v>
      </c>
      <c r="M61" s="100">
        <v>5709.5999999999995</v>
      </c>
      <c r="N61" s="100">
        <v>0.50138158322032744</v>
      </c>
      <c r="O61" s="100">
        <v>477.11471459246354</v>
      </c>
      <c r="P61" s="100">
        <v>10.350167654802512</v>
      </c>
      <c r="Q61" s="100">
        <v>9849.2195403100686</v>
      </c>
      <c r="R61" s="100">
        <v>8.7533726326324732</v>
      </c>
      <c r="S61" s="100">
        <v>8329.7093972130606</v>
      </c>
      <c r="T61" s="100">
        <v>6</v>
      </c>
      <c r="U61" s="100">
        <v>5709.5999999999995</v>
      </c>
      <c r="V61" s="100">
        <v>2.4298946283146634</v>
      </c>
      <c r="W61" s="100">
        <v>2312.2877283042335</v>
      </c>
      <c r="X61" s="100">
        <v>7</v>
      </c>
      <c r="Y61" s="100">
        <v>6661.1999999999989</v>
      </c>
      <c r="Z61" s="100">
        <v>8</v>
      </c>
      <c r="AA61" s="100">
        <v>7612.7999999999993</v>
      </c>
      <c r="AB61" s="100">
        <v>1.6752826371671843</v>
      </c>
      <c r="AC61" s="100">
        <v>1594.1989575282923</v>
      </c>
      <c r="AD61" s="100">
        <v>7.7312484252010947</v>
      </c>
      <c r="AE61" s="100">
        <v>7357.0560014213606</v>
      </c>
      <c r="AF61" s="100">
        <v>1.9274429630318639</v>
      </c>
      <c r="AG61" s="100">
        <v>1834.1547236211215</v>
      </c>
      <c r="AH61" s="100">
        <v>8.5037316651700436</v>
      </c>
      <c r="AI61" s="100">
        <v>8092.1510525758131</v>
      </c>
      <c r="AJ61" s="100">
        <v>11</v>
      </c>
      <c r="AK61" s="100">
        <v>10467.599999999999</v>
      </c>
      <c r="AL61" s="100">
        <v>7</v>
      </c>
      <c r="AM61" s="100">
        <v>6661.1999999999989</v>
      </c>
      <c r="AN61" s="100">
        <v>8.5349263399863542</v>
      </c>
      <c r="AO61" s="100">
        <v>8121.8359051310135</v>
      </c>
      <c r="AP61" s="100">
        <v>6.1394126464611931</v>
      </c>
      <c r="AQ61" s="100">
        <v>5842.2650743724707</v>
      </c>
      <c r="AR61" s="100">
        <v>5.5993280052524556E-4</v>
      </c>
      <c r="AS61" s="100">
        <v>0.53283205297982361</v>
      </c>
      <c r="AT61" s="100">
        <v>8.0001641979226985</v>
      </c>
      <c r="AU61" s="100">
        <v>7612.9562507432393</v>
      </c>
      <c r="AV61" s="100">
        <v>10</v>
      </c>
      <c r="AW61" s="100">
        <v>9516</v>
      </c>
      <c r="AX61" s="100">
        <v>7.0117131053060611</v>
      </c>
      <c r="AY61" s="100">
        <v>6672.3461910092474</v>
      </c>
      <c r="AZ61" s="100">
        <v>6.7637809880390964</v>
      </c>
      <c r="BA61" s="100">
        <v>6436.4139882180034</v>
      </c>
      <c r="BB61" s="100">
        <v>7.5757695472467592</v>
      </c>
      <c r="BC61" s="100">
        <v>7209.1023011600155</v>
      </c>
      <c r="BD61" s="100">
        <v>6.7949748379598978</v>
      </c>
      <c r="BE61" s="100">
        <v>6466.0980558026376</v>
      </c>
      <c r="BF61" s="100">
        <v>8.9754133360362172</v>
      </c>
      <c r="BG61" s="100">
        <v>8541.0033305720626</v>
      </c>
      <c r="BH61" s="100">
        <v>5.2874049540143711</v>
      </c>
      <c r="BI61" s="100">
        <v>5031.4945542400746</v>
      </c>
      <c r="BJ61" s="100">
        <v>2.0452512592878263</v>
      </c>
      <c r="BK61" s="100">
        <v>1946.2610983382954</v>
      </c>
      <c r="BL61" s="100">
        <v>4.566582799710905</v>
      </c>
      <c r="BM61" s="100">
        <v>4345.5601922048963</v>
      </c>
      <c r="BN61" s="100">
        <v>8.0460180625400088</v>
      </c>
      <c r="BO61" s="100">
        <v>7656.5907883130712</v>
      </c>
      <c r="BP61" s="100">
        <v>1.4710810945756116</v>
      </c>
      <c r="BQ61" s="100">
        <v>1399.8807695981518</v>
      </c>
      <c r="BR61" s="100">
        <v>6.7907242918192496</v>
      </c>
      <c r="BS61" s="100">
        <v>6462.0532360951975</v>
      </c>
      <c r="BT61" s="100">
        <v>4.3157467709031865</v>
      </c>
      <c r="BU61" s="100">
        <v>4106.8646271914722</v>
      </c>
      <c r="BV61" s="100">
        <v>7.0489971595032586</v>
      </c>
      <c r="BW61" s="100">
        <v>6707.8256969833001</v>
      </c>
      <c r="BX61" s="100">
        <v>8.218598665921812</v>
      </c>
      <c r="BY61" s="100">
        <v>7820.8184904911959</v>
      </c>
      <c r="BZ61" s="100">
        <v>2.2023387699986108</v>
      </c>
      <c r="CA61" s="100">
        <v>2095.745573530678</v>
      </c>
      <c r="CB61" s="100">
        <v>4.2548179898923353</v>
      </c>
      <c r="CC61" s="100">
        <v>4048.884799181546</v>
      </c>
      <c r="CD61" s="100">
        <v>9.1942574512919055</v>
      </c>
      <c r="CE61" s="100">
        <v>8749.2553906493758</v>
      </c>
      <c r="CF61" s="100">
        <v>1.9053020327431089</v>
      </c>
      <c r="CG61" s="100">
        <v>1813.0854143583424</v>
      </c>
      <c r="CH61" s="100">
        <v>1.8322145567468151</v>
      </c>
      <c r="CI61" s="100">
        <v>1743.5353722002692</v>
      </c>
      <c r="CJ61" s="100">
        <v>11.64708332667845</v>
      </c>
      <c r="CK61" s="100">
        <v>11083.364493667212</v>
      </c>
      <c r="CL61" s="100">
        <v>5.1131046416781203</v>
      </c>
      <c r="CM61" s="100">
        <v>4865.6303770208988</v>
      </c>
      <c r="CN61" s="100">
        <v>10</v>
      </c>
      <c r="CO61" s="100">
        <v>9516</v>
      </c>
      <c r="CP61" s="100">
        <v>2.9178580649996793</v>
      </c>
      <c r="CQ61" s="100">
        <v>2776.6337346536943</v>
      </c>
      <c r="CR61" s="100">
        <v>6.0143008894736285</v>
      </c>
      <c r="CS61" s="100">
        <v>5723.2087264231041</v>
      </c>
      <c r="CT61" s="100">
        <v>7</v>
      </c>
      <c r="CU61" s="100">
        <v>6661.1999999999989</v>
      </c>
    </row>
    <row r="62" spans="2:99">
      <c r="C62" s="99" t="s">
        <v>228</v>
      </c>
      <c r="D62" s="100">
        <v>6.2919478767580879</v>
      </c>
      <c r="E62" s="100">
        <v>10502.519395884601</v>
      </c>
      <c r="F62" s="100">
        <v>0.58099834994693844</v>
      </c>
      <c r="G62" s="100">
        <v>969.80244573142966</v>
      </c>
      <c r="H62" s="100">
        <v>3.8664624379924764</v>
      </c>
      <c r="I62" s="100">
        <v>6453.8991014970416</v>
      </c>
      <c r="J62" s="100">
        <v>5.7827999401189878</v>
      </c>
      <c r="K62" s="100">
        <v>9652.6496600466144</v>
      </c>
      <c r="L62" s="100">
        <v>5.6198993371297741</v>
      </c>
      <c r="M62" s="100">
        <v>9380.7359735370192</v>
      </c>
      <c r="N62" s="100">
        <v>4.5634556870204257</v>
      </c>
      <c r="O62" s="100">
        <v>7617.3202327744948</v>
      </c>
      <c r="P62" s="100">
        <v>7.4863716592360108</v>
      </c>
      <c r="Q62" s="100">
        <v>12496.25157359675</v>
      </c>
      <c r="R62" s="100">
        <v>6.0219298286848275</v>
      </c>
      <c r="S62" s="100">
        <v>10051.805270040715</v>
      </c>
      <c r="T62" s="100">
        <v>5.0170141025258026</v>
      </c>
      <c r="U62" s="100">
        <v>8374.3999399360691</v>
      </c>
      <c r="V62" s="100">
        <v>3.4684819272355188E-4</v>
      </c>
      <c r="W62" s="100">
        <v>0.57895900329415284</v>
      </c>
      <c r="X62" s="100">
        <v>5.9423335375931812</v>
      </c>
      <c r="Y62" s="100">
        <v>9918.9431409505378</v>
      </c>
      <c r="Z62" s="100">
        <v>6.7057544105674625</v>
      </c>
      <c r="AA62" s="100">
        <v>11193.245262119208</v>
      </c>
      <c r="AB62" s="100">
        <v>6.1518667458993262E-4</v>
      </c>
      <c r="AC62" s="100">
        <v>1.0268695972255155</v>
      </c>
      <c r="AD62" s="100">
        <v>4.979591250948317E-4</v>
      </c>
      <c r="AE62" s="100">
        <v>0.8311933716082931</v>
      </c>
      <c r="AF62" s="100">
        <v>4.1942822355430573</v>
      </c>
      <c r="AG62" s="100">
        <v>7001.0959075684714</v>
      </c>
      <c r="AH62" s="100">
        <v>5.4329817342965603</v>
      </c>
      <c r="AI62" s="100">
        <v>9068.7331108878188</v>
      </c>
      <c r="AJ62" s="100">
        <v>6.2837512194995329</v>
      </c>
      <c r="AK62" s="100">
        <v>10488.83753558862</v>
      </c>
      <c r="AL62" s="100">
        <v>0.33745369845792295</v>
      </c>
      <c r="AM62" s="100">
        <v>563.27771346596501</v>
      </c>
      <c r="AN62" s="100">
        <v>10.215312088204842</v>
      </c>
      <c r="AO62" s="100">
        <v>17051.398937631522</v>
      </c>
      <c r="AP62" s="100">
        <v>2.2015067043909444</v>
      </c>
      <c r="AQ62" s="100">
        <v>3674.7549909693644</v>
      </c>
      <c r="AR62" s="100">
        <v>8.5105304281008358</v>
      </c>
      <c r="AS62" s="100">
        <v>14205.777390585916</v>
      </c>
      <c r="AT62" s="100">
        <v>2.1352046694356326</v>
      </c>
      <c r="AU62" s="100">
        <v>3564.0836342219582</v>
      </c>
      <c r="AV62" s="100">
        <v>8.8579217889654167</v>
      </c>
      <c r="AW62" s="100">
        <v>14785.643050141074</v>
      </c>
      <c r="AX62" s="100">
        <v>6.3934468696493596</v>
      </c>
      <c r="AY62" s="100">
        <v>10671.941514818711</v>
      </c>
      <c r="AZ62" s="100">
        <v>6.7973525246328421</v>
      </c>
      <c r="BA62" s="100">
        <v>11346.140834117141</v>
      </c>
      <c r="BB62" s="100">
        <v>6.5155121327881131</v>
      </c>
      <c r="BC62" s="100">
        <v>10875.692852049919</v>
      </c>
      <c r="BD62" s="100">
        <v>5.9965164057486126E-4</v>
      </c>
      <c r="BE62" s="100">
        <v>1.0009385184475585</v>
      </c>
      <c r="BF62" s="100">
        <v>5.9965164057440914E-4</v>
      </c>
      <c r="BG62" s="100">
        <v>1.0009385184468038</v>
      </c>
      <c r="BH62" s="100">
        <v>4.8558746981297259E-4</v>
      </c>
      <c r="BI62" s="100">
        <v>0.81054260461181382</v>
      </c>
      <c r="BJ62" s="100">
        <v>4.9092359585487346E-4</v>
      </c>
      <c r="BK62" s="100">
        <v>0.81944966620095483</v>
      </c>
      <c r="BL62" s="100">
        <v>6.8676544302346203</v>
      </c>
      <c r="BM62" s="100">
        <v>11463.488774947629</v>
      </c>
      <c r="BN62" s="100">
        <v>3.7801553877127994</v>
      </c>
      <c r="BO62" s="100">
        <v>6309.8353731702045</v>
      </c>
      <c r="BP62" s="100">
        <v>4.3048003343789736</v>
      </c>
      <c r="BQ62" s="100">
        <v>7185.5727181453831</v>
      </c>
      <c r="BR62" s="100">
        <v>4.5628933224044212</v>
      </c>
      <c r="BS62" s="100">
        <v>7616.3815337574606</v>
      </c>
      <c r="BT62" s="100">
        <v>4.366481024436129</v>
      </c>
      <c r="BU62" s="100">
        <v>7288.5301259887865</v>
      </c>
      <c r="BV62" s="100">
        <v>4.3001561683372111</v>
      </c>
      <c r="BW62" s="100">
        <v>7177.820676188473</v>
      </c>
      <c r="BX62" s="100">
        <v>6.265391183002377</v>
      </c>
      <c r="BY62" s="100">
        <v>10458.190962667568</v>
      </c>
      <c r="BZ62" s="100">
        <v>6.5423885018859966</v>
      </c>
      <c r="CA62" s="100">
        <v>10920.554887348106</v>
      </c>
      <c r="CB62" s="100">
        <v>4.2928131644307088</v>
      </c>
      <c r="CC62" s="100">
        <v>7165.5637340677395</v>
      </c>
      <c r="CD62" s="100">
        <v>5.8312723438601166</v>
      </c>
      <c r="CE62" s="100">
        <v>9733.5597963713062</v>
      </c>
      <c r="CF62" s="100">
        <v>5.1387253054665907</v>
      </c>
      <c r="CG62" s="100">
        <v>8577.560279884834</v>
      </c>
      <c r="CH62" s="100">
        <v>0.55376847137590324</v>
      </c>
      <c r="CI62" s="100">
        <v>924.35033242065776</v>
      </c>
      <c r="CJ62" s="100">
        <v>10.251060641763914</v>
      </c>
      <c r="CK62" s="100">
        <v>17111.070423232326</v>
      </c>
      <c r="CL62" s="100">
        <v>8</v>
      </c>
      <c r="CM62" s="100">
        <v>13353.6</v>
      </c>
      <c r="CN62" s="100">
        <v>5.2133383697476594</v>
      </c>
      <c r="CO62" s="100">
        <v>8702.1044067827934</v>
      </c>
      <c r="CP62" s="100">
        <v>0.95667492565875678</v>
      </c>
      <c r="CQ62" s="100">
        <v>1596.8817859095968</v>
      </c>
      <c r="CR62" s="100">
        <v>8.2580000083100042</v>
      </c>
      <c r="CS62" s="100">
        <v>13784.25361387106</v>
      </c>
      <c r="CT62" s="100">
        <v>1.8269916384022826</v>
      </c>
      <c r="CU62" s="100">
        <v>3049.6144428210901</v>
      </c>
    </row>
    <row r="63" spans="2:99">
      <c r="C63" s="99" t="s">
        <v>229</v>
      </c>
      <c r="D63" s="100">
        <v>11.000356201550872</v>
      </c>
      <c r="E63" s="100">
        <v>8751.8833939538745</v>
      </c>
      <c r="F63" s="100">
        <v>11</v>
      </c>
      <c r="G63" s="100">
        <v>8751.6</v>
      </c>
      <c r="H63" s="100">
        <v>6</v>
      </c>
      <c r="I63" s="100">
        <v>4773.6000000000004</v>
      </c>
      <c r="J63" s="100">
        <v>0.3593132596089651</v>
      </c>
      <c r="K63" s="100">
        <v>285.86962934489264</v>
      </c>
      <c r="L63" s="100">
        <v>6</v>
      </c>
      <c r="M63" s="100">
        <v>4773.6000000000004</v>
      </c>
      <c r="N63" s="100">
        <v>0.50138158322032744</v>
      </c>
      <c r="O63" s="100">
        <v>398.8991876100925</v>
      </c>
      <c r="P63" s="100">
        <v>9.3501676548025117</v>
      </c>
      <c r="Q63" s="100">
        <v>7438.9933861608788</v>
      </c>
      <c r="R63" s="100">
        <v>9.6287098958957209</v>
      </c>
      <c r="S63" s="100">
        <v>7660.601593174636</v>
      </c>
      <c r="T63" s="100">
        <v>6</v>
      </c>
      <c r="U63" s="100">
        <v>4773.6000000000004</v>
      </c>
      <c r="V63" s="100">
        <v>2.082766824269711</v>
      </c>
      <c r="W63" s="100">
        <v>1657.0492853889821</v>
      </c>
      <c r="X63" s="100">
        <v>8</v>
      </c>
      <c r="Y63" s="100">
        <v>6364.8</v>
      </c>
      <c r="Z63" s="100">
        <v>7</v>
      </c>
      <c r="AA63" s="100">
        <v>5569.2</v>
      </c>
      <c r="AB63" s="100">
        <v>1.9146087281910678</v>
      </c>
      <c r="AC63" s="100">
        <v>1523.2627041488136</v>
      </c>
      <c r="AD63" s="100">
        <v>7.877498110241314</v>
      </c>
      <c r="AE63" s="100">
        <v>6267.3374965079893</v>
      </c>
      <c r="AF63" s="100">
        <v>2.2486834568705079</v>
      </c>
      <c r="AG63" s="100">
        <v>1789.052558286176</v>
      </c>
      <c r="AH63" s="100">
        <v>8.5037316651700436</v>
      </c>
      <c r="AI63" s="100">
        <v>6765.5689128092872</v>
      </c>
      <c r="AJ63" s="100">
        <v>10</v>
      </c>
      <c r="AK63" s="100">
        <v>7956</v>
      </c>
      <c r="AL63" s="100">
        <v>8</v>
      </c>
      <c r="AM63" s="100">
        <v>6364.8</v>
      </c>
      <c r="AN63" s="100">
        <v>9.3108287345305687</v>
      </c>
      <c r="AO63" s="100">
        <v>7407.6953411925206</v>
      </c>
      <c r="AP63" s="100">
        <v>6.8215696071791028</v>
      </c>
      <c r="AQ63" s="100">
        <v>5427.2407794716946</v>
      </c>
      <c r="AR63" s="100">
        <v>6.2896961239103637E-4</v>
      </c>
      <c r="AS63" s="100">
        <v>0.5004082236183085</v>
      </c>
      <c r="AT63" s="100">
        <v>8.0001641979226985</v>
      </c>
      <c r="AU63" s="100">
        <v>6364.9306358672993</v>
      </c>
      <c r="AV63" s="100">
        <v>10</v>
      </c>
      <c r="AW63" s="100">
        <v>7956</v>
      </c>
      <c r="AX63" s="100">
        <v>7.0117131053060611</v>
      </c>
      <c r="AY63" s="100">
        <v>5578.518946581502</v>
      </c>
      <c r="AZ63" s="100">
        <v>7.6092536115439833</v>
      </c>
      <c r="BA63" s="100">
        <v>6053.9221733443928</v>
      </c>
      <c r="BB63" s="100">
        <v>7.5757695472467592</v>
      </c>
      <c r="BC63" s="100">
        <v>6027.282251789522</v>
      </c>
      <c r="BD63" s="100">
        <v>7.6592343192949084</v>
      </c>
      <c r="BE63" s="100">
        <v>6093.686824431029</v>
      </c>
      <c r="BF63" s="100">
        <v>8.9087717278488086</v>
      </c>
      <c r="BG63" s="100">
        <v>7087.818786676512</v>
      </c>
      <c r="BH63" s="100">
        <v>5.2874049540143711</v>
      </c>
      <c r="BI63" s="100">
        <v>4206.6593814138341</v>
      </c>
      <c r="BJ63" s="100">
        <v>1.8357298853878516</v>
      </c>
      <c r="BK63" s="100">
        <v>1460.5066968145748</v>
      </c>
      <c r="BL63" s="100">
        <v>4.5687924375446816</v>
      </c>
      <c r="BM63" s="100">
        <v>3634.9312633105487</v>
      </c>
      <c r="BN63" s="100">
        <v>8.0460180625400088</v>
      </c>
      <c r="BO63" s="100">
        <v>6401.411970556831</v>
      </c>
      <c r="BP63" s="100">
        <v>1.2609266524933813</v>
      </c>
      <c r="BQ63" s="100">
        <v>1003.1932447237342</v>
      </c>
      <c r="BR63" s="100">
        <v>6.7907242918192496</v>
      </c>
      <c r="BS63" s="100">
        <v>5402.7002465713949</v>
      </c>
      <c r="BT63" s="100">
        <v>3.727996715589259</v>
      </c>
      <c r="BU63" s="100">
        <v>2965.9941869228146</v>
      </c>
      <c r="BV63" s="100">
        <v>9.0489971595032586</v>
      </c>
      <c r="BW63" s="100">
        <v>7199.3821401007926</v>
      </c>
      <c r="BX63" s="100">
        <v>7.305421036374943</v>
      </c>
      <c r="BY63" s="100">
        <v>5812.1929765399045</v>
      </c>
      <c r="BZ63" s="100">
        <v>2.395094665153048</v>
      </c>
      <c r="CA63" s="100">
        <v>1905.537315595765</v>
      </c>
      <c r="CB63" s="100">
        <v>3.8195165614912479</v>
      </c>
      <c r="CC63" s="100">
        <v>3038.807376322437</v>
      </c>
      <c r="CD63" s="100">
        <v>10.194257451291906</v>
      </c>
      <c r="CE63" s="100">
        <v>8110.5512282478403</v>
      </c>
      <c r="CF63" s="100">
        <v>1.9053020327431089</v>
      </c>
      <c r="CG63" s="100">
        <v>1515.8582972504175</v>
      </c>
      <c r="CH63" s="100">
        <v>1.6664090019394349</v>
      </c>
      <c r="CI63" s="100">
        <v>1325.7950019430143</v>
      </c>
      <c r="CJ63" s="100">
        <v>9.6470833266784499</v>
      </c>
      <c r="CK63" s="100">
        <v>7675.2194947053749</v>
      </c>
      <c r="CL63" s="100">
        <v>5.7522427218878853</v>
      </c>
      <c r="CM63" s="100">
        <v>4576.484309534002</v>
      </c>
      <c r="CN63" s="100">
        <v>10</v>
      </c>
      <c r="CO63" s="100">
        <v>7956</v>
      </c>
      <c r="CP63" s="100">
        <v>2.9178580649996793</v>
      </c>
      <c r="CQ63" s="100">
        <v>2321.4478765137451</v>
      </c>
      <c r="CR63" s="100">
        <v>5.3460452350876704</v>
      </c>
      <c r="CS63" s="100">
        <v>4253.3135890357507</v>
      </c>
      <c r="CT63" s="100">
        <v>8</v>
      </c>
      <c r="CU63" s="100">
        <v>6364.8</v>
      </c>
    </row>
    <row r="64" spans="2:99">
      <c r="C64" s="99" t="s">
        <v>230</v>
      </c>
      <c r="D64" s="100">
        <v>10.000356201550872</v>
      </c>
      <c r="E64" s="100">
        <v>10092.359478605138</v>
      </c>
      <c r="F64" s="100">
        <v>10</v>
      </c>
      <c r="G64" s="100">
        <v>10091.999999999998</v>
      </c>
      <c r="H64" s="100">
        <v>7</v>
      </c>
      <c r="I64" s="100">
        <v>7064.3999999999987</v>
      </c>
      <c r="J64" s="100">
        <v>0.3593132596089651</v>
      </c>
      <c r="K64" s="100">
        <v>362.6189415973675</v>
      </c>
      <c r="L64" s="100">
        <v>6</v>
      </c>
      <c r="M64" s="100">
        <v>6055.1999999999989</v>
      </c>
      <c r="N64" s="100">
        <v>0.50138158322032744</v>
      </c>
      <c r="O64" s="100">
        <v>505.99429378595437</v>
      </c>
      <c r="P64" s="100">
        <v>9.2626257411018837</v>
      </c>
      <c r="Q64" s="100">
        <v>9347.8418979200196</v>
      </c>
      <c r="R64" s="100">
        <v>8.7533726326324732</v>
      </c>
      <c r="S64" s="100">
        <v>8833.9036608526912</v>
      </c>
      <c r="T64" s="100">
        <v>6</v>
      </c>
      <c r="U64" s="100">
        <v>6055.1999999999989</v>
      </c>
      <c r="V64" s="100">
        <v>2.082766824269711</v>
      </c>
      <c r="W64" s="100">
        <v>2101.9282790529919</v>
      </c>
      <c r="X64" s="100">
        <v>8</v>
      </c>
      <c r="Y64" s="100">
        <v>8073.5999999999985</v>
      </c>
      <c r="Z64" s="100">
        <v>8</v>
      </c>
      <c r="AA64" s="100">
        <v>8073.5999999999985</v>
      </c>
      <c r="AB64" s="100">
        <v>1.6752826371671843</v>
      </c>
      <c r="AC64" s="100">
        <v>1690.695237429122</v>
      </c>
      <c r="AD64" s="100">
        <v>6.7312484252010947</v>
      </c>
      <c r="AE64" s="100">
        <v>6793.1759107129437</v>
      </c>
      <c r="AF64" s="100">
        <v>1.9274429630318639</v>
      </c>
      <c r="AG64" s="100">
        <v>1945.1754382917568</v>
      </c>
      <c r="AH64" s="100">
        <v>7.5240615817411367</v>
      </c>
      <c r="AI64" s="100">
        <v>7593.2829482931538</v>
      </c>
      <c r="AJ64" s="100">
        <v>10</v>
      </c>
      <c r="AK64" s="100">
        <v>10091.999999999998</v>
      </c>
      <c r="AL64" s="100">
        <v>6</v>
      </c>
      <c r="AM64" s="100">
        <v>6055.1999999999989</v>
      </c>
      <c r="AN64" s="100">
        <v>9.3108287345305687</v>
      </c>
      <c r="AO64" s="100">
        <v>9396.4883588882476</v>
      </c>
      <c r="AP64" s="100">
        <v>6.1394126464611931</v>
      </c>
      <c r="AQ64" s="100">
        <v>6195.895242808635</v>
      </c>
      <c r="AR64" s="100">
        <v>6.2896961239103637E-4</v>
      </c>
      <c r="AS64" s="100">
        <v>0.63475613282503385</v>
      </c>
      <c r="AT64" s="100">
        <v>9.0001641979226985</v>
      </c>
      <c r="AU64" s="100">
        <v>9082.9657085435865</v>
      </c>
      <c r="AV64" s="100">
        <v>9</v>
      </c>
      <c r="AW64" s="100">
        <v>9082.7999999999993</v>
      </c>
      <c r="AX64" s="100">
        <v>7.0117131053060611</v>
      </c>
      <c r="AY64" s="100">
        <v>7076.2208658748759</v>
      </c>
      <c r="AZ64" s="100">
        <v>6.7637809880390964</v>
      </c>
      <c r="BA64" s="100">
        <v>6826.0077731290548</v>
      </c>
      <c r="BB64" s="100">
        <v>7.5757695472467592</v>
      </c>
      <c r="BC64" s="100">
        <v>7645.4666270814278</v>
      </c>
      <c r="BD64" s="100">
        <v>6.7949748379598978</v>
      </c>
      <c r="BE64" s="100">
        <v>6857.4886064691273</v>
      </c>
      <c r="BF64" s="100">
        <v>8.0445511983388904</v>
      </c>
      <c r="BG64" s="100">
        <v>8118.5610693636072</v>
      </c>
      <c r="BH64" s="100">
        <v>5.2874049540143711</v>
      </c>
      <c r="BI64" s="100">
        <v>5336.049079591302</v>
      </c>
      <c r="BJ64" s="100">
        <v>1.8718865736797086</v>
      </c>
      <c r="BK64" s="100">
        <v>1889.1079301575614</v>
      </c>
      <c r="BL64" s="100">
        <v>4.5687924375446816</v>
      </c>
      <c r="BM64" s="100">
        <v>4610.8253279700921</v>
      </c>
      <c r="BN64" s="100">
        <v>7.2203544062966767</v>
      </c>
      <c r="BO64" s="100">
        <v>7286.7816668346049</v>
      </c>
      <c r="BP64" s="100">
        <v>1.4710810945756116</v>
      </c>
      <c r="BQ64" s="100">
        <v>1484.615040645707</v>
      </c>
      <c r="BR64" s="100">
        <v>6.9633809699622438</v>
      </c>
      <c r="BS64" s="100">
        <v>7027.4440748858951</v>
      </c>
      <c r="BT64" s="100">
        <v>3.7293074579534742</v>
      </c>
      <c r="BU64" s="100">
        <v>3763.6170865666454</v>
      </c>
      <c r="BV64" s="100">
        <v>7.2238300194204683</v>
      </c>
      <c r="BW64" s="100">
        <v>7290.2892555991357</v>
      </c>
      <c r="BX64" s="100">
        <v>7.305421036374943</v>
      </c>
      <c r="BY64" s="100">
        <v>7372.6309099095915</v>
      </c>
      <c r="BZ64" s="100">
        <v>2.0047579381794796</v>
      </c>
      <c r="CA64" s="100">
        <v>2023.2017112107303</v>
      </c>
      <c r="CB64" s="100">
        <v>3.8195165614912479</v>
      </c>
      <c r="CC64" s="100">
        <v>3854.6561138569668</v>
      </c>
      <c r="CD64" s="100">
        <v>9.0236492439644902</v>
      </c>
      <c r="CE64" s="100">
        <v>9106.6668170089615</v>
      </c>
      <c r="CF64" s="100">
        <v>1.5877516939525906</v>
      </c>
      <c r="CG64" s="100">
        <v>1602.3590095369541</v>
      </c>
      <c r="CH64" s="100">
        <v>1.9167064385565353</v>
      </c>
      <c r="CI64" s="100">
        <v>1934.3401377912551</v>
      </c>
      <c r="CJ64" s="100">
        <v>11.64708332667845</v>
      </c>
      <c r="CK64" s="100">
        <v>11754.23649328389</v>
      </c>
      <c r="CL64" s="100">
        <v>5.7522427218878853</v>
      </c>
      <c r="CM64" s="100">
        <v>5805.1633549292528</v>
      </c>
      <c r="CN64" s="100">
        <v>10</v>
      </c>
      <c r="CO64" s="100">
        <v>10091.999999999998</v>
      </c>
      <c r="CP64" s="100">
        <v>3.2825903231246389</v>
      </c>
      <c r="CQ64" s="100">
        <v>3312.7901540973849</v>
      </c>
      <c r="CR64" s="100">
        <v>6.0143008894736285</v>
      </c>
      <c r="CS64" s="100">
        <v>6069.6324576567849</v>
      </c>
      <c r="CT64" s="100">
        <v>7</v>
      </c>
      <c r="CU64" s="100">
        <v>7064.3999999999987</v>
      </c>
    </row>
    <row r="65" spans="2:99">
      <c r="C65" s="99" t="s">
        <v>231</v>
      </c>
      <c r="D65" s="100">
        <v>11.000356201550872</v>
      </c>
      <c r="E65" s="100">
        <v>11286.365462791195</v>
      </c>
      <c r="F65" s="100">
        <v>10</v>
      </c>
      <c r="G65" s="100">
        <v>10260</v>
      </c>
      <c r="H65" s="100">
        <v>7</v>
      </c>
      <c r="I65" s="100">
        <v>7182</v>
      </c>
      <c r="J65" s="100">
        <v>0.3593132596089651</v>
      </c>
      <c r="K65" s="100">
        <v>368.65540435879819</v>
      </c>
      <c r="L65" s="100">
        <v>6</v>
      </c>
      <c r="M65" s="100">
        <v>6156</v>
      </c>
      <c r="N65" s="100">
        <v>0.50138158322032744</v>
      </c>
      <c r="O65" s="100">
        <v>514.41750438405597</v>
      </c>
      <c r="P65" s="100">
        <v>9.3501676548025117</v>
      </c>
      <c r="Q65" s="100">
        <v>9593.2720138273762</v>
      </c>
      <c r="R65" s="100">
        <v>8.7533726326324732</v>
      </c>
      <c r="S65" s="100">
        <v>8980.9603210809182</v>
      </c>
      <c r="T65" s="100">
        <v>6</v>
      </c>
      <c r="U65" s="100">
        <v>6156</v>
      </c>
      <c r="V65" s="100">
        <v>2.082766824269711</v>
      </c>
      <c r="W65" s="100">
        <v>2136.9187617007237</v>
      </c>
      <c r="X65" s="100">
        <v>8</v>
      </c>
      <c r="Y65" s="100">
        <v>8208</v>
      </c>
      <c r="Z65" s="100">
        <v>8</v>
      </c>
      <c r="AA65" s="100">
        <v>8208</v>
      </c>
      <c r="AB65" s="100">
        <v>1.9146087281910678</v>
      </c>
      <c r="AC65" s="100">
        <v>1964.3885551240355</v>
      </c>
      <c r="AD65" s="100">
        <v>7.7312484252010947</v>
      </c>
      <c r="AE65" s="100">
        <v>7932.2608842563232</v>
      </c>
      <c r="AF65" s="100">
        <v>2.2486834568705079</v>
      </c>
      <c r="AG65" s="100">
        <v>2307.1492267491412</v>
      </c>
      <c r="AH65" s="100">
        <v>8.6703244146047425</v>
      </c>
      <c r="AI65" s="100">
        <v>8895.7528493844657</v>
      </c>
      <c r="AJ65" s="100">
        <v>10</v>
      </c>
      <c r="AK65" s="100">
        <v>10260</v>
      </c>
      <c r="AL65" s="100">
        <v>7</v>
      </c>
      <c r="AM65" s="100">
        <v>7182</v>
      </c>
      <c r="AN65" s="100">
        <v>8.5349263399863542</v>
      </c>
      <c r="AO65" s="100">
        <v>8756.834424826</v>
      </c>
      <c r="AP65" s="100">
        <v>6.8215696071791028</v>
      </c>
      <c r="AQ65" s="100">
        <v>6998.9304169657598</v>
      </c>
      <c r="AR65" s="100">
        <v>6.9647876313704352E-4</v>
      </c>
      <c r="AS65" s="100">
        <v>0.71458721097860667</v>
      </c>
      <c r="AT65" s="100">
        <v>8.0001641979226985</v>
      </c>
      <c r="AU65" s="100">
        <v>8208.1684670686882</v>
      </c>
      <c r="AV65" s="100">
        <v>9</v>
      </c>
      <c r="AW65" s="100">
        <v>9234</v>
      </c>
      <c r="AX65" s="100">
        <v>6.2326338713831646</v>
      </c>
      <c r="AY65" s="100">
        <v>6394.6823520391272</v>
      </c>
      <c r="AZ65" s="100">
        <v>6.7637809880390964</v>
      </c>
      <c r="BA65" s="100">
        <v>6939.6392937281125</v>
      </c>
      <c r="BB65" s="100">
        <v>7.5757695472467592</v>
      </c>
      <c r="BC65" s="100">
        <v>7772.7395554751747</v>
      </c>
      <c r="BD65" s="100">
        <v>6.8187950405039368</v>
      </c>
      <c r="BE65" s="100">
        <v>6996.0837115570394</v>
      </c>
      <c r="BF65" s="100">
        <v>8.0445511983388904</v>
      </c>
      <c r="BG65" s="100">
        <v>8253.7095294957016</v>
      </c>
      <c r="BH65" s="100">
        <v>5.2874049540143711</v>
      </c>
      <c r="BI65" s="100">
        <v>5424.8774828187443</v>
      </c>
      <c r="BJ65" s="100">
        <v>1.8707694922443807</v>
      </c>
      <c r="BK65" s="100">
        <v>1919.4094990427345</v>
      </c>
      <c r="BL65" s="100">
        <v>4.999889033007352</v>
      </c>
      <c r="BM65" s="100">
        <v>5129.8861478655435</v>
      </c>
      <c r="BN65" s="100">
        <v>7.0460180625400088</v>
      </c>
      <c r="BO65" s="100">
        <v>7229.2145321660491</v>
      </c>
      <c r="BP65" s="100">
        <v>1.4710810945756116</v>
      </c>
      <c r="BQ65" s="100">
        <v>1509.3292030345776</v>
      </c>
      <c r="BR65" s="100">
        <v>6.9633809699622438</v>
      </c>
      <c r="BS65" s="100">
        <v>7144.4288751812619</v>
      </c>
      <c r="BT65" s="100">
        <v>3.726685973225043</v>
      </c>
      <c r="BU65" s="100">
        <v>3823.5798085288943</v>
      </c>
      <c r="BV65" s="100">
        <v>8.2238300194204683</v>
      </c>
      <c r="BW65" s="100">
        <v>8437.6495999254003</v>
      </c>
      <c r="BX65" s="100">
        <v>8.218598665921812</v>
      </c>
      <c r="BY65" s="100">
        <v>8432.2822312357785</v>
      </c>
      <c r="BZ65" s="100">
        <v>1.9999330015147851</v>
      </c>
      <c r="CA65" s="100">
        <v>2051.9312595541696</v>
      </c>
      <c r="CB65" s="100">
        <v>3.8195165614912479</v>
      </c>
      <c r="CC65" s="100">
        <v>3918.8239920900205</v>
      </c>
      <c r="CD65" s="100">
        <v>9.0236492439644902</v>
      </c>
      <c r="CE65" s="100">
        <v>9258.2641243075668</v>
      </c>
      <c r="CF65" s="100">
        <v>1.5877516939525906</v>
      </c>
      <c r="CG65" s="100">
        <v>1629.0332379953579</v>
      </c>
      <c r="CH65" s="100">
        <v>1.5799244567365667</v>
      </c>
      <c r="CI65" s="100">
        <v>1621.0024926117173</v>
      </c>
      <c r="CJ65" s="100">
        <v>11.64708332667845</v>
      </c>
      <c r="CK65" s="100">
        <v>11949.90749317209</v>
      </c>
      <c r="CL65" s="100">
        <v>5.1131046416781203</v>
      </c>
      <c r="CM65" s="100">
        <v>5246.0453623617514</v>
      </c>
      <c r="CN65" s="100">
        <v>10</v>
      </c>
      <c r="CO65" s="100">
        <v>10260</v>
      </c>
      <c r="CP65" s="100">
        <v>2.9178580649996793</v>
      </c>
      <c r="CQ65" s="100">
        <v>2993.7223746896711</v>
      </c>
      <c r="CR65" s="100">
        <v>6.0143008894736285</v>
      </c>
      <c r="CS65" s="100">
        <v>6170.6727125999432</v>
      </c>
      <c r="CT65" s="100">
        <v>7</v>
      </c>
      <c r="CU65" s="100">
        <v>7182</v>
      </c>
    </row>
    <row r="66" spans="2:99">
      <c r="C66" s="99" t="s">
        <v>232</v>
      </c>
      <c r="D66" s="100">
        <v>12.000356201550872</v>
      </c>
      <c r="E66" s="100">
        <v>14285.224022326156</v>
      </c>
      <c r="F66" s="100">
        <v>11</v>
      </c>
      <c r="G66" s="100">
        <v>13094.399999999998</v>
      </c>
      <c r="H66" s="100">
        <v>7</v>
      </c>
      <c r="I66" s="100">
        <v>8332.7999999999993</v>
      </c>
      <c r="J66" s="100">
        <v>0.3593132596089651</v>
      </c>
      <c r="K66" s="100">
        <v>427.72650423851201</v>
      </c>
      <c r="L66" s="100">
        <v>7</v>
      </c>
      <c r="M66" s="100">
        <v>8332.7999999999993</v>
      </c>
      <c r="N66" s="100">
        <v>0.50138158322032744</v>
      </c>
      <c r="O66" s="100">
        <v>596.84463666547776</v>
      </c>
      <c r="P66" s="100">
        <v>9.3501676548025117</v>
      </c>
      <c r="Q66" s="100">
        <v>11130.439576276909</v>
      </c>
      <c r="R66" s="100">
        <v>8.7533726326324732</v>
      </c>
      <c r="S66" s="100">
        <v>10420.014781885695</v>
      </c>
      <c r="T66" s="100">
        <v>6</v>
      </c>
      <c r="U66" s="100">
        <v>7142.4</v>
      </c>
      <c r="V66" s="100">
        <v>2.082766824269711</v>
      </c>
      <c r="W66" s="100">
        <v>2479.3256276106636</v>
      </c>
      <c r="X66" s="100">
        <v>8</v>
      </c>
      <c r="Y66" s="100">
        <v>9523.1999999999989</v>
      </c>
      <c r="Z66" s="100">
        <v>8</v>
      </c>
      <c r="AA66" s="100">
        <v>9523.1999999999989</v>
      </c>
      <c r="AB66" s="100">
        <v>1.6752826371671843</v>
      </c>
      <c r="AC66" s="100">
        <v>1994.256451283816</v>
      </c>
      <c r="AD66" s="100">
        <v>7.877498110241314</v>
      </c>
      <c r="AE66" s="100">
        <v>9377.3737504312594</v>
      </c>
      <c r="AF66" s="100">
        <v>1.60620246919322</v>
      </c>
      <c r="AG66" s="100">
        <v>1912.0234193276087</v>
      </c>
      <c r="AH66" s="100">
        <v>8.5037316651700436</v>
      </c>
      <c r="AI66" s="100">
        <v>10122.842174218418</v>
      </c>
      <c r="AJ66" s="100">
        <v>11</v>
      </c>
      <c r="AK66" s="100">
        <v>13094.399999999998</v>
      </c>
      <c r="AL66" s="100">
        <v>6</v>
      </c>
      <c r="AM66" s="100">
        <v>7142.4</v>
      </c>
      <c r="AN66" s="100">
        <v>7.7590239454421406</v>
      </c>
      <c r="AO66" s="100">
        <v>9236.3421046543226</v>
      </c>
      <c r="AP66" s="100">
        <v>6.1394126464611931</v>
      </c>
      <c r="AQ66" s="100">
        <v>7308.3568143474031</v>
      </c>
      <c r="AR66" s="100">
        <v>6.2744195127125259E-4</v>
      </c>
      <c r="AS66" s="100">
        <v>0.74690689879329897</v>
      </c>
      <c r="AT66" s="100">
        <v>8.0001641979226985</v>
      </c>
      <c r="AU66" s="100">
        <v>9523.3954612071793</v>
      </c>
      <c r="AV66" s="100">
        <v>10</v>
      </c>
      <c r="AW66" s="100">
        <v>11903.999999999998</v>
      </c>
      <c r="AX66" s="100">
        <v>7.0117131053060611</v>
      </c>
      <c r="AY66" s="100">
        <v>8346.7432805563349</v>
      </c>
      <c r="AZ66" s="100">
        <v>5.9183083645342096</v>
      </c>
      <c r="BA66" s="100">
        <v>7045.1542771415225</v>
      </c>
      <c r="BB66" s="100">
        <v>6.8181925925220837</v>
      </c>
      <c r="BC66" s="100">
        <v>8116.376462138287</v>
      </c>
      <c r="BD66" s="100">
        <v>5.9545355591689262</v>
      </c>
      <c r="BE66" s="100">
        <v>7088.2791296346886</v>
      </c>
      <c r="BF66" s="100">
        <v>8.0445511983388904</v>
      </c>
      <c r="BG66" s="100">
        <v>9576.2337465026139</v>
      </c>
      <c r="BH66" s="100">
        <v>5.2874049540143711</v>
      </c>
      <c r="BI66" s="100">
        <v>6294.1268572587069</v>
      </c>
      <c r="BJ66" s="100">
        <v>1.8357298853878516</v>
      </c>
      <c r="BK66" s="100">
        <v>2185.2528555656982</v>
      </c>
      <c r="BL66" s="100">
        <v>4.5687924375446816</v>
      </c>
      <c r="BM66" s="100">
        <v>5438.6905176531882</v>
      </c>
      <c r="BN66" s="100">
        <v>7.2203544062966767</v>
      </c>
      <c r="BO66" s="100">
        <v>8595.1098852555624</v>
      </c>
      <c r="BP66" s="100">
        <v>1.2609266524933813</v>
      </c>
      <c r="BQ66" s="100">
        <v>1501.0070871281209</v>
      </c>
      <c r="BR66" s="100">
        <v>6.9633809699622438</v>
      </c>
      <c r="BS66" s="100">
        <v>8289.208706643054</v>
      </c>
      <c r="BT66" s="100">
        <v>3.726685973225043</v>
      </c>
      <c r="BU66" s="100">
        <v>4436.2469825270909</v>
      </c>
      <c r="BV66" s="100">
        <v>7.2238300194204683</v>
      </c>
      <c r="BW66" s="100">
        <v>8599.2472551181254</v>
      </c>
      <c r="BX66" s="100">
        <v>7.305421036374943</v>
      </c>
      <c r="BY66" s="100">
        <v>8696.3732017007314</v>
      </c>
      <c r="BZ66" s="100">
        <v>2.2023387699986108</v>
      </c>
      <c r="CA66" s="100">
        <v>2621.6640718063459</v>
      </c>
      <c r="CB66" s="100">
        <v>3.8228550501501584</v>
      </c>
      <c r="CC66" s="100">
        <v>4550.7266516987484</v>
      </c>
      <c r="CD66" s="100">
        <v>9.0236492439644902</v>
      </c>
      <c r="CE66" s="100">
        <v>10741.752060015328</v>
      </c>
      <c r="CF66" s="100">
        <v>1.9053020327431089</v>
      </c>
      <c r="CG66" s="100">
        <v>2268.0715397773965</v>
      </c>
      <c r="CH66" s="100">
        <v>1.9167064385565353</v>
      </c>
      <c r="CI66" s="100">
        <v>2281.6473444576995</v>
      </c>
      <c r="CJ66" s="100">
        <v>10.51766666134276</v>
      </c>
      <c r="CK66" s="100">
        <v>12520.230393662421</v>
      </c>
      <c r="CL66" s="100">
        <v>5.7522427218878853</v>
      </c>
      <c r="CM66" s="100">
        <v>6847.4697361353383</v>
      </c>
      <c r="CN66" s="100">
        <v>9</v>
      </c>
      <c r="CO66" s="100">
        <v>10713.599999999999</v>
      </c>
      <c r="CP66" s="100">
        <v>2.9178580649996793</v>
      </c>
      <c r="CQ66" s="100">
        <v>3473.4182405756178</v>
      </c>
      <c r="CR66" s="100">
        <v>5.3460452350876704</v>
      </c>
      <c r="CS66" s="100">
        <v>6363.9322478483618</v>
      </c>
      <c r="CT66" s="100">
        <v>8</v>
      </c>
      <c r="CU66" s="100">
        <v>9523.1999999999989</v>
      </c>
    </row>
    <row r="67" spans="2:99">
      <c r="C67" s="99" t="s">
        <v>233</v>
      </c>
      <c r="D67" s="100">
        <v>11.000296834625725</v>
      </c>
      <c r="E67" s="100">
        <v>12355.533404651615</v>
      </c>
      <c r="F67" s="100">
        <v>11</v>
      </c>
      <c r="G67" s="100">
        <v>12355.2</v>
      </c>
      <c r="H67" s="100">
        <v>7</v>
      </c>
      <c r="I67" s="100">
        <v>7862.4000000000005</v>
      </c>
      <c r="J67" s="100">
        <v>0.3593132596089651</v>
      </c>
      <c r="K67" s="100">
        <v>403.58065319278961</v>
      </c>
      <c r="L67" s="100">
        <v>7</v>
      </c>
      <c r="M67" s="100">
        <v>7862.4000000000005</v>
      </c>
      <c r="N67" s="100">
        <v>0.50138158322032744</v>
      </c>
      <c r="O67" s="100">
        <v>563.1517942730718</v>
      </c>
      <c r="P67" s="100">
        <v>9.2626257411018837</v>
      </c>
      <c r="Q67" s="100">
        <v>10403.781232405636</v>
      </c>
      <c r="R67" s="100">
        <v>7.8780353693692255</v>
      </c>
      <c r="S67" s="100">
        <v>8848.6093268755139</v>
      </c>
      <c r="T67" s="100">
        <v>6</v>
      </c>
      <c r="U67" s="100">
        <v>6739.2000000000007</v>
      </c>
      <c r="V67" s="100">
        <v>2.082766824269711</v>
      </c>
      <c r="W67" s="100">
        <v>2339.3636970197394</v>
      </c>
      <c r="X67" s="100">
        <v>8</v>
      </c>
      <c r="Y67" s="100">
        <v>8985.6</v>
      </c>
      <c r="Z67" s="100">
        <v>8</v>
      </c>
      <c r="AA67" s="100">
        <v>8985.6</v>
      </c>
      <c r="AB67" s="100">
        <v>1.9146087281910678</v>
      </c>
      <c r="AC67" s="100">
        <v>2150.4885235042075</v>
      </c>
      <c r="AD67" s="100">
        <v>7.7312484252010947</v>
      </c>
      <c r="AE67" s="100">
        <v>8683.7382311858692</v>
      </c>
      <c r="AF67" s="100">
        <v>1.9274429630318639</v>
      </c>
      <c r="AG67" s="100">
        <v>2164.9039360773895</v>
      </c>
      <c r="AH67" s="100">
        <v>7.5240615817411367</v>
      </c>
      <c r="AI67" s="100">
        <v>8451.0259686116442</v>
      </c>
      <c r="AJ67" s="100">
        <v>10</v>
      </c>
      <c r="AK67" s="100">
        <v>11232</v>
      </c>
      <c r="AL67" s="100">
        <v>7</v>
      </c>
      <c r="AM67" s="100">
        <v>7862.4000000000005</v>
      </c>
      <c r="AN67" s="100">
        <v>8.5349263399863542</v>
      </c>
      <c r="AO67" s="100">
        <v>9586.4292650726729</v>
      </c>
      <c r="AP67" s="100">
        <v>6.1394126464611931</v>
      </c>
      <c r="AQ67" s="100">
        <v>6895.7882845052127</v>
      </c>
      <c r="AR67" s="100">
        <v>5.5840513940546167E-4</v>
      </c>
      <c r="AS67" s="100">
        <v>0.62720065258021462</v>
      </c>
      <c r="AT67" s="100">
        <v>9.0001641979226985</v>
      </c>
      <c r="AU67" s="100">
        <v>10108.984427106776</v>
      </c>
      <c r="AV67" s="100">
        <v>9</v>
      </c>
      <c r="AW67" s="100">
        <v>10108.800000000001</v>
      </c>
      <c r="AX67" s="100">
        <v>7.7907923392289566</v>
      </c>
      <c r="AY67" s="100">
        <v>8750.6179554219652</v>
      </c>
      <c r="AZ67" s="100">
        <v>6.7637809880390964</v>
      </c>
      <c r="BA67" s="100">
        <v>7597.0788057655136</v>
      </c>
      <c r="BB67" s="100">
        <v>8.3333465019714374</v>
      </c>
      <c r="BC67" s="100">
        <v>9360.0147910143187</v>
      </c>
      <c r="BD67" s="100">
        <v>5.9545355591689262</v>
      </c>
      <c r="BE67" s="100">
        <v>6688.1343400585383</v>
      </c>
      <c r="BF67" s="100">
        <v>8.9754133360362172</v>
      </c>
      <c r="BG67" s="100">
        <v>10081.184259035879</v>
      </c>
      <c r="BH67" s="100">
        <v>5.2874049540143711</v>
      </c>
      <c r="BI67" s="100">
        <v>5938.8132443489421</v>
      </c>
      <c r="BJ67" s="100">
        <v>2.0791737847090275</v>
      </c>
      <c r="BK67" s="100">
        <v>2335.3279949851799</v>
      </c>
      <c r="BL67" s="100">
        <v>4.5687924375446816</v>
      </c>
      <c r="BM67" s="100">
        <v>5131.6676658501865</v>
      </c>
      <c r="BN67" s="100">
        <v>7.2203544062966767</v>
      </c>
      <c r="BO67" s="100">
        <v>8109.9020691524274</v>
      </c>
      <c r="BP67" s="100">
        <v>1.2609266524933813</v>
      </c>
      <c r="BQ67" s="100">
        <v>1416.2728160805659</v>
      </c>
      <c r="BR67" s="100">
        <v>6.9633809699622438</v>
      </c>
      <c r="BS67" s="100">
        <v>7821.2695054615924</v>
      </c>
      <c r="BT67" s="100">
        <v>3.726685973225043</v>
      </c>
      <c r="BU67" s="100">
        <v>4185.8136851263689</v>
      </c>
      <c r="BV67" s="100">
        <v>7.2238300194204683</v>
      </c>
      <c r="BW67" s="100">
        <v>8113.8058778130708</v>
      </c>
      <c r="BX67" s="100">
        <v>7.305421036374943</v>
      </c>
      <c r="BY67" s="100">
        <v>8205.4489080563362</v>
      </c>
      <c r="BZ67" s="100">
        <v>2.2023387699986108</v>
      </c>
      <c r="CA67" s="100">
        <v>2473.6669064624398</v>
      </c>
      <c r="CB67" s="100">
        <v>3.743586499567888</v>
      </c>
      <c r="CC67" s="100">
        <v>4204.7963563146523</v>
      </c>
      <c r="CD67" s="100">
        <v>9.0236492439644902</v>
      </c>
      <c r="CE67" s="100">
        <v>10135.362830820915</v>
      </c>
      <c r="CF67" s="100">
        <v>1.9053020327431089</v>
      </c>
      <c r="CG67" s="100">
        <v>2140.0352431770602</v>
      </c>
      <c r="CH67" s="100">
        <v>1.9167064385565353</v>
      </c>
      <c r="CI67" s="100">
        <v>2152.8446717867005</v>
      </c>
      <c r="CJ67" s="100">
        <v>9.6470833266784499</v>
      </c>
      <c r="CK67" s="100">
        <v>10835.603992525235</v>
      </c>
      <c r="CL67" s="100">
        <v>5.1131046416781203</v>
      </c>
      <c r="CM67" s="100">
        <v>5743.039133532865</v>
      </c>
      <c r="CN67" s="100">
        <v>10</v>
      </c>
      <c r="CO67" s="100">
        <v>11232</v>
      </c>
      <c r="CP67" s="100">
        <v>3.2825903231246389</v>
      </c>
      <c r="CQ67" s="100">
        <v>3687.0054509335946</v>
      </c>
      <c r="CR67" s="100">
        <v>5.3460452350876704</v>
      </c>
      <c r="CS67" s="100">
        <v>6004.6780080504714</v>
      </c>
      <c r="CT67" s="100">
        <v>7</v>
      </c>
      <c r="CU67" s="100">
        <v>7862.4000000000005</v>
      </c>
    </row>
    <row r="68" spans="2:99">
      <c r="C68" s="99" t="s">
        <v>234</v>
      </c>
      <c r="D68" s="100">
        <v>10.000356201550872</v>
      </c>
      <c r="E68" s="100">
        <v>10332.368027442362</v>
      </c>
      <c r="F68" s="100">
        <v>11</v>
      </c>
      <c r="G68" s="100">
        <v>11365.2</v>
      </c>
      <c r="H68" s="100">
        <v>7</v>
      </c>
      <c r="I68" s="100">
        <v>7232.4000000000005</v>
      </c>
      <c r="J68" s="100">
        <v>0.3593132596089651</v>
      </c>
      <c r="K68" s="100">
        <v>371.24245982798277</v>
      </c>
      <c r="L68" s="100">
        <v>6</v>
      </c>
      <c r="M68" s="100">
        <v>6199.2000000000007</v>
      </c>
      <c r="N68" s="100">
        <v>0.50138158322032744</v>
      </c>
      <c r="O68" s="100">
        <v>518.02745178324233</v>
      </c>
      <c r="P68" s="100">
        <v>10.350167654802512</v>
      </c>
      <c r="Q68" s="100">
        <v>10693.793220941956</v>
      </c>
      <c r="R68" s="100">
        <v>8.7533726326324732</v>
      </c>
      <c r="S68" s="100">
        <v>9043.9846040358716</v>
      </c>
      <c r="T68" s="100">
        <v>7</v>
      </c>
      <c r="U68" s="100">
        <v>7232.4000000000005</v>
      </c>
      <c r="V68" s="100">
        <v>2.082766824269711</v>
      </c>
      <c r="W68" s="100">
        <v>2151.9146828354656</v>
      </c>
      <c r="X68" s="100">
        <v>7</v>
      </c>
      <c r="Y68" s="100">
        <v>7232.4000000000005</v>
      </c>
      <c r="Z68" s="100">
        <v>8</v>
      </c>
      <c r="AA68" s="100">
        <v>8265.6</v>
      </c>
      <c r="AB68" s="100">
        <v>1.9146087281910678</v>
      </c>
      <c r="AC68" s="100">
        <v>1978.1737379670112</v>
      </c>
      <c r="AD68" s="100">
        <v>7.7312484252010947</v>
      </c>
      <c r="AE68" s="100">
        <v>7987.9258729177718</v>
      </c>
      <c r="AF68" s="100">
        <v>1.9274429630318639</v>
      </c>
      <c r="AG68" s="100">
        <v>1991.4340694045218</v>
      </c>
      <c r="AH68" s="100">
        <v>8.6703244146047425</v>
      </c>
      <c r="AI68" s="100">
        <v>8958.1791851696198</v>
      </c>
      <c r="AJ68" s="100">
        <v>11</v>
      </c>
      <c r="AK68" s="100">
        <v>11365.2</v>
      </c>
      <c r="AL68" s="100">
        <v>8</v>
      </c>
      <c r="AM68" s="100">
        <v>8265.6</v>
      </c>
      <c r="AN68" s="100">
        <v>8.5349263399863542</v>
      </c>
      <c r="AO68" s="100">
        <v>8818.2858944739019</v>
      </c>
      <c r="AP68" s="100">
        <v>6.1394126464611931</v>
      </c>
      <c r="AQ68" s="100">
        <v>6343.2411463237049</v>
      </c>
      <c r="AR68" s="100">
        <v>6.2744195127125259E-4</v>
      </c>
      <c r="AS68" s="100">
        <v>0.64827302405345821</v>
      </c>
      <c r="AT68" s="100">
        <v>9.0002052474033736</v>
      </c>
      <c r="AU68" s="100">
        <v>9299.0120616171662</v>
      </c>
      <c r="AV68" s="100">
        <v>9</v>
      </c>
      <c r="AW68" s="100">
        <v>9298.8000000000011</v>
      </c>
      <c r="AX68" s="100">
        <v>6.2326338713831646</v>
      </c>
      <c r="AY68" s="100">
        <v>6439.5573159130863</v>
      </c>
      <c r="AZ68" s="100">
        <v>6.7637809880390964</v>
      </c>
      <c r="BA68" s="100">
        <v>6988.3385168419945</v>
      </c>
      <c r="BB68" s="100">
        <v>6.8181925925220837</v>
      </c>
      <c r="BC68" s="100">
        <v>7044.556586593817</v>
      </c>
      <c r="BD68" s="100">
        <v>6.8187950405039368</v>
      </c>
      <c r="BE68" s="100">
        <v>7045.1790358486678</v>
      </c>
      <c r="BF68" s="100">
        <v>8.9754133360362172</v>
      </c>
      <c r="BG68" s="100">
        <v>9273.3970587926196</v>
      </c>
      <c r="BH68" s="100">
        <v>5.2874049540143711</v>
      </c>
      <c r="BI68" s="100">
        <v>5462.9467984876483</v>
      </c>
      <c r="BJ68" s="100">
        <v>2.0769396218383713</v>
      </c>
      <c r="BK68" s="100">
        <v>2145.8940172834054</v>
      </c>
      <c r="BL68" s="100">
        <v>4.5131743681502954</v>
      </c>
      <c r="BM68" s="100">
        <v>4663.0117571728852</v>
      </c>
      <c r="BN68" s="100">
        <v>8.0460180625400088</v>
      </c>
      <c r="BO68" s="100">
        <v>8313.1458622163373</v>
      </c>
      <c r="BP68" s="100">
        <v>1.4710810945756116</v>
      </c>
      <c r="BQ68" s="100">
        <v>1519.920986915522</v>
      </c>
      <c r="BR68" s="100">
        <v>6.9633809699622438</v>
      </c>
      <c r="BS68" s="100">
        <v>7194.5652181649903</v>
      </c>
      <c r="BT68" s="100">
        <v>3.7672473984390251</v>
      </c>
      <c r="BU68" s="100">
        <v>3892.3200120672009</v>
      </c>
      <c r="BV68" s="100">
        <v>7.2238300194204683</v>
      </c>
      <c r="BW68" s="100">
        <v>7463.6611760652286</v>
      </c>
      <c r="BX68" s="100">
        <v>7.305421036374943</v>
      </c>
      <c r="BY68" s="100">
        <v>7547.9610147825915</v>
      </c>
      <c r="BZ68" s="100">
        <v>2.2023387699986108</v>
      </c>
      <c r="CA68" s="100">
        <v>2275.4564171625648</v>
      </c>
      <c r="CB68" s="100">
        <v>3.3049465825078896</v>
      </c>
      <c r="CC68" s="100">
        <v>3414.6708090471516</v>
      </c>
      <c r="CD68" s="100">
        <v>10.02364924396449</v>
      </c>
      <c r="CE68" s="100">
        <v>10356.434398864112</v>
      </c>
      <c r="CF68" s="100">
        <v>1.9053020327431089</v>
      </c>
      <c r="CG68" s="100">
        <v>1968.5580602301802</v>
      </c>
      <c r="CH68" s="100">
        <v>1.6644163385462871</v>
      </c>
      <c r="CI68" s="100">
        <v>1719.674960986024</v>
      </c>
      <c r="CJ68" s="100">
        <v>10.51766666134276</v>
      </c>
      <c r="CK68" s="100">
        <v>10866.853194499341</v>
      </c>
      <c r="CL68" s="100">
        <v>5.7522427218878853</v>
      </c>
      <c r="CM68" s="100">
        <v>5943.2171802545636</v>
      </c>
      <c r="CN68" s="100">
        <v>10</v>
      </c>
      <c r="CO68" s="100">
        <v>10332</v>
      </c>
      <c r="CP68" s="100">
        <v>2.9178580649996793</v>
      </c>
      <c r="CQ68" s="100">
        <v>3014.7309527576685</v>
      </c>
      <c r="CR68" s="100">
        <v>6.0143008894736285</v>
      </c>
      <c r="CS68" s="100">
        <v>6213.9756790041529</v>
      </c>
      <c r="CT68" s="100">
        <v>7</v>
      </c>
      <c r="CU68" s="100">
        <v>7232.4000000000005</v>
      </c>
    </row>
    <row r="69" spans="2:99">
      <c r="C69" s="99" t="s">
        <v>235</v>
      </c>
      <c r="D69" s="100">
        <v>11.000356201550872</v>
      </c>
      <c r="E69" s="100">
        <v>8342.6701432561804</v>
      </c>
      <c r="F69" s="100">
        <v>11</v>
      </c>
      <c r="G69" s="100">
        <v>8342.4</v>
      </c>
      <c r="H69" s="100">
        <v>6</v>
      </c>
      <c r="I69" s="100">
        <v>4550.3999999999996</v>
      </c>
      <c r="J69" s="100">
        <v>0.3593132596089651</v>
      </c>
      <c r="K69" s="100">
        <v>272.5031760874391</v>
      </c>
      <c r="L69" s="100">
        <v>7</v>
      </c>
      <c r="M69" s="100">
        <v>5308.8</v>
      </c>
      <c r="N69" s="100">
        <v>0.50138158322032744</v>
      </c>
      <c r="O69" s="100">
        <v>380.24779271429634</v>
      </c>
      <c r="P69" s="100">
        <v>10.262625741101884</v>
      </c>
      <c r="Q69" s="100">
        <v>7783.1753620516683</v>
      </c>
      <c r="R69" s="100">
        <v>7.8780353693692255</v>
      </c>
      <c r="S69" s="100">
        <v>5974.7020241296204</v>
      </c>
      <c r="T69" s="100">
        <v>6</v>
      </c>
      <c r="U69" s="100">
        <v>4550.3999999999996</v>
      </c>
      <c r="V69" s="100">
        <v>2.082766824269711</v>
      </c>
      <c r="W69" s="100">
        <v>1579.5703595261489</v>
      </c>
      <c r="X69" s="100">
        <v>9</v>
      </c>
      <c r="Y69" s="100">
        <v>6825.5999999999995</v>
      </c>
      <c r="Z69" s="100">
        <v>8</v>
      </c>
      <c r="AA69" s="100">
        <v>6067.2</v>
      </c>
      <c r="AB69" s="100">
        <v>1.9146087281910678</v>
      </c>
      <c r="AC69" s="100">
        <v>1452.0392594601058</v>
      </c>
      <c r="AD69" s="100">
        <v>7.7312484252010947</v>
      </c>
      <c r="AE69" s="100">
        <v>5863.3788056725098</v>
      </c>
      <c r="AF69" s="100">
        <v>2.2486834568705079</v>
      </c>
      <c r="AG69" s="100">
        <v>1705.4015336905932</v>
      </c>
      <c r="AH69" s="100">
        <v>8.6703244146047425</v>
      </c>
      <c r="AI69" s="100">
        <v>6575.5740360362361</v>
      </c>
      <c r="AJ69" s="100">
        <v>11</v>
      </c>
      <c r="AK69" s="100">
        <v>8342.4</v>
      </c>
      <c r="AL69" s="100">
        <v>8</v>
      </c>
      <c r="AM69" s="100">
        <v>6067.2</v>
      </c>
      <c r="AN69" s="100">
        <v>9.3108287345305687</v>
      </c>
      <c r="AO69" s="100">
        <v>7061.3325122679835</v>
      </c>
      <c r="AP69" s="100">
        <v>6.1394126464611931</v>
      </c>
      <c r="AQ69" s="100">
        <v>4656.1305510761686</v>
      </c>
      <c r="AR69" s="100">
        <v>5.5993280052524556E-4</v>
      </c>
      <c r="AS69" s="100">
        <v>0.42465303591834624</v>
      </c>
      <c r="AT69" s="100">
        <v>8.0002052474033736</v>
      </c>
      <c r="AU69" s="100">
        <v>6067.355659630718</v>
      </c>
      <c r="AV69" s="100">
        <v>9</v>
      </c>
      <c r="AW69" s="100">
        <v>6825.5999999999995</v>
      </c>
      <c r="AX69" s="100">
        <v>6.2326338713831646</v>
      </c>
      <c r="AY69" s="100">
        <v>4726.8295280569919</v>
      </c>
      <c r="AZ69" s="100">
        <v>7.6092536115439833</v>
      </c>
      <c r="BA69" s="100">
        <v>5770.8579389949564</v>
      </c>
      <c r="BB69" s="100">
        <v>7.5757695472467592</v>
      </c>
      <c r="BC69" s="100">
        <v>5745.4636246319424</v>
      </c>
      <c r="BD69" s="100">
        <v>7.6592343192949084</v>
      </c>
      <c r="BE69" s="100">
        <v>5808.7633077532582</v>
      </c>
      <c r="BF69" s="100">
        <v>8.9754133360362172</v>
      </c>
      <c r="BG69" s="100">
        <v>6806.9534740498666</v>
      </c>
      <c r="BH69" s="100">
        <v>6.0018291120832234</v>
      </c>
      <c r="BI69" s="100">
        <v>4551.7871986039163</v>
      </c>
      <c r="BJ69" s="100">
        <v>2.0780567032736994</v>
      </c>
      <c r="BK69" s="100">
        <v>1575.9982037627735</v>
      </c>
      <c r="BL69" s="100">
        <v>5.4354049041375765</v>
      </c>
      <c r="BM69" s="100">
        <v>4122.2110792979374</v>
      </c>
      <c r="BN69" s="100">
        <v>8.2203544062966767</v>
      </c>
      <c r="BO69" s="100">
        <v>6234.3167817353997</v>
      </c>
      <c r="BP69" s="100">
        <v>1.4710810945756116</v>
      </c>
      <c r="BQ69" s="100">
        <v>1115.6679021261439</v>
      </c>
      <c r="BR69" s="100">
        <v>7.9512877868129568</v>
      </c>
      <c r="BS69" s="100">
        <v>6030.2566575189467</v>
      </c>
      <c r="BT69" s="100">
        <v>3.7659366560748091</v>
      </c>
      <c r="BU69" s="100">
        <v>2856.0863599671352</v>
      </c>
      <c r="BV69" s="100">
        <v>9.2238300194204683</v>
      </c>
      <c r="BW69" s="100">
        <v>6995.3526867284827</v>
      </c>
      <c r="BX69" s="100">
        <v>8.218598665921812</v>
      </c>
      <c r="BY69" s="100">
        <v>6232.9852282351021</v>
      </c>
      <c r="BZ69" s="100">
        <v>2.0047579381794796</v>
      </c>
      <c r="CA69" s="100">
        <v>1520.4084203153172</v>
      </c>
      <c r="CB69" s="100">
        <v>4.2548179898923353</v>
      </c>
      <c r="CC69" s="100">
        <v>3226.8539635343468</v>
      </c>
      <c r="CD69" s="100">
        <v>11.02364924396449</v>
      </c>
      <c r="CE69" s="100">
        <v>8360.3355866226684</v>
      </c>
      <c r="CF69" s="100">
        <v>1.9053020327431089</v>
      </c>
      <c r="CG69" s="100">
        <v>1444.9810616323737</v>
      </c>
      <c r="CH69" s="100">
        <v>1.9167064385565353</v>
      </c>
      <c r="CI69" s="100">
        <v>1453.6301630012763</v>
      </c>
      <c r="CJ69" s="100">
        <v>10.64708332667845</v>
      </c>
      <c r="CK69" s="100">
        <v>8074.7479949529361</v>
      </c>
      <c r="CL69" s="100">
        <v>6.3913808020976504</v>
      </c>
      <c r="CM69" s="100">
        <v>4847.2232003108575</v>
      </c>
      <c r="CN69" s="100">
        <v>9</v>
      </c>
      <c r="CO69" s="100">
        <v>6825.5999999999995</v>
      </c>
      <c r="CP69" s="100">
        <v>3.2825903231246389</v>
      </c>
      <c r="CQ69" s="100">
        <v>2489.5165010577261</v>
      </c>
      <c r="CR69" s="100">
        <v>6.0143008894736285</v>
      </c>
      <c r="CS69" s="100">
        <v>4561.2457945768001</v>
      </c>
      <c r="CT69" s="100">
        <v>8</v>
      </c>
      <c r="CU69" s="100">
        <v>6067.2</v>
      </c>
    </row>
    <row r="70" spans="2:99">
      <c r="C70" s="99" t="s">
        <v>236</v>
      </c>
      <c r="D70" s="100">
        <v>12.000356201550872</v>
      </c>
      <c r="E70" s="100">
        <v>6422.5906390700256</v>
      </c>
      <c r="F70" s="100">
        <v>11</v>
      </c>
      <c r="G70" s="100">
        <v>5887.1999999999989</v>
      </c>
      <c r="H70" s="100">
        <v>7</v>
      </c>
      <c r="I70" s="100">
        <v>3746.3999999999996</v>
      </c>
      <c r="J70" s="100">
        <v>0.39923695512107238</v>
      </c>
      <c r="K70" s="100">
        <v>213.67161838079792</v>
      </c>
      <c r="L70" s="100">
        <v>7</v>
      </c>
      <c r="M70" s="100">
        <v>3746.3999999999996</v>
      </c>
      <c r="N70" s="100">
        <v>0.58494518042371535</v>
      </c>
      <c r="O70" s="100">
        <v>313.06266056277241</v>
      </c>
      <c r="P70" s="100">
        <v>9.3501676548025117</v>
      </c>
      <c r="Q70" s="100">
        <v>5004.2097288503037</v>
      </c>
      <c r="R70" s="100">
        <v>8.7533726326324732</v>
      </c>
      <c r="S70" s="100">
        <v>4684.8050329848993</v>
      </c>
      <c r="T70" s="100">
        <v>6</v>
      </c>
      <c r="U70" s="100">
        <v>3211.2</v>
      </c>
      <c r="V70" s="100">
        <v>2.4298946283146634</v>
      </c>
      <c r="W70" s="100">
        <v>1300.4796050740076</v>
      </c>
      <c r="X70" s="100">
        <v>9</v>
      </c>
      <c r="Y70" s="100">
        <v>4816.7999999999993</v>
      </c>
      <c r="Z70" s="100">
        <v>8</v>
      </c>
      <c r="AA70" s="100">
        <v>4281.5999999999995</v>
      </c>
      <c r="AB70" s="100">
        <v>1.9146087281910678</v>
      </c>
      <c r="AC70" s="100">
        <v>1024.6985913278593</v>
      </c>
      <c r="AD70" s="100">
        <v>7.877498110241314</v>
      </c>
      <c r="AE70" s="100">
        <v>4216.0369886011504</v>
      </c>
      <c r="AF70" s="100">
        <v>2.2486834568705079</v>
      </c>
      <c r="AG70" s="100">
        <v>1203.4953861170957</v>
      </c>
      <c r="AH70" s="100">
        <v>8.5037316651700436</v>
      </c>
      <c r="AI70" s="100">
        <v>4551.1971871990072</v>
      </c>
      <c r="AJ70" s="100">
        <v>11</v>
      </c>
      <c r="AK70" s="100">
        <v>5887.1999999999989</v>
      </c>
      <c r="AL70" s="100">
        <v>8</v>
      </c>
      <c r="AM70" s="100">
        <v>4281.5999999999995</v>
      </c>
      <c r="AN70" s="100">
        <v>8.5349263399863542</v>
      </c>
      <c r="AO70" s="100">
        <v>4567.8925771606964</v>
      </c>
      <c r="AP70" s="100">
        <v>6.8215696071791028</v>
      </c>
      <c r="AQ70" s="100">
        <v>3650.9040537622554</v>
      </c>
      <c r="AR70" s="100">
        <v>6.9800642425682719E-4</v>
      </c>
      <c r="AS70" s="100">
        <v>0.37357303826225385</v>
      </c>
      <c r="AT70" s="100">
        <v>8.0002052474033736</v>
      </c>
      <c r="AU70" s="100">
        <v>4281.7098484102853</v>
      </c>
      <c r="AV70" s="100">
        <v>10</v>
      </c>
      <c r="AW70" s="100">
        <v>5351.9999999999991</v>
      </c>
      <c r="AX70" s="100">
        <v>7.7907923392289566</v>
      </c>
      <c r="AY70" s="100">
        <v>4169.6320599553374</v>
      </c>
      <c r="AZ70" s="100">
        <v>6.7637809880390964</v>
      </c>
      <c r="BA70" s="100">
        <v>3619.9755847985239</v>
      </c>
      <c r="BB70" s="100">
        <v>7.5757695472467592</v>
      </c>
      <c r="BC70" s="100">
        <v>4054.5518616864651</v>
      </c>
      <c r="BD70" s="100">
        <v>6.8187950405039368</v>
      </c>
      <c r="BE70" s="100">
        <v>3649.4191056777067</v>
      </c>
      <c r="BF70" s="100">
        <v>8.0445511983388904</v>
      </c>
      <c r="BG70" s="100">
        <v>4305.4438013509734</v>
      </c>
      <c r="BH70" s="100">
        <v>6.0018291120832234</v>
      </c>
      <c r="BI70" s="100">
        <v>3212.178940786941</v>
      </c>
      <c r="BJ70" s="100">
        <v>2.0452512592878263</v>
      </c>
      <c r="BK70" s="100">
        <v>1094.6184739708444</v>
      </c>
      <c r="BL70" s="100">
        <v>5.4354049041375765</v>
      </c>
      <c r="BM70" s="100">
        <v>2909.0287046944304</v>
      </c>
      <c r="BN70" s="100">
        <v>8.0460180625400088</v>
      </c>
      <c r="BO70" s="100">
        <v>4306.2288670714124</v>
      </c>
      <c r="BP70" s="100">
        <v>1.2609266524933813</v>
      </c>
      <c r="BQ70" s="100">
        <v>674.84794441445763</v>
      </c>
      <c r="BR70" s="100">
        <v>6.7907242918192496</v>
      </c>
      <c r="BS70" s="100">
        <v>3634.3956409816619</v>
      </c>
      <c r="BT70" s="100">
        <v>4.353686711388737</v>
      </c>
      <c r="BU70" s="100">
        <v>2330.0931279352517</v>
      </c>
      <c r="BV70" s="100">
        <v>8.0489971595032586</v>
      </c>
      <c r="BW70" s="100">
        <v>4307.8232797661431</v>
      </c>
      <c r="BX70" s="100">
        <v>9.1317762954686792</v>
      </c>
      <c r="BY70" s="100">
        <v>4887.3266733348364</v>
      </c>
      <c r="BZ70" s="100">
        <v>2.2023387699986108</v>
      </c>
      <c r="CA70" s="100">
        <v>1178.6917097032563</v>
      </c>
      <c r="CB70" s="100">
        <v>3.8228550501501584</v>
      </c>
      <c r="CC70" s="100">
        <v>2045.9920228403646</v>
      </c>
      <c r="CD70" s="100">
        <v>11.02364924396449</v>
      </c>
      <c r="CE70" s="100">
        <v>5899.8570753697941</v>
      </c>
      <c r="CF70" s="100">
        <v>1.5877516939525906</v>
      </c>
      <c r="CG70" s="100">
        <v>849.76470660342636</v>
      </c>
      <c r="CH70" s="100">
        <v>1.6664090019394349</v>
      </c>
      <c r="CI70" s="100">
        <v>891.8620978379854</v>
      </c>
      <c r="CJ70" s="100">
        <v>11.64708332667845</v>
      </c>
      <c r="CK70" s="100">
        <v>6233.5189964383053</v>
      </c>
      <c r="CL70" s="100">
        <v>5.7522427218878853</v>
      </c>
      <c r="CM70" s="100">
        <v>3078.6003047543959</v>
      </c>
      <c r="CN70" s="100">
        <v>10</v>
      </c>
      <c r="CO70" s="100">
        <v>5351.9999999999991</v>
      </c>
      <c r="CP70" s="100">
        <v>3.2825903231246389</v>
      </c>
      <c r="CQ70" s="100">
        <v>1756.8423409363065</v>
      </c>
      <c r="CR70" s="100">
        <v>6.6825565438595875</v>
      </c>
      <c r="CS70" s="100">
        <v>3576.504262273651</v>
      </c>
      <c r="CT70" s="100">
        <v>8</v>
      </c>
      <c r="CU70" s="100">
        <v>4281.5999999999995</v>
      </c>
    </row>
    <row r="71" spans="2:99">
      <c r="B71" s="99" t="s">
        <v>130</v>
      </c>
      <c r="C71" s="99" t="s">
        <v>237</v>
      </c>
      <c r="D71" s="100">
        <v>7.9209948948471993</v>
      </c>
      <c r="E71" s="100">
        <v>4467.4411206938203</v>
      </c>
      <c r="F71" s="100">
        <v>3.7799637666757646</v>
      </c>
      <c r="G71" s="100">
        <v>2131.8995644051311</v>
      </c>
      <c r="H71" s="100">
        <v>6.0322875783834133</v>
      </c>
      <c r="I71" s="100">
        <v>3402.210194208245</v>
      </c>
      <c r="J71" s="100">
        <v>6.1671731946431452</v>
      </c>
      <c r="K71" s="100">
        <v>3478.2856817787338</v>
      </c>
      <c r="L71" s="100">
        <v>2.0729251747977595</v>
      </c>
      <c r="M71" s="100">
        <v>1169.1297985859364</v>
      </c>
      <c r="N71" s="100">
        <v>8.5113096555625933</v>
      </c>
      <c r="O71" s="100">
        <v>4800.3786457373026</v>
      </c>
      <c r="P71" s="100">
        <v>3.5811383074237622</v>
      </c>
      <c r="Q71" s="100">
        <v>2019.7620053870019</v>
      </c>
      <c r="R71" s="100">
        <v>5.4181882907508783</v>
      </c>
      <c r="S71" s="100">
        <v>3055.8581959834955</v>
      </c>
      <c r="T71" s="100">
        <v>6.9552906778671444</v>
      </c>
      <c r="U71" s="100">
        <v>3922.7839423170694</v>
      </c>
      <c r="V71" s="100">
        <v>2.4208427782284216</v>
      </c>
      <c r="W71" s="100">
        <v>1365.3553269208298</v>
      </c>
      <c r="X71" s="100">
        <v>3.1220003980299769</v>
      </c>
      <c r="Y71" s="100">
        <v>1760.8082244889069</v>
      </c>
      <c r="Z71" s="100">
        <v>6.6614698947928694</v>
      </c>
      <c r="AA71" s="100">
        <v>3757.0690206631784</v>
      </c>
      <c r="AB71" s="100">
        <v>0.64540577021040613</v>
      </c>
      <c r="AC71" s="100">
        <v>364.00885439866903</v>
      </c>
      <c r="AD71" s="100">
        <v>4.8821543426701185E-4</v>
      </c>
      <c r="AE71" s="100">
        <v>0.27535350492659466</v>
      </c>
      <c r="AF71" s="100">
        <v>6.0002601141691025</v>
      </c>
      <c r="AG71" s="100">
        <v>3384.146704391374</v>
      </c>
      <c r="AH71" s="100">
        <v>7.2446030176393261</v>
      </c>
      <c r="AI71" s="100">
        <v>4085.95610194858</v>
      </c>
      <c r="AJ71" s="100">
        <v>6.7629604530918357</v>
      </c>
      <c r="AK71" s="100">
        <v>3814.3096955437954</v>
      </c>
      <c r="AL71" s="100">
        <v>5.1478897174992913</v>
      </c>
      <c r="AM71" s="100">
        <v>2903.4098006696004</v>
      </c>
      <c r="AN71" s="100">
        <v>7</v>
      </c>
      <c r="AO71" s="100">
        <v>3948</v>
      </c>
      <c r="AP71" s="100">
        <v>2.9948578295493924</v>
      </c>
      <c r="AQ71" s="100">
        <v>1689.0998158658574</v>
      </c>
      <c r="AR71" s="100">
        <v>5.7263914228266621</v>
      </c>
      <c r="AS71" s="100">
        <v>3229.6847624742372</v>
      </c>
      <c r="AT71" s="100">
        <v>3.8025219698987498</v>
      </c>
      <c r="AU71" s="100">
        <v>2144.622391022895</v>
      </c>
      <c r="AV71" s="100">
        <v>8.2168954994639023</v>
      </c>
      <c r="AW71" s="100">
        <v>4634.329061697641</v>
      </c>
      <c r="AX71" s="100">
        <v>2.7227357571066255</v>
      </c>
      <c r="AY71" s="100">
        <v>1535.6229670081368</v>
      </c>
      <c r="AZ71" s="100">
        <v>6.4354202823676543</v>
      </c>
      <c r="BA71" s="100">
        <v>3629.5770392553568</v>
      </c>
      <c r="BB71" s="100">
        <v>1.1849499873298452</v>
      </c>
      <c r="BC71" s="100">
        <v>668.31179285403277</v>
      </c>
      <c r="BD71" s="100">
        <v>4.0333276952627939</v>
      </c>
      <c r="BE71" s="100">
        <v>2274.7968201282156</v>
      </c>
      <c r="BF71" s="100">
        <v>3.0546920380514981</v>
      </c>
      <c r="BG71" s="100">
        <v>1722.8463094610449</v>
      </c>
      <c r="BH71" s="100">
        <v>2.0419669632811446</v>
      </c>
      <c r="BI71" s="100">
        <v>1151.6693672905656</v>
      </c>
      <c r="BJ71" s="100">
        <v>1.8229310476738334</v>
      </c>
      <c r="BK71" s="100">
        <v>1028.133110888042</v>
      </c>
      <c r="BL71" s="100">
        <v>5.1836619583320696</v>
      </c>
      <c r="BM71" s="100">
        <v>2923.5853444992872</v>
      </c>
      <c r="BN71" s="100">
        <v>3.2859980592255424</v>
      </c>
      <c r="BO71" s="100">
        <v>1853.3029054032058</v>
      </c>
      <c r="BP71" s="100">
        <v>7.3378930432171137</v>
      </c>
      <c r="BQ71" s="100">
        <v>4138.5716763744522</v>
      </c>
      <c r="BR71" s="100">
        <v>1.5469677701886482</v>
      </c>
      <c r="BS71" s="100">
        <v>872.48982238639758</v>
      </c>
      <c r="BT71" s="100">
        <v>5</v>
      </c>
      <c r="BU71" s="100">
        <v>2820</v>
      </c>
      <c r="BV71" s="100">
        <v>2.5274797088948664</v>
      </c>
      <c r="BW71" s="100">
        <v>1425.4985558167045</v>
      </c>
      <c r="BX71" s="100">
        <v>9.6134155902925684</v>
      </c>
      <c r="BY71" s="100">
        <v>5421.9663929250082</v>
      </c>
      <c r="BZ71" s="100">
        <v>3.1771626759909068</v>
      </c>
      <c r="CA71" s="100">
        <v>1791.9197492588714</v>
      </c>
      <c r="CB71" s="100">
        <v>8</v>
      </c>
      <c r="CC71" s="100">
        <v>4512</v>
      </c>
      <c r="CD71" s="100">
        <v>5</v>
      </c>
      <c r="CE71" s="100">
        <v>2820</v>
      </c>
      <c r="CF71" s="100">
        <v>4.8384061935830136</v>
      </c>
      <c r="CG71" s="100">
        <v>2728.8610931808198</v>
      </c>
      <c r="CH71" s="100">
        <v>8</v>
      </c>
      <c r="CI71" s="100">
        <v>4512</v>
      </c>
      <c r="CJ71" s="100">
        <v>3.2565475515187248</v>
      </c>
      <c r="CK71" s="100">
        <v>1836.6928190565607</v>
      </c>
      <c r="CL71" s="100">
        <v>8.0996216651193951</v>
      </c>
      <c r="CM71" s="100">
        <v>4568.1866191273384</v>
      </c>
      <c r="CN71" s="100">
        <v>3.0701094272140304</v>
      </c>
      <c r="CO71" s="100">
        <v>1731.5417169487132</v>
      </c>
      <c r="CP71" s="100">
        <v>8.6620176126208186</v>
      </c>
      <c r="CQ71" s="100">
        <v>4885.3779335181416</v>
      </c>
      <c r="CR71" s="100">
        <v>3.1915021225074356</v>
      </c>
      <c r="CS71" s="100">
        <v>1800.0071970941938</v>
      </c>
      <c r="CT71" s="100">
        <v>7.7824387519549099</v>
      </c>
      <c r="CU71" s="100">
        <v>4389.295456102569</v>
      </c>
    </row>
    <row r="72" spans="2:99">
      <c r="C72" s="99" t="s">
        <v>238</v>
      </c>
      <c r="D72" s="100">
        <v>8.8011054387191106</v>
      </c>
      <c r="E72" s="100">
        <v>654.8022446407017</v>
      </c>
      <c r="F72" s="100">
        <v>4.2524592375102355</v>
      </c>
      <c r="G72" s="100">
        <v>316.38296727076147</v>
      </c>
      <c r="H72" s="100">
        <v>5.2711655102368455</v>
      </c>
      <c r="I72" s="100">
        <v>392.17471396162125</v>
      </c>
      <c r="J72" s="100">
        <v>5.3731085248492665</v>
      </c>
      <c r="K72" s="100">
        <v>399.7592742487854</v>
      </c>
      <c r="L72" s="100">
        <v>2.0729251747977595</v>
      </c>
      <c r="M72" s="100">
        <v>154.22563300495329</v>
      </c>
      <c r="N72" s="100">
        <v>8.6817462074167899</v>
      </c>
      <c r="O72" s="100">
        <v>645.92191783180908</v>
      </c>
      <c r="P72" s="100">
        <v>4.4764228842797031</v>
      </c>
      <c r="Q72" s="100">
        <v>333.04586259040985</v>
      </c>
      <c r="R72" s="100">
        <v>5.5227353634385983</v>
      </c>
      <c r="S72" s="100">
        <v>410.89151103983164</v>
      </c>
      <c r="T72" s="100">
        <v>6.9552906778671444</v>
      </c>
      <c r="U72" s="100">
        <v>517.47362643331553</v>
      </c>
      <c r="V72" s="100">
        <v>2.0173689818570177</v>
      </c>
      <c r="W72" s="100">
        <v>150.09225225016209</v>
      </c>
      <c r="X72" s="100">
        <v>4.0343546353755153</v>
      </c>
      <c r="Y72" s="100">
        <v>300.1559848719383</v>
      </c>
      <c r="Z72" s="100">
        <v>6.6614698947928694</v>
      </c>
      <c r="AA72" s="100">
        <v>495.61336017258941</v>
      </c>
      <c r="AB72" s="100">
        <v>0.65305141026539526</v>
      </c>
      <c r="AC72" s="100">
        <v>48.587024923745403</v>
      </c>
      <c r="AD72" s="100">
        <v>5.579604963051564E-4</v>
      </c>
      <c r="AE72" s="100">
        <v>4.1512260925103635E-2</v>
      </c>
      <c r="AF72" s="100">
        <v>6.0002601141691025</v>
      </c>
      <c r="AG72" s="100">
        <v>446.41935249418117</v>
      </c>
      <c r="AH72" s="100">
        <v>6.4396471267905122</v>
      </c>
      <c r="AI72" s="100">
        <v>479.10974623321403</v>
      </c>
      <c r="AJ72" s="100">
        <v>7.6083305097283151</v>
      </c>
      <c r="AK72" s="100">
        <v>566.05978992378664</v>
      </c>
      <c r="AL72" s="100">
        <v>6.0058713370825059</v>
      </c>
      <c r="AM72" s="100">
        <v>446.8368274789384</v>
      </c>
      <c r="AN72" s="100">
        <v>7</v>
      </c>
      <c r="AO72" s="100">
        <v>520.79999999999995</v>
      </c>
      <c r="AP72" s="100">
        <v>2.9948578295493924</v>
      </c>
      <c r="AQ72" s="100">
        <v>222.81742251847476</v>
      </c>
      <c r="AR72" s="100">
        <v>6.8474566599644389</v>
      </c>
      <c r="AS72" s="100">
        <v>509.4507755013542</v>
      </c>
      <c r="AT72" s="100">
        <v>4.2778372161360938</v>
      </c>
      <c r="AU72" s="100">
        <v>318.27108888052533</v>
      </c>
      <c r="AV72" s="100">
        <v>8.2168954994639023</v>
      </c>
      <c r="AW72" s="100">
        <v>611.33702516011431</v>
      </c>
      <c r="AX72" s="100">
        <v>2.7227357571066255</v>
      </c>
      <c r="AY72" s="100">
        <v>202.57154032873291</v>
      </c>
      <c r="AZ72" s="100">
        <v>6.4354202823676543</v>
      </c>
      <c r="BA72" s="100">
        <v>478.79526900815341</v>
      </c>
      <c r="BB72" s="100">
        <v>1.3595322107156829</v>
      </c>
      <c r="BC72" s="100">
        <v>101.14919647724679</v>
      </c>
      <c r="BD72" s="100">
        <v>4.544836967949462</v>
      </c>
      <c r="BE72" s="100">
        <v>338.13587041543991</v>
      </c>
      <c r="BF72" s="100">
        <v>3.577103364059167</v>
      </c>
      <c r="BG72" s="100">
        <v>266.13649028600202</v>
      </c>
      <c r="BH72" s="100">
        <v>2.0419669632811446</v>
      </c>
      <c r="BI72" s="100">
        <v>151.92234206811713</v>
      </c>
      <c r="BJ72" s="100">
        <v>1.8229310476738334</v>
      </c>
      <c r="BK72" s="100">
        <v>135.6260699469332</v>
      </c>
      <c r="BL72" s="100">
        <v>5.1836619583320696</v>
      </c>
      <c r="BM72" s="100">
        <v>385.66444969990596</v>
      </c>
      <c r="BN72" s="100">
        <v>3.6866108440608798</v>
      </c>
      <c r="BO72" s="100">
        <v>274.28384679812945</v>
      </c>
      <c r="BP72" s="100">
        <v>7.3378930432171137</v>
      </c>
      <c r="BQ72" s="100">
        <v>545.93924241535319</v>
      </c>
      <c r="BR72" s="100">
        <v>1.8047957318867562</v>
      </c>
      <c r="BS72" s="100">
        <v>134.27680245237465</v>
      </c>
      <c r="BT72" s="100">
        <v>5</v>
      </c>
      <c r="BU72" s="100">
        <v>371.99999999999994</v>
      </c>
      <c r="BV72" s="100">
        <v>2.7967651784765453</v>
      </c>
      <c r="BW72" s="100">
        <v>208.07932927865494</v>
      </c>
      <c r="BX72" s="100">
        <v>9.6134155902925684</v>
      </c>
      <c r="BY72" s="100">
        <v>715.23811991776699</v>
      </c>
      <c r="BZ72" s="100">
        <v>3.1771626759909068</v>
      </c>
      <c r="CA72" s="100">
        <v>236.38090309372345</v>
      </c>
      <c r="CB72" s="100">
        <v>9</v>
      </c>
      <c r="CC72" s="100">
        <v>669.59999999999991</v>
      </c>
      <c r="CD72" s="100">
        <v>6</v>
      </c>
      <c r="CE72" s="100">
        <v>446.4</v>
      </c>
      <c r="CF72" s="100">
        <v>5.4432069677808901</v>
      </c>
      <c r="CG72" s="100">
        <v>404.97459840289815</v>
      </c>
      <c r="CH72" s="100">
        <v>8</v>
      </c>
      <c r="CI72" s="100">
        <v>595.19999999999993</v>
      </c>
      <c r="CJ72" s="100">
        <v>3.2565475515187248</v>
      </c>
      <c r="CK72" s="100">
        <v>242.2871378329931</v>
      </c>
      <c r="CL72" s="100">
        <v>8.0996216651193951</v>
      </c>
      <c r="CM72" s="100">
        <v>602.61185188488298</v>
      </c>
      <c r="CN72" s="100">
        <v>3.5821969766133539</v>
      </c>
      <c r="CO72" s="100">
        <v>266.5154550600335</v>
      </c>
      <c r="CP72" s="100">
        <v>8.0069967453627982</v>
      </c>
      <c r="CQ72" s="100">
        <v>595.72055785499208</v>
      </c>
      <c r="CR72" s="100">
        <v>3.1915021225074356</v>
      </c>
      <c r="CS72" s="100">
        <v>237.44775791455319</v>
      </c>
      <c r="CT72" s="100">
        <v>7.7824387519549099</v>
      </c>
      <c r="CU72" s="100">
        <v>579.01344314544519</v>
      </c>
    </row>
    <row r="73" spans="2:99">
      <c r="C73" s="99" t="s">
        <v>239</v>
      </c>
      <c r="D73" s="100">
        <v>7.0408843509752881</v>
      </c>
      <c r="E73" s="100">
        <v>3937.2625290653805</v>
      </c>
      <c r="F73" s="100">
        <v>3.7799637666757646</v>
      </c>
      <c r="G73" s="100">
        <v>2113.7557383250873</v>
      </c>
      <c r="H73" s="100">
        <v>5.9148820614905055</v>
      </c>
      <c r="I73" s="100">
        <v>3307.6020487854903</v>
      </c>
      <c r="J73" s="100">
        <v>5.3177702970232668</v>
      </c>
      <c r="K73" s="100">
        <v>2973.6971500954105</v>
      </c>
      <c r="L73" s="100">
        <v>2.0610190340844095</v>
      </c>
      <c r="M73" s="100">
        <v>1152.5218438600016</v>
      </c>
      <c r="N73" s="100">
        <v>8.6817462074167899</v>
      </c>
      <c r="O73" s="100">
        <v>4854.8324791874684</v>
      </c>
      <c r="P73" s="100">
        <v>4.0287805958517326</v>
      </c>
      <c r="Q73" s="100">
        <v>2252.8941092002888</v>
      </c>
      <c r="R73" s="100">
        <v>5.4181882907508783</v>
      </c>
      <c r="S73" s="100">
        <v>3029.8508921878906</v>
      </c>
      <c r="T73" s="100">
        <v>6.9552906778671444</v>
      </c>
      <c r="U73" s="100">
        <v>3889.3985470633065</v>
      </c>
      <c r="V73" s="100">
        <v>2.0173689818570177</v>
      </c>
      <c r="W73" s="100">
        <v>1128.1127346544442</v>
      </c>
      <c r="X73" s="100">
        <v>3.5541189113281604</v>
      </c>
      <c r="Y73" s="100">
        <v>1987.4632952147069</v>
      </c>
      <c r="Z73" s="100">
        <v>6.6614698947928694</v>
      </c>
      <c r="AA73" s="100">
        <v>3725.093965168172</v>
      </c>
      <c r="AB73" s="100">
        <v>0.73159930591154421</v>
      </c>
      <c r="AC73" s="100">
        <v>409.11033186573547</v>
      </c>
      <c r="AD73" s="100">
        <v>5.579604963051564E-4</v>
      </c>
      <c r="AE73" s="100">
        <v>0.31201150953384343</v>
      </c>
      <c r="AF73" s="100">
        <v>5.0002601141691025</v>
      </c>
      <c r="AG73" s="100">
        <v>2796.145455843362</v>
      </c>
      <c r="AH73" s="100">
        <v>6.4396471267905122</v>
      </c>
      <c r="AI73" s="100">
        <v>3601.0506733012539</v>
      </c>
      <c r="AJ73" s="100">
        <v>7.6083305097283151</v>
      </c>
      <c r="AK73" s="100">
        <v>4254.5784210400734</v>
      </c>
      <c r="AL73" s="100">
        <v>6.0058713370825059</v>
      </c>
      <c r="AM73" s="100">
        <v>3358.4832516965371</v>
      </c>
      <c r="AN73" s="100">
        <v>6</v>
      </c>
      <c r="AO73" s="100">
        <v>3355.2</v>
      </c>
      <c r="AP73" s="100">
        <v>2.495714857957827</v>
      </c>
      <c r="AQ73" s="100">
        <v>1395.6037485700167</v>
      </c>
      <c r="AR73" s="100">
        <v>6.7263914228266621</v>
      </c>
      <c r="AS73" s="100">
        <v>3761.398083644669</v>
      </c>
      <c r="AT73" s="100">
        <v>3.8025219698987498</v>
      </c>
      <c r="AU73" s="100">
        <v>2126.3702855673805</v>
      </c>
      <c r="AV73" s="100">
        <v>8.2168954994639023</v>
      </c>
      <c r="AW73" s="100">
        <v>4594.8879633002134</v>
      </c>
      <c r="AX73" s="100">
        <v>2.7227357571066255</v>
      </c>
      <c r="AY73" s="100">
        <v>1522.5538353740249</v>
      </c>
      <c r="AZ73" s="100">
        <v>7.4354202823676543</v>
      </c>
      <c r="BA73" s="100">
        <v>4157.8870218999919</v>
      </c>
      <c r="BB73" s="100">
        <v>1.1024759991209534</v>
      </c>
      <c r="BC73" s="100">
        <v>616.50457870843707</v>
      </c>
      <c r="BD73" s="100">
        <v>4.4693765035401087</v>
      </c>
      <c r="BE73" s="100">
        <v>2499.2753407796286</v>
      </c>
      <c r="BF73" s="100">
        <v>3.0546920380514981</v>
      </c>
      <c r="BG73" s="100">
        <v>1708.1837876783975</v>
      </c>
      <c r="BH73" s="100">
        <v>2.0419669632811446</v>
      </c>
      <c r="BI73" s="100">
        <v>1141.867925866816</v>
      </c>
      <c r="BJ73" s="100">
        <v>1.8204869680189684</v>
      </c>
      <c r="BK73" s="100">
        <v>1018.016312516207</v>
      </c>
      <c r="BL73" s="100">
        <v>5.8603712998089472</v>
      </c>
      <c r="BM73" s="100">
        <v>3277.119630853163</v>
      </c>
      <c r="BN73" s="100">
        <v>3.6753543195556544</v>
      </c>
      <c r="BO73" s="100">
        <v>2055.2581354955219</v>
      </c>
      <c r="BP73" s="100">
        <v>7.4505240576228182</v>
      </c>
      <c r="BQ73" s="100">
        <v>4166.3330530226795</v>
      </c>
      <c r="BR73" s="100">
        <v>1.8047957318867562</v>
      </c>
      <c r="BS73" s="100">
        <v>1009.241773271074</v>
      </c>
      <c r="BT73" s="100">
        <v>5</v>
      </c>
      <c r="BU73" s="100">
        <v>2795.9999999999995</v>
      </c>
      <c r="BV73" s="100">
        <v>2.5274797088948664</v>
      </c>
      <c r="BW73" s="100">
        <v>1413.3666532140091</v>
      </c>
      <c r="BX73" s="100">
        <v>10.460061692719426</v>
      </c>
      <c r="BY73" s="100">
        <v>5849.2664985687024</v>
      </c>
      <c r="BZ73" s="100">
        <v>2.647635563325756</v>
      </c>
      <c r="CA73" s="100">
        <v>1480.5578070117626</v>
      </c>
      <c r="CB73" s="100">
        <v>9</v>
      </c>
      <c r="CC73" s="100">
        <v>5032.7999999999993</v>
      </c>
      <c r="CD73" s="100">
        <v>6</v>
      </c>
      <c r="CE73" s="100">
        <v>3355.2</v>
      </c>
      <c r="CF73" s="100">
        <v>4.2336054193851371</v>
      </c>
      <c r="CG73" s="100">
        <v>2367.4321505201683</v>
      </c>
      <c r="CH73" s="100">
        <v>8</v>
      </c>
      <c r="CI73" s="100">
        <v>4473.5999999999995</v>
      </c>
      <c r="CJ73" s="100">
        <v>3.2565475515187248</v>
      </c>
      <c r="CK73" s="100">
        <v>1821.0613908092707</v>
      </c>
      <c r="CL73" s="100">
        <v>8.0996216651193951</v>
      </c>
      <c r="CM73" s="100">
        <v>4529.3084351347652</v>
      </c>
      <c r="CN73" s="100">
        <v>3.0701094272140304</v>
      </c>
      <c r="CO73" s="100">
        <v>1716.8051916980855</v>
      </c>
      <c r="CP73" s="100">
        <v>7.8750086866102595</v>
      </c>
      <c r="CQ73" s="100">
        <v>4403.7048575524568</v>
      </c>
      <c r="CR73" s="100">
        <v>3.1915021225074356</v>
      </c>
      <c r="CS73" s="100">
        <v>1784.6879869061577</v>
      </c>
      <c r="CT73" s="100">
        <v>7.7824387519549099</v>
      </c>
      <c r="CU73" s="100">
        <v>4351.9397500931855</v>
      </c>
    </row>
    <row r="74" spans="2:99">
      <c r="C74" s="99" t="s">
        <v>240</v>
      </c>
      <c r="D74" s="100">
        <v>7.9209948948471993</v>
      </c>
      <c r="E74" s="100">
        <v>3193.7451416023905</v>
      </c>
      <c r="F74" s="100">
        <v>3.7799637666757646</v>
      </c>
      <c r="G74" s="100">
        <v>1524.0813907236682</v>
      </c>
      <c r="H74" s="100">
        <v>6.0322875783834133</v>
      </c>
      <c r="I74" s="100">
        <v>2432.2183516041923</v>
      </c>
      <c r="J74" s="100">
        <v>5.3177702970232668</v>
      </c>
      <c r="K74" s="100">
        <v>2144.1249837597811</v>
      </c>
      <c r="L74" s="100">
        <v>2.0734548958150625</v>
      </c>
      <c r="M74" s="100">
        <v>836.01701399263322</v>
      </c>
      <c r="N74" s="100">
        <v>9.6817462074167899</v>
      </c>
      <c r="O74" s="100">
        <v>3903.6800708304495</v>
      </c>
      <c r="P74" s="100">
        <v>4.0287805958517326</v>
      </c>
      <c r="Q74" s="100">
        <v>1624.4043362474185</v>
      </c>
      <c r="R74" s="100">
        <v>5.4181882907508783</v>
      </c>
      <c r="S74" s="100">
        <v>2184.6135188307539</v>
      </c>
      <c r="T74" s="100">
        <v>6.9552906778671444</v>
      </c>
      <c r="U74" s="100">
        <v>2804.3732013160325</v>
      </c>
      <c r="V74" s="100">
        <v>2.4208427782284216</v>
      </c>
      <c r="W74" s="100">
        <v>976.08380818169962</v>
      </c>
      <c r="X74" s="100">
        <v>3.1220003980299769</v>
      </c>
      <c r="Y74" s="100">
        <v>1258.7905604856867</v>
      </c>
      <c r="Z74" s="100">
        <v>6.6614698947928694</v>
      </c>
      <c r="AA74" s="100">
        <v>2685.904661580485</v>
      </c>
      <c r="AB74" s="100">
        <v>0.64540577021040613</v>
      </c>
      <c r="AC74" s="100">
        <v>260.22760654883575</v>
      </c>
      <c r="AD74" s="100">
        <v>4.8821543426701185E-4</v>
      </c>
      <c r="AE74" s="100">
        <v>0.19684846309645918</v>
      </c>
      <c r="AF74" s="100">
        <v>5.0001950856268271</v>
      </c>
      <c r="AG74" s="100">
        <v>2016.0786585247367</v>
      </c>
      <c r="AH74" s="100">
        <v>7.2446030176393261</v>
      </c>
      <c r="AI74" s="100">
        <v>2921.0239367121762</v>
      </c>
      <c r="AJ74" s="100">
        <v>5.9175903964553562</v>
      </c>
      <c r="AK74" s="100">
        <v>2385.9724478507997</v>
      </c>
      <c r="AL74" s="100">
        <v>6.0058713370825059</v>
      </c>
      <c r="AM74" s="100">
        <v>2421.5673231116662</v>
      </c>
      <c r="AN74" s="100">
        <v>6</v>
      </c>
      <c r="AO74" s="100">
        <v>2419.1999999999998</v>
      </c>
      <c r="AP74" s="100">
        <v>2.495714857957827</v>
      </c>
      <c r="AQ74" s="100">
        <v>1006.2722307285958</v>
      </c>
      <c r="AR74" s="100">
        <v>6.7263914228266621</v>
      </c>
      <c r="AS74" s="100">
        <v>2712.0810216837099</v>
      </c>
      <c r="AT74" s="100">
        <v>3.8025219698987498</v>
      </c>
      <c r="AU74" s="100">
        <v>1533.176858263176</v>
      </c>
      <c r="AV74" s="100">
        <v>9.2168954994639023</v>
      </c>
      <c r="AW74" s="100">
        <v>3716.2522653838455</v>
      </c>
      <c r="AX74" s="100">
        <v>2.7227357571066255</v>
      </c>
      <c r="AY74" s="100">
        <v>1097.8070572653914</v>
      </c>
      <c r="AZ74" s="100">
        <v>6.4354202823676543</v>
      </c>
      <c r="BA74" s="100">
        <v>2594.7614578506382</v>
      </c>
      <c r="BB74" s="100">
        <v>1.1024759991209534</v>
      </c>
      <c r="BC74" s="100">
        <v>444.51832284556838</v>
      </c>
      <c r="BD74" s="100">
        <v>4.544836967949462</v>
      </c>
      <c r="BE74" s="100">
        <v>1832.478265477223</v>
      </c>
      <c r="BF74" s="100">
        <v>3.1432191196541286</v>
      </c>
      <c r="BG74" s="100">
        <v>1267.3459490445446</v>
      </c>
      <c r="BH74" s="100">
        <v>2.0450034857099673</v>
      </c>
      <c r="BI74" s="100">
        <v>824.54540543825874</v>
      </c>
      <c r="BJ74" s="100">
        <v>1.8204869680189684</v>
      </c>
      <c r="BK74" s="100">
        <v>734.02034550524797</v>
      </c>
      <c r="BL74" s="100">
        <v>5.8603712998089472</v>
      </c>
      <c r="BM74" s="100">
        <v>2362.9017080829676</v>
      </c>
      <c r="BN74" s="100">
        <v>3.2822458843904672</v>
      </c>
      <c r="BO74" s="100">
        <v>1323.4015405862363</v>
      </c>
      <c r="BP74" s="100">
        <v>7.3378930432171137</v>
      </c>
      <c r="BQ74" s="100">
        <v>2958.63847502514</v>
      </c>
      <c r="BR74" s="100">
        <v>1.5469677701886482</v>
      </c>
      <c r="BS74" s="100">
        <v>623.7374049400629</v>
      </c>
      <c r="BT74" s="100">
        <v>5</v>
      </c>
      <c r="BU74" s="100">
        <v>2016</v>
      </c>
      <c r="BV74" s="100">
        <v>2.7608604491989879</v>
      </c>
      <c r="BW74" s="100">
        <v>1113.1789331170319</v>
      </c>
      <c r="BX74" s="100">
        <v>9.4600616927194263</v>
      </c>
      <c r="BY74" s="100">
        <v>3814.2968745044727</v>
      </c>
      <c r="BZ74" s="100">
        <v>2.647635563325756</v>
      </c>
      <c r="CA74" s="100">
        <v>1067.5266591329448</v>
      </c>
      <c r="CB74" s="100">
        <v>9</v>
      </c>
      <c r="CC74" s="100">
        <v>3628.7999999999997</v>
      </c>
      <c r="CD74" s="100">
        <v>6</v>
      </c>
      <c r="CE74" s="100">
        <v>2419.1999999999998</v>
      </c>
      <c r="CF74" s="100">
        <v>4.8384061935830136</v>
      </c>
      <c r="CG74" s="100">
        <v>1950.8453772526711</v>
      </c>
      <c r="CH74" s="100">
        <v>8</v>
      </c>
      <c r="CI74" s="100">
        <v>3225.6</v>
      </c>
      <c r="CJ74" s="100">
        <v>3.2565475515187248</v>
      </c>
      <c r="CK74" s="100">
        <v>1313.0399727723498</v>
      </c>
      <c r="CL74" s="100">
        <v>8.0996216651193951</v>
      </c>
      <c r="CM74" s="100">
        <v>3265.7674553761399</v>
      </c>
      <c r="CN74" s="100">
        <v>3.579024383564267</v>
      </c>
      <c r="CO74" s="100">
        <v>1443.0626314531123</v>
      </c>
      <c r="CP74" s="100">
        <v>8.6620176126208186</v>
      </c>
      <c r="CQ74" s="100">
        <v>3492.5255014087138</v>
      </c>
      <c r="CR74" s="100">
        <v>3.8298025470089225</v>
      </c>
      <c r="CS74" s="100">
        <v>1544.1763869539975</v>
      </c>
      <c r="CT74" s="100">
        <v>7.7824387519549099</v>
      </c>
      <c r="CU74" s="100">
        <v>3137.8793047882195</v>
      </c>
    </row>
    <row r="75" spans="2:99">
      <c r="C75" s="99" t="s">
        <v>241</v>
      </c>
      <c r="D75" s="100">
        <v>7.0408843509752881</v>
      </c>
      <c r="E75" s="100">
        <v>4528.6968145473047</v>
      </c>
      <c r="F75" s="100">
        <v>4.2524592375102355</v>
      </c>
      <c r="G75" s="100">
        <v>2735.1817815665831</v>
      </c>
      <c r="H75" s="100">
        <v>6.0322875783834133</v>
      </c>
      <c r="I75" s="100">
        <v>3879.967370416211</v>
      </c>
      <c r="J75" s="100">
        <v>5.3177702970232668</v>
      </c>
      <c r="K75" s="100">
        <v>3420.389855045365</v>
      </c>
      <c r="L75" s="100">
        <v>2.3251607395105238</v>
      </c>
      <c r="M75" s="100">
        <v>1495.5433876531688</v>
      </c>
      <c r="N75" s="100">
        <v>8.6817462074167899</v>
      </c>
      <c r="O75" s="100">
        <v>5584.099160610479</v>
      </c>
      <c r="P75" s="100">
        <v>3.5811383074237622</v>
      </c>
      <c r="Q75" s="100">
        <v>2303.3881593349638</v>
      </c>
      <c r="R75" s="100">
        <v>5.4181882907508783</v>
      </c>
      <c r="S75" s="100">
        <v>3484.9787086109645</v>
      </c>
      <c r="T75" s="100">
        <v>6.9552906778671444</v>
      </c>
      <c r="U75" s="100">
        <v>4473.642964004147</v>
      </c>
      <c r="V75" s="100">
        <v>2.0173689818570177</v>
      </c>
      <c r="W75" s="100">
        <v>1297.5717291304336</v>
      </c>
      <c r="X75" s="100">
        <v>3.5541189113281604</v>
      </c>
      <c r="Y75" s="100">
        <v>2286.0092837662723</v>
      </c>
      <c r="Z75" s="100">
        <v>6.6614698947928694</v>
      </c>
      <c r="AA75" s="100">
        <v>4284.6574363307727</v>
      </c>
      <c r="AB75" s="100">
        <v>0.64922859023790069</v>
      </c>
      <c r="AC75" s="100">
        <v>417.58382924101767</v>
      </c>
      <c r="AD75" s="100">
        <v>4.8821543426701185E-4</v>
      </c>
      <c r="AE75" s="100">
        <v>0.314020167320542</v>
      </c>
      <c r="AF75" s="100">
        <v>5.0002601141691025</v>
      </c>
      <c r="AG75" s="100">
        <v>3216.1673054335665</v>
      </c>
      <c r="AH75" s="100">
        <v>5.6346912359416983</v>
      </c>
      <c r="AI75" s="100">
        <v>3624.2334029577</v>
      </c>
      <c r="AJ75" s="100">
        <v>6.7629604530918357</v>
      </c>
      <c r="AK75" s="100">
        <v>4349.9361634286679</v>
      </c>
      <c r="AL75" s="100">
        <v>5.1478897174992913</v>
      </c>
      <c r="AM75" s="100">
        <v>3311.1226662955437</v>
      </c>
      <c r="AN75" s="100">
        <v>6</v>
      </c>
      <c r="AO75" s="100">
        <v>3859.2</v>
      </c>
      <c r="AP75" s="100">
        <v>2.9948578295493924</v>
      </c>
      <c r="AQ75" s="100">
        <v>1926.2925559661689</v>
      </c>
      <c r="AR75" s="100">
        <v>5.7263914228266621</v>
      </c>
      <c r="AS75" s="100">
        <v>3683.2149631621087</v>
      </c>
      <c r="AT75" s="100">
        <v>3.8025219698987498</v>
      </c>
      <c r="AU75" s="100">
        <v>2445.7821310388758</v>
      </c>
      <c r="AV75" s="100">
        <v>8.2602745993566824</v>
      </c>
      <c r="AW75" s="100">
        <v>5313.0086223062171</v>
      </c>
      <c r="AX75" s="100">
        <v>2.3823937874682977</v>
      </c>
      <c r="AY75" s="100">
        <v>1532.3556840996089</v>
      </c>
      <c r="AZ75" s="100">
        <v>6.3265652117757405</v>
      </c>
      <c r="BA75" s="100">
        <v>4069.246744214156</v>
      </c>
      <c r="BB75" s="100">
        <v>1.3595322107156829</v>
      </c>
      <c r="BC75" s="100">
        <v>874.45111793232718</v>
      </c>
      <c r="BD75" s="100">
        <v>4.0333276952627939</v>
      </c>
      <c r="BE75" s="100">
        <v>2594.2363735930289</v>
      </c>
      <c r="BF75" s="100">
        <v>3.0546920380514981</v>
      </c>
      <c r="BG75" s="100">
        <v>1964.7779188747234</v>
      </c>
      <c r="BH75" s="100">
        <v>1.9803840908818127</v>
      </c>
      <c r="BI75" s="100">
        <v>1273.7830472551818</v>
      </c>
      <c r="BJ75" s="100">
        <v>2.1347231157905782</v>
      </c>
      <c r="BK75" s="100">
        <v>1373.0539080764997</v>
      </c>
      <c r="BL75" s="100">
        <v>5.8603712998089472</v>
      </c>
      <c r="BM75" s="100">
        <v>3769.3908200371143</v>
      </c>
      <c r="BN75" s="100">
        <v>3.206964023274204</v>
      </c>
      <c r="BO75" s="100">
        <v>2062.7192597699677</v>
      </c>
      <c r="BP75" s="100">
        <v>8.3378930432171146</v>
      </c>
      <c r="BQ75" s="100">
        <v>5362.9328053972476</v>
      </c>
      <c r="BR75" s="100">
        <v>1.8047957318867562</v>
      </c>
      <c r="BS75" s="100">
        <v>1160.8446147495615</v>
      </c>
      <c r="BT75" s="100">
        <v>5</v>
      </c>
      <c r="BU75" s="100">
        <v>3215.9999999999995</v>
      </c>
      <c r="BV75" s="100">
        <v>2.5274797088948664</v>
      </c>
      <c r="BW75" s="100">
        <v>1625.6749487611778</v>
      </c>
      <c r="BX75" s="100">
        <v>10.613415590292568</v>
      </c>
      <c r="BY75" s="100">
        <v>6826.5489076761796</v>
      </c>
      <c r="BZ75" s="100">
        <v>2.647635563325756</v>
      </c>
      <c r="CA75" s="100">
        <v>1702.9591943311261</v>
      </c>
      <c r="CB75" s="100">
        <v>9</v>
      </c>
      <c r="CC75" s="100">
        <v>5788.7999999999993</v>
      </c>
      <c r="CD75" s="100">
        <v>6</v>
      </c>
      <c r="CE75" s="100">
        <v>3859.2</v>
      </c>
      <c r="CF75" s="100">
        <v>4.8384061935830136</v>
      </c>
      <c r="CG75" s="100">
        <v>3112.0628637125942</v>
      </c>
      <c r="CH75" s="100">
        <v>8</v>
      </c>
      <c r="CI75" s="100">
        <v>5145.5999999999995</v>
      </c>
      <c r="CJ75" s="100">
        <v>3.2565475515187248</v>
      </c>
      <c r="CK75" s="100">
        <v>2094.6113851368436</v>
      </c>
      <c r="CL75" s="100">
        <v>8.0996216651193951</v>
      </c>
      <c r="CM75" s="100">
        <v>5209.6766550047942</v>
      </c>
      <c r="CN75" s="100">
        <v>3.5782676596970946</v>
      </c>
      <c r="CO75" s="100">
        <v>2301.541758717171</v>
      </c>
      <c r="CP75" s="100">
        <v>8.6620176126208186</v>
      </c>
      <c r="CQ75" s="100">
        <v>5571.4097284377103</v>
      </c>
      <c r="CR75" s="100">
        <v>3.1915021225074356</v>
      </c>
      <c r="CS75" s="100">
        <v>2052.7741651967822</v>
      </c>
      <c r="CT75" s="100">
        <v>7.7824387519549099</v>
      </c>
      <c r="CU75" s="100">
        <v>5005.6646052573979</v>
      </c>
    </row>
    <row r="76" spans="2:99">
      <c r="C76" s="99" t="s">
        <v>242</v>
      </c>
      <c r="D76" s="100">
        <v>7.9209948948471993</v>
      </c>
      <c r="E76" s="100">
        <v>6168.870824106998</v>
      </c>
      <c r="F76" s="100">
        <v>3.7799637666757646</v>
      </c>
      <c r="G76" s="100">
        <v>2943.8357814870851</v>
      </c>
      <c r="H76" s="100">
        <v>5.9148820614905055</v>
      </c>
      <c r="I76" s="100">
        <v>4606.5101494888058</v>
      </c>
      <c r="J76" s="100">
        <v>5.3731085248492665</v>
      </c>
      <c r="K76" s="100">
        <v>4184.5769191526088</v>
      </c>
      <c r="L76" s="100">
        <v>2.0599595920498031</v>
      </c>
      <c r="M76" s="100">
        <v>1604.2965302883865</v>
      </c>
      <c r="N76" s="100">
        <v>8.6817462074167899</v>
      </c>
      <c r="O76" s="100">
        <v>6761.3439463361956</v>
      </c>
      <c r="P76" s="100">
        <v>4.0287805958517326</v>
      </c>
      <c r="Q76" s="100">
        <v>3137.6143280493293</v>
      </c>
      <c r="R76" s="100">
        <v>4.4181882907508783</v>
      </c>
      <c r="S76" s="100">
        <v>3440.8850408367839</v>
      </c>
      <c r="T76" s="100">
        <v>7.8247020126005378</v>
      </c>
      <c r="U76" s="100">
        <v>6093.8779274132985</v>
      </c>
      <c r="V76" s="100">
        <v>2.0173689818570177</v>
      </c>
      <c r="W76" s="100">
        <v>1571.1269630702454</v>
      </c>
      <c r="X76" s="100">
        <v>3.5541189113281604</v>
      </c>
      <c r="Y76" s="100">
        <v>2767.9478081423713</v>
      </c>
      <c r="Z76" s="100">
        <v>5.6614698947928694</v>
      </c>
      <c r="AA76" s="100">
        <v>4409.1527540646866</v>
      </c>
      <c r="AB76" s="100">
        <v>0.64540577021040613</v>
      </c>
      <c r="AC76" s="100">
        <v>502.64201383986426</v>
      </c>
      <c r="AD76" s="100">
        <v>5.579604963051564E-4</v>
      </c>
      <c r="AE76" s="100">
        <v>0.43453963452245575</v>
      </c>
      <c r="AF76" s="100">
        <v>5.0001950856268271</v>
      </c>
      <c r="AG76" s="100">
        <v>3894.1519326861726</v>
      </c>
      <c r="AH76" s="100">
        <v>6.4396471267905122</v>
      </c>
      <c r="AI76" s="100">
        <v>5015.197182344451</v>
      </c>
      <c r="AJ76" s="100">
        <v>6.7629604530918357</v>
      </c>
      <c r="AK76" s="100">
        <v>5266.9936008679215</v>
      </c>
      <c r="AL76" s="100">
        <v>5.1478897174992913</v>
      </c>
      <c r="AM76" s="100">
        <v>4009.1765119884476</v>
      </c>
      <c r="AN76" s="100">
        <v>6</v>
      </c>
      <c r="AO76" s="100">
        <v>4672.7999999999993</v>
      </c>
      <c r="AP76" s="100">
        <v>2.495714857957827</v>
      </c>
      <c r="AQ76" s="100">
        <v>1943.6627313775555</v>
      </c>
      <c r="AR76" s="100">
        <v>5.7263914228266621</v>
      </c>
      <c r="AS76" s="100">
        <v>4459.7136400974041</v>
      </c>
      <c r="AT76" s="100">
        <v>3.8025219698987498</v>
      </c>
      <c r="AU76" s="100">
        <v>2961.4041101571461</v>
      </c>
      <c r="AV76" s="100">
        <v>8.2168954994639023</v>
      </c>
      <c r="AW76" s="100">
        <v>6399.318214982487</v>
      </c>
      <c r="AX76" s="100">
        <v>2.3823937874682977</v>
      </c>
      <c r="AY76" s="100">
        <v>1855.4082816803102</v>
      </c>
      <c r="AZ76" s="100">
        <v>6.4354202823676543</v>
      </c>
      <c r="BA76" s="100">
        <v>5011.9053159079285</v>
      </c>
      <c r="BB76" s="100">
        <v>1.1757862108621906</v>
      </c>
      <c r="BC76" s="100">
        <v>915.70230101947402</v>
      </c>
      <c r="BD76" s="100">
        <v>3.9578672308534406</v>
      </c>
      <c r="BE76" s="100">
        <v>3082.3869993886592</v>
      </c>
      <c r="BF76" s="100">
        <v>3.577103364059167</v>
      </c>
      <c r="BG76" s="100">
        <v>2785.8480999292792</v>
      </c>
      <c r="BH76" s="100">
        <v>2.0419669632811446</v>
      </c>
      <c r="BI76" s="100">
        <v>1590.2838710033552</v>
      </c>
      <c r="BJ76" s="100">
        <v>1.8229310476738334</v>
      </c>
      <c r="BK76" s="100">
        <v>1419.6986999283813</v>
      </c>
      <c r="BL76" s="100">
        <v>5.8603712998089472</v>
      </c>
      <c r="BM76" s="100">
        <v>4564.0571682912077</v>
      </c>
      <c r="BN76" s="100">
        <v>3.6791064943907292</v>
      </c>
      <c r="BO76" s="100">
        <v>2865.2881378314996</v>
      </c>
      <c r="BP76" s="100">
        <v>7.3378930432171137</v>
      </c>
      <c r="BQ76" s="100">
        <v>5714.7511020574875</v>
      </c>
      <c r="BR76" s="100">
        <v>1.2891398084905401</v>
      </c>
      <c r="BS76" s="100">
        <v>1003.9820828524325</v>
      </c>
      <c r="BT76" s="100">
        <v>5</v>
      </c>
      <c r="BU76" s="100">
        <v>3894</v>
      </c>
      <c r="BV76" s="100">
        <v>2.5274797088948664</v>
      </c>
      <c r="BW76" s="100">
        <v>1968.4011972873218</v>
      </c>
      <c r="BX76" s="100">
        <v>9.4600616927194263</v>
      </c>
      <c r="BY76" s="100">
        <v>7367.4960462898889</v>
      </c>
      <c r="BZ76" s="100">
        <v>2.647635563325756</v>
      </c>
      <c r="CA76" s="100">
        <v>2061.9785767180988</v>
      </c>
      <c r="CB76" s="100">
        <v>8</v>
      </c>
      <c r="CC76" s="100">
        <v>6230.4</v>
      </c>
      <c r="CD76" s="100">
        <v>6</v>
      </c>
      <c r="CE76" s="100">
        <v>4672.7999999999993</v>
      </c>
      <c r="CF76" s="100">
        <v>4.8384061935830136</v>
      </c>
      <c r="CG76" s="100">
        <v>3768.1507435624508</v>
      </c>
      <c r="CH76" s="100">
        <v>8</v>
      </c>
      <c r="CI76" s="100">
        <v>6230.4</v>
      </c>
      <c r="CJ76" s="100">
        <v>3.2565475515187248</v>
      </c>
      <c r="CK76" s="100">
        <v>2536.1992331227825</v>
      </c>
      <c r="CL76" s="100">
        <v>7.1017022167142843</v>
      </c>
      <c r="CM76" s="100">
        <v>5530.8056863770844</v>
      </c>
      <c r="CN76" s="100">
        <v>3.0701094272140304</v>
      </c>
      <c r="CO76" s="100">
        <v>2391.0012219142868</v>
      </c>
      <c r="CP76" s="100">
        <v>7.8750086866102595</v>
      </c>
      <c r="CQ76" s="100">
        <v>6133.0567651320698</v>
      </c>
      <c r="CR76" s="100">
        <v>3.1915021225074356</v>
      </c>
      <c r="CS76" s="100">
        <v>2485.5418530087909</v>
      </c>
      <c r="CT76" s="100">
        <v>7.7824387519549099</v>
      </c>
      <c r="CU76" s="100">
        <v>6060.9633000224831</v>
      </c>
    </row>
    <row r="77" spans="2:99">
      <c r="C77" s="99" t="s">
        <v>243</v>
      </c>
      <c r="D77" s="100">
        <v>7.9209948948471993</v>
      </c>
      <c r="E77" s="100">
        <v>2205.20497872546</v>
      </c>
      <c r="F77" s="100">
        <v>3.7799637666757646</v>
      </c>
      <c r="G77" s="100">
        <v>1052.3419126425329</v>
      </c>
      <c r="H77" s="100">
        <v>5.9148820614905055</v>
      </c>
      <c r="I77" s="100">
        <v>1646.7031659189565</v>
      </c>
      <c r="J77" s="100">
        <v>6.222511422469144</v>
      </c>
      <c r="K77" s="100">
        <v>1732.3471800154095</v>
      </c>
      <c r="L77" s="100">
        <v>2.0729251747977595</v>
      </c>
      <c r="M77" s="100">
        <v>577.10236866369621</v>
      </c>
      <c r="N77" s="100">
        <v>9.6817462074167899</v>
      </c>
      <c r="O77" s="100">
        <v>2695.3981441448341</v>
      </c>
      <c r="P77" s="100">
        <v>4.4764228842797031</v>
      </c>
      <c r="Q77" s="100">
        <v>1246.2361309834694</v>
      </c>
      <c r="R77" s="100">
        <v>5.4181882907508783</v>
      </c>
      <c r="S77" s="100">
        <v>1508.4236201450444</v>
      </c>
      <c r="T77" s="100">
        <v>7.8247020126005378</v>
      </c>
      <c r="U77" s="100">
        <v>2178.3970403079898</v>
      </c>
      <c r="V77" s="100">
        <v>2.4208427782284216</v>
      </c>
      <c r="W77" s="100">
        <v>673.96262945879255</v>
      </c>
      <c r="X77" s="100">
        <v>3.6022361220773313</v>
      </c>
      <c r="Y77" s="100">
        <v>1002.862536386329</v>
      </c>
      <c r="Z77" s="100">
        <v>6.6614698947928694</v>
      </c>
      <c r="AA77" s="100">
        <v>1854.5532187103347</v>
      </c>
      <c r="AB77" s="100">
        <v>0.73159930591154421</v>
      </c>
      <c r="AC77" s="100">
        <v>203.6772467657739</v>
      </c>
      <c r="AD77" s="100">
        <v>5.579604963051564E-4</v>
      </c>
      <c r="AE77" s="100">
        <v>0.15533620217135552</v>
      </c>
      <c r="AF77" s="100">
        <v>6.0002601141691025</v>
      </c>
      <c r="AG77" s="100">
        <v>1670.4724157846781</v>
      </c>
      <c r="AH77" s="100">
        <v>6.4396471267905122</v>
      </c>
      <c r="AI77" s="100">
        <v>1792.7977600984784</v>
      </c>
      <c r="AJ77" s="100">
        <v>6.7629604530918357</v>
      </c>
      <c r="AK77" s="100">
        <v>1882.808190140767</v>
      </c>
      <c r="AL77" s="100">
        <v>6.0058713370825059</v>
      </c>
      <c r="AM77" s="100">
        <v>1672.0345802437696</v>
      </c>
      <c r="AN77" s="100">
        <v>7</v>
      </c>
      <c r="AO77" s="100">
        <v>1948.7999999999997</v>
      </c>
      <c r="AP77" s="100">
        <v>2.495714857957827</v>
      </c>
      <c r="AQ77" s="100">
        <v>694.80701645545901</v>
      </c>
      <c r="AR77" s="100">
        <v>6.7263914228266621</v>
      </c>
      <c r="AS77" s="100">
        <v>1872.6273721149425</v>
      </c>
      <c r="AT77" s="100">
        <v>3.3272067236614058</v>
      </c>
      <c r="AU77" s="100">
        <v>926.29435186733531</v>
      </c>
      <c r="AV77" s="100">
        <v>8.2602745993566824</v>
      </c>
      <c r="AW77" s="100">
        <v>2299.6604484609002</v>
      </c>
      <c r="AX77" s="100">
        <v>2.7227357571066255</v>
      </c>
      <c r="AY77" s="100">
        <v>758.0096347784845</v>
      </c>
      <c r="AZ77" s="100">
        <v>7.4354202823676543</v>
      </c>
      <c r="BA77" s="100">
        <v>2070.0210066111549</v>
      </c>
      <c r="BB77" s="100">
        <v>1.1024759991209534</v>
      </c>
      <c r="BC77" s="100">
        <v>306.92931815527339</v>
      </c>
      <c r="BD77" s="100">
        <v>4.544836967949462</v>
      </c>
      <c r="BE77" s="100">
        <v>1265.2826118771302</v>
      </c>
      <c r="BF77" s="100">
        <v>3.0546920380514981</v>
      </c>
      <c r="BG77" s="100">
        <v>850.42626339353706</v>
      </c>
      <c r="BH77" s="100">
        <v>2.0419669632811446</v>
      </c>
      <c r="BI77" s="100">
        <v>568.48360257747061</v>
      </c>
      <c r="BJ77" s="100">
        <v>2.1347231157905782</v>
      </c>
      <c r="BK77" s="100">
        <v>594.30691543609692</v>
      </c>
      <c r="BL77" s="100">
        <v>5.1836619583320696</v>
      </c>
      <c r="BM77" s="100">
        <v>1443.1314891996481</v>
      </c>
      <c r="BN77" s="100">
        <v>3.6753543195556544</v>
      </c>
      <c r="BO77" s="100">
        <v>1023.2186425642941</v>
      </c>
      <c r="BP77" s="100">
        <v>8.3378930432171146</v>
      </c>
      <c r="BQ77" s="100">
        <v>2321.2694232316444</v>
      </c>
      <c r="BR77" s="100">
        <v>1.8047957318867562</v>
      </c>
      <c r="BS77" s="100">
        <v>502.45513175727291</v>
      </c>
      <c r="BT77" s="100">
        <v>5</v>
      </c>
      <c r="BU77" s="100">
        <v>1392</v>
      </c>
      <c r="BV77" s="100">
        <v>2.1664111790527425</v>
      </c>
      <c r="BW77" s="100">
        <v>603.12887224828341</v>
      </c>
      <c r="BX77" s="100">
        <v>10.613415590292568</v>
      </c>
      <c r="BY77" s="100">
        <v>2954.7749003374506</v>
      </c>
      <c r="BZ77" s="100">
        <v>3.1771626759909068</v>
      </c>
      <c r="CA77" s="100">
        <v>884.52208899586844</v>
      </c>
      <c r="CB77" s="100">
        <v>9</v>
      </c>
      <c r="CC77" s="100">
        <v>2505.6</v>
      </c>
      <c r="CD77" s="100">
        <v>6</v>
      </c>
      <c r="CE77" s="100">
        <v>1670.3999999999999</v>
      </c>
      <c r="CF77" s="100">
        <v>4.8384061935830136</v>
      </c>
      <c r="CG77" s="100">
        <v>1347.0122842935109</v>
      </c>
      <c r="CH77" s="100">
        <v>8</v>
      </c>
      <c r="CI77" s="100">
        <v>2227.1999999999998</v>
      </c>
      <c r="CJ77" s="100">
        <v>3.2565475515187248</v>
      </c>
      <c r="CK77" s="100">
        <v>906.62283834281288</v>
      </c>
      <c r="CL77" s="100">
        <v>8.0996216651193951</v>
      </c>
      <c r="CM77" s="100">
        <v>2254.9346715692395</v>
      </c>
      <c r="CN77" s="100">
        <v>3.0701094272140304</v>
      </c>
      <c r="CO77" s="100">
        <v>854.71846453638602</v>
      </c>
      <c r="CP77" s="100">
        <v>7.8750086866102595</v>
      </c>
      <c r="CQ77" s="100">
        <v>2192.4024183522961</v>
      </c>
      <c r="CR77" s="100">
        <v>3.1915021225074356</v>
      </c>
      <c r="CS77" s="100">
        <v>888.51419090606998</v>
      </c>
      <c r="CT77" s="100">
        <v>7.7824387519549099</v>
      </c>
      <c r="CU77" s="100">
        <v>2166.6309485442466</v>
      </c>
    </row>
    <row r="78" spans="2:99">
      <c r="C78" s="99" t="s">
        <v>244</v>
      </c>
      <c r="D78" s="100">
        <v>7.0408843509752881</v>
      </c>
      <c r="E78" s="100">
        <v>3886.5681617383589</v>
      </c>
      <c r="F78" s="100">
        <v>3.7799637666757646</v>
      </c>
      <c r="G78" s="100">
        <v>2086.539999205022</v>
      </c>
      <c r="H78" s="100">
        <v>6.0322875783834133</v>
      </c>
      <c r="I78" s="100">
        <v>3329.822743267644</v>
      </c>
      <c r="J78" s="100">
        <v>5.3177702970232668</v>
      </c>
      <c r="K78" s="100">
        <v>2935.4092039568432</v>
      </c>
      <c r="L78" s="100">
        <v>2.3127248777798703</v>
      </c>
      <c r="M78" s="100">
        <v>1276.6241325344884</v>
      </c>
      <c r="N78" s="100">
        <v>9.5113096555625933</v>
      </c>
      <c r="O78" s="100">
        <v>5250.242929870552</v>
      </c>
      <c r="P78" s="100">
        <v>4.0287805958517326</v>
      </c>
      <c r="Q78" s="100">
        <v>2223.8868889101564</v>
      </c>
      <c r="R78" s="100">
        <v>5.5227353634385983</v>
      </c>
      <c r="S78" s="100">
        <v>3048.5499206181062</v>
      </c>
      <c r="T78" s="100">
        <v>6.9552906778671444</v>
      </c>
      <c r="U78" s="100">
        <v>3839.3204541826635</v>
      </c>
      <c r="V78" s="100">
        <v>2.0173689818570177</v>
      </c>
      <c r="W78" s="100">
        <v>1113.5876779850737</v>
      </c>
      <c r="X78" s="100">
        <v>3.1220003980299769</v>
      </c>
      <c r="Y78" s="100">
        <v>1723.3442197125473</v>
      </c>
      <c r="Z78" s="100">
        <v>6.6614698947928694</v>
      </c>
      <c r="AA78" s="100">
        <v>3677.1313819256638</v>
      </c>
      <c r="AB78" s="100">
        <v>0.64540577021040613</v>
      </c>
      <c r="AC78" s="100">
        <v>356.2639851561442</v>
      </c>
      <c r="AD78" s="100">
        <v>4.8821543426701185E-4</v>
      </c>
      <c r="AE78" s="100">
        <v>0.26949491971539052</v>
      </c>
      <c r="AF78" s="100">
        <v>6.0001950856268271</v>
      </c>
      <c r="AG78" s="100">
        <v>3312.1076872660087</v>
      </c>
      <c r="AH78" s="100">
        <v>7.2446030176393261</v>
      </c>
      <c r="AI78" s="100">
        <v>3999.020865736908</v>
      </c>
      <c r="AJ78" s="100">
        <v>5.9175903964553562</v>
      </c>
      <c r="AK78" s="100">
        <v>3266.5098988433565</v>
      </c>
      <c r="AL78" s="100">
        <v>5.1478897174992913</v>
      </c>
      <c r="AM78" s="100">
        <v>2841.6351240596086</v>
      </c>
      <c r="AN78" s="100">
        <v>6</v>
      </c>
      <c r="AO78" s="100">
        <v>3312</v>
      </c>
      <c r="AP78" s="100">
        <v>2.495714857957827</v>
      </c>
      <c r="AQ78" s="100">
        <v>1377.6346015927204</v>
      </c>
      <c r="AR78" s="100">
        <v>6.7263914228266621</v>
      </c>
      <c r="AS78" s="100">
        <v>3712.9680654003173</v>
      </c>
      <c r="AT78" s="100">
        <v>3.3272067236614058</v>
      </c>
      <c r="AU78" s="100">
        <v>1836.6181114610961</v>
      </c>
      <c r="AV78" s="100">
        <v>8.2168954994639023</v>
      </c>
      <c r="AW78" s="100">
        <v>4535.7263157040743</v>
      </c>
      <c r="AX78" s="100">
        <v>2.7227357571066255</v>
      </c>
      <c r="AY78" s="100">
        <v>1502.9501379228573</v>
      </c>
      <c r="AZ78" s="100">
        <v>7.4354202823676543</v>
      </c>
      <c r="BA78" s="100">
        <v>4104.3519958669449</v>
      </c>
      <c r="BB78" s="100">
        <v>1.3595322107156829</v>
      </c>
      <c r="BC78" s="100">
        <v>750.4617803150569</v>
      </c>
      <c r="BD78" s="100">
        <v>4.544836967949462</v>
      </c>
      <c r="BE78" s="100">
        <v>2508.7500063081029</v>
      </c>
      <c r="BF78" s="100">
        <v>3.0546920380514981</v>
      </c>
      <c r="BG78" s="100">
        <v>1686.1900050044269</v>
      </c>
      <c r="BH78" s="100">
        <v>2.0419669632811446</v>
      </c>
      <c r="BI78" s="100">
        <v>1127.1657637311919</v>
      </c>
      <c r="BJ78" s="100">
        <v>2.0858395018203399</v>
      </c>
      <c r="BK78" s="100">
        <v>1151.3834050048276</v>
      </c>
      <c r="BL78" s="100">
        <v>5.1836619583320696</v>
      </c>
      <c r="BM78" s="100">
        <v>2861.3814009993025</v>
      </c>
      <c r="BN78" s="100">
        <v>3.6791064943907292</v>
      </c>
      <c r="BO78" s="100">
        <v>2030.8667849036826</v>
      </c>
      <c r="BP78" s="100">
        <v>7.4505240576228182</v>
      </c>
      <c r="BQ78" s="100">
        <v>4112.6892798077961</v>
      </c>
      <c r="BR78" s="100">
        <v>1.5469677701886482</v>
      </c>
      <c r="BS78" s="100">
        <v>853.92620914413374</v>
      </c>
      <c r="BT78" s="100">
        <v>5</v>
      </c>
      <c r="BU78" s="100">
        <v>2760</v>
      </c>
      <c r="BV78" s="100">
        <v>2.5274797088948664</v>
      </c>
      <c r="BW78" s="100">
        <v>1395.1687993099663</v>
      </c>
      <c r="BX78" s="100">
        <v>9.4600616927194263</v>
      </c>
      <c r="BY78" s="100">
        <v>5221.9540543811236</v>
      </c>
      <c r="BZ78" s="100">
        <v>3.1771626759909068</v>
      </c>
      <c r="CA78" s="100">
        <v>1753.7937971469805</v>
      </c>
      <c r="CB78" s="100">
        <v>9</v>
      </c>
      <c r="CC78" s="100">
        <v>4968</v>
      </c>
      <c r="CD78" s="100">
        <v>6</v>
      </c>
      <c r="CE78" s="100">
        <v>3312</v>
      </c>
      <c r="CF78" s="100">
        <v>4.2336054193851371</v>
      </c>
      <c r="CG78" s="100">
        <v>2336.9501915005958</v>
      </c>
      <c r="CH78" s="100">
        <v>8</v>
      </c>
      <c r="CI78" s="100">
        <v>4416</v>
      </c>
      <c r="CJ78" s="100">
        <v>3.2565475515187248</v>
      </c>
      <c r="CK78" s="100">
        <v>1797.6142484383361</v>
      </c>
      <c r="CL78" s="100">
        <v>8.0996216651193951</v>
      </c>
      <c r="CM78" s="100">
        <v>4470.9911591459058</v>
      </c>
      <c r="CN78" s="100">
        <v>3.0701094272140304</v>
      </c>
      <c r="CO78" s="100">
        <v>1694.7004038221448</v>
      </c>
      <c r="CP78" s="100">
        <v>7.0879997605997005</v>
      </c>
      <c r="CQ78" s="100">
        <v>3912.5758678510347</v>
      </c>
      <c r="CR78" s="100">
        <v>3.1915021225074356</v>
      </c>
      <c r="CS78" s="100">
        <v>1761.7091716241046</v>
      </c>
      <c r="CT78" s="100">
        <v>7.9128452106140621</v>
      </c>
      <c r="CU78" s="100">
        <v>4367.8905562589625</v>
      </c>
    </row>
    <row r="79" spans="2:99">
      <c r="C79" s="99" t="s">
        <v>245</v>
      </c>
      <c r="D79" s="100">
        <v>7.9209948948471993</v>
      </c>
      <c r="E79" s="100">
        <v>5997.7773343782992</v>
      </c>
      <c r="F79" s="100">
        <v>3.7799637666757646</v>
      </c>
      <c r="G79" s="100">
        <v>2862.1885641268887</v>
      </c>
      <c r="H79" s="100">
        <v>5.9148820614905055</v>
      </c>
      <c r="I79" s="100">
        <v>4478.7486969606107</v>
      </c>
      <c r="J79" s="100">
        <v>5.3177702970232668</v>
      </c>
      <c r="K79" s="100">
        <v>4026.6156689060172</v>
      </c>
      <c r="L79" s="100">
        <v>2.0729251747977595</v>
      </c>
      <c r="M79" s="100">
        <v>1569.6189423568633</v>
      </c>
      <c r="N79" s="100">
        <v>8.6817462074167899</v>
      </c>
      <c r="O79" s="100">
        <v>6573.8182282559928</v>
      </c>
      <c r="P79" s="100">
        <v>3.5811383074237622</v>
      </c>
      <c r="Q79" s="100">
        <v>2711.6379263812723</v>
      </c>
      <c r="R79" s="100">
        <v>5.4181882907508783</v>
      </c>
      <c r="S79" s="100">
        <v>4102.6521737565645</v>
      </c>
      <c r="T79" s="100">
        <v>7.8247020126005378</v>
      </c>
      <c r="U79" s="100">
        <v>5924.8643639411266</v>
      </c>
      <c r="V79" s="100">
        <v>2.0173689818570177</v>
      </c>
      <c r="W79" s="100">
        <v>1527.5517930621336</v>
      </c>
      <c r="X79" s="100">
        <v>3.1220003980299769</v>
      </c>
      <c r="Y79" s="100">
        <v>2363.9787013882983</v>
      </c>
      <c r="Z79" s="100">
        <v>5.6614698947928694</v>
      </c>
      <c r="AA79" s="100">
        <v>4286.8650043371599</v>
      </c>
      <c r="AB79" s="100">
        <v>0.73159930591154421</v>
      </c>
      <c r="AC79" s="100">
        <v>553.96699443622117</v>
      </c>
      <c r="AD79" s="100">
        <v>5.579604963051564E-4</v>
      </c>
      <c r="AE79" s="100">
        <v>0.42248768780226437</v>
      </c>
      <c r="AF79" s="100">
        <v>5.0001950856268271</v>
      </c>
      <c r="AG79" s="100">
        <v>3786.147718836633</v>
      </c>
      <c r="AH79" s="100">
        <v>7.2446030176393261</v>
      </c>
      <c r="AI79" s="100">
        <v>5485.6134049564971</v>
      </c>
      <c r="AJ79" s="100">
        <v>6.7629604530918357</v>
      </c>
      <c r="AK79" s="100">
        <v>5120.9136550811372</v>
      </c>
      <c r="AL79" s="100">
        <v>6.0058713370825059</v>
      </c>
      <c r="AM79" s="100">
        <v>4547.6457764388733</v>
      </c>
      <c r="AN79" s="100">
        <v>6</v>
      </c>
      <c r="AO79" s="100">
        <v>4543.2</v>
      </c>
      <c r="AP79" s="100">
        <v>2.495714857957827</v>
      </c>
      <c r="AQ79" s="100">
        <v>1889.7552904456663</v>
      </c>
      <c r="AR79" s="100">
        <v>5.7263914228266621</v>
      </c>
      <c r="AS79" s="100">
        <v>4336.023585364348</v>
      </c>
      <c r="AT79" s="100">
        <v>3.3272067236614058</v>
      </c>
      <c r="AU79" s="100">
        <v>2519.3609311564164</v>
      </c>
      <c r="AV79" s="100">
        <v>8.2168954994639023</v>
      </c>
      <c r="AW79" s="100">
        <v>6221.833272194066</v>
      </c>
      <c r="AX79" s="100">
        <v>2.3823937874682977</v>
      </c>
      <c r="AY79" s="100">
        <v>1803.9485758709948</v>
      </c>
      <c r="AZ79" s="100">
        <v>6.3265652117757405</v>
      </c>
      <c r="BA79" s="100">
        <v>4790.4751783565898</v>
      </c>
      <c r="BB79" s="100">
        <v>1.1849499873298452</v>
      </c>
      <c r="BC79" s="100">
        <v>897.24413040615877</v>
      </c>
      <c r="BD79" s="100">
        <v>4.544836967949462</v>
      </c>
      <c r="BE79" s="100">
        <v>3441.3505521313323</v>
      </c>
      <c r="BF79" s="100">
        <v>3.577103364059167</v>
      </c>
      <c r="BG79" s="100">
        <v>2708.5826672656008</v>
      </c>
      <c r="BH79" s="100">
        <v>2.0419669632811446</v>
      </c>
      <c r="BI79" s="100">
        <v>1546.1773845964826</v>
      </c>
      <c r="BJ79" s="100">
        <v>2.1347231157905782</v>
      </c>
      <c r="BK79" s="100">
        <v>1616.4123432766257</v>
      </c>
      <c r="BL79" s="100">
        <v>5.1836619583320696</v>
      </c>
      <c r="BM79" s="100">
        <v>3925.0688348490426</v>
      </c>
      <c r="BN79" s="100">
        <v>3.2822458843904672</v>
      </c>
      <c r="BO79" s="100">
        <v>2485.3165836604617</v>
      </c>
      <c r="BP79" s="100">
        <v>7.3378930432171137</v>
      </c>
      <c r="BQ79" s="100">
        <v>5556.2526123239977</v>
      </c>
      <c r="BR79" s="100">
        <v>1.5469677701886482</v>
      </c>
      <c r="BS79" s="100">
        <v>1171.3639955868443</v>
      </c>
      <c r="BT79" s="100">
        <v>5</v>
      </c>
      <c r="BU79" s="100">
        <v>3785.9999999999995</v>
      </c>
      <c r="BV79" s="100">
        <v>2.1664111790527425</v>
      </c>
      <c r="BW79" s="100">
        <v>1640.4065447787364</v>
      </c>
      <c r="BX79" s="100">
        <v>9.4600616927194263</v>
      </c>
      <c r="BY79" s="100">
        <v>7163.158713727149</v>
      </c>
      <c r="BZ79" s="100">
        <v>3.1771626759909068</v>
      </c>
      <c r="CA79" s="100">
        <v>2405.7475782603146</v>
      </c>
      <c r="CB79" s="100">
        <v>9</v>
      </c>
      <c r="CC79" s="100">
        <v>6814.7999999999993</v>
      </c>
      <c r="CD79" s="100">
        <v>6</v>
      </c>
      <c r="CE79" s="100">
        <v>4543.2</v>
      </c>
      <c r="CF79" s="100">
        <v>4.8384061935830136</v>
      </c>
      <c r="CG79" s="100">
        <v>3663.6411697810577</v>
      </c>
      <c r="CH79" s="100">
        <v>7</v>
      </c>
      <c r="CI79" s="100">
        <v>5300.4</v>
      </c>
      <c r="CJ79" s="100">
        <v>3.2565475515187248</v>
      </c>
      <c r="CK79" s="100">
        <v>2465.857806009978</v>
      </c>
      <c r="CL79" s="100">
        <v>8.0996216651193951</v>
      </c>
      <c r="CM79" s="100">
        <v>6133.0335248284055</v>
      </c>
      <c r="CN79" s="100">
        <v>3.0701094272140304</v>
      </c>
      <c r="CO79" s="100">
        <v>2324.6868582864636</v>
      </c>
      <c r="CP79" s="100">
        <v>7.8750086866102595</v>
      </c>
      <c r="CQ79" s="100">
        <v>5962.9565775012879</v>
      </c>
      <c r="CR79" s="100">
        <v>3.1915021225074356</v>
      </c>
      <c r="CS79" s="100">
        <v>2416.6054071626299</v>
      </c>
      <c r="CT79" s="100">
        <v>7.7824387519549099</v>
      </c>
      <c r="CU79" s="100">
        <v>5892.8626229802576</v>
      </c>
    </row>
    <row r="80" spans="2:99">
      <c r="C80" s="99" t="s">
        <v>246</v>
      </c>
      <c r="D80" s="100">
        <v>7.0408843509752881</v>
      </c>
      <c r="E80" s="100">
        <v>5669.3200794053018</v>
      </c>
      <c r="F80" s="100">
        <v>4.2524592375102355</v>
      </c>
      <c r="G80" s="100">
        <v>3424.0801780432412</v>
      </c>
      <c r="H80" s="100">
        <v>5.1537599933439386</v>
      </c>
      <c r="I80" s="100">
        <v>4149.8075466405389</v>
      </c>
      <c r="J80" s="100">
        <v>5.3177702970232668</v>
      </c>
      <c r="K80" s="100">
        <v>4281.868643163134</v>
      </c>
      <c r="L80" s="100">
        <v>1.8077240273370385</v>
      </c>
      <c r="M80" s="100">
        <v>1455.5793868117833</v>
      </c>
      <c r="N80" s="100">
        <v>8.5113096555625933</v>
      </c>
      <c r="O80" s="100">
        <v>6853.3065346589992</v>
      </c>
      <c r="P80" s="100">
        <v>4.0287805958517326</v>
      </c>
      <c r="Q80" s="100">
        <v>3243.9741357798148</v>
      </c>
      <c r="R80" s="100">
        <v>4.5227353634385983</v>
      </c>
      <c r="S80" s="100">
        <v>3641.706514640759</v>
      </c>
      <c r="T80" s="100">
        <v>6.9552906778671444</v>
      </c>
      <c r="U80" s="100">
        <v>5600.4000538186237</v>
      </c>
      <c r="V80" s="100">
        <v>2.0173689818570177</v>
      </c>
      <c r="W80" s="100">
        <v>1624.3855041912705</v>
      </c>
      <c r="X80" s="100">
        <v>3.5541189113281604</v>
      </c>
      <c r="Y80" s="100">
        <v>2861.7765474014345</v>
      </c>
      <c r="Z80" s="100">
        <v>5.6614698947928694</v>
      </c>
      <c r="AA80" s="100">
        <v>4558.6155592872183</v>
      </c>
      <c r="AB80" s="100">
        <v>0.73159930591154421</v>
      </c>
      <c r="AC80" s="100">
        <v>589.08376111997529</v>
      </c>
      <c r="AD80" s="100">
        <v>4.8821543426701185E-4</v>
      </c>
      <c r="AE80" s="100">
        <v>0.39311106767179793</v>
      </c>
      <c r="AF80" s="100">
        <v>5.0001950856268271</v>
      </c>
      <c r="AG80" s="100">
        <v>4026.1570829467209</v>
      </c>
      <c r="AH80" s="100">
        <v>6.4396471267905122</v>
      </c>
      <c r="AI80" s="100">
        <v>5185.20386649172</v>
      </c>
      <c r="AJ80" s="100">
        <v>6.7629604530918357</v>
      </c>
      <c r="AK80" s="100">
        <v>5445.5357568295458</v>
      </c>
      <c r="AL80" s="100">
        <v>6.0058713370825059</v>
      </c>
      <c r="AM80" s="100">
        <v>4835.9276006188329</v>
      </c>
      <c r="AN80" s="100">
        <v>6</v>
      </c>
      <c r="AO80" s="100">
        <v>4831.2</v>
      </c>
      <c r="AP80" s="100">
        <v>2.495714857957827</v>
      </c>
      <c r="AQ80" s="100">
        <v>2009.5496036276422</v>
      </c>
      <c r="AR80" s="100">
        <v>5.7263914228266621</v>
      </c>
      <c r="AS80" s="100">
        <v>4610.8903736600278</v>
      </c>
      <c r="AT80" s="100">
        <v>3.3272067236614058</v>
      </c>
      <c r="AU80" s="100">
        <v>2679.0668538921636</v>
      </c>
      <c r="AV80" s="100">
        <v>8.2168954994639023</v>
      </c>
      <c r="AW80" s="100">
        <v>6616.2442561683338</v>
      </c>
      <c r="AX80" s="100">
        <v>2.3823937874682977</v>
      </c>
      <c r="AY80" s="100">
        <v>1918.3034776694731</v>
      </c>
      <c r="AZ80" s="100">
        <v>7.4354202823676543</v>
      </c>
      <c r="BA80" s="100">
        <v>5987.0004113624345</v>
      </c>
      <c r="BB80" s="100">
        <v>1.1024759991209534</v>
      </c>
      <c r="BC80" s="100">
        <v>887.71367449219156</v>
      </c>
      <c r="BD80" s="100">
        <v>4.544836967949462</v>
      </c>
      <c r="BE80" s="100">
        <v>3659.5027265929066</v>
      </c>
      <c r="BF80" s="100">
        <v>3.0546920380514981</v>
      </c>
      <c r="BG80" s="100">
        <v>2459.6380290390662</v>
      </c>
      <c r="BH80" s="100">
        <v>1.6396466154825613</v>
      </c>
      <c r="BI80" s="100">
        <v>1320.2434547865582</v>
      </c>
      <c r="BJ80" s="100">
        <v>1.7740474337035952</v>
      </c>
      <c r="BK80" s="100">
        <v>1428.4629936181348</v>
      </c>
      <c r="BL80" s="100">
        <v>5.8603712998089472</v>
      </c>
      <c r="BM80" s="100">
        <v>4718.7709706061642</v>
      </c>
      <c r="BN80" s="100">
        <v>3.2859980592255424</v>
      </c>
      <c r="BO80" s="100">
        <v>2645.8856372884065</v>
      </c>
      <c r="BP80" s="100">
        <v>7.3378930432171137</v>
      </c>
      <c r="BQ80" s="100">
        <v>5908.4714783984191</v>
      </c>
      <c r="BR80" s="100">
        <v>1.5469677701886482</v>
      </c>
      <c r="BS80" s="100">
        <v>1245.6184485558995</v>
      </c>
      <c r="BT80" s="100">
        <v>5</v>
      </c>
      <c r="BU80" s="100">
        <v>4025.9999999999995</v>
      </c>
      <c r="BV80" s="100">
        <v>2.5274797088948664</v>
      </c>
      <c r="BW80" s="100">
        <v>2035.1266616021462</v>
      </c>
      <c r="BX80" s="100">
        <v>9.4600616927194263</v>
      </c>
      <c r="BY80" s="100">
        <v>7617.2416749776812</v>
      </c>
      <c r="BZ80" s="100">
        <v>2.647635563325756</v>
      </c>
      <c r="CA80" s="100">
        <v>2131.8761555898986</v>
      </c>
      <c r="CB80" s="100">
        <v>8</v>
      </c>
      <c r="CC80" s="100">
        <v>6441.5999999999995</v>
      </c>
      <c r="CD80" s="100">
        <v>5</v>
      </c>
      <c r="CE80" s="100">
        <v>4025.9999999999995</v>
      </c>
      <c r="CF80" s="100">
        <v>4.8384061935830136</v>
      </c>
      <c r="CG80" s="100">
        <v>3895.8846670730422</v>
      </c>
      <c r="CH80" s="100">
        <v>7</v>
      </c>
      <c r="CI80" s="100">
        <v>5636.4</v>
      </c>
      <c r="CJ80" s="100">
        <v>3.2565475515187248</v>
      </c>
      <c r="CK80" s="100">
        <v>2622.1720884828769</v>
      </c>
      <c r="CL80" s="100">
        <v>8.0996216651193951</v>
      </c>
      <c r="CM80" s="100">
        <v>6521.8153647541367</v>
      </c>
      <c r="CN80" s="100">
        <v>2.5611103904341075</v>
      </c>
      <c r="CO80" s="100">
        <v>2062.2060863775432</v>
      </c>
      <c r="CP80" s="100">
        <v>8.6620176126208186</v>
      </c>
      <c r="CQ80" s="100">
        <v>6974.6565816822822</v>
      </c>
      <c r="CR80" s="100">
        <v>3.1915021225074356</v>
      </c>
      <c r="CS80" s="100">
        <v>2569.7975090429868</v>
      </c>
      <c r="CT80" s="100">
        <v>7.7824387519549099</v>
      </c>
      <c r="CU80" s="100">
        <v>6266.419683074093</v>
      </c>
    </row>
    <row r="81" spans="2:99">
      <c r="C81" s="99" t="s">
        <v>247</v>
      </c>
      <c r="D81" s="100">
        <v>7.9209948948471993</v>
      </c>
      <c r="E81" s="100">
        <v>5969.26175275685</v>
      </c>
      <c r="F81" s="100">
        <v>3.7799637666757646</v>
      </c>
      <c r="G81" s="100">
        <v>2848.5806945668564</v>
      </c>
      <c r="H81" s="100">
        <v>5.2711655102368455</v>
      </c>
      <c r="I81" s="100">
        <v>3972.350328514487</v>
      </c>
      <c r="J81" s="100">
        <v>5.3731085248492665</v>
      </c>
      <c r="K81" s="100">
        <v>4049.1745843264075</v>
      </c>
      <c r="L81" s="100">
        <v>2.0604893130671065</v>
      </c>
      <c r="M81" s="100">
        <v>1552.7847463273715</v>
      </c>
      <c r="N81" s="100">
        <v>8.5113096555625933</v>
      </c>
      <c r="O81" s="100">
        <v>6414.1229564319701</v>
      </c>
      <c r="P81" s="100">
        <v>3.5811383074237622</v>
      </c>
      <c r="Q81" s="100">
        <v>2698.7458284745471</v>
      </c>
      <c r="R81" s="100">
        <v>5.4181882907508783</v>
      </c>
      <c r="S81" s="100">
        <v>4083.146695909862</v>
      </c>
      <c r="T81" s="100">
        <v>6.9552906778671444</v>
      </c>
      <c r="U81" s="100">
        <v>5241.5070548406802</v>
      </c>
      <c r="V81" s="100">
        <v>2.0173689818570177</v>
      </c>
      <c r="W81" s="100">
        <v>1520.2892647274487</v>
      </c>
      <c r="X81" s="100">
        <v>3.5541189113281604</v>
      </c>
      <c r="Y81" s="100">
        <v>2678.3840115769017</v>
      </c>
      <c r="Z81" s="100">
        <v>6.6614698947928694</v>
      </c>
      <c r="AA81" s="100">
        <v>5020.0837127159066</v>
      </c>
      <c r="AB81" s="100">
        <v>0.73159930591154421</v>
      </c>
      <c r="AC81" s="100">
        <v>551.33323693493969</v>
      </c>
      <c r="AD81" s="100">
        <v>4.8821543426701185E-4</v>
      </c>
      <c r="AE81" s="100">
        <v>0.36791915126362013</v>
      </c>
      <c r="AF81" s="100">
        <v>5.0001950856268271</v>
      </c>
      <c r="AG81" s="100">
        <v>3768.1470165283772</v>
      </c>
      <c r="AH81" s="100">
        <v>6.4396471267905122</v>
      </c>
      <c r="AI81" s="100">
        <v>4852.9180747493301</v>
      </c>
      <c r="AJ81" s="100">
        <v>6.7629604530918357</v>
      </c>
      <c r="AK81" s="100">
        <v>5096.5669974500079</v>
      </c>
      <c r="AL81" s="100">
        <v>6.0058713370825059</v>
      </c>
      <c r="AM81" s="100">
        <v>4526.0246396253769</v>
      </c>
      <c r="AN81" s="100">
        <v>6</v>
      </c>
      <c r="AO81" s="100">
        <v>4521.6000000000004</v>
      </c>
      <c r="AP81" s="100">
        <v>2.495714857957827</v>
      </c>
      <c r="AQ81" s="100">
        <v>1880.7707169570185</v>
      </c>
      <c r="AR81" s="100">
        <v>5.8474566599644389</v>
      </c>
      <c r="AS81" s="100">
        <v>4406.6433389492013</v>
      </c>
      <c r="AT81" s="100">
        <v>3.3272067236614058</v>
      </c>
      <c r="AU81" s="100">
        <v>2507.3829869512356</v>
      </c>
      <c r="AV81" s="100">
        <v>7.2168954994639023</v>
      </c>
      <c r="AW81" s="100">
        <v>5438.6524483959965</v>
      </c>
      <c r="AX81" s="100">
        <v>2.3823937874682977</v>
      </c>
      <c r="AY81" s="100">
        <v>1795.3719582361091</v>
      </c>
      <c r="AZ81" s="100">
        <v>7.4354202823676543</v>
      </c>
      <c r="BA81" s="100">
        <v>5603.3327247922643</v>
      </c>
      <c r="BB81" s="100">
        <v>1.1757862108621906</v>
      </c>
      <c r="BC81" s="100">
        <v>886.07248850574683</v>
      </c>
      <c r="BD81" s="100">
        <v>4.0333276952627939</v>
      </c>
      <c r="BE81" s="100">
        <v>3039.5157511500415</v>
      </c>
      <c r="BF81" s="100">
        <v>3.0546920380514981</v>
      </c>
      <c r="BG81" s="100">
        <v>2302.0159198756091</v>
      </c>
      <c r="BH81" s="100">
        <v>2.0450034857099673</v>
      </c>
      <c r="BI81" s="100">
        <v>1541.1146268310313</v>
      </c>
      <c r="BJ81" s="100">
        <v>2.0858395018203399</v>
      </c>
      <c r="BK81" s="100">
        <v>1571.8886485718083</v>
      </c>
      <c r="BL81" s="100">
        <v>4.5069526168551919</v>
      </c>
      <c r="BM81" s="100">
        <v>3396.4394920620725</v>
      </c>
      <c r="BN81" s="100">
        <v>3.2784937095553923</v>
      </c>
      <c r="BO81" s="100">
        <v>2470.6728595209438</v>
      </c>
      <c r="BP81" s="100">
        <v>6.3378930432171137</v>
      </c>
      <c r="BQ81" s="100">
        <v>4776.2361973684174</v>
      </c>
      <c r="BR81" s="100">
        <v>1.5469677701886482</v>
      </c>
      <c r="BS81" s="100">
        <v>1165.7949116141654</v>
      </c>
      <c r="BT81" s="100">
        <v>5</v>
      </c>
      <c r="BU81" s="100">
        <v>3768</v>
      </c>
      <c r="BV81" s="100">
        <v>2.3997919193568644</v>
      </c>
      <c r="BW81" s="100">
        <v>1808.4831904273331</v>
      </c>
      <c r="BX81" s="100">
        <v>9.6134155902925684</v>
      </c>
      <c r="BY81" s="100">
        <v>7244.66998884448</v>
      </c>
      <c r="BZ81" s="100">
        <v>2.647635563325756</v>
      </c>
      <c r="CA81" s="100">
        <v>1995.2581605222897</v>
      </c>
      <c r="CB81" s="100">
        <v>9</v>
      </c>
      <c r="CC81" s="100">
        <v>6782.4000000000005</v>
      </c>
      <c r="CD81" s="100">
        <v>6</v>
      </c>
      <c r="CE81" s="100">
        <v>4521.6000000000004</v>
      </c>
      <c r="CF81" s="100">
        <v>4.8384061935830136</v>
      </c>
      <c r="CG81" s="100">
        <v>3646.2229074841594</v>
      </c>
      <c r="CH81" s="100">
        <v>7</v>
      </c>
      <c r="CI81" s="100">
        <v>5275.2</v>
      </c>
      <c r="CJ81" s="100">
        <v>3.2565475515187248</v>
      </c>
      <c r="CK81" s="100">
        <v>2454.1342348245112</v>
      </c>
      <c r="CL81" s="100">
        <v>7.1017022167142843</v>
      </c>
      <c r="CM81" s="100">
        <v>5351.8427905158851</v>
      </c>
      <c r="CN81" s="100">
        <v>3.0701094272140304</v>
      </c>
      <c r="CO81" s="100">
        <v>2313.6344643484936</v>
      </c>
      <c r="CP81" s="100">
        <v>7.8750086866102595</v>
      </c>
      <c r="CQ81" s="100">
        <v>5934.6065462294919</v>
      </c>
      <c r="CR81" s="100">
        <v>3.1915021225074356</v>
      </c>
      <c r="CS81" s="100">
        <v>2405.1159995216035</v>
      </c>
      <c r="CT81" s="100">
        <v>7.7824387519549099</v>
      </c>
      <c r="CU81" s="100">
        <v>5864.8458434732202</v>
      </c>
    </row>
    <row r="82" spans="2:99">
      <c r="C82" s="99" t="s">
        <v>248</v>
      </c>
      <c r="D82" s="100">
        <v>7.9209948948471993</v>
      </c>
      <c r="E82" s="100">
        <v>4030.2022024982543</v>
      </c>
      <c r="F82" s="100">
        <v>3.7799637666757646</v>
      </c>
      <c r="G82" s="100">
        <v>1923.2455644846286</v>
      </c>
      <c r="H82" s="100">
        <v>5.2711655102368455</v>
      </c>
      <c r="I82" s="100">
        <v>2681.9690116085067</v>
      </c>
      <c r="J82" s="100">
        <v>5.3177702970232668</v>
      </c>
      <c r="K82" s="100">
        <v>2705.6815271254377</v>
      </c>
      <c r="L82" s="100">
        <v>2.319863529337491</v>
      </c>
      <c r="M82" s="100">
        <v>1180.3465637269151</v>
      </c>
      <c r="N82" s="100">
        <v>8.5113096555625933</v>
      </c>
      <c r="O82" s="100">
        <v>4330.5543527502468</v>
      </c>
      <c r="P82" s="100">
        <v>4.0287805958517326</v>
      </c>
      <c r="Q82" s="100">
        <v>2049.843567169361</v>
      </c>
      <c r="R82" s="100">
        <v>4.4181882907508783</v>
      </c>
      <c r="S82" s="100">
        <v>2247.9742023340464</v>
      </c>
      <c r="T82" s="100">
        <v>6.9552906778671444</v>
      </c>
      <c r="U82" s="100">
        <v>3538.8518968988024</v>
      </c>
      <c r="V82" s="100">
        <v>2.0173689818570177</v>
      </c>
      <c r="W82" s="100">
        <v>1026.4373379688504</v>
      </c>
      <c r="X82" s="100">
        <v>3.6022361220773313</v>
      </c>
      <c r="Y82" s="100">
        <v>1832.8177389129457</v>
      </c>
      <c r="Z82" s="100">
        <v>6.6614698947928694</v>
      </c>
      <c r="AA82" s="100">
        <v>3389.3558824706115</v>
      </c>
      <c r="AB82" s="100">
        <v>0.64922859023790069</v>
      </c>
      <c r="AC82" s="100">
        <v>330.32750671304382</v>
      </c>
      <c r="AD82" s="100">
        <v>5.579604963051564E-4</v>
      </c>
      <c r="AE82" s="100">
        <v>0.28389030052006353</v>
      </c>
      <c r="AF82" s="100">
        <v>5.0001950856268271</v>
      </c>
      <c r="AG82" s="100">
        <v>2544.099259566929</v>
      </c>
      <c r="AH82" s="100">
        <v>7.2446030176393261</v>
      </c>
      <c r="AI82" s="100">
        <v>3686.0540153748884</v>
      </c>
      <c r="AJ82" s="100">
        <v>7.6083305097283151</v>
      </c>
      <c r="AK82" s="100">
        <v>3871.1185633497662</v>
      </c>
      <c r="AL82" s="100">
        <v>6.0058713370825059</v>
      </c>
      <c r="AM82" s="100">
        <v>3055.7873363075782</v>
      </c>
      <c r="AN82" s="100">
        <v>6</v>
      </c>
      <c r="AO82" s="100">
        <v>3052.7999999999993</v>
      </c>
      <c r="AP82" s="100">
        <v>2.495714857957827</v>
      </c>
      <c r="AQ82" s="100">
        <v>1269.8197197289421</v>
      </c>
      <c r="AR82" s="100">
        <v>6.7263914228266621</v>
      </c>
      <c r="AS82" s="100">
        <v>3422.3879559342049</v>
      </c>
      <c r="AT82" s="100">
        <v>3.8025219698987498</v>
      </c>
      <c r="AU82" s="100">
        <v>1934.7231782844835</v>
      </c>
      <c r="AV82" s="100">
        <v>9.2602745993566824</v>
      </c>
      <c r="AW82" s="100">
        <v>4711.6277161526787</v>
      </c>
      <c r="AX82" s="100">
        <v>2.7227357571066255</v>
      </c>
      <c r="AY82" s="100">
        <v>1385.3279532158508</v>
      </c>
      <c r="AZ82" s="100">
        <v>6.4354202823676543</v>
      </c>
      <c r="BA82" s="100">
        <v>3274.341839668662</v>
      </c>
      <c r="BB82" s="100">
        <v>1.1757862108621906</v>
      </c>
      <c r="BC82" s="100">
        <v>598.24002408668241</v>
      </c>
      <c r="BD82" s="100">
        <v>4.0333276952627939</v>
      </c>
      <c r="BE82" s="100">
        <v>2052.1571313497093</v>
      </c>
      <c r="BF82" s="100">
        <v>3.0546920380514981</v>
      </c>
      <c r="BG82" s="100">
        <v>1554.2273089606019</v>
      </c>
      <c r="BH82" s="100">
        <v>1.7042660103107157</v>
      </c>
      <c r="BI82" s="100">
        <v>867.13054604609192</v>
      </c>
      <c r="BJ82" s="100">
        <v>2.0833954221654749</v>
      </c>
      <c r="BK82" s="100">
        <v>1060.0315907977933</v>
      </c>
      <c r="BL82" s="100">
        <v>5.1836619583320696</v>
      </c>
      <c r="BM82" s="100">
        <v>2637.4472043993565</v>
      </c>
      <c r="BN82" s="100">
        <v>3.6791064943907292</v>
      </c>
      <c r="BO82" s="100">
        <v>1871.9293843460027</v>
      </c>
      <c r="BP82" s="100">
        <v>7.3378930432171137</v>
      </c>
      <c r="BQ82" s="100">
        <v>3733.5199803888668</v>
      </c>
      <c r="BR82" s="100">
        <v>1.5469677701886482</v>
      </c>
      <c r="BS82" s="100">
        <v>787.09720147198402</v>
      </c>
      <c r="BT82" s="100">
        <v>5</v>
      </c>
      <c r="BU82" s="100">
        <v>2543.9999999999995</v>
      </c>
      <c r="BV82" s="100">
        <v>2.5274797088948664</v>
      </c>
      <c r="BW82" s="100">
        <v>1285.9816758857078</v>
      </c>
      <c r="BX82" s="100">
        <v>9.4600616927194263</v>
      </c>
      <c r="BY82" s="100">
        <v>4813.2793892556429</v>
      </c>
      <c r="BZ82" s="100">
        <v>2.647635563325756</v>
      </c>
      <c r="CA82" s="100">
        <v>1347.1169746201444</v>
      </c>
      <c r="CB82" s="100">
        <v>9</v>
      </c>
      <c r="CC82" s="100">
        <v>4579.1999999999989</v>
      </c>
      <c r="CD82" s="100">
        <v>6</v>
      </c>
      <c r="CE82" s="100">
        <v>3052.7999999999993</v>
      </c>
      <c r="CF82" s="100">
        <v>4.8384061935830136</v>
      </c>
      <c r="CG82" s="100">
        <v>2461.7810712950368</v>
      </c>
      <c r="CH82" s="100">
        <v>8</v>
      </c>
      <c r="CI82" s="100">
        <v>4070.3999999999992</v>
      </c>
      <c r="CJ82" s="100">
        <v>3.2565475515187248</v>
      </c>
      <c r="CK82" s="100">
        <v>1656.9313942127269</v>
      </c>
      <c r="CL82" s="100">
        <v>8.0996216651193951</v>
      </c>
      <c r="CM82" s="100">
        <v>4121.0875032127478</v>
      </c>
      <c r="CN82" s="100">
        <v>3.1613883246303267</v>
      </c>
      <c r="CO82" s="100">
        <v>1608.51437957191</v>
      </c>
      <c r="CP82" s="100">
        <v>7.8750086866102595</v>
      </c>
      <c r="CQ82" s="100">
        <v>4006.8044197472991</v>
      </c>
      <c r="CR82" s="100">
        <v>3.1915021225074356</v>
      </c>
      <c r="CS82" s="100">
        <v>1623.8362799317829</v>
      </c>
      <c r="CT82" s="100">
        <v>7.7824387519549099</v>
      </c>
      <c r="CU82" s="100">
        <v>3959.7048369946574</v>
      </c>
    </row>
    <row r="83" spans="2:99">
      <c r="C83" s="99" t="s">
        <v>249</v>
      </c>
      <c r="D83" s="100">
        <v>7.0408843509752881</v>
      </c>
      <c r="E83" s="100">
        <v>6057.9768955791378</v>
      </c>
      <c r="F83" s="100">
        <v>3.7799637666757646</v>
      </c>
      <c r="G83" s="100">
        <v>3252.2808248478277</v>
      </c>
      <c r="H83" s="100">
        <v>5.1537599933439386</v>
      </c>
      <c r="I83" s="100">
        <v>4434.2950982731245</v>
      </c>
      <c r="J83" s="100">
        <v>5.3177702970232668</v>
      </c>
      <c r="K83" s="100">
        <v>4575.4095635588183</v>
      </c>
      <c r="L83" s="100">
        <v>2.0729251747977595</v>
      </c>
      <c r="M83" s="100">
        <v>1783.5448203959922</v>
      </c>
      <c r="N83" s="100">
        <v>8.6817462074167899</v>
      </c>
      <c r="O83" s="100">
        <v>7469.7744368614058</v>
      </c>
      <c r="P83" s="100">
        <v>4.0287805958517326</v>
      </c>
      <c r="Q83" s="100">
        <v>3466.3628246708308</v>
      </c>
      <c r="R83" s="100">
        <v>4.4181882907508783</v>
      </c>
      <c r="S83" s="100">
        <v>3801.4092053620557</v>
      </c>
      <c r="T83" s="100">
        <v>6.9552906778671444</v>
      </c>
      <c r="U83" s="100">
        <v>5984.3320992368908</v>
      </c>
      <c r="V83" s="100">
        <v>2.4208427782284216</v>
      </c>
      <c r="W83" s="100">
        <v>2082.8931263877339</v>
      </c>
      <c r="X83" s="100">
        <v>3.5541189113281604</v>
      </c>
      <c r="Y83" s="100">
        <v>3057.9639113067492</v>
      </c>
      <c r="Z83" s="100">
        <v>6.6614698947928694</v>
      </c>
      <c r="AA83" s="100">
        <v>5731.5286974797846</v>
      </c>
      <c r="AB83" s="100">
        <v>0.64922859023790069</v>
      </c>
      <c r="AC83" s="100">
        <v>558.59627904068975</v>
      </c>
      <c r="AD83" s="100">
        <v>4.8821543426701185E-4</v>
      </c>
      <c r="AE83" s="100">
        <v>0.42006055964333699</v>
      </c>
      <c r="AF83" s="100">
        <v>6.0002601141691025</v>
      </c>
      <c r="AG83" s="100">
        <v>5162.6238022310954</v>
      </c>
      <c r="AH83" s="100">
        <v>6.4396471267905122</v>
      </c>
      <c r="AI83" s="100">
        <v>5540.6723878905568</v>
      </c>
      <c r="AJ83" s="100">
        <v>6.7629604530918357</v>
      </c>
      <c r="AK83" s="100">
        <v>5818.8511738402149</v>
      </c>
      <c r="AL83" s="100">
        <v>5.1478897174992913</v>
      </c>
      <c r="AM83" s="100">
        <v>4429.2443129363901</v>
      </c>
      <c r="AN83" s="100">
        <v>6</v>
      </c>
      <c r="AO83" s="100">
        <v>5162.3999999999996</v>
      </c>
      <c r="AP83" s="100">
        <v>2.495714857957827</v>
      </c>
      <c r="AQ83" s="100">
        <v>2147.3130637869144</v>
      </c>
      <c r="AR83" s="100">
        <v>6.7263914228266621</v>
      </c>
      <c r="AS83" s="100">
        <v>5787.3871802000604</v>
      </c>
      <c r="AT83" s="100">
        <v>3.3272067236614058</v>
      </c>
      <c r="AU83" s="100">
        <v>2862.7286650382734</v>
      </c>
      <c r="AV83" s="100">
        <v>8.2168954994639023</v>
      </c>
      <c r="AW83" s="100">
        <v>7069.8168877387416</v>
      </c>
      <c r="AX83" s="100">
        <v>2.3823937874682977</v>
      </c>
      <c r="AY83" s="100">
        <v>2049.8116147377232</v>
      </c>
      <c r="AZ83" s="100">
        <v>7.4354202823676543</v>
      </c>
      <c r="BA83" s="100">
        <v>6397.43561094913</v>
      </c>
      <c r="BB83" s="100">
        <v>1.1757862108621906</v>
      </c>
      <c r="BC83" s="100">
        <v>1011.6464558258288</v>
      </c>
      <c r="BD83" s="100">
        <v>4.4693765035401087</v>
      </c>
      <c r="BE83" s="100">
        <v>3845.4515436459096</v>
      </c>
      <c r="BF83" s="100">
        <v>3.577103364059167</v>
      </c>
      <c r="BG83" s="100">
        <v>3077.7397344365072</v>
      </c>
      <c r="BH83" s="100">
        <v>2.0419669632811446</v>
      </c>
      <c r="BI83" s="100">
        <v>1756.9083752070967</v>
      </c>
      <c r="BJ83" s="100">
        <v>1.7716033540487304</v>
      </c>
      <c r="BK83" s="100">
        <v>1524.2875258235276</v>
      </c>
      <c r="BL83" s="100">
        <v>4.5069526168551919</v>
      </c>
      <c r="BM83" s="100">
        <v>3877.7820315422068</v>
      </c>
      <c r="BN83" s="100">
        <v>3.682858669225805</v>
      </c>
      <c r="BO83" s="100">
        <v>3168.7315990018824</v>
      </c>
      <c r="BP83" s="100">
        <v>7.3378930432171137</v>
      </c>
      <c r="BQ83" s="100">
        <v>6313.5231743840041</v>
      </c>
      <c r="BR83" s="100">
        <v>1.5469677701886482</v>
      </c>
      <c r="BS83" s="100">
        <v>1331.0110694703128</v>
      </c>
      <c r="BT83" s="100">
        <v>4</v>
      </c>
      <c r="BU83" s="100">
        <v>3441.6</v>
      </c>
      <c r="BV83" s="100">
        <v>2.5274797088948664</v>
      </c>
      <c r="BW83" s="100">
        <v>2174.643541533143</v>
      </c>
      <c r="BX83" s="100">
        <v>9.4600616927194263</v>
      </c>
      <c r="BY83" s="100">
        <v>8139.4370804157943</v>
      </c>
      <c r="BZ83" s="100">
        <v>2.647635563325756</v>
      </c>
      <c r="CA83" s="100">
        <v>2278.0256386854803</v>
      </c>
      <c r="CB83" s="100">
        <v>8</v>
      </c>
      <c r="CC83" s="100">
        <v>6883.2</v>
      </c>
      <c r="CD83" s="100">
        <v>6</v>
      </c>
      <c r="CE83" s="100">
        <v>5162.3999999999996</v>
      </c>
      <c r="CF83" s="100">
        <v>4.8384061935830136</v>
      </c>
      <c r="CG83" s="100">
        <v>4162.9646889588248</v>
      </c>
      <c r="CH83" s="100">
        <v>8</v>
      </c>
      <c r="CI83" s="100">
        <v>6883.2</v>
      </c>
      <c r="CJ83" s="100">
        <v>3.2565475515187248</v>
      </c>
      <c r="CK83" s="100">
        <v>2801.9335133267109</v>
      </c>
      <c r="CL83" s="100">
        <v>8.0996216651193951</v>
      </c>
      <c r="CM83" s="100">
        <v>6968.9144806687273</v>
      </c>
      <c r="CN83" s="100">
        <v>3.0701094272140304</v>
      </c>
      <c r="CO83" s="100">
        <v>2641.5221511749514</v>
      </c>
      <c r="CP83" s="100">
        <v>7.7430206278577209</v>
      </c>
      <c r="CQ83" s="100">
        <v>6662.0949482087826</v>
      </c>
      <c r="CR83" s="100">
        <v>3.1915021225074356</v>
      </c>
      <c r="CS83" s="100">
        <v>2745.9684262053975</v>
      </c>
      <c r="CT83" s="100">
        <v>7.6520322932957585</v>
      </c>
      <c r="CU83" s="100">
        <v>6583.8085851516707</v>
      </c>
    </row>
    <row r="84" spans="2:99">
      <c r="C84" s="99" t="s">
        <v>250</v>
      </c>
      <c r="D84" s="100">
        <v>7.0408843509752881</v>
      </c>
      <c r="E84" s="100">
        <v>5500.3388549818947</v>
      </c>
      <c r="F84" s="100">
        <v>3.7799637666757646</v>
      </c>
      <c r="G84" s="100">
        <v>2952.9076945271072</v>
      </c>
      <c r="H84" s="100">
        <v>6.0322875783834133</v>
      </c>
      <c r="I84" s="100">
        <v>4712.4230562331222</v>
      </c>
      <c r="J84" s="100">
        <v>5.3731085248492665</v>
      </c>
      <c r="K84" s="100">
        <v>4197.4723796122462</v>
      </c>
      <c r="L84" s="100">
        <v>2.0604893130671065</v>
      </c>
      <c r="M84" s="100">
        <v>1609.6542513680236</v>
      </c>
      <c r="N84" s="100">
        <v>8.5113096555625933</v>
      </c>
      <c r="O84" s="100">
        <v>6649.0351029254971</v>
      </c>
      <c r="P84" s="100">
        <v>3.5811383074237622</v>
      </c>
      <c r="Q84" s="100">
        <v>2797.5852457594428</v>
      </c>
      <c r="R84" s="100">
        <v>5.4181882907508783</v>
      </c>
      <c r="S84" s="100">
        <v>4232.6886927345859</v>
      </c>
      <c r="T84" s="100">
        <v>6.9552906778671444</v>
      </c>
      <c r="U84" s="100">
        <v>5433.4730775498128</v>
      </c>
      <c r="V84" s="100">
        <v>2.0173689818570177</v>
      </c>
      <c r="W84" s="100">
        <v>1575.9686486267021</v>
      </c>
      <c r="X84" s="100">
        <v>3.5541189113281604</v>
      </c>
      <c r="Y84" s="100">
        <v>2776.4776935295586</v>
      </c>
      <c r="Z84" s="100">
        <v>6.6614698947928694</v>
      </c>
      <c r="AA84" s="100">
        <v>5203.9402818121889</v>
      </c>
      <c r="AB84" s="100">
        <v>0.73542212593903877</v>
      </c>
      <c r="AC84" s="100">
        <v>574.51176478357706</v>
      </c>
      <c r="AD84" s="100">
        <v>5.579604963051564E-4</v>
      </c>
      <c r="AE84" s="100">
        <v>0.43587873971358815</v>
      </c>
      <c r="AF84" s="100">
        <v>6.0002601141691025</v>
      </c>
      <c r="AG84" s="100">
        <v>4687.4032011889021</v>
      </c>
      <c r="AH84" s="100">
        <v>5.6346912359416983</v>
      </c>
      <c r="AI84" s="100">
        <v>4401.8207935176542</v>
      </c>
      <c r="AJ84" s="100">
        <v>6.7629604530918357</v>
      </c>
      <c r="AK84" s="100">
        <v>5283.224705955342</v>
      </c>
      <c r="AL84" s="100">
        <v>6.0058713370825059</v>
      </c>
      <c r="AM84" s="100">
        <v>4691.7866885288531</v>
      </c>
      <c r="AN84" s="100">
        <v>6</v>
      </c>
      <c r="AO84" s="100">
        <v>4687.2</v>
      </c>
      <c r="AP84" s="100">
        <v>2.495714857957827</v>
      </c>
      <c r="AQ84" s="100">
        <v>1949.6524470366542</v>
      </c>
      <c r="AR84" s="100">
        <v>5.7263914228266621</v>
      </c>
      <c r="AS84" s="100">
        <v>4473.4569795121879</v>
      </c>
      <c r="AT84" s="100">
        <v>3.3272067236614058</v>
      </c>
      <c r="AU84" s="100">
        <v>2599.2138925242898</v>
      </c>
      <c r="AV84" s="100">
        <v>8.2602745993566824</v>
      </c>
      <c r="AW84" s="100">
        <v>6452.9265170174394</v>
      </c>
      <c r="AX84" s="100">
        <v>2.3823937874682977</v>
      </c>
      <c r="AY84" s="100">
        <v>1861.1260267702339</v>
      </c>
      <c r="AZ84" s="100">
        <v>7.4354202823676543</v>
      </c>
      <c r="BA84" s="100">
        <v>5808.5503245856107</v>
      </c>
      <c r="BB84" s="100">
        <v>1.1757862108621906</v>
      </c>
      <c r="BC84" s="100">
        <v>918.52418792554317</v>
      </c>
      <c r="BD84" s="100">
        <v>3.9578672308534406</v>
      </c>
      <c r="BE84" s="100">
        <v>3091.8858807427077</v>
      </c>
      <c r="BF84" s="100">
        <v>3.577103364059167</v>
      </c>
      <c r="BG84" s="100">
        <v>2794.433148003021</v>
      </c>
      <c r="BH84" s="100">
        <v>1.7042660103107157</v>
      </c>
      <c r="BI84" s="100">
        <v>1331.3726072547311</v>
      </c>
      <c r="BJ84" s="100">
        <v>2.1322790361357131</v>
      </c>
      <c r="BK84" s="100">
        <v>1665.736383029219</v>
      </c>
      <c r="BL84" s="100">
        <v>5.1836619583320696</v>
      </c>
      <c r="BM84" s="100">
        <v>4049.4767218490124</v>
      </c>
      <c r="BN84" s="100">
        <v>3.2822458843904672</v>
      </c>
      <c r="BO84" s="100">
        <v>2564.0904848858327</v>
      </c>
      <c r="BP84" s="100">
        <v>6.3378930432171137</v>
      </c>
      <c r="BQ84" s="100">
        <v>4951.1620453612086</v>
      </c>
      <c r="BR84" s="100">
        <v>1.8047957318867562</v>
      </c>
      <c r="BS84" s="100">
        <v>1409.9064257499338</v>
      </c>
      <c r="BT84" s="100">
        <v>4</v>
      </c>
      <c r="BU84" s="100">
        <v>3124.7999999999997</v>
      </c>
      <c r="BV84" s="100">
        <v>2.7608604491989879</v>
      </c>
      <c r="BW84" s="100">
        <v>2156.784182914249</v>
      </c>
      <c r="BX84" s="100">
        <v>10.460061692719426</v>
      </c>
      <c r="BY84" s="100">
        <v>8171.4001943524154</v>
      </c>
      <c r="BZ84" s="100">
        <v>3.1771626759909068</v>
      </c>
      <c r="CA84" s="100">
        <v>2481.999482484096</v>
      </c>
      <c r="CB84" s="100">
        <v>9</v>
      </c>
      <c r="CC84" s="100">
        <v>7030.7999999999993</v>
      </c>
      <c r="CD84" s="100">
        <v>6</v>
      </c>
      <c r="CE84" s="100">
        <v>4687.2</v>
      </c>
      <c r="CF84" s="100">
        <v>4.8384061935830136</v>
      </c>
      <c r="CG84" s="100">
        <v>3779.76291842705</v>
      </c>
      <c r="CH84" s="100">
        <v>7</v>
      </c>
      <c r="CI84" s="100">
        <v>5468.4</v>
      </c>
      <c r="CJ84" s="100">
        <v>3.2565475515187248</v>
      </c>
      <c r="CK84" s="100">
        <v>2544.0149472464277</v>
      </c>
      <c r="CL84" s="100">
        <v>7.1017022167142843</v>
      </c>
      <c r="CM84" s="100">
        <v>5547.8497716971988</v>
      </c>
      <c r="CN84" s="100">
        <v>3.0700253467843446</v>
      </c>
      <c r="CO84" s="100">
        <v>2398.3038009079296</v>
      </c>
      <c r="CP84" s="100">
        <v>8.6620176126208186</v>
      </c>
      <c r="CQ84" s="100">
        <v>6766.7681589793829</v>
      </c>
      <c r="CR84" s="100">
        <v>3.8298025470089225</v>
      </c>
      <c r="CS84" s="100">
        <v>2991.84174972337</v>
      </c>
      <c r="CT84" s="100">
        <v>7.6520322932957585</v>
      </c>
      <c r="CU84" s="100">
        <v>5977.7676275226459</v>
      </c>
    </row>
    <row r="85" spans="2:99">
      <c r="C85" s="99" t="s">
        <v>251</v>
      </c>
      <c r="D85" s="100">
        <v>7.0408843509752881</v>
      </c>
      <c r="E85" s="100">
        <v>1056.1326526462933</v>
      </c>
      <c r="F85" s="100">
        <v>4.2524592375102355</v>
      </c>
      <c r="G85" s="100">
        <v>637.8688856265353</v>
      </c>
      <c r="H85" s="100">
        <v>6.0322875783834133</v>
      </c>
      <c r="I85" s="100">
        <v>904.84313675751196</v>
      </c>
      <c r="J85" s="100">
        <v>6.222511422469144</v>
      </c>
      <c r="K85" s="100">
        <v>933.37671337037159</v>
      </c>
      <c r="L85" s="100">
        <v>2.3251607395105238</v>
      </c>
      <c r="M85" s="100">
        <v>348.7741109265786</v>
      </c>
      <c r="N85" s="100">
        <v>9.6817462074167899</v>
      </c>
      <c r="O85" s="100">
        <v>1452.2619311125186</v>
      </c>
      <c r="P85" s="100">
        <v>4.0287805958517326</v>
      </c>
      <c r="Q85" s="100">
        <v>604.31708937775988</v>
      </c>
      <c r="R85" s="100">
        <v>5.5227353634385983</v>
      </c>
      <c r="S85" s="100">
        <v>828.41030451578979</v>
      </c>
      <c r="T85" s="100">
        <v>6.9552906778671444</v>
      </c>
      <c r="U85" s="100">
        <v>1043.2936016800716</v>
      </c>
      <c r="V85" s="100">
        <v>2.4208427782284216</v>
      </c>
      <c r="W85" s="100">
        <v>363.12641673426327</v>
      </c>
      <c r="X85" s="100">
        <v>3.6022361220773313</v>
      </c>
      <c r="Y85" s="100">
        <v>540.33541831159971</v>
      </c>
      <c r="Z85" s="100">
        <v>6.6614698947928694</v>
      </c>
      <c r="AA85" s="100">
        <v>999.22048421893044</v>
      </c>
      <c r="AB85" s="100">
        <v>0.73924494596653334</v>
      </c>
      <c r="AC85" s="100">
        <v>110.88674189498001</v>
      </c>
      <c r="AD85" s="100">
        <v>4.8821543426701185E-4</v>
      </c>
      <c r="AE85" s="100">
        <v>7.3232315140051782E-2</v>
      </c>
      <c r="AF85" s="100">
        <v>6.0002601141691025</v>
      </c>
      <c r="AG85" s="100">
        <v>900.03901712536538</v>
      </c>
      <c r="AH85" s="100">
        <v>7.2446030176393261</v>
      </c>
      <c r="AI85" s="100">
        <v>1086.6904526458989</v>
      </c>
      <c r="AJ85" s="100">
        <v>7.6083305097283151</v>
      </c>
      <c r="AK85" s="100">
        <v>1141.2495764592472</v>
      </c>
      <c r="AL85" s="100">
        <v>6.0058713370825059</v>
      </c>
      <c r="AM85" s="100">
        <v>900.88070056237586</v>
      </c>
      <c r="AN85" s="100">
        <v>6</v>
      </c>
      <c r="AO85" s="100">
        <v>900</v>
      </c>
      <c r="AP85" s="100">
        <v>2.495714857957827</v>
      </c>
      <c r="AQ85" s="100">
        <v>374.35722869367407</v>
      </c>
      <c r="AR85" s="100">
        <v>6.8474566599644389</v>
      </c>
      <c r="AS85" s="100">
        <v>1027.1184989946657</v>
      </c>
      <c r="AT85" s="100">
        <v>3.8025219698987498</v>
      </c>
      <c r="AU85" s="100">
        <v>570.3782954848125</v>
      </c>
      <c r="AV85" s="100">
        <v>9.2168954994639023</v>
      </c>
      <c r="AW85" s="100">
        <v>1382.5343249195853</v>
      </c>
      <c r="AX85" s="100">
        <v>2.7227357571066255</v>
      </c>
      <c r="AY85" s="100">
        <v>408.4103635659938</v>
      </c>
      <c r="AZ85" s="100">
        <v>7.4354202823676543</v>
      </c>
      <c r="BA85" s="100">
        <v>1115.3130423551481</v>
      </c>
      <c r="BB85" s="100">
        <v>1.3595322107156829</v>
      </c>
      <c r="BC85" s="100">
        <v>203.92983160735244</v>
      </c>
      <c r="BD85" s="100">
        <v>5.0563462406361293</v>
      </c>
      <c r="BE85" s="100">
        <v>758.45193609541934</v>
      </c>
      <c r="BF85" s="100">
        <v>3.577103364059167</v>
      </c>
      <c r="BG85" s="100">
        <v>536.56550460887502</v>
      </c>
      <c r="BH85" s="100">
        <v>2.0419669632811446</v>
      </c>
      <c r="BI85" s="100">
        <v>306.29504449217171</v>
      </c>
      <c r="BJ85" s="100">
        <v>1.8229310476738334</v>
      </c>
      <c r="BK85" s="100">
        <v>273.43965715107504</v>
      </c>
      <c r="BL85" s="100">
        <v>5.1836619583320696</v>
      </c>
      <c r="BM85" s="100">
        <v>777.54929374981043</v>
      </c>
      <c r="BN85" s="100">
        <v>3.2822458843904672</v>
      </c>
      <c r="BO85" s="100">
        <v>492.33688265857006</v>
      </c>
      <c r="BP85" s="100">
        <v>7.3378930432171137</v>
      </c>
      <c r="BQ85" s="100">
        <v>1100.6839564825671</v>
      </c>
      <c r="BR85" s="100">
        <v>1.5469677701886482</v>
      </c>
      <c r="BS85" s="100">
        <v>232.04516552829722</v>
      </c>
      <c r="BT85" s="100">
        <v>5</v>
      </c>
      <c r="BU85" s="100">
        <v>750</v>
      </c>
      <c r="BV85" s="100">
        <v>2.5274797088948664</v>
      </c>
      <c r="BW85" s="100">
        <v>379.12195633422994</v>
      </c>
      <c r="BX85" s="100">
        <v>10.460061692719426</v>
      </c>
      <c r="BY85" s="100">
        <v>1569.0092539079139</v>
      </c>
      <c r="BZ85" s="100">
        <v>3.1771626759909068</v>
      </c>
      <c r="CA85" s="100">
        <v>476.57440139863604</v>
      </c>
      <c r="CB85" s="100">
        <v>10</v>
      </c>
      <c r="CC85" s="100">
        <v>1500</v>
      </c>
      <c r="CD85" s="100">
        <v>6</v>
      </c>
      <c r="CE85" s="100">
        <v>900</v>
      </c>
      <c r="CF85" s="100">
        <v>4.8384061935830136</v>
      </c>
      <c r="CG85" s="100">
        <v>725.760929037452</v>
      </c>
      <c r="CH85" s="100">
        <v>9</v>
      </c>
      <c r="CI85" s="100">
        <v>1350</v>
      </c>
      <c r="CJ85" s="100">
        <v>3.2565475515187248</v>
      </c>
      <c r="CK85" s="100">
        <v>488.48213272780873</v>
      </c>
      <c r="CL85" s="100">
        <v>9.0975411135245032</v>
      </c>
      <c r="CM85" s="100">
        <v>1364.6311670286755</v>
      </c>
      <c r="CN85" s="100">
        <v>3.1613883246303267</v>
      </c>
      <c r="CO85" s="100">
        <v>474.20824869454901</v>
      </c>
      <c r="CP85" s="100">
        <v>8.6620176126208186</v>
      </c>
      <c r="CQ85" s="100">
        <v>1299.3026418931229</v>
      </c>
      <c r="CR85" s="100">
        <v>3.8298025470089225</v>
      </c>
      <c r="CS85" s="100">
        <v>574.47038205133833</v>
      </c>
      <c r="CT85" s="100">
        <v>7.9128452106140621</v>
      </c>
      <c r="CU85" s="100">
        <v>1186.9267815921094</v>
      </c>
    </row>
    <row r="86" spans="2:99">
      <c r="C86" s="99" t="s">
        <v>252</v>
      </c>
      <c r="D86" s="100">
        <v>7.9209948948471993</v>
      </c>
      <c r="E86" s="100">
        <v>4277.3372432174874</v>
      </c>
      <c r="F86" s="100">
        <v>3.7799637666757646</v>
      </c>
      <c r="G86" s="100">
        <v>2041.180434004913</v>
      </c>
      <c r="H86" s="100">
        <v>5.9148820614905055</v>
      </c>
      <c r="I86" s="100">
        <v>3194.0363132048728</v>
      </c>
      <c r="J86" s="100">
        <v>5.3177702970232668</v>
      </c>
      <c r="K86" s="100">
        <v>2871.5959603925639</v>
      </c>
      <c r="L86" s="100">
        <v>2.0729251747977595</v>
      </c>
      <c r="M86" s="100">
        <v>1119.3795943907901</v>
      </c>
      <c r="N86" s="100">
        <v>8.5113096555625933</v>
      </c>
      <c r="O86" s="100">
        <v>4596.1072140038004</v>
      </c>
      <c r="P86" s="100">
        <v>3.5811383074237622</v>
      </c>
      <c r="Q86" s="100">
        <v>1933.8146860088316</v>
      </c>
      <c r="R86" s="100">
        <v>5.4181882907508783</v>
      </c>
      <c r="S86" s="100">
        <v>2925.8216770054742</v>
      </c>
      <c r="T86" s="100">
        <v>6.9552906778671444</v>
      </c>
      <c r="U86" s="100">
        <v>3755.8569660482581</v>
      </c>
      <c r="V86" s="100">
        <v>2.0173689818570177</v>
      </c>
      <c r="W86" s="100">
        <v>1089.3792502027895</v>
      </c>
      <c r="X86" s="100">
        <v>3.6022361220773313</v>
      </c>
      <c r="Y86" s="100">
        <v>1945.2075059217589</v>
      </c>
      <c r="Z86" s="100">
        <v>6.6614698947928694</v>
      </c>
      <c r="AA86" s="100">
        <v>3597.1937431881497</v>
      </c>
      <c r="AB86" s="100">
        <v>0.73159930591154421</v>
      </c>
      <c r="AC86" s="100">
        <v>395.06362519223387</v>
      </c>
      <c r="AD86" s="100">
        <v>4.8821543426701185E-4</v>
      </c>
      <c r="AE86" s="100">
        <v>0.26363633450418639</v>
      </c>
      <c r="AF86" s="100">
        <v>6.0002601141691025</v>
      </c>
      <c r="AG86" s="100">
        <v>3240.1404616513155</v>
      </c>
      <c r="AH86" s="100">
        <v>6.4396471267905122</v>
      </c>
      <c r="AI86" s="100">
        <v>3477.4094484668767</v>
      </c>
      <c r="AJ86" s="100">
        <v>6.7629604530918357</v>
      </c>
      <c r="AK86" s="100">
        <v>3651.9986446695912</v>
      </c>
      <c r="AL86" s="100">
        <v>5.1478897174992913</v>
      </c>
      <c r="AM86" s="100">
        <v>2779.8604474496174</v>
      </c>
      <c r="AN86" s="100">
        <v>6</v>
      </c>
      <c r="AO86" s="100">
        <v>3240</v>
      </c>
      <c r="AP86" s="100">
        <v>2.495714857957827</v>
      </c>
      <c r="AQ86" s="100">
        <v>1347.6860232972265</v>
      </c>
      <c r="AR86" s="100">
        <v>6.7263914228266621</v>
      </c>
      <c r="AS86" s="100">
        <v>3632.2513683263974</v>
      </c>
      <c r="AT86" s="100">
        <v>3.8025219698987498</v>
      </c>
      <c r="AU86" s="100">
        <v>2053.3618637453251</v>
      </c>
      <c r="AV86" s="100">
        <v>8.2168954994639023</v>
      </c>
      <c r="AW86" s="100">
        <v>4437.1235697105076</v>
      </c>
      <c r="AX86" s="100">
        <v>2.7227357571066255</v>
      </c>
      <c r="AY86" s="100">
        <v>1470.2773088375777</v>
      </c>
      <c r="AZ86" s="100">
        <v>7.4354202823676543</v>
      </c>
      <c r="BA86" s="100">
        <v>4015.1269524785334</v>
      </c>
      <c r="BB86" s="100">
        <v>1.1849499873298452</v>
      </c>
      <c r="BC86" s="100">
        <v>639.8729931581164</v>
      </c>
      <c r="BD86" s="100">
        <v>4.0333276952627939</v>
      </c>
      <c r="BE86" s="100">
        <v>2177.9969554419085</v>
      </c>
      <c r="BF86" s="100">
        <v>3.577103364059167</v>
      </c>
      <c r="BG86" s="100">
        <v>1931.6358165919501</v>
      </c>
      <c r="BH86" s="100">
        <v>1.7042660103107157</v>
      </c>
      <c r="BI86" s="100">
        <v>920.30364556778648</v>
      </c>
      <c r="BJ86" s="100">
        <v>2.0858395018203399</v>
      </c>
      <c r="BK86" s="100">
        <v>1126.3533309829836</v>
      </c>
      <c r="BL86" s="100">
        <v>5.1836619583320696</v>
      </c>
      <c r="BM86" s="100">
        <v>2799.1774574993174</v>
      </c>
      <c r="BN86" s="100">
        <v>3.6753543195556544</v>
      </c>
      <c r="BO86" s="100">
        <v>1984.6913325600533</v>
      </c>
      <c r="BP86" s="100">
        <v>7.3378930432171137</v>
      </c>
      <c r="BQ86" s="100">
        <v>3962.4622433372415</v>
      </c>
      <c r="BR86" s="100">
        <v>1.5469677701886482</v>
      </c>
      <c r="BS86" s="100">
        <v>835.36259590187001</v>
      </c>
      <c r="BT86" s="100">
        <v>5</v>
      </c>
      <c r="BU86" s="100">
        <v>2700</v>
      </c>
      <c r="BV86" s="100">
        <v>2.5274797088948664</v>
      </c>
      <c r="BW86" s="100">
        <v>1364.8390428032278</v>
      </c>
      <c r="BX86" s="100">
        <v>10.460061692719426</v>
      </c>
      <c r="BY86" s="100">
        <v>5648.4333140684903</v>
      </c>
      <c r="BZ86" s="100">
        <v>2.647635563325756</v>
      </c>
      <c r="CA86" s="100">
        <v>1429.7232041959082</v>
      </c>
      <c r="CB86" s="100">
        <v>8</v>
      </c>
      <c r="CC86" s="100">
        <v>4320</v>
      </c>
      <c r="CD86" s="100">
        <v>5</v>
      </c>
      <c r="CE86" s="100">
        <v>2700</v>
      </c>
      <c r="CF86" s="100">
        <v>4.8384061935830136</v>
      </c>
      <c r="CG86" s="100">
        <v>2612.7393445348275</v>
      </c>
      <c r="CH86" s="100">
        <v>9</v>
      </c>
      <c r="CI86" s="100">
        <v>4860</v>
      </c>
      <c r="CJ86" s="100">
        <v>3.2565475515187248</v>
      </c>
      <c r="CK86" s="100">
        <v>1758.5356778201115</v>
      </c>
      <c r="CL86" s="100">
        <v>7.1017022167142843</v>
      </c>
      <c r="CM86" s="100">
        <v>3834.9191970257134</v>
      </c>
      <c r="CN86" s="100">
        <v>3.1613883246303267</v>
      </c>
      <c r="CO86" s="100">
        <v>1707.1496953003764</v>
      </c>
      <c r="CP86" s="100">
        <v>7.7430206278577209</v>
      </c>
      <c r="CQ86" s="100">
        <v>4181.2311390431696</v>
      </c>
      <c r="CR86" s="100">
        <v>3.1915021225074356</v>
      </c>
      <c r="CS86" s="100">
        <v>1723.4111461540151</v>
      </c>
      <c r="CT86" s="100">
        <v>7.7824387519549099</v>
      </c>
      <c r="CU86" s="100">
        <v>4202.5169260556513</v>
      </c>
    </row>
    <row r="87" spans="2:99">
      <c r="B87" s="99" t="s">
        <v>131</v>
      </c>
      <c r="C87" s="99" t="s">
        <v>253</v>
      </c>
      <c r="D87" s="100">
        <v>4.873943658591303</v>
      </c>
      <c r="E87" s="100">
        <v>5234.6154893270595</v>
      </c>
      <c r="F87" s="100">
        <v>0.29160139690203168</v>
      </c>
      <c r="G87" s="100">
        <v>313.17990027278205</v>
      </c>
      <c r="H87" s="100">
        <v>4.4902397471173723</v>
      </c>
      <c r="I87" s="100">
        <v>4822.517488404058</v>
      </c>
      <c r="J87" s="100">
        <v>4.4881327321154298</v>
      </c>
      <c r="K87" s="100">
        <v>4820.2545542919715</v>
      </c>
      <c r="L87" s="100">
        <v>4.6472573285163543</v>
      </c>
      <c r="M87" s="100">
        <v>4991.1543708265644</v>
      </c>
      <c r="N87" s="100">
        <v>5.3600408265985413</v>
      </c>
      <c r="O87" s="100">
        <v>5756.6838477668334</v>
      </c>
      <c r="P87" s="100">
        <v>4.4804304313620928</v>
      </c>
      <c r="Q87" s="100">
        <v>4811.9822832828877</v>
      </c>
      <c r="R87" s="100">
        <v>4.1904059267170872</v>
      </c>
      <c r="S87" s="100">
        <v>4500.4959652941516</v>
      </c>
      <c r="T87" s="100">
        <v>4.506975912760546</v>
      </c>
      <c r="U87" s="100">
        <v>4840.4921303048268</v>
      </c>
      <c r="V87" s="100">
        <v>4.8558746981297259E-4</v>
      </c>
      <c r="W87" s="100">
        <v>0.52152094257913262</v>
      </c>
      <c r="X87" s="100">
        <v>5.9422194825478032</v>
      </c>
      <c r="Y87" s="100">
        <v>6381.9437242563408</v>
      </c>
      <c r="Z87" s="100">
        <v>5.1940508056205337</v>
      </c>
      <c r="AA87" s="100">
        <v>5578.4105652364533</v>
      </c>
      <c r="AB87" s="100">
        <v>4.4039069130310594E-4</v>
      </c>
      <c r="AC87" s="100">
        <v>0.4729796024595358</v>
      </c>
      <c r="AD87" s="100">
        <v>3.5568508935345129E-4</v>
      </c>
      <c r="AE87" s="100">
        <v>0.38200578596560669</v>
      </c>
      <c r="AF87" s="100">
        <v>5.8718639679968643</v>
      </c>
      <c r="AG87" s="100">
        <v>6306.3819016286325</v>
      </c>
      <c r="AH87" s="100">
        <v>3.5869186602793182</v>
      </c>
      <c r="AI87" s="100">
        <v>3852.3506411399876</v>
      </c>
      <c r="AJ87" s="100">
        <v>3.4082459199402599</v>
      </c>
      <c r="AK87" s="100">
        <v>3660.4561180158394</v>
      </c>
      <c r="AL87" s="100">
        <v>0.33745369845792295</v>
      </c>
      <c r="AM87" s="100">
        <v>362.42527214380925</v>
      </c>
      <c r="AN87" s="100">
        <v>5.1794267401707019</v>
      </c>
      <c r="AO87" s="100">
        <v>5562.7043189433334</v>
      </c>
      <c r="AP87" s="100">
        <v>1.9552324655023308</v>
      </c>
      <c r="AQ87" s="100">
        <v>2099.919667949503</v>
      </c>
      <c r="AR87" s="100">
        <v>7.5105304281008349</v>
      </c>
      <c r="AS87" s="100">
        <v>8066.3096797802964</v>
      </c>
      <c r="AT87" s="100">
        <v>1.6702961476044185</v>
      </c>
      <c r="AU87" s="100">
        <v>1793.8980625271454</v>
      </c>
      <c r="AV87" s="100">
        <v>9.5719478593102778</v>
      </c>
      <c r="AW87" s="100">
        <v>10280.272000899238</v>
      </c>
      <c r="AX87" s="100">
        <v>3.5519149275829771</v>
      </c>
      <c r="AY87" s="100">
        <v>3814.7566322241173</v>
      </c>
      <c r="AZ87" s="100">
        <v>3.3986762623164211</v>
      </c>
      <c r="BA87" s="100">
        <v>3650.1783057278362</v>
      </c>
      <c r="BB87" s="100">
        <v>3.426300845607209</v>
      </c>
      <c r="BC87" s="100">
        <v>3679.8471081821426</v>
      </c>
      <c r="BD87" s="100">
        <v>3.7478227535928826E-4</v>
      </c>
      <c r="BE87" s="100">
        <v>0.40251616373587557</v>
      </c>
      <c r="BF87" s="100">
        <v>5.24695185502608E-4</v>
      </c>
      <c r="BG87" s="100">
        <v>0.56352262922980101</v>
      </c>
      <c r="BH87" s="100">
        <v>5.5495710835768298E-4</v>
      </c>
      <c r="BI87" s="100">
        <v>0.59602393437615153</v>
      </c>
      <c r="BJ87" s="100">
        <v>4.2955814637301426E-4</v>
      </c>
      <c r="BK87" s="100">
        <v>0.46134544920461734</v>
      </c>
      <c r="BL87" s="100">
        <v>3.4338913038098444</v>
      </c>
      <c r="BM87" s="100">
        <v>3687.9992602917728</v>
      </c>
      <c r="BN87" s="100">
        <v>5.2770108242970712</v>
      </c>
      <c r="BO87" s="100">
        <v>5667.5096252950543</v>
      </c>
      <c r="BP87" s="100">
        <v>4.8643185627503538</v>
      </c>
      <c r="BQ87" s="100">
        <v>5224.2781363938802</v>
      </c>
      <c r="BR87" s="100">
        <v>6.2389899717896764</v>
      </c>
      <c r="BS87" s="100">
        <v>6700.6752297021121</v>
      </c>
      <c r="BT87" s="100">
        <v>5.0932700007316338</v>
      </c>
      <c r="BU87" s="100">
        <v>5470.1719807857744</v>
      </c>
      <c r="BV87" s="100">
        <v>4.2924580860164205</v>
      </c>
      <c r="BW87" s="100">
        <v>4610.0999843816353</v>
      </c>
      <c r="BX87" s="100">
        <v>5.6526503994646555</v>
      </c>
      <c r="BY87" s="100">
        <v>6070.94652902504</v>
      </c>
      <c r="BZ87" s="100">
        <v>4.2759746626672577</v>
      </c>
      <c r="CA87" s="100">
        <v>4592.3967877046343</v>
      </c>
      <c r="CB87" s="100">
        <v>3.3691042955015122</v>
      </c>
      <c r="CC87" s="100">
        <v>3618.4180133686241</v>
      </c>
      <c r="CD87" s="100">
        <v>2.7468392758047351</v>
      </c>
      <c r="CE87" s="100">
        <v>2950.1053822142853</v>
      </c>
      <c r="CF87" s="100">
        <v>5.7609984402983612</v>
      </c>
      <c r="CG87" s="100">
        <v>6187.3123248804395</v>
      </c>
      <c r="CH87" s="100">
        <v>0.74159231280081606</v>
      </c>
      <c r="CI87" s="100">
        <v>796.4701439480765</v>
      </c>
      <c r="CJ87" s="100">
        <v>6.3138258022048923</v>
      </c>
      <c r="CK87" s="100">
        <v>6781.0489115680548</v>
      </c>
      <c r="CL87" s="100">
        <v>7</v>
      </c>
      <c r="CM87" s="100">
        <v>7518</v>
      </c>
      <c r="CN87" s="100">
        <v>5.8028465500904636</v>
      </c>
      <c r="CO87" s="100">
        <v>6232.2571947971583</v>
      </c>
      <c r="CP87" s="100">
        <v>0.78286936125488182</v>
      </c>
      <c r="CQ87" s="100">
        <v>840.80169398774308</v>
      </c>
      <c r="CR87" s="100">
        <v>7.3096000099720042</v>
      </c>
      <c r="CS87" s="100">
        <v>7850.5104107099323</v>
      </c>
      <c r="CT87" s="100">
        <v>1.6134764629123559</v>
      </c>
      <c r="CU87" s="100">
        <v>1732.8737211678701</v>
      </c>
    </row>
    <row r="88" spans="2:99">
      <c r="C88" s="99" t="s">
        <v>254</v>
      </c>
      <c r="D88" s="100">
        <v>4.873943658591303</v>
      </c>
      <c r="E88" s="100">
        <v>4836.9016867860091</v>
      </c>
      <c r="F88" s="100">
        <v>0.29086658228299006</v>
      </c>
      <c r="G88" s="100">
        <v>288.65599625763934</v>
      </c>
      <c r="H88" s="100">
        <v>4.5118864844784774</v>
      </c>
      <c r="I88" s="100">
        <v>4477.5961471964411</v>
      </c>
      <c r="J88" s="100">
        <v>4.4714944896164805</v>
      </c>
      <c r="K88" s="100">
        <v>4437.5111314953956</v>
      </c>
      <c r="L88" s="100">
        <v>4.6472573285163543</v>
      </c>
      <c r="M88" s="100">
        <v>4611.9381728196295</v>
      </c>
      <c r="N88" s="100">
        <v>6.1566259661766578</v>
      </c>
      <c r="O88" s="100">
        <v>6109.835608833715</v>
      </c>
      <c r="P88" s="100">
        <v>4.6169732365782608</v>
      </c>
      <c r="Q88" s="100">
        <v>4581.8842399802661</v>
      </c>
      <c r="R88" s="100">
        <v>4.2950451167962402</v>
      </c>
      <c r="S88" s="100">
        <v>4262.4027739085886</v>
      </c>
      <c r="T88" s="100">
        <v>4.6372582527521979</v>
      </c>
      <c r="U88" s="100">
        <v>4602.015090031281</v>
      </c>
      <c r="V88" s="100">
        <v>4.8558746981297259E-4</v>
      </c>
      <c r="W88" s="100">
        <v>0.48189700504239397</v>
      </c>
      <c r="X88" s="100">
        <v>5.1994555399758706</v>
      </c>
      <c r="Y88" s="100">
        <v>5159.9396778720538</v>
      </c>
      <c r="Z88" s="100">
        <v>4.3064110049911193</v>
      </c>
      <c r="AA88" s="100">
        <v>4273.6822813531862</v>
      </c>
      <c r="AB88" s="100">
        <v>5.2792471226996082E-4</v>
      </c>
      <c r="AC88" s="100">
        <v>0.52391248445670913</v>
      </c>
      <c r="AD88" s="100">
        <v>3.5568508935345129E-4</v>
      </c>
      <c r="AE88" s="100">
        <v>0.35298188267436503</v>
      </c>
      <c r="AF88" s="100">
        <v>5.8718632039044021</v>
      </c>
      <c r="AG88" s="100">
        <v>5827.2370435547282</v>
      </c>
      <c r="AH88" s="100">
        <v>4.2822114660994401</v>
      </c>
      <c r="AI88" s="100">
        <v>4249.6666589570841</v>
      </c>
      <c r="AJ88" s="100">
        <v>3.5112051224453351</v>
      </c>
      <c r="AK88" s="100">
        <v>3484.5199635147505</v>
      </c>
      <c r="AL88" s="100">
        <v>0.38515513593655221</v>
      </c>
      <c r="AM88" s="100">
        <v>382.2279569034344</v>
      </c>
      <c r="AN88" s="100">
        <v>5.2153120882048425</v>
      </c>
      <c r="AO88" s="100">
        <v>5175.6757163344855</v>
      </c>
      <c r="AP88" s="100">
        <v>1.962713188305621</v>
      </c>
      <c r="AQ88" s="100">
        <v>1947.7965680744983</v>
      </c>
      <c r="AR88" s="100">
        <v>7.5105304281008349</v>
      </c>
      <c r="AS88" s="100">
        <v>7453.4503968472682</v>
      </c>
      <c r="AT88" s="100">
        <v>1.8683040857561786</v>
      </c>
      <c r="AU88" s="100">
        <v>1854.1049747044315</v>
      </c>
      <c r="AV88" s="100">
        <v>8.5719478593102778</v>
      </c>
      <c r="AW88" s="100">
        <v>8506.801055579519</v>
      </c>
      <c r="AX88" s="100">
        <v>3.5519149275829771</v>
      </c>
      <c r="AY88" s="100">
        <v>3524.9203741333463</v>
      </c>
      <c r="AZ88" s="100">
        <v>3.3986762623164211</v>
      </c>
      <c r="BA88" s="100">
        <v>3372.8463227228162</v>
      </c>
      <c r="BB88" s="100">
        <v>4.1115610147286521</v>
      </c>
      <c r="BC88" s="100">
        <v>4080.3131510167141</v>
      </c>
      <c r="BD88" s="100">
        <v>3.7478227535928826E-4</v>
      </c>
      <c r="BE88" s="100">
        <v>0.37193393006655767</v>
      </c>
      <c r="BF88" s="100">
        <v>5.9965164057440914E-4</v>
      </c>
      <c r="BG88" s="100">
        <v>0.59509428810604359</v>
      </c>
      <c r="BH88" s="100">
        <v>6.2432674690239337E-4</v>
      </c>
      <c r="BI88" s="100">
        <v>0.61958186362593515</v>
      </c>
      <c r="BJ88" s="100">
        <v>4.2955814637301426E-4</v>
      </c>
      <c r="BK88" s="100">
        <v>0.42629350446057934</v>
      </c>
      <c r="BL88" s="100">
        <v>3.4338913038098444</v>
      </c>
      <c r="BM88" s="100">
        <v>3407.7937299008895</v>
      </c>
      <c r="BN88" s="100">
        <v>4.7444342832302064</v>
      </c>
      <c r="BO88" s="100">
        <v>4708.3765826776571</v>
      </c>
      <c r="BP88" s="100">
        <v>4.9613617466951805</v>
      </c>
      <c r="BQ88" s="100">
        <v>4923.655397420297</v>
      </c>
      <c r="BR88" s="100">
        <v>6.1211382223663318</v>
      </c>
      <c r="BS88" s="100">
        <v>6074.6175718763479</v>
      </c>
      <c r="BT88" s="100">
        <v>5.2237940785639161</v>
      </c>
      <c r="BU88" s="100">
        <v>5184.0932435668301</v>
      </c>
      <c r="BV88" s="100">
        <v>3.785374613178591</v>
      </c>
      <c r="BW88" s="100">
        <v>3756.6057661184336</v>
      </c>
      <c r="BX88" s="100">
        <v>5.6526503994646555</v>
      </c>
      <c r="BY88" s="100">
        <v>5609.6902564287238</v>
      </c>
      <c r="BZ88" s="100">
        <v>3.6835960880437741</v>
      </c>
      <c r="CA88" s="100">
        <v>3655.6007577746414</v>
      </c>
      <c r="CB88" s="100">
        <v>3.472881514297308</v>
      </c>
      <c r="CC88" s="100">
        <v>3446.4876147886484</v>
      </c>
      <c r="CD88" s="100">
        <v>3.3207394942914594</v>
      </c>
      <c r="CE88" s="100">
        <v>3295.5018741348445</v>
      </c>
      <c r="CF88" s="100">
        <v>6.5067840620480046</v>
      </c>
      <c r="CG88" s="100">
        <v>6457.3325031764398</v>
      </c>
      <c r="CH88" s="100">
        <v>0.74159231280081606</v>
      </c>
      <c r="CI88" s="100">
        <v>735.95621122352986</v>
      </c>
      <c r="CJ88" s="100">
        <v>7.2510606417639138</v>
      </c>
      <c r="CK88" s="100">
        <v>7195.9525808865083</v>
      </c>
      <c r="CL88" s="100">
        <v>6</v>
      </c>
      <c r="CM88" s="100">
        <v>5954.4</v>
      </c>
      <c r="CN88" s="100">
        <v>5.8028465500904636</v>
      </c>
      <c r="CO88" s="100">
        <v>5758.7449163097763</v>
      </c>
      <c r="CP88" s="100">
        <v>0.66898108823303659</v>
      </c>
      <c r="CQ88" s="100">
        <v>663.89683196246551</v>
      </c>
      <c r="CR88" s="100">
        <v>7.3096000099720042</v>
      </c>
      <c r="CS88" s="100">
        <v>7254.0470498962168</v>
      </c>
      <c r="CT88" s="100">
        <v>1.851612779881749</v>
      </c>
      <c r="CU88" s="100">
        <v>1837.5405227546476</v>
      </c>
    </row>
    <row r="89" spans="2:99">
      <c r="C89" s="99" t="s">
        <v>255</v>
      </c>
      <c r="D89" s="100">
        <v>4.8739365321052892</v>
      </c>
      <c r="E89" s="100">
        <v>5176.1205970958172</v>
      </c>
      <c r="F89" s="100">
        <v>0.29160139690203168</v>
      </c>
      <c r="G89" s="100">
        <v>309.68068350995765</v>
      </c>
      <c r="H89" s="100">
        <v>3.8858202199951126</v>
      </c>
      <c r="I89" s="100">
        <v>4126.7410736348093</v>
      </c>
      <c r="J89" s="100">
        <v>4.4881327321154298</v>
      </c>
      <c r="K89" s="100">
        <v>4766.3969615065862</v>
      </c>
      <c r="L89" s="100">
        <v>4.6472573285163543</v>
      </c>
      <c r="M89" s="100">
        <v>4935.3872828843687</v>
      </c>
      <c r="N89" s="100">
        <v>5.4680684018226762</v>
      </c>
      <c r="O89" s="100">
        <v>5807.0886427356818</v>
      </c>
      <c r="P89" s="100">
        <v>4.6162699029628547</v>
      </c>
      <c r="Q89" s="100">
        <v>4902.4786369465519</v>
      </c>
      <c r="R89" s="100">
        <v>4.1897122313194481</v>
      </c>
      <c r="S89" s="100">
        <v>4449.4743896612536</v>
      </c>
      <c r="T89" s="100">
        <v>5.4078611225007585</v>
      </c>
      <c r="U89" s="100">
        <v>5743.1485120958059</v>
      </c>
      <c r="V89" s="100">
        <v>4.8558746981297259E-4</v>
      </c>
      <c r="W89" s="100">
        <v>0.51569389294137691</v>
      </c>
      <c r="X89" s="100">
        <v>5.9422194825478032</v>
      </c>
      <c r="Y89" s="100">
        <v>6310.637090465767</v>
      </c>
      <c r="Z89" s="100">
        <v>4.4381990031470702</v>
      </c>
      <c r="AA89" s="100">
        <v>4713.3673413421884</v>
      </c>
      <c r="AB89" s="100">
        <v>5.2819677091684391E-4</v>
      </c>
      <c r="AC89" s="100">
        <v>0.56094497071368821</v>
      </c>
      <c r="AD89" s="100">
        <v>3.5568508935345129E-4</v>
      </c>
      <c r="AE89" s="100">
        <v>0.3777375648933653</v>
      </c>
      <c r="AF89" s="100">
        <v>5.8718632039044021</v>
      </c>
      <c r="AG89" s="100">
        <v>6235.9187225464748</v>
      </c>
      <c r="AH89" s="100">
        <v>3.5912337306127906</v>
      </c>
      <c r="AI89" s="100">
        <v>3813.8902219107836</v>
      </c>
      <c r="AJ89" s="100">
        <v>4.0857934792756003</v>
      </c>
      <c r="AK89" s="100">
        <v>4339.112674990688</v>
      </c>
      <c r="AL89" s="100">
        <v>0.38574574195447192</v>
      </c>
      <c r="AM89" s="100">
        <v>409.66197795564921</v>
      </c>
      <c r="AN89" s="100">
        <v>5.2153120882048425</v>
      </c>
      <c r="AO89" s="100">
        <v>5538.6614376735424</v>
      </c>
      <c r="AP89" s="100">
        <v>1.7164389494170069</v>
      </c>
      <c r="AQ89" s="100">
        <v>1822.8581642808613</v>
      </c>
      <c r="AR89" s="100">
        <v>7.5105304281008349</v>
      </c>
      <c r="AS89" s="100">
        <v>7976.1833146430863</v>
      </c>
      <c r="AT89" s="100">
        <v>1.9371967312838725</v>
      </c>
      <c r="AU89" s="100">
        <v>2057.3029286234728</v>
      </c>
      <c r="AV89" s="100">
        <v>9.7149348241378473</v>
      </c>
      <c r="AW89" s="100">
        <v>10317.260783234395</v>
      </c>
      <c r="AX89" s="100">
        <v>3.5519149275829771</v>
      </c>
      <c r="AY89" s="100">
        <v>3772.1336530931217</v>
      </c>
      <c r="AZ89" s="100">
        <v>3.3986762623164211</v>
      </c>
      <c r="BA89" s="100">
        <v>3609.3941905800393</v>
      </c>
      <c r="BB89" s="100">
        <v>4.0272886251220754</v>
      </c>
      <c r="BC89" s="100">
        <v>4276.9805198796439</v>
      </c>
      <c r="BD89" s="100">
        <v>3.7478227535928826E-4</v>
      </c>
      <c r="BE89" s="100">
        <v>0.39801877643156414</v>
      </c>
      <c r="BF89" s="100">
        <v>5.24695185502608E-4</v>
      </c>
      <c r="BG89" s="100">
        <v>0.55722628700376975</v>
      </c>
      <c r="BH89" s="100">
        <v>6.2432674690239337E-4</v>
      </c>
      <c r="BI89" s="100">
        <v>0.66303500521034175</v>
      </c>
      <c r="BJ89" s="100">
        <v>4.2955814637301426E-4</v>
      </c>
      <c r="BK89" s="100">
        <v>0.45619075144814114</v>
      </c>
      <c r="BL89" s="100">
        <v>3.4338913038098444</v>
      </c>
      <c r="BM89" s="100">
        <v>3646.7925646460549</v>
      </c>
      <c r="BN89" s="100">
        <v>4.6504097560759909</v>
      </c>
      <c r="BO89" s="100">
        <v>4938.7351609527022</v>
      </c>
      <c r="BP89" s="100">
        <v>4.8643185627503538</v>
      </c>
      <c r="BQ89" s="100">
        <v>5165.9063136408759</v>
      </c>
      <c r="BR89" s="100">
        <v>6.2389899717896764</v>
      </c>
      <c r="BS89" s="100">
        <v>6625.8073500406363</v>
      </c>
      <c r="BT89" s="100">
        <v>5.0932700007316338</v>
      </c>
      <c r="BU89" s="100">
        <v>5409.0527407769951</v>
      </c>
      <c r="BV89" s="100">
        <v>4.2924580860164205</v>
      </c>
      <c r="BW89" s="100">
        <v>4558.5904873494383</v>
      </c>
      <c r="BX89" s="100">
        <v>5.6597767704961806</v>
      </c>
      <c r="BY89" s="100">
        <v>6010.6829302669439</v>
      </c>
      <c r="BZ89" s="100">
        <v>3.6835960880437741</v>
      </c>
      <c r="CA89" s="100">
        <v>3911.9790455024881</v>
      </c>
      <c r="CB89" s="100">
        <v>3.366162970805437</v>
      </c>
      <c r="CC89" s="100">
        <v>3574.865074995374</v>
      </c>
      <c r="CD89" s="100">
        <v>3.288677818369981</v>
      </c>
      <c r="CE89" s="100">
        <v>3492.5758431089198</v>
      </c>
      <c r="CF89" s="100">
        <v>5.7588871157356616</v>
      </c>
      <c r="CG89" s="100">
        <v>6115.938116911273</v>
      </c>
      <c r="CH89" s="100">
        <v>0.74159231280081606</v>
      </c>
      <c r="CI89" s="100">
        <v>787.57103619446661</v>
      </c>
      <c r="CJ89" s="100">
        <v>6.3138258022048923</v>
      </c>
      <c r="CK89" s="100">
        <v>6705.283001941596</v>
      </c>
      <c r="CL89" s="100">
        <v>6</v>
      </c>
      <c r="CM89" s="100">
        <v>6372</v>
      </c>
      <c r="CN89" s="100">
        <v>5.8028465500904636</v>
      </c>
      <c r="CO89" s="100">
        <v>6162.6230361960725</v>
      </c>
      <c r="CP89" s="100">
        <v>0.78286936125488182</v>
      </c>
      <c r="CQ89" s="100">
        <v>831.4072616526845</v>
      </c>
      <c r="CR89" s="100">
        <v>8.3096000099720051</v>
      </c>
      <c r="CS89" s="100">
        <v>8824.7952105902696</v>
      </c>
      <c r="CT89" s="100">
        <v>1.6011658921726226</v>
      </c>
      <c r="CU89" s="100">
        <v>1700.4381774873252</v>
      </c>
    </row>
    <row r="90" spans="2:99">
      <c r="C90" s="99" t="s">
        <v>256</v>
      </c>
      <c r="D90" s="100">
        <v>4.2979703803212486</v>
      </c>
      <c r="E90" s="100">
        <v>4765.5895577002002</v>
      </c>
      <c r="F90" s="100">
        <v>0.29160139690203168</v>
      </c>
      <c r="G90" s="100">
        <v>323.32762888497274</v>
      </c>
      <c r="H90" s="100">
        <v>4.5118864844784774</v>
      </c>
      <c r="I90" s="100">
        <v>5002.7797339897352</v>
      </c>
      <c r="J90" s="100">
        <v>4.5864973263627986</v>
      </c>
      <c r="K90" s="100">
        <v>5085.5082354710712</v>
      </c>
      <c r="L90" s="100">
        <v>4.6472573285163543</v>
      </c>
      <c r="M90" s="100">
        <v>5152.8789258589331</v>
      </c>
      <c r="N90" s="100">
        <v>5.3600408265985413</v>
      </c>
      <c r="O90" s="100">
        <v>5943.2132685324623</v>
      </c>
      <c r="P90" s="100">
        <v>4.6162699029628547</v>
      </c>
      <c r="Q90" s="100">
        <v>5118.5200684052134</v>
      </c>
      <c r="R90" s="100">
        <v>3.6859245402689385</v>
      </c>
      <c r="S90" s="100">
        <v>4086.9531302501987</v>
      </c>
      <c r="T90" s="100">
        <v>4.6372582527521979</v>
      </c>
      <c r="U90" s="100">
        <v>5141.7919506516373</v>
      </c>
      <c r="V90" s="100">
        <v>4.8558746981297259E-4</v>
      </c>
      <c r="W90" s="100">
        <v>0.53841938652862398</v>
      </c>
      <c r="X90" s="100">
        <v>5.1994555399758706</v>
      </c>
      <c r="Y90" s="100">
        <v>5765.156302725245</v>
      </c>
      <c r="Z90" s="100">
        <v>4.4381990031470702</v>
      </c>
      <c r="AA90" s="100">
        <v>4921.0750546894715</v>
      </c>
      <c r="AB90" s="100">
        <v>4.4039069130310594E-4</v>
      </c>
      <c r="AC90" s="100">
        <v>0.48830519851688386</v>
      </c>
      <c r="AD90" s="100">
        <v>3.5568508935345129E-4</v>
      </c>
      <c r="AE90" s="100">
        <v>0.39438362707510677</v>
      </c>
      <c r="AF90" s="100">
        <v>5.0330434312041774</v>
      </c>
      <c r="AG90" s="100">
        <v>5580.6385565191913</v>
      </c>
      <c r="AH90" s="100">
        <v>3.5869186602793182</v>
      </c>
      <c r="AI90" s="100">
        <v>3977.1754105177079</v>
      </c>
      <c r="AJ90" s="100">
        <v>4.0832299638676561</v>
      </c>
      <c r="AK90" s="100">
        <v>4527.4853839364569</v>
      </c>
      <c r="AL90" s="100">
        <v>0.33745369845792295</v>
      </c>
      <c r="AM90" s="100">
        <v>374.16866085014493</v>
      </c>
      <c r="AN90" s="100">
        <v>6.2153120882048425</v>
      </c>
      <c r="AO90" s="100">
        <v>6891.5380434015287</v>
      </c>
      <c r="AP90" s="100">
        <v>1.962713188305621</v>
      </c>
      <c r="AQ90" s="100">
        <v>2176.2563831932725</v>
      </c>
      <c r="AR90" s="100">
        <v>7.5105304281008349</v>
      </c>
      <c r="AS90" s="100">
        <v>8327.6761386782055</v>
      </c>
      <c r="AT90" s="100">
        <v>1.6702961476044185</v>
      </c>
      <c r="AU90" s="100">
        <v>1852.0243684637792</v>
      </c>
      <c r="AV90" s="100">
        <v>9.7149348241378473</v>
      </c>
      <c r="AW90" s="100">
        <v>10771.919733004044</v>
      </c>
      <c r="AX90" s="100">
        <v>4.2622979130995731</v>
      </c>
      <c r="AY90" s="100">
        <v>4726.0359260448067</v>
      </c>
      <c r="AZ90" s="100">
        <v>3.3986762623164211</v>
      </c>
      <c r="BA90" s="100">
        <v>3768.4522396564475</v>
      </c>
      <c r="BB90" s="100">
        <v>4.0272886251220754</v>
      </c>
      <c r="BC90" s="100">
        <v>4465.4576275353575</v>
      </c>
      <c r="BD90" s="100">
        <v>3.7478227535928826E-4</v>
      </c>
      <c r="BE90" s="100">
        <v>0.41555858691837883</v>
      </c>
      <c r="BF90" s="100">
        <v>5.24695185502608E-4</v>
      </c>
      <c r="BG90" s="100">
        <v>0.58178202168529169</v>
      </c>
      <c r="BH90" s="100">
        <v>5.5495710835768298E-4</v>
      </c>
      <c r="BI90" s="100">
        <v>0.61533644174699886</v>
      </c>
      <c r="BJ90" s="100">
        <v>4.2955814637301426E-4</v>
      </c>
      <c r="BK90" s="100">
        <v>0.47629407269839819</v>
      </c>
      <c r="BL90" s="100">
        <v>3.4338913038098444</v>
      </c>
      <c r="BM90" s="100">
        <v>3807.4986776643555</v>
      </c>
      <c r="BN90" s="100">
        <v>4.6504097560759909</v>
      </c>
      <c r="BO90" s="100">
        <v>5156.3743375370586</v>
      </c>
      <c r="BP90" s="100">
        <v>4.8643185627503538</v>
      </c>
      <c r="BQ90" s="100">
        <v>5393.5564223775918</v>
      </c>
      <c r="BR90" s="100">
        <v>6.9114067188305608</v>
      </c>
      <c r="BS90" s="100">
        <v>7663.3677698393258</v>
      </c>
      <c r="BT90" s="100">
        <v>5.0932700007316338</v>
      </c>
      <c r="BU90" s="100">
        <v>5647.4177768112349</v>
      </c>
      <c r="BV90" s="100">
        <v>3.6812115090961375</v>
      </c>
      <c r="BW90" s="100">
        <v>4081.7273212857972</v>
      </c>
      <c r="BX90" s="100">
        <v>5.6526503994646555</v>
      </c>
      <c r="BY90" s="100">
        <v>6267.6587629264095</v>
      </c>
      <c r="BZ90" s="100">
        <v>4.2759746626672577</v>
      </c>
      <c r="CA90" s="100">
        <v>4741.2007059654552</v>
      </c>
      <c r="CB90" s="100">
        <v>3.4699401896012336</v>
      </c>
      <c r="CC90" s="100">
        <v>3847.4696822298479</v>
      </c>
      <c r="CD90" s="100">
        <v>2.7468392758047351</v>
      </c>
      <c r="CE90" s="100">
        <v>3045.69538901229</v>
      </c>
      <c r="CF90" s="100">
        <v>5.7588871157356616</v>
      </c>
      <c r="CG90" s="100">
        <v>6385.4540339277009</v>
      </c>
      <c r="CH90" s="100">
        <v>0.73965170222104903</v>
      </c>
      <c r="CI90" s="100">
        <v>820.12580742269915</v>
      </c>
      <c r="CJ90" s="100">
        <v>6.3138258022048923</v>
      </c>
      <c r="CK90" s="100">
        <v>7000.7700494847841</v>
      </c>
      <c r="CL90" s="100">
        <v>6</v>
      </c>
      <c r="CM90" s="100">
        <v>6652.7999999999993</v>
      </c>
      <c r="CN90" s="100">
        <v>5.1681317400199118</v>
      </c>
      <c r="CO90" s="100">
        <v>5730.4244733340784</v>
      </c>
      <c r="CP90" s="100">
        <v>0.78286936125488182</v>
      </c>
      <c r="CQ90" s="100">
        <v>868.0455477594129</v>
      </c>
      <c r="CR90" s="100">
        <v>7.3096000099720042</v>
      </c>
      <c r="CS90" s="100">
        <v>8104.8844910569578</v>
      </c>
      <c r="CT90" s="100">
        <v>1.3507190044634965</v>
      </c>
      <c r="CU90" s="100">
        <v>1497.6772321491248</v>
      </c>
    </row>
    <row r="91" spans="2:99">
      <c r="C91" s="99" t="s">
        <v>257</v>
      </c>
      <c r="D91" s="100">
        <v>4.2979632538352348</v>
      </c>
      <c r="E91" s="100">
        <v>4884.2054416583605</v>
      </c>
      <c r="F91" s="100">
        <v>0.29086658228299006</v>
      </c>
      <c r="G91" s="100">
        <v>330.54078410638988</v>
      </c>
      <c r="H91" s="100">
        <v>4.5114286934067831</v>
      </c>
      <c r="I91" s="100">
        <v>5126.7875671874681</v>
      </c>
      <c r="J91" s="100">
        <v>4.5864973263627986</v>
      </c>
      <c r="K91" s="100">
        <v>5212.0955616786841</v>
      </c>
      <c r="L91" s="100">
        <v>4.5072590178420127</v>
      </c>
      <c r="M91" s="100">
        <v>5122.0491478756621</v>
      </c>
      <c r="N91" s="100">
        <v>5.3600408265985413</v>
      </c>
      <c r="O91" s="100">
        <v>6091.1503953465817</v>
      </c>
      <c r="P91" s="100">
        <v>3.8301213944787778</v>
      </c>
      <c r="Q91" s="100">
        <v>4352.5499526856829</v>
      </c>
      <c r="R91" s="100">
        <v>4.1897122313194481</v>
      </c>
      <c r="S91" s="100">
        <v>4761.1889796714204</v>
      </c>
      <c r="T91" s="100">
        <v>4.6398081168116816</v>
      </c>
      <c r="U91" s="100">
        <v>5272.6779439447946</v>
      </c>
      <c r="V91" s="100">
        <v>4.8558746981297259E-4</v>
      </c>
      <c r="W91" s="100">
        <v>0.55182160069546204</v>
      </c>
      <c r="X91" s="100">
        <v>5.1994555399758706</v>
      </c>
      <c r="Y91" s="100">
        <v>5908.6612756285786</v>
      </c>
      <c r="Z91" s="100">
        <v>5.1940508056205337</v>
      </c>
      <c r="AA91" s="100">
        <v>5902.5193355071733</v>
      </c>
      <c r="AB91" s="100">
        <v>5.2765265362307774E-4</v>
      </c>
      <c r="AC91" s="100">
        <v>0.5996244755772655</v>
      </c>
      <c r="AD91" s="100">
        <v>3.5568508935345129E-4</v>
      </c>
      <c r="AE91" s="100">
        <v>0.40420053554126201</v>
      </c>
      <c r="AF91" s="100">
        <v>5.8718632039044021</v>
      </c>
      <c r="AG91" s="100">
        <v>6672.7853449169615</v>
      </c>
      <c r="AH91" s="100">
        <v>3.5826035899458457</v>
      </c>
      <c r="AI91" s="100">
        <v>4071.2707196144584</v>
      </c>
      <c r="AJ91" s="100">
        <v>3.4082459199402599</v>
      </c>
      <c r="AK91" s="100">
        <v>3873.130663420111</v>
      </c>
      <c r="AL91" s="100">
        <v>0.38515513593655221</v>
      </c>
      <c r="AM91" s="100">
        <v>437.69029647829785</v>
      </c>
      <c r="AN91" s="100">
        <v>5.2153120882048425</v>
      </c>
      <c r="AO91" s="100">
        <v>5926.6806570359822</v>
      </c>
      <c r="AP91" s="100">
        <v>1.7239196722202972</v>
      </c>
      <c r="AQ91" s="100">
        <v>1959.0623155111455</v>
      </c>
      <c r="AR91" s="100">
        <v>8.5105304281008358</v>
      </c>
      <c r="AS91" s="100">
        <v>9671.3667784937879</v>
      </c>
      <c r="AT91" s="100">
        <v>1.6702961476044185</v>
      </c>
      <c r="AU91" s="100">
        <v>1898.1245421376609</v>
      </c>
      <c r="AV91" s="100">
        <v>8.7149348241378473</v>
      </c>
      <c r="AW91" s="100">
        <v>9903.6519341502481</v>
      </c>
      <c r="AX91" s="100">
        <v>3.5519149275829771</v>
      </c>
      <c r="AY91" s="100">
        <v>4036.3961237052945</v>
      </c>
      <c r="AZ91" s="100">
        <v>3.3986762623164211</v>
      </c>
      <c r="BA91" s="100">
        <v>3862.2557044963805</v>
      </c>
      <c r="BB91" s="100">
        <v>3.426300845607209</v>
      </c>
      <c r="BC91" s="100">
        <v>3893.6482809480317</v>
      </c>
      <c r="BD91" s="100">
        <v>3.7478227535928826E-4</v>
      </c>
      <c r="BE91" s="100">
        <v>0.42590257771829515</v>
      </c>
      <c r="BF91" s="100">
        <v>5.9965164057440914E-4</v>
      </c>
      <c r="BG91" s="100">
        <v>0.68144412434875845</v>
      </c>
      <c r="BH91" s="100">
        <v>5.5495710835768298E-4</v>
      </c>
      <c r="BI91" s="100">
        <v>0.63065325793767091</v>
      </c>
      <c r="BJ91" s="100">
        <v>3.6819269689115507E-4</v>
      </c>
      <c r="BK91" s="100">
        <v>0.41841418074710857</v>
      </c>
      <c r="BL91" s="100">
        <v>3.4338913038098444</v>
      </c>
      <c r="BM91" s="100">
        <v>3902.2740776495066</v>
      </c>
      <c r="BN91" s="100">
        <v>4.6504097560759909</v>
      </c>
      <c r="BO91" s="100">
        <v>5284.7256468047553</v>
      </c>
      <c r="BP91" s="100">
        <v>5.423836791121734</v>
      </c>
      <c r="BQ91" s="100">
        <v>6163.6481294307378</v>
      </c>
      <c r="BR91" s="100">
        <v>6.1211382223663318</v>
      </c>
      <c r="BS91" s="100">
        <v>6956.0614758970987</v>
      </c>
      <c r="BT91" s="100">
        <v>5.0932700007316338</v>
      </c>
      <c r="BU91" s="100">
        <v>5787.9920288314279</v>
      </c>
      <c r="BV91" s="100">
        <v>3.785374613178591</v>
      </c>
      <c r="BW91" s="100">
        <v>4301.6997104161501</v>
      </c>
      <c r="BX91" s="100">
        <v>5.6526503994646555</v>
      </c>
      <c r="BY91" s="100">
        <v>6423.6719139516335</v>
      </c>
      <c r="BZ91" s="100">
        <v>4.2759746626672577</v>
      </c>
      <c r="CA91" s="100">
        <v>4859.217606655071</v>
      </c>
      <c r="CB91" s="100">
        <v>3.4699401896012336</v>
      </c>
      <c r="CC91" s="100">
        <v>3943.2400314628412</v>
      </c>
      <c r="CD91" s="100">
        <v>2.7112151914475375</v>
      </c>
      <c r="CE91" s="100">
        <v>3081.0249435609812</v>
      </c>
      <c r="CF91" s="100">
        <v>5.7609984402983612</v>
      </c>
      <c r="CG91" s="100">
        <v>6546.7986275550566</v>
      </c>
      <c r="CH91" s="100">
        <v>0.74353292338058286</v>
      </c>
      <c r="CI91" s="100">
        <v>844.95081412969421</v>
      </c>
      <c r="CJ91" s="100">
        <v>6.2510606417639138</v>
      </c>
      <c r="CK91" s="100">
        <v>7103.7053133005111</v>
      </c>
      <c r="CL91" s="100">
        <v>6</v>
      </c>
      <c r="CM91" s="100">
        <v>6818.4</v>
      </c>
      <c r="CN91" s="100">
        <v>5.8254498649543374</v>
      </c>
      <c r="CO91" s="100">
        <v>6620.0412265341083</v>
      </c>
      <c r="CP91" s="100">
        <v>0.78187846171536335</v>
      </c>
      <c r="CQ91" s="100">
        <v>888.52668389333883</v>
      </c>
      <c r="CR91" s="100">
        <v>8.3096000099720051</v>
      </c>
      <c r="CS91" s="100">
        <v>9443.029451332186</v>
      </c>
      <c r="CT91" s="100">
        <v>1.6134764629123559</v>
      </c>
      <c r="CU91" s="100">
        <v>1833.554652453601</v>
      </c>
    </row>
    <row r="92" spans="2:99">
      <c r="C92" s="99" t="s">
        <v>258</v>
      </c>
      <c r="D92" s="100">
        <v>4.2979632538352348</v>
      </c>
      <c r="E92" s="100">
        <v>3373.0415616098921</v>
      </c>
      <c r="F92" s="100">
        <v>0.34830508412054645</v>
      </c>
      <c r="G92" s="100">
        <v>273.34983001780483</v>
      </c>
      <c r="H92" s="100">
        <v>3.8862780110668069</v>
      </c>
      <c r="I92" s="100">
        <v>3049.9509830852298</v>
      </c>
      <c r="J92" s="100">
        <v>4.4714944896164805</v>
      </c>
      <c r="K92" s="100">
        <v>3509.2288754510137</v>
      </c>
      <c r="L92" s="100">
        <v>4.6472573285163543</v>
      </c>
      <c r="M92" s="100">
        <v>3647.1675514196345</v>
      </c>
      <c r="N92" s="100">
        <v>6.7371559553065019</v>
      </c>
      <c r="O92" s="100">
        <v>5287.3199937245427</v>
      </c>
      <c r="P92" s="100">
        <v>4.6155665693474477</v>
      </c>
      <c r="Q92" s="100">
        <v>3622.2966436238767</v>
      </c>
      <c r="R92" s="100">
        <v>4.1904059267170872</v>
      </c>
      <c r="S92" s="100">
        <v>3288.6305712875696</v>
      </c>
      <c r="T92" s="100">
        <v>4.5095257768200305</v>
      </c>
      <c r="U92" s="100">
        <v>3539.0758296483596</v>
      </c>
      <c r="V92" s="100">
        <v>5.5495710835768298E-4</v>
      </c>
      <c r="W92" s="100">
        <v>0.43553033863910956</v>
      </c>
      <c r="X92" s="100">
        <v>5.9422194825478032</v>
      </c>
      <c r="Y92" s="100">
        <v>4663.4538499035152</v>
      </c>
      <c r="Z92" s="100">
        <v>5.1940508056205337</v>
      </c>
      <c r="AA92" s="100">
        <v>4076.2910722509946</v>
      </c>
      <c r="AB92" s="100">
        <v>4.4039069130310594E-4</v>
      </c>
      <c r="AC92" s="100">
        <v>0.34561861453467752</v>
      </c>
      <c r="AD92" s="100">
        <v>3.5568508935345129E-4</v>
      </c>
      <c r="AE92" s="100">
        <v>0.27914165812458858</v>
      </c>
      <c r="AF92" s="100">
        <v>5.8718639679968643</v>
      </c>
      <c r="AG92" s="100">
        <v>4608.2388420839388</v>
      </c>
      <c r="AH92" s="100">
        <v>3.4626959182242825</v>
      </c>
      <c r="AI92" s="100">
        <v>2717.5237566224168</v>
      </c>
      <c r="AJ92" s="100">
        <v>3.9853977921784698</v>
      </c>
      <c r="AK92" s="100">
        <v>3127.7401873016629</v>
      </c>
      <c r="AL92" s="100">
        <v>0.33745369845792295</v>
      </c>
      <c r="AM92" s="100">
        <v>264.8336625497779</v>
      </c>
      <c r="AN92" s="100">
        <v>6.2153120882048425</v>
      </c>
      <c r="AO92" s="100">
        <v>4877.7769268231605</v>
      </c>
      <c r="AP92" s="100">
        <v>1.962713188305621</v>
      </c>
      <c r="AQ92" s="100">
        <v>1540.3373101822513</v>
      </c>
      <c r="AR92" s="100">
        <v>8.5105304281008358</v>
      </c>
      <c r="AS92" s="100">
        <v>6679.0642799735351</v>
      </c>
      <c r="AT92" s="100">
        <v>1.8683040857561786</v>
      </c>
      <c r="AU92" s="100">
        <v>1466.2450465014488</v>
      </c>
      <c r="AV92" s="100">
        <v>9.7149348241378473</v>
      </c>
      <c r="AW92" s="100">
        <v>7624.2808499833818</v>
      </c>
      <c r="AX92" s="100">
        <v>4.2622979130995731</v>
      </c>
      <c r="AY92" s="100">
        <v>3345.0514022005445</v>
      </c>
      <c r="AZ92" s="100">
        <v>3.3986762623164211</v>
      </c>
      <c r="BA92" s="100">
        <v>2667.2811306659269</v>
      </c>
      <c r="BB92" s="100">
        <v>3.5105732352137857</v>
      </c>
      <c r="BC92" s="100">
        <v>2755.097874995779</v>
      </c>
      <c r="BD92" s="100">
        <v>3.7478227535928826E-4</v>
      </c>
      <c r="BE92" s="100">
        <v>0.29412912970196942</v>
      </c>
      <c r="BF92" s="100">
        <v>5.9965164057440914E-4</v>
      </c>
      <c r="BG92" s="100">
        <v>0.47060660752279626</v>
      </c>
      <c r="BH92" s="100">
        <v>5.5495710835768298E-4</v>
      </c>
      <c r="BI92" s="100">
        <v>0.43553033863910956</v>
      </c>
      <c r="BJ92" s="100">
        <v>4.2955814637301426E-4</v>
      </c>
      <c r="BK92" s="100">
        <v>0.33711723327354159</v>
      </c>
      <c r="BL92" s="100">
        <v>3.4338913038098444</v>
      </c>
      <c r="BM92" s="100">
        <v>2694.9178952299658</v>
      </c>
      <c r="BN92" s="100">
        <v>5.2770108242970712</v>
      </c>
      <c r="BO92" s="100">
        <v>4141.3980949083416</v>
      </c>
      <c r="BP92" s="100">
        <v>4.9613617466951805</v>
      </c>
      <c r="BQ92" s="100">
        <v>3893.6766988063773</v>
      </c>
      <c r="BR92" s="100">
        <v>6.1211382223663318</v>
      </c>
      <c r="BS92" s="100">
        <v>4803.8692769130967</v>
      </c>
      <c r="BT92" s="100">
        <v>5.0932700007316338</v>
      </c>
      <c r="BU92" s="100">
        <v>3997.1982965741859</v>
      </c>
      <c r="BV92" s="100">
        <v>3.785374613178591</v>
      </c>
      <c r="BW92" s="100">
        <v>2970.7619964225582</v>
      </c>
      <c r="BX92" s="100">
        <v>5.7699098942370481</v>
      </c>
      <c r="BY92" s="100">
        <v>4528.2252849972347</v>
      </c>
      <c r="BZ92" s="100">
        <v>3.7866965473189684</v>
      </c>
      <c r="CA92" s="100">
        <v>2971.7994503359264</v>
      </c>
      <c r="CB92" s="100">
        <v>3.4699401896012336</v>
      </c>
      <c r="CC92" s="100">
        <v>2723.2090607990481</v>
      </c>
      <c r="CD92" s="100">
        <v>3.288677818369981</v>
      </c>
      <c r="CE92" s="100">
        <v>2580.9543518567607</v>
      </c>
      <c r="CF92" s="100">
        <v>6.5067840620480046</v>
      </c>
      <c r="CG92" s="100">
        <v>5106.524131895274</v>
      </c>
      <c r="CH92" s="100">
        <v>0.74159231280081606</v>
      </c>
      <c r="CI92" s="100">
        <v>582.00164708608042</v>
      </c>
      <c r="CJ92" s="100">
        <v>7.2510606417639138</v>
      </c>
      <c r="CK92" s="100">
        <v>5690.6323916563197</v>
      </c>
      <c r="CL92" s="100">
        <v>6</v>
      </c>
      <c r="CM92" s="100">
        <v>4708.7999999999993</v>
      </c>
      <c r="CN92" s="100">
        <v>5.1681317400199118</v>
      </c>
      <c r="CO92" s="100">
        <v>4055.9497895676263</v>
      </c>
      <c r="CP92" s="100">
        <v>0.78286936125488182</v>
      </c>
      <c r="CQ92" s="100">
        <v>614.39587471283119</v>
      </c>
      <c r="CR92" s="100">
        <v>7.3096000099720042</v>
      </c>
      <c r="CS92" s="100">
        <v>5736.5740878260285</v>
      </c>
      <c r="CT92" s="100">
        <v>1.6011658921726226</v>
      </c>
      <c r="CU92" s="100">
        <v>1256.5949921770741</v>
      </c>
    </row>
    <row r="93" spans="2:99">
      <c r="C93" s="99" t="s">
        <v>259</v>
      </c>
      <c r="D93" s="100">
        <v>4.8739365321052892</v>
      </c>
      <c r="E93" s="100">
        <v>3380.5623786682286</v>
      </c>
      <c r="F93" s="100">
        <v>0.34903989873958802</v>
      </c>
      <c r="G93" s="100">
        <v>242.09407376577826</v>
      </c>
      <c r="H93" s="100">
        <v>4.5114286934067831</v>
      </c>
      <c r="I93" s="100">
        <v>3129.1269417469448</v>
      </c>
      <c r="J93" s="100">
        <v>4.4714944896164805</v>
      </c>
      <c r="K93" s="100">
        <v>3101.4285779979909</v>
      </c>
      <c r="L93" s="100">
        <v>5.4647101456801517</v>
      </c>
      <c r="M93" s="100">
        <v>3790.3229570437534</v>
      </c>
      <c r="N93" s="100">
        <v>6.0485983909525221</v>
      </c>
      <c r="O93" s="100">
        <v>4195.3078439646697</v>
      </c>
      <c r="P93" s="100">
        <v>4.6162699029628547</v>
      </c>
      <c r="Q93" s="100">
        <v>3201.8448046950361</v>
      </c>
      <c r="R93" s="100">
        <v>4.2950451167962402</v>
      </c>
      <c r="S93" s="100">
        <v>2979.0432930098723</v>
      </c>
      <c r="T93" s="100">
        <v>5.4078611225007585</v>
      </c>
      <c r="U93" s="100">
        <v>3750.8924745665263</v>
      </c>
      <c r="V93" s="100">
        <v>5.5495710835768298E-4</v>
      </c>
      <c r="W93" s="100">
        <v>0.38491825035688892</v>
      </c>
      <c r="X93" s="100">
        <v>5.9422194825478032</v>
      </c>
      <c r="Y93" s="100">
        <v>4121.5234330951562</v>
      </c>
      <c r="Z93" s="100">
        <v>5.1940508056205337</v>
      </c>
      <c r="AA93" s="100">
        <v>3602.5936387784022</v>
      </c>
      <c r="AB93" s="100">
        <v>5.2792471226996082E-4</v>
      </c>
      <c r="AC93" s="100">
        <v>0.36616858043044481</v>
      </c>
      <c r="AD93" s="100">
        <v>3.5568508935345129E-4</v>
      </c>
      <c r="AE93" s="100">
        <v>0.24670317797555383</v>
      </c>
      <c r="AF93" s="100">
        <v>6.7106837406970872</v>
      </c>
      <c r="AG93" s="100">
        <v>4654.5302425475002</v>
      </c>
      <c r="AH93" s="100">
        <v>3.5869186602793182</v>
      </c>
      <c r="AI93" s="100">
        <v>2487.886782769735</v>
      </c>
      <c r="AJ93" s="100">
        <v>3.9828342767705256</v>
      </c>
      <c r="AK93" s="100">
        <v>2762.4938543680369</v>
      </c>
      <c r="AL93" s="100">
        <v>0.33745369845792295</v>
      </c>
      <c r="AM93" s="100">
        <v>234.05788525041535</v>
      </c>
      <c r="AN93" s="100">
        <v>6.2153120882048425</v>
      </c>
      <c r="AO93" s="100">
        <v>4310.9404643788785</v>
      </c>
      <c r="AP93" s="100">
        <v>1.9552324655023308</v>
      </c>
      <c r="AQ93" s="100">
        <v>1356.1492380724167</v>
      </c>
      <c r="AR93" s="100">
        <v>7.5105304281008349</v>
      </c>
      <c r="AS93" s="100">
        <v>5209.303904930739</v>
      </c>
      <c r="AT93" s="100">
        <v>1.9371967312838725</v>
      </c>
      <c r="AU93" s="100">
        <v>1343.6396528184939</v>
      </c>
      <c r="AV93" s="100">
        <v>8.7149348241378473</v>
      </c>
      <c r="AW93" s="100">
        <v>6044.6787940220111</v>
      </c>
      <c r="AX93" s="100">
        <v>3.5519149275829771</v>
      </c>
      <c r="AY93" s="100">
        <v>2463.608193771553</v>
      </c>
      <c r="AZ93" s="100">
        <v>3.3986762623164211</v>
      </c>
      <c r="BA93" s="100">
        <v>2357.3218555426697</v>
      </c>
      <c r="BB93" s="100">
        <v>3.426300845607209</v>
      </c>
      <c r="BC93" s="100">
        <v>2376.4822665131601</v>
      </c>
      <c r="BD93" s="100">
        <v>3.7478227535928826E-4</v>
      </c>
      <c r="BE93" s="100">
        <v>0.25994898618920237</v>
      </c>
      <c r="BF93" s="100">
        <v>5.24695185502608E-4</v>
      </c>
      <c r="BG93" s="100">
        <v>0.36392858066460892</v>
      </c>
      <c r="BH93" s="100">
        <v>6.2432674690239337E-4</v>
      </c>
      <c r="BI93" s="100">
        <v>0.43303303165150003</v>
      </c>
      <c r="BJ93" s="100">
        <v>3.6819269689115507E-4</v>
      </c>
      <c r="BK93" s="100">
        <v>0.25537845456370517</v>
      </c>
      <c r="BL93" s="100">
        <v>3.4338913038098444</v>
      </c>
      <c r="BM93" s="100">
        <v>2381.747008322508</v>
      </c>
      <c r="BN93" s="100">
        <v>4.6504097560759909</v>
      </c>
      <c r="BO93" s="100">
        <v>3225.5242068143075</v>
      </c>
      <c r="BP93" s="100">
        <v>4.9613617466951805</v>
      </c>
      <c r="BQ93" s="100">
        <v>3441.2005075077773</v>
      </c>
      <c r="BR93" s="100">
        <v>7.0292584682539054</v>
      </c>
      <c r="BS93" s="100">
        <v>4875.4936735809088</v>
      </c>
      <c r="BT93" s="100">
        <v>5.0932700007316338</v>
      </c>
      <c r="BU93" s="100">
        <v>3532.6920725074615</v>
      </c>
      <c r="BV93" s="100">
        <v>3.6812115090961375</v>
      </c>
      <c r="BW93" s="100">
        <v>2553.2883027090811</v>
      </c>
      <c r="BX93" s="100">
        <v>4.9288856958071277</v>
      </c>
      <c r="BY93" s="100">
        <v>3418.675118611824</v>
      </c>
      <c r="BZ93" s="100">
        <v>4.2759746626672577</v>
      </c>
      <c r="CA93" s="100">
        <v>2965.8160260260101</v>
      </c>
      <c r="CB93" s="100">
        <v>3.5737174083970302</v>
      </c>
      <c r="CC93" s="100">
        <v>2478.7303944641803</v>
      </c>
      <c r="CD93" s="100">
        <v>3.3243019027271794</v>
      </c>
      <c r="CE93" s="100">
        <v>2305.7357997315717</v>
      </c>
      <c r="CF93" s="100">
        <v>6.5088953866107042</v>
      </c>
      <c r="CG93" s="100">
        <v>4514.5698401531845</v>
      </c>
      <c r="CH93" s="100">
        <v>0.82968240177397146</v>
      </c>
      <c r="CI93" s="100">
        <v>575.46771387042656</v>
      </c>
      <c r="CJ93" s="100">
        <v>7.3138258022048923</v>
      </c>
      <c r="CK93" s="100">
        <v>5072.8695764093136</v>
      </c>
      <c r="CL93" s="100">
        <v>6</v>
      </c>
      <c r="CM93" s="100">
        <v>4161.6000000000004</v>
      </c>
      <c r="CN93" s="100">
        <v>5.1907350548837847</v>
      </c>
      <c r="CO93" s="100">
        <v>3600.2938340673932</v>
      </c>
      <c r="CP93" s="100">
        <v>0.78187846171536335</v>
      </c>
      <c r="CQ93" s="100">
        <v>542.31090104577606</v>
      </c>
      <c r="CR93" s="100">
        <v>7.3612000116340051</v>
      </c>
      <c r="CS93" s="100">
        <v>5105.7283280693464</v>
      </c>
      <c r="CT93" s="100">
        <v>1.6134764629123559</v>
      </c>
      <c r="CU93" s="100">
        <v>1119.1072746760101</v>
      </c>
    </row>
    <row r="94" spans="2:99">
      <c r="C94" s="99" t="s">
        <v>260</v>
      </c>
      <c r="D94" s="100">
        <v>4.8739365321052892</v>
      </c>
      <c r="E94" s="100">
        <v>5813.6314954951886</v>
      </c>
      <c r="F94" s="100">
        <v>0.29086658228299006</v>
      </c>
      <c r="G94" s="100">
        <v>346.94565934715052</v>
      </c>
      <c r="H94" s="100">
        <v>3.8641734826340084</v>
      </c>
      <c r="I94" s="100">
        <v>4609.1861300858454</v>
      </c>
      <c r="J94" s="100">
        <v>4.4714944896164805</v>
      </c>
      <c r="K94" s="100">
        <v>5333.5986272145374</v>
      </c>
      <c r="L94" s="100">
        <v>4.6472573285163543</v>
      </c>
      <c r="M94" s="100">
        <v>5543.2485414543071</v>
      </c>
      <c r="N94" s="100">
        <v>5.3600408265985413</v>
      </c>
      <c r="O94" s="100">
        <v>6393.4566979667397</v>
      </c>
      <c r="P94" s="100">
        <v>4.6162699029628547</v>
      </c>
      <c r="Q94" s="100">
        <v>5506.2867402540933</v>
      </c>
      <c r="R94" s="100">
        <v>4.1904059267170872</v>
      </c>
      <c r="S94" s="100">
        <v>4998.3161893881415</v>
      </c>
      <c r="T94" s="100">
        <v>4.6372582527521979</v>
      </c>
      <c r="U94" s="100">
        <v>5531.3216438828213</v>
      </c>
      <c r="V94" s="100">
        <v>4.8558746981297259E-4</v>
      </c>
      <c r="W94" s="100">
        <v>0.57920873399291373</v>
      </c>
      <c r="X94" s="100">
        <v>5.1994555399758706</v>
      </c>
      <c r="Y94" s="100">
        <v>6201.9105680832181</v>
      </c>
      <c r="Z94" s="100">
        <v>5.0622628074645837</v>
      </c>
      <c r="AA94" s="100">
        <v>6038.2670767437548</v>
      </c>
      <c r="AB94" s="100">
        <v>4.4066274994998902E-4</v>
      </c>
      <c r="AC94" s="100">
        <v>0.52562252814034693</v>
      </c>
      <c r="AD94" s="100">
        <v>3.5568508935345129E-4</v>
      </c>
      <c r="AE94" s="100">
        <v>0.42426117458079671</v>
      </c>
      <c r="AF94" s="100">
        <v>5.8718331512923871</v>
      </c>
      <c r="AG94" s="100">
        <v>7003.922582861559</v>
      </c>
      <c r="AH94" s="100">
        <v>3.4670109885577554</v>
      </c>
      <c r="AI94" s="100">
        <v>4135.45070715169</v>
      </c>
      <c r="AJ94" s="100">
        <v>3.5086416070373905</v>
      </c>
      <c r="AK94" s="100">
        <v>4185.1077088741995</v>
      </c>
      <c r="AL94" s="100">
        <v>0.38515513593655221</v>
      </c>
      <c r="AM94" s="100">
        <v>459.41304614511944</v>
      </c>
      <c r="AN94" s="100">
        <v>5.2153120882048425</v>
      </c>
      <c r="AO94" s="100">
        <v>6220.824258810736</v>
      </c>
      <c r="AP94" s="100">
        <v>1.962713188305621</v>
      </c>
      <c r="AQ94" s="100">
        <v>2341.1242910109445</v>
      </c>
      <c r="AR94" s="100">
        <v>8.5105304281008358</v>
      </c>
      <c r="AS94" s="100">
        <v>10151.360694638677</v>
      </c>
      <c r="AT94" s="100">
        <v>1.9371967312838725</v>
      </c>
      <c r="AU94" s="100">
        <v>2310.6882610754028</v>
      </c>
      <c r="AV94" s="100">
        <v>7.7149348241378473</v>
      </c>
      <c r="AW94" s="100">
        <v>9202.3742582316245</v>
      </c>
      <c r="AX94" s="100">
        <v>3.5519149275829771</v>
      </c>
      <c r="AY94" s="100">
        <v>4236.7241256209745</v>
      </c>
      <c r="AZ94" s="100">
        <v>3.3986762623164211</v>
      </c>
      <c r="BA94" s="100">
        <v>4053.9410456910268</v>
      </c>
      <c r="BB94" s="100">
        <v>3.426300845607209</v>
      </c>
      <c r="BC94" s="100">
        <v>4086.8916486402786</v>
      </c>
      <c r="BD94" s="100">
        <v>2.9982582028743063E-4</v>
      </c>
      <c r="BE94" s="100">
        <v>0.35763223843884723</v>
      </c>
      <c r="BF94" s="100">
        <v>5.9965164057440914E-4</v>
      </c>
      <c r="BG94" s="100">
        <v>0.71526447687715522</v>
      </c>
      <c r="BH94" s="100">
        <v>6.2432674690239337E-4</v>
      </c>
      <c r="BI94" s="100">
        <v>0.74469694370517481</v>
      </c>
      <c r="BJ94" s="100">
        <v>4.2955814637301426E-4</v>
      </c>
      <c r="BK94" s="100">
        <v>0.51237695699373142</v>
      </c>
      <c r="BL94" s="100">
        <v>3.4338913038098444</v>
      </c>
      <c r="BM94" s="100">
        <v>4095.9455471843821</v>
      </c>
      <c r="BN94" s="100">
        <v>4.7467175030509088</v>
      </c>
      <c r="BO94" s="100">
        <v>5661.8846376391239</v>
      </c>
      <c r="BP94" s="100">
        <v>4.8643185627503538</v>
      </c>
      <c r="BQ94" s="100">
        <v>5802.1591816486216</v>
      </c>
      <c r="BR94" s="100">
        <v>7.0292584682539054</v>
      </c>
      <c r="BS94" s="100">
        <v>8384.4995009332579</v>
      </c>
      <c r="BT94" s="100">
        <v>5.0932700007316338</v>
      </c>
      <c r="BU94" s="100">
        <v>6075.2524568726922</v>
      </c>
      <c r="BV94" s="100">
        <v>3.785374613178591</v>
      </c>
      <c r="BW94" s="100">
        <v>4515.1948385994228</v>
      </c>
      <c r="BX94" s="100">
        <v>5.6526503994646555</v>
      </c>
      <c r="BY94" s="100">
        <v>6742.4813964814412</v>
      </c>
      <c r="BZ94" s="100">
        <v>3.6835960880437741</v>
      </c>
      <c r="CA94" s="100">
        <v>4393.7934138186138</v>
      </c>
      <c r="CB94" s="100">
        <v>3.4669988649051597</v>
      </c>
      <c r="CC94" s="100">
        <v>4135.4362460588745</v>
      </c>
      <c r="CD94" s="100">
        <v>3.288677818369981</v>
      </c>
      <c r="CE94" s="100">
        <v>3922.7349017517131</v>
      </c>
      <c r="CF94" s="100">
        <v>5.7609984402983612</v>
      </c>
      <c r="CG94" s="100">
        <v>6871.718939587885</v>
      </c>
      <c r="CH94" s="100">
        <v>0.74159231280081606</v>
      </c>
      <c r="CI94" s="100">
        <v>884.57131070881337</v>
      </c>
      <c r="CJ94" s="100">
        <v>6.3138258022048923</v>
      </c>
      <c r="CK94" s="100">
        <v>7531.1314168699955</v>
      </c>
      <c r="CL94" s="100">
        <v>6</v>
      </c>
      <c r="CM94" s="100">
        <v>7156.7999999999993</v>
      </c>
      <c r="CN94" s="100">
        <v>5.1681317400199118</v>
      </c>
      <c r="CO94" s="100">
        <v>6164.5475394957502</v>
      </c>
      <c r="CP94" s="100">
        <v>0.78187846171536335</v>
      </c>
      <c r="CQ94" s="100">
        <v>932.62462913408535</v>
      </c>
      <c r="CR94" s="100">
        <v>7.3096000099720042</v>
      </c>
      <c r="CS94" s="100">
        <v>8718.8908918946072</v>
      </c>
      <c r="CT94" s="100">
        <v>1.6011658921726226</v>
      </c>
      <c r="CU94" s="100">
        <v>1909.8706761835042</v>
      </c>
    </row>
    <row r="95" spans="2:99">
      <c r="B95" s="99" t="s">
        <v>132</v>
      </c>
      <c r="C95" s="99" t="s">
        <v>261</v>
      </c>
      <c r="D95" s="100">
        <v>7.0453760717827514</v>
      </c>
      <c r="E95" s="100">
        <v>2316.519652402169</v>
      </c>
      <c r="F95" s="100">
        <v>0.64064129564161976</v>
      </c>
      <c r="G95" s="100">
        <v>210.64285800696459</v>
      </c>
      <c r="H95" s="100">
        <v>7.0332203690561013</v>
      </c>
      <c r="I95" s="100">
        <v>2312.5228573456461</v>
      </c>
      <c r="J95" s="100">
        <v>7.0176264097265735</v>
      </c>
      <c r="K95" s="100">
        <v>2307.3955635180973</v>
      </c>
      <c r="L95" s="100">
        <v>7.1221528268900034</v>
      </c>
      <c r="M95" s="100">
        <v>2341.7638494814332</v>
      </c>
      <c r="N95" s="100">
        <v>6.2646535414007936</v>
      </c>
      <c r="O95" s="100">
        <v>2059.8180844125809</v>
      </c>
      <c r="P95" s="100">
        <v>6.7319248063340549</v>
      </c>
      <c r="Q95" s="100">
        <v>2213.4568763226375</v>
      </c>
      <c r="R95" s="100">
        <v>7.655952960465493</v>
      </c>
      <c r="S95" s="100">
        <v>2517.277333401054</v>
      </c>
      <c r="T95" s="100">
        <v>7.1866827654458261</v>
      </c>
      <c r="U95" s="100">
        <v>2362.9812932785876</v>
      </c>
      <c r="V95" s="100">
        <v>5.5495710835768298E-4</v>
      </c>
      <c r="W95" s="100">
        <v>0.18246989722800616</v>
      </c>
      <c r="X95" s="100">
        <v>6.685101555547134</v>
      </c>
      <c r="Y95" s="100">
        <v>2198.061391463898</v>
      </c>
      <c r="Z95" s="100">
        <v>6.608842598873748</v>
      </c>
      <c r="AA95" s="100">
        <v>2172.9874465096887</v>
      </c>
      <c r="AB95" s="100">
        <v>6.1518667458993262E-4</v>
      </c>
      <c r="AC95" s="100">
        <v>0.20227337860516986</v>
      </c>
      <c r="AD95" s="100">
        <v>7.1137017870690259E-4</v>
      </c>
      <c r="AE95" s="100">
        <v>0.23389851475882958</v>
      </c>
      <c r="AF95" s="100">
        <v>5.8720666953563336</v>
      </c>
      <c r="AG95" s="100">
        <v>1930.7355294331626</v>
      </c>
      <c r="AH95" s="100">
        <v>7.4144755638776694</v>
      </c>
      <c r="AI95" s="100">
        <v>2437.8795654029777</v>
      </c>
      <c r="AJ95" s="100">
        <v>6.803674262840798</v>
      </c>
      <c r="AK95" s="100">
        <v>2237.0480976220547</v>
      </c>
      <c r="AL95" s="100">
        <v>0.62779656545513629</v>
      </c>
      <c r="AM95" s="100">
        <v>206.41951072164881</v>
      </c>
      <c r="AN95" s="100">
        <v>12.215312088204842</v>
      </c>
      <c r="AO95" s="100">
        <v>4016.394614601752</v>
      </c>
      <c r="AP95" s="100">
        <v>2.3879351608532362</v>
      </c>
      <c r="AQ95" s="100">
        <v>785.15308088854408</v>
      </c>
      <c r="AR95" s="100">
        <v>9.2252730274420038</v>
      </c>
      <c r="AS95" s="100">
        <v>3033.2697714229312</v>
      </c>
      <c r="AT95" s="100">
        <v>2.7723448050860813</v>
      </c>
      <c r="AU95" s="100">
        <v>911.54697191230355</v>
      </c>
      <c r="AV95" s="100">
        <v>10.857921788965417</v>
      </c>
      <c r="AW95" s="100">
        <v>3570.084684211829</v>
      </c>
      <c r="AX95" s="100">
        <v>9.2349788117157399</v>
      </c>
      <c r="AY95" s="100">
        <v>3036.4610332921352</v>
      </c>
      <c r="AZ95" s="100">
        <v>7.6470215902119474</v>
      </c>
      <c r="BA95" s="100">
        <v>2514.3406988616885</v>
      </c>
      <c r="BB95" s="100">
        <v>7.200772301909554</v>
      </c>
      <c r="BC95" s="100">
        <v>2367.6139328678614</v>
      </c>
      <c r="BD95" s="100">
        <v>6.7460809564671889E-4</v>
      </c>
      <c r="BE95" s="100">
        <v>0.22181114184864117</v>
      </c>
      <c r="BF95" s="100">
        <v>5.24695185502608E-4</v>
      </c>
      <c r="BG95" s="100">
        <v>0.17251977699325752</v>
      </c>
      <c r="BH95" s="100">
        <v>4.8558746981297259E-4</v>
      </c>
      <c r="BI95" s="100">
        <v>0.1596611600745054</v>
      </c>
      <c r="BJ95" s="100">
        <v>6.1365449481859174E-4</v>
      </c>
      <c r="BK95" s="100">
        <v>0.20176959789635296</v>
      </c>
      <c r="BL95" s="100">
        <v>7.5544726736385384</v>
      </c>
      <c r="BM95" s="100">
        <v>2483.9106150923517</v>
      </c>
      <c r="BN95" s="100">
        <v>6.9200103882803043</v>
      </c>
      <c r="BO95" s="100">
        <v>2275.2994156665641</v>
      </c>
      <c r="BP95" s="100">
        <v>7.125132351533459</v>
      </c>
      <c r="BQ95" s="100">
        <v>2342.7435171842012</v>
      </c>
      <c r="BR95" s="100">
        <v>5.5665732247487938</v>
      </c>
      <c r="BS95" s="100">
        <v>1830.2892762974034</v>
      </c>
      <c r="BT95" s="100">
        <v>6.4516489046629673</v>
      </c>
      <c r="BU95" s="100">
        <v>2121.3021598531836</v>
      </c>
      <c r="BV95" s="100">
        <v>8.0641006516205742</v>
      </c>
      <c r="BW95" s="100">
        <v>2651.476294252845</v>
      </c>
      <c r="BX95" s="100">
        <v>6.0124460511922972</v>
      </c>
      <c r="BY95" s="100">
        <v>1976.8922616320274</v>
      </c>
      <c r="BZ95" s="100">
        <v>7.4440684543350617</v>
      </c>
      <c r="CA95" s="100">
        <v>2447.6097077853683</v>
      </c>
      <c r="CB95" s="100">
        <v>9.0486272536149901</v>
      </c>
      <c r="CC95" s="100">
        <v>2975.1886409886088</v>
      </c>
      <c r="CD95" s="100">
        <v>7.8326220615242903</v>
      </c>
      <c r="CE95" s="100">
        <v>2575.3661338291868</v>
      </c>
      <c r="CF95" s="100">
        <v>6.5126299846190889</v>
      </c>
      <c r="CG95" s="100">
        <v>2141.3527389427563</v>
      </c>
      <c r="CH95" s="100">
        <v>1.1017151110125054</v>
      </c>
      <c r="CI95" s="100">
        <v>362.24392850091181</v>
      </c>
      <c r="CJ95" s="100">
        <v>11.564886443968806</v>
      </c>
      <c r="CK95" s="100">
        <v>3802.5346627769436</v>
      </c>
      <c r="CL95" s="100">
        <v>7</v>
      </c>
      <c r="CM95" s="100">
        <v>2301.6</v>
      </c>
      <c r="CN95" s="100">
        <v>7.1174827999593164</v>
      </c>
      <c r="CO95" s="100">
        <v>2340.2283446266233</v>
      </c>
      <c r="CP95" s="100">
        <v>1.093063552601748</v>
      </c>
      <c r="CQ95" s="100">
        <v>359.39929609545476</v>
      </c>
      <c r="CR95" s="100">
        <v>11.516000016620007</v>
      </c>
      <c r="CS95" s="100">
        <v>3786.4608054646583</v>
      </c>
      <c r="CT95" s="100">
        <v>2.0035751016730106</v>
      </c>
      <c r="CU95" s="100">
        <v>658.77549343008593</v>
      </c>
    </row>
    <row r="96" spans="2:99">
      <c r="C96" s="99" t="s">
        <v>262</v>
      </c>
      <c r="D96" s="100">
        <v>6.5581124356749685</v>
      </c>
      <c r="E96" s="100">
        <v>4556.5765203069677</v>
      </c>
      <c r="F96" s="100">
        <v>0.52502947734746541</v>
      </c>
      <c r="G96" s="100">
        <v>364.79048086101892</v>
      </c>
      <c r="H96" s="100">
        <v>7.011573631694997</v>
      </c>
      <c r="I96" s="100">
        <v>4871.6413593016832</v>
      </c>
      <c r="J96" s="100">
        <v>7.6441622106046649</v>
      </c>
      <c r="K96" s="100">
        <v>5311.1639039281208</v>
      </c>
      <c r="L96" s="100">
        <v>6.98215451621566</v>
      </c>
      <c r="M96" s="100">
        <v>4851.2009578666402</v>
      </c>
      <c r="N96" s="100">
        <v>6.2646535414007936</v>
      </c>
      <c r="O96" s="100">
        <v>4352.6812805652708</v>
      </c>
      <c r="P96" s="100">
        <v>6.0752857669120779</v>
      </c>
      <c r="Q96" s="100">
        <v>4221.1085508505112</v>
      </c>
      <c r="R96" s="100">
        <v>7.655952960465493</v>
      </c>
      <c r="S96" s="100">
        <v>5319.3561169314244</v>
      </c>
      <c r="T96" s="100">
        <v>6.4186297597567501</v>
      </c>
      <c r="U96" s="100">
        <v>4459.6639570789894</v>
      </c>
      <c r="V96" s="100">
        <v>6.2432674690239337E-4</v>
      </c>
      <c r="W96" s="100">
        <v>0.43378222374778286</v>
      </c>
      <c r="X96" s="100">
        <v>6.6851273477495292</v>
      </c>
      <c r="Y96" s="100">
        <v>4644.8264812163725</v>
      </c>
      <c r="Z96" s="100">
        <v>5.8529907964002845</v>
      </c>
      <c r="AA96" s="100">
        <v>4066.6580053389175</v>
      </c>
      <c r="AB96" s="100">
        <v>5.2710853632931146E-4</v>
      </c>
      <c r="AC96" s="100">
        <v>0.36623501104160555</v>
      </c>
      <c r="AD96" s="100">
        <v>7.1137017870690259E-4</v>
      </c>
      <c r="AE96" s="100">
        <v>0.49426000016555588</v>
      </c>
      <c r="AF96" s="100">
        <v>5.8720312940970762</v>
      </c>
      <c r="AG96" s="100">
        <v>4079.8873431386482</v>
      </c>
      <c r="AH96" s="100">
        <v>6.8390904297791106</v>
      </c>
      <c r="AI96" s="100">
        <v>4751.8000306105259</v>
      </c>
      <c r="AJ96" s="100">
        <v>6.904069949937929</v>
      </c>
      <c r="AK96" s="100">
        <v>4796.9478012168729</v>
      </c>
      <c r="AL96" s="100">
        <v>0.58009512797650697</v>
      </c>
      <c r="AM96" s="100">
        <v>403.05009491807704</v>
      </c>
      <c r="AN96" s="100">
        <v>11.215312088204842</v>
      </c>
      <c r="AO96" s="100">
        <v>7792.3988388847238</v>
      </c>
      <c r="AP96" s="100">
        <v>1.9851553567154918</v>
      </c>
      <c r="AQ96" s="100">
        <v>1379.2859418459236</v>
      </c>
      <c r="AR96" s="100">
        <v>8.123166941821836</v>
      </c>
      <c r="AS96" s="100">
        <v>5643.9763911778109</v>
      </c>
      <c r="AT96" s="100">
        <v>2.7838269126740305</v>
      </c>
      <c r="AU96" s="100">
        <v>1934.2029389259162</v>
      </c>
      <c r="AV96" s="100">
        <v>11.857921788965417</v>
      </c>
      <c r="AW96" s="100">
        <v>8238.8840589731717</v>
      </c>
      <c r="AX96" s="100">
        <v>9.2349788117157399</v>
      </c>
      <c r="AY96" s="100">
        <v>6416.4632783800953</v>
      </c>
      <c r="AZ96" s="100">
        <v>7.6470215902119474</v>
      </c>
      <c r="BA96" s="100">
        <v>5313.1506008792603</v>
      </c>
      <c r="BB96" s="100">
        <v>7.7174876918178441</v>
      </c>
      <c r="BC96" s="100">
        <v>5362.1104482750379</v>
      </c>
      <c r="BD96" s="100">
        <v>5.9965164057486126E-4</v>
      </c>
      <c r="BE96" s="100">
        <v>0.41663795987141355</v>
      </c>
      <c r="BF96" s="100">
        <v>5.24695185502608E-4</v>
      </c>
      <c r="BG96" s="100">
        <v>0.36455821488721202</v>
      </c>
      <c r="BH96" s="100">
        <v>4.8558746981297259E-4</v>
      </c>
      <c r="BI96" s="100">
        <v>0.33738617402605331</v>
      </c>
      <c r="BJ96" s="100">
        <v>6.7501994430045089E-4</v>
      </c>
      <c r="BK96" s="100">
        <v>0.46900385729995325</v>
      </c>
      <c r="BL96" s="100">
        <v>7.5545047875041895</v>
      </c>
      <c r="BM96" s="100">
        <v>5248.8699263579101</v>
      </c>
      <c r="BN96" s="100">
        <v>6.7985872232776634</v>
      </c>
      <c r="BO96" s="100">
        <v>4723.6584027333201</v>
      </c>
      <c r="BP96" s="100">
        <v>7.7816937638496677</v>
      </c>
      <c r="BQ96" s="100">
        <v>5406.7208271227491</v>
      </c>
      <c r="BR96" s="100">
        <v>5.4487214753254483</v>
      </c>
      <c r="BS96" s="100">
        <v>3785.771681056121</v>
      </c>
      <c r="BT96" s="100">
        <v>7.4478982212332658</v>
      </c>
      <c r="BU96" s="100">
        <v>5174.7996841128725</v>
      </c>
      <c r="BV96" s="100">
        <v>8.0641006516205742</v>
      </c>
      <c r="BW96" s="100">
        <v>5602.9371327459748</v>
      </c>
      <c r="BX96" s="100">
        <v>6.0115552548133557</v>
      </c>
      <c r="BY96" s="100">
        <v>4176.8285910443192</v>
      </c>
      <c r="BZ96" s="100">
        <v>8.0364470289585466</v>
      </c>
      <c r="CA96" s="100">
        <v>5583.723395720398</v>
      </c>
      <c r="CB96" s="100">
        <v>7.8135867282984055</v>
      </c>
      <c r="CC96" s="100">
        <v>5428.8800588217318</v>
      </c>
      <c r="CD96" s="100">
        <v>8.5104258593861761</v>
      </c>
      <c r="CE96" s="100">
        <v>5913.0438871015149</v>
      </c>
      <c r="CF96" s="100">
        <v>6.3848948485758177</v>
      </c>
      <c r="CG96" s="100">
        <v>4436.2249407904783</v>
      </c>
      <c r="CH96" s="100">
        <v>1.1898051999856609</v>
      </c>
      <c r="CI96" s="100">
        <v>826.67665295003712</v>
      </c>
      <c r="CJ96" s="100">
        <v>11.502121283527828</v>
      </c>
      <c r="CK96" s="100">
        <v>7991.6738677951344</v>
      </c>
      <c r="CL96" s="100">
        <v>6</v>
      </c>
      <c r="CM96" s="100">
        <v>4168.7999999999993</v>
      </c>
      <c r="CN96" s="100">
        <v>7.1174827999593164</v>
      </c>
      <c r="CO96" s="100">
        <v>4945.2270494117329</v>
      </c>
      <c r="CP96" s="100">
        <v>1.0823088254109341</v>
      </c>
      <c r="CQ96" s="100">
        <v>751.98817189551698</v>
      </c>
      <c r="CR96" s="100">
        <v>10.516000016620007</v>
      </c>
      <c r="CS96" s="100">
        <v>7306.5168115475799</v>
      </c>
      <c r="CT96" s="100">
        <v>2.0035751016730106</v>
      </c>
      <c r="CU96" s="100">
        <v>1392.0839806424076</v>
      </c>
    </row>
    <row r="97" spans="2:99">
      <c r="C97" s="99" t="s">
        <v>263</v>
      </c>
      <c r="D97" s="100">
        <v>7.7100589922150782</v>
      </c>
      <c r="E97" s="100">
        <v>3025.4271485451964</v>
      </c>
      <c r="F97" s="100">
        <v>0.64137611026066133</v>
      </c>
      <c r="G97" s="100">
        <v>251.67598566628348</v>
      </c>
      <c r="H97" s="100">
        <v>6.4076118956444317</v>
      </c>
      <c r="I97" s="100">
        <v>2514.3469078508747</v>
      </c>
      <c r="J97" s="100">
        <v>6.8984640123555163</v>
      </c>
      <c r="K97" s="100">
        <v>2706.9572784483044</v>
      </c>
      <c r="L97" s="100">
        <v>6.1647016990518635</v>
      </c>
      <c r="M97" s="100">
        <v>2419.028946707951</v>
      </c>
      <c r="N97" s="100">
        <v>6.9532111057547734</v>
      </c>
      <c r="O97" s="100">
        <v>2728.4400378981727</v>
      </c>
      <c r="P97" s="100">
        <v>6.8614342753961539</v>
      </c>
      <c r="Q97" s="100">
        <v>2692.4268096654505</v>
      </c>
      <c r="R97" s="100">
        <v>7.1514715740173438</v>
      </c>
      <c r="S97" s="100">
        <v>2806.2374456444054</v>
      </c>
      <c r="T97" s="100">
        <v>7.1866827654458261</v>
      </c>
      <c r="U97" s="100">
        <v>2820.054317160942</v>
      </c>
      <c r="V97" s="100">
        <v>5.5495710835768298E-4</v>
      </c>
      <c r="W97" s="100">
        <v>0.21776516931955478</v>
      </c>
      <c r="X97" s="100">
        <v>5.9423634051775975</v>
      </c>
      <c r="Y97" s="100">
        <v>2331.783400191689</v>
      </c>
      <c r="Z97" s="100">
        <v>5.9847787945562354</v>
      </c>
      <c r="AA97" s="100">
        <v>2348.4271989838667</v>
      </c>
      <c r="AB97" s="100">
        <v>6.1491461594304943E-4</v>
      </c>
      <c r="AC97" s="100">
        <v>0.24129249529605259</v>
      </c>
      <c r="AD97" s="100">
        <v>6.4023316083621233E-4</v>
      </c>
      <c r="AE97" s="100">
        <v>0.25122749231212971</v>
      </c>
      <c r="AF97" s="100">
        <v>5.8720312940970762</v>
      </c>
      <c r="AG97" s="100">
        <v>2304.1850798036926</v>
      </c>
      <c r="AH97" s="100">
        <v>8.2383061820862995</v>
      </c>
      <c r="AI97" s="100">
        <v>3232.7113458506637</v>
      </c>
      <c r="AJ97" s="100">
        <v>7.5841810246812136</v>
      </c>
      <c r="AK97" s="100">
        <v>2976.0326340849078</v>
      </c>
      <c r="AL97" s="100">
        <v>0.58068573399442669</v>
      </c>
      <c r="AM97" s="100">
        <v>227.86108201941303</v>
      </c>
      <c r="AN97" s="100">
        <v>11.215312088204842</v>
      </c>
      <c r="AO97" s="100">
        <v>4400.8884634115793</v>
      </c>
      <c r="AP97" s="100">
        <v>2.2239488728008152</v>
      </c>
      <c r="AQ97" s="100">
        <v>872.67753768703983</v>
      </c>
      <c r="AR97" s="100">
        <v>9.123166941821836</v>
      </c>
      <c r="AS97" s="100">
        <v>3579.9307079708883</v>
      </c>
      <c r="AT97" s="100">
        <v>2.9359064204739949</v>
      </c>
      <c r="AU97" s="100">
        <v>1152.0496793939956</v>
      </c>
      <c r="AV97" s="100">
        <v>11.857921788965417</v>
      </c>
      <c r="AW97" s="100">
        <v>4653.0485099900288</v>
      </c>
      <c r="AX97" s="100">
        <v>8.5245958261991461</v>
      </c>
      <c r="AY97" s="100">
        <v>3345.0514022005445</v>
      </c>
      <c r="AZ97" s="100">
        <v>7.6470215902119474</v>
      </c>
      <c r="BA97" s="100">
        <v>3000.6912719991678</v>
      </c>
      <c r="BB97" s="100">
        <v>7.1164999123029782</v>
      </c>
      <c r="BC97" s="100">
        <v>2792.5145655876886</v>
      </c>
      <c r="BD97" s="100">
        <v>7.4956455071857652E-4</v>
      </c>
      <c r="BE97" s="100">
        <v>0.29412912970196942</v>
      </c>
      <c r="BF97" s="100">
        <v>5.24695185502608E-4</v>
      </c>
      <c r="BG97" s="100">
        <v>0.20589039079122337</v>
      </c>
      <c r="BH97" s="100">
        <v>5.5495710835768298E-4</v>
      </c>
      <c r="BI97" s="100">
        <v>0.21776516931955478</v>
      </c>
      <c r="BJ97" s="100">
        <v>6.1365449481859174E-4</v>
      </c>
      <c r="BK97" s="100">
        <v>0.24079802376681539</v>
      </c>
      <c r="BL97" s="100">
        <v>7.5545050655817221</v>
      </c>
      <c r="BM97" s="100">
        <v>2964.3877877342675</v>
      </c>
      <c r="BN97" s="100">
        <v>6.8237026413053883</v>
      </c>
      <c r="BO97" s="100">
        <v>2677.6209164482343</v>
      </c>
      <c r="BP97" s="100">
        <v>7.6846505799048401</v>
      </c>
      <c r="BQ97" s="100">
        <v>3015.4568875546593</v>
      </c>
      <c r="BR97" s="100">
        <v>6.3568417212130219</v>
      </c>
      <c r="BS97" s="100">
        <v>2494.4246914039895</v>
      </c>
      <c r="BT97" s="100">
        <v>6.5821729824952495</v>
      </c>
      <c r="BU97" s="100">
        <v>2582.8446783311356</v>
      </c>
      <c r="BV97" s="100">
        <v>7.5570171787827451</v>
      </c>
      <c r="BW97" s="100">
        <v>2965.3735409543492</v>
      </c>
      <c r="BX97" s="100">
        <v>6.1305963423436287</v>
      </c>
      <c r="BY97" s="100">
        <v>2405.64600473564</v>
      </c>
      <c r="BZ97" s="100">
        <v>7.4440684543350617</v>
      </c>
      <c r="CA97" s="100">
        <v>2921.0524614810779</v>
      </c>
      <c r="CB97" s="100">
        <v>7.4481562008894171</v>
      </c>
      <c r="CC97" s="100">
        <v>2922.6564932290071</v>
      </c>
      <c r="CD97" s="100">
        <v>7.9329632324637318</v>
      </c>
      <c r="CE97" s="100">
        <v>3112.8947724187683</v>
      </c>
      <c r="CF97" s="100">
        <v>6.3848948485758177</v>
      </c>
      <c r="CG97" s="100">
        <v>2505.4327385811507</v>
      </c>
      <c r="CH97" s="100">
        <v>1.1936864211451947</v>
      </c>
      <c r="CI97" s="100">
        <v>468.40255165737437</v>
      </c>
      <c r="CJ97" s="100">
        <v>11.502121283527828</v>
      </c>
      <c r="CK97" s="100">
        <v>4513.4323916563189</v>
      </c>
      <c r="CL97" s="100">
        <v>6</v>
      </c>
      <c r="CM97" s="100">
        <v>2354.3999999999996</v>
      </c>
      <c r="CN97" s="100">
        <v>7.1174827999593164</v>
      </c>
      <c r="CO97" s="100">
        <v>2792.9002507040354</v>
      </c>
      <c r="CP97" s="100">
        <v>1.0823088254109341</v>
      </c>
      <c r="CQ97" s="100">
        <v>424.69798309125053</v>
      </c>
      <c r="CR97" s="100">
        <v>11.567600018282008</v>
      </c>
      <c r="CS97" s="100">
        <v>4539.1262471738592</v>
      </c>
      <c r="CT97" s="100">
        <v>2.0035751016730106</v>
      </c>
      <c r="CU97" s="100">
        <v>786.20286989648935</v>
      </c>
    </row>
    <row r="98" spans="2:99">
      <c r="C98" s="99" t="s">
        <v>264</v>
      </c>
      <c r="D98" s="100">
        <v>6.469402793512697</v>
      </c>
      <c r="E98" s="100">
        <v>3400.3181082702736</v>
      </c>
      <c r="F98" s="100">
        <v>0.5824679791850218</v>
      </c>
      <c r="G98" s="100">
        <v>306.14516985964747</v>
      </c>
      <c r="H98" s="100">
        <v>6.3859651582833266</v>
      </c>
      <c r="I98" s="100">
        <v>3356.4632871937165</v>
      </c>
      <c r="J98" s="100">
        <v>6.2490506280413687</v>
      </c>
      <c r="K98" s="100">
        <v>3284.5010100985437</v>
      </c>
      <c r="L98" s="100">
        <v>7.1221528268900034</v>
      </c>
      <c r="M98" s="100">
        <v>3743.4035258133858</v>
      </c>
      <c r="N98" s="100">
        <v>7.0612386809789101</v>
      </c>
      <c r="O98" s="100">
        <v>3711.3870507225151</v>
      </c>
      <c r="P98" s="100">
        <v>7.6475827838802308</v>
      </c>
      <c r="Q98" s="100">
        <v>4019.5695112074495</v>
      </c>
      <c r="R98" s="100">
        <v>7.0461386885405517</v>
      </c>
      <c r="S98" s="100">
        <v>3703.4504946969141</v>
      </c>
      <c r="T98" s="100">
        <v>7.316965105437478</v>
      </c>
      <c r="U98" s="100">
        <v>3845.7968594179388</v>
      </c>
      <c r="V98" s="100">
        <v>6.2432674690239337E-4</v>
      </c>
      <c r="W98" s="100">
        <v>0.32814613817189797</v>
      </c>
      <c r="X98" s="100">
        <v>5.9423386318207063</v>
      </c>
      <c r="Y98" s="100">
        <v>3123.2931848849635</v>
      </c>
      <c r="Z98" s="100">
        <v>7.4964823995031624</v>
      </c>
      <c r="AA98" s="100">
        <v>3940.1511491788624</v>
      </c>
      <c r="AB98" s="100">
        <v>5.2765265362307774E-4</v>
      </c>
      <c r="AC98" s="100">
        <v>0.27733423474428964</v>
      </c>
      <c r="AD98" s="100">
        <v>7.1137017870690259E-4</v>
      </c>
      <c r="AE98" s="100">
        <v>0.37389616592834801</v>
      </c>
      <c r="AF98" s="100">
        <v>5.8720312940970762</v>
      </c>
      <c r="AG98" s="100">
        <v>3086.3396481774234</v>
      </c>
      <c r="AH98" s="100">
        <v>8.1140834400312656</v>
      </c>
      <c r="AI98" s="100">
        <v>4264.762256080433</v>
      </c>
      <c r="AJ98" s="100">
        <v>7.4812218221761384</v>
      </c>
      <c r="AK98" s="100">
        <v>3932.1301897357785</v>
      </c>
      <c r="AL98" s="100">
        <v>0.62720595943721658</v>
      </c>
      <c r="AM98" s="100">
        <v>329.65945228020104</v>
      </c>
      <c r="AN98" s="100">
        <v>10.215312088204842</v>
      </c>
      <c r="AO98" s="100">
        <v>5369.1680335604651</v>
      </c>
      <c r="AP98" s="100">
        <v>2.149141644767913</v>
      </c>
      <c r="AQ98" s="100">
        <v>1129.5888484900152</v>
      </c>
      <c r="AR98" s="100">
        <v>8.123166941821836</v>
      </c>
      <c r="AS98" s="100">
        <v>4269.5365446215574</v>
      </c>
      <c r="AT98" s="100">
        <v>2.7838269126740305</v>
      </c>
      <c r="AU98" s="100">
        <v>1463.1794253014705</v>
      </c>
      <c r="AV98" s="100">
        <v>12.714934824137847</v>
      </c>
      <c r="AW98" s="100">
        <v>6682.9697435668531</v>
      </c>
      <c r="AX98" s="100">
        <v>8.5245958261991461</v>
      </c>
      <c r="AY98" s="100">
        <v>4480.5275662502718</v>
      </c>
      <c r="AZ98" s="100">
        <v>7.6470215902119474</v>
      </c>
      <c r="BA98" s="100">
        <v>4019.2745478153997</v>
      </c>
      <c r="BB98" s="100">
        <v>7.7174876918178441</v>
      </c>
      <c r="BC98" s="100">
        <v>4056.3115308194592</v>
      </c>
      <c r="BD98" s="100">
        <v>6.7460809564671889E-4</v>
      </c>
      <c r="BE98" s="100">
        <v>0.35457401507191544</v>
      </c>
      <c r="BF98" s="100">
        <v>4.497387304308068E-4</v>
      </c>
      <c r="BG98" s="100">
        <v>0.23638267671443206</v>
      </c>
      <c r="BH98" s="100">
        <v>4.8558746981297259E-4</v>
      </c>
      <c r="BI98" s="100">
        <v>0.25522477413369843</v>
      </c>
      <c r="BJ98" s="100">
        <v>6.7501994430045089E-4</v>
      </c>
      <c r="BK98" s="100">
        <v>0.35479048272431701</v>
      </c>
      <c r="BL98" s="100">
        <v>8.2412574127891443</v>
      </c>
      <c r="BM98" s="100">
        <v>4331.6048961619745</v>
      </c>
      <c r="BN98" s="100">
        <v>7.4251882914987428</v>
      </c>
      <c r="BO98" s="100">
        <v>3902.6789660117392</v>
      </c>
      <c r="BP98" s="100">
        <v>7.125132351533459</v>
      </c>
      <c r="BQ98" s="100">
        <v>3744.9695639659863</v>
      </c>
      <c r="BR98" s="100">
        <v>5.5665732247487938</v>
      </c>
      <c r="BS98" s="100">
        <v>2925.7908869279663</v>
      </c>
      <c r="BT98" s="100">
        <v>7.1868500655687031</v>
      </c>
      <c r="BU98" s="100">
        <v>3777.4083944629106</v>
      </c>
      <c r="BV98" s="100">
        <v>8.0641006516205742</v>
      </c>
      <c r="BW98" s="100">
        <v>4238.4913024917741</v>
      </c>
      <c r="BX98" s="100">
        <v>6.0115552548133557</v>
      </c>
      <c r="BY98" s="100">
        <v>3159.6734419299</v>
      </c>
      <c r="BZ98" s="100">
        <v>6.6454889611611909</v>
      </c>
      <c r="CA98" s="100">
        <v>3492.868997986322</v>
      </c>
      <c r="CB98" s="100">
        <v>8.3806890439068376</v>
      </c>
      <c r="CC98" s="100">
        <v>4404.890161477434</v>
      </c>
      <c r="CD98" s="100">
        <v>7.8326220615242903</v>
      </c>
      <c r="CE98" s="100">
        <v>4116.8261555371673</v>
      </c>
      <c r="CF98" s="100">
        <v>6.5126299846190889</v>
      </c>
      <c r="CG98" s="100">
        <v>3423.0383199157932</v>
      </c>
      <c r="CH98" s="100">
        <v>1.2817765101183503</v>
      </c>
      <c r="CI98" s="100">
        <v>673.70173371820488</v>
      </c>
      <c r="CJ98" s="100">
        <v>11.564886443968806</v>
      </c>
      <c r="CK98" s="100">
        <v>6078.5043149500052</v>
      </c>
      <c r="CL98" s="100">
        <v>7</v>
      </c>
      <c r="CM98" s="100">
        <v>3679.2000000000003</v>
      </c>
      <c r="CN98" s="100">
        <v>6.4827679898887638</v>
      </c>
      <c r="CO98" s="100">
        <v>3407.3428554855345</v>
      </c>
      <c r="CP98" s="100">
        <v>1.0876861890063412</v>
      </c>
      <c r="CQ98" s="100">
        <v>571.68786094173299</v>
      </c>
      <c r="CR98" s="100">
        <v>10.516000016620007</v>
      </c>
      <c r="CS98" s="100">
        <v>5527.2096087354757</v>
      </c>
      <c r="CT98" s="100">
        <v>2.0035751016730106</v>
      </c>
      <c r="CU98" s="100">
        <v>1053.0790734393345</v>
      </c>
    </row>
    <row r="99" spans="2:99">
      <c r="C99" s="99" t="s">
        <v>265</v>
      </c>
      <c r="D99" s="100">
        <v>5.8047198730803728</v>
      </c>
      <c r="E99" s="100">
        <v>24428.583113871438</v>
      </c>
      <c r="F99" s="100">
        <v>0.40941765905331107</v>
      </c>
      <c r="G99" s="100">
        <v>1722.9932763599541</v>
      </c>
      <c r="H99" s="100">
        <v>4.509139738048316</v>
      </c>
      <c r="I99" s="100">
        <v>18976.263673602531</v>
      </c>
      <c r="J99" s="100">
        <v>5.369631570234584</v>
      </c>
      <c r="K99" s="100">
        <v>22597.557500175222</v>
      </c>
      <c r="L99" s="100">
        <v>5.3472488818880661</v>
      </c>
      <c r="M99" s="100">
        <v>22503.362194537734</v>
      </c>
      <c r="N99" s="100">
        <v>4.7795108374686963</v>
      </c>
      <c r="O99" s="100">
        <v>20114.09340840326</v>
      </c>
      <c r="P99" s="100">
        <v>5.0174583152264773</v>
      </c>
      <c r="Q99" s="100">
        <v>21115.471573799106</v>
      </c>
      <c r="R99" s="100">
        <v>5.1113629872889348</v>
      </c>
      <c r="S99" s="100">
        <v>21510.659995706752</v>
      </c>
      <c r="T99" s="100">
        <v>4.7522414083869444</v>
      </c>
      <c r="U99" s="100">
        <v>19999.332743055616</v>
      </c>
      <c r="V99" s="100">
        <v>4.8558746981297259E-4</v>
      </c>
      <c r="W99" s="100">
        <v>2.0435463079609137</v>
      </c>
      <c r="X99" s="100">
        <v>4.4568087089858315</v>
      </c>
      <c r="Y99" s="100">
        <v>18756.033770895971</v>
      </c>
      <c r="Z99" s="100">
        <v>4.965350995770871</v>
      </c>
      <c r="AA99" s="100">
        <v>20896.18313060213</v>
      </c>
      <c r="AB99" s="100">
        <v>4.3930245671557338E-4</v>
      </c>
      <c r="AC99" s="100">
        <v>1.8487604588418189</v>
      </c>
      <c r="AD99" s="100">
        <v>4.979591250948317E-4</v>
      </c>
      <c r="AE99" s="100">
        <v>2.0956111820490895</v>
      </c>
      <c r="AF99" s="100">
        <v>5.0331529443577514</v>
      </c>
      <c r="AG99" s="100">
        <v>21181.520851035159</v>
      </c>
      <c r="AH99" s="100">
        <v>5.1914291933618504</v>
      </c>
      <c r="AI99" s="100">
        <v>21847.610617344009</v>
      </c>
      <c r="AJ99" s="100">
        <v>5.6262988796928779</v>
      </c>
      <c r="AK99" s="100">
        <v>23677.716205299505</v>
      </c>
      <c r="AL99" s="100">
        <v>0.38869877204407027</v>
      </c>
      <c r="AM99" s="100">
        <v>1635.7999122702652</v>
      </c>
      <c r="AN99" s="100">
        <v>8.179426740170701</v>
      </c>
      <c r="AO99" s="100">
        <v>34422.299493334373</v>
      </c>
      <c r="AP99" s="100">
        <v>1.4327610965119419</v>
      </c>
      <c r="AQ99" s="100">
        <v>6029.6317985608557</v>
      </c>
      <c r="AR99" s="100">
        <v>5.9189547705815029</v>
      </c>
      <c r="AS99" s="100">
        <v>24909.329256515193</v>
      </c>
      <c r="AT99" s="100">
        <v>1.8683040857561786</v>
      </c>
      <c r="AU99" s="100">
        <v>7862.5709144963012</v>
      </c>
      <c r="AV99" s="100">
        <v>7.7149348241378473</v>
      </c>
      <c r="AW99" s="100">
        <v>32467.531713901713</v>
      </c>
      <c r="AX99" s="100">
        <v>6.3934468696493596</v>
      </c>
      <c r="AY99" s="100">
        <v>26906.181806232362</v>
      </c>
      <c r="AZ99" s="100">
        <v>5.9476834590537369</v>
      </c>
      <c r="BA99" s="100">
        <v>25030.231069081743</v>
      </c>
      <c r="BB99" s="100">
        <v>5.8302519636666705</v>
      </c>
      <c r="BC99" s="100">
        <v>24536.032363894814</v>
      </c>
      <c r="BD99" s="100">
        <v>4.4973873043114589E-4</v>
      </c>
      <c r="BE99" s="100">
        <v>1.8926804731464342</v>
      </c>
      <c r="BF99" s="100">
        <v>3.7478227535900572E-4</v>
      </c>
      <c r="BG99" s="100">
        <v>1.5772337276208395</v>
      </c>
      <c r="BH99" s="100">
        <v>3.4684819272355188E-4</v>
      </c>
      <c r="BI99" s="100">
        <v>1.4596759342577956</v>
      </c>
      <c r="BJ99" s="100">
        <v>4.2955814637301426E-4</v>
      </c>
      <c r="BK99" s="100">
        <v>1.8077525031961932</v>
      </c>
      <c r="BL99" s="100">
        <v>5.4942147977836733</v>
      </c>
      <c r="BM99" s="100">
        <v>23121.853554992809</v>
      </c>
      <c r="BN99" s="100">
        <v>5.6394096139897183</v>
      </c>
      <c r="BO99" s="100">
        <v>23732.89141951433</v>
      </c>
      <c r="BP99" s="100">
        <v>4.7900162541031097</v>
      </c>
      <c r="BQ99" s="100">
        <v>20158.304403767524</v>
      </c>
      <c r="BR99" s="100">
        <v>3.7503327329736442</v>
      </c>
      <c r="BS99" s="100">
        <v>15782.900273446283</v>
      </c>
      <c r="BT99" s="100">
        <v>5.7164477437572314</v>
      </c>
      <c r="BU99" s="100">
        <v>24057.098684827932</v>
      </c>
      <c r="BV99" s="100">
        <v>5.5149512398569875</v>
      </c>
      <c r="BW99" s="100">
        <v>23209.120797814143</v>
      </c>
      <c r="BX99" s="100">
        <v>4.4458755563469676</v>
      </c>
      <c r="BY99" s="100">
        <v>18710.022691330578</v>
      </c>
      <c r="BZ99" s="100">
        <v>6.0531103865377078</v>
      </c>
      <c r="CA99" s="100">
        <v>25473.909750705287</v>
      </c>
      <c r="CB99" s="100">
        <v>5.444341571764955</v>
      </c>
      <c r="CC99" s="100">
        <v>22911.967070615636</v>
      </c>
      <c r="CD99" s="100">
        <v>5.9998930098175185</v>
      </c>
      <c r="CE99" s="100">
        <v>25249.949742516044</v>
      </c>
      <c r="CF99" s="100">
        <v>3.8857337375522536</v>
      </c>
      <c r="CG99" s="100">
        <v>16352.721861114902</v>
      </c>
      <c r="CH99" s="100">
        <v>0.82774179119420432</v>
      </c>
      <c r="CI99" s="100">
        <v>3483.4685540616892</v>
      </c>
      <c r="CJ99" s="100">
        <v>8.4393561230868492</v>
      </c>
      <c r="CK99" s="100">
        <v>35516.18630839869</v>
      </c>
      <c r="CL99" s="100">
        <v>5</v>
      </c>
      <c r="CM99" s="100">
        <v>21042</v>
      </c>
      <c r="CN99" s="100">
        <v>5.1907350548837847</v>
      </c>
      <c r="CO99" s="100">
        <v>21844.689404972916</v>
      </c>
      <c r="CP99" s="100">
        <v>0.73229394413143678</v>
      </c>
      <c r="CQ99" s="100">
        <v>3081.7858344827382</v>
      </c>
      <c r="CR99" s="100">
        <v>8.4644000149580059</v>
      </c>
      <c r="CS99" s="100">
        <v>35621.581022949271</v>
      </c>
      <c r="CT99" s="100">
        <v>1.5026813262547578</v>
      </c>
      <c r="CU99" s="100">
        <v>6323.8840934105219</v>
      </c>
    </row>
    <row r="100" spans="2:99">
      <c r="C100" s="99" t="s">
        <v>266</v>
      </c>
      <c r="D100" s="100">
        <v>7.7100589922150782</v>
      </c>
      <c r="E100" s="100">
        <v>2498.0591134776855</v>
      </c>
      <c r="F100" s="100">
        <v>0.64137611026066133</v>
      </c>
      <c r="G100" s="100">
        <v>207.80585972445428</v>
      </c>
      <c r="H100" s="100">
        <v>7.0332203690561013</v>
      </c>
      <c r="I100" s="100">
        <v>2278.7633995741767</v>
      </c>
      <c r="J100" s="100">
        <v>6.8984640123555163</v>
      </c>
      <c r="K100" s="100">
        <v>2235.1023400031872</v>
      </c>
      <c r="L100" s="100">
        <v>6.98215451621566</v>
      </c>
      <c r="M100" s="100">
        <v>2262.2180632538739</v>
      </c>
      <c r="N100" s="100">
        <v>6.3726811166249284</v>
      </c>
      <c r="O100" s="100">
        <v>2064.7486817864769</v>
      </c>
      <c r="P100" s="100">
        <v>6.7255948037953921</v>
      </c>
      <c r="Q100" s="100">
        <v>2179.0927164297073</v>
      </c>
      <c r="R100" s="100">
        <v>7.655952960465493</v>
      </c>
      <c r="S100" s="100">
        <v>2480.5287591908195</v>
      </c>
      <c r="T100" s="100">
        <v>7.316965105437478</v>
      </c>
      <c r="U100" s="100">
        <v>2370.6966941617429</v>
      </c>
      <c r="V100" s="100">
        <v>6.2432674690239337E-4</v>
      </c>
      <c r="W100" s="100">
        <v>0.20228186599637546</v>
      </c>
      <c r="X100" s="100">
        <v>6.6851273477495292</v>
      </c>
      <c r="Y100" s="100">
        <v>2165.9812606708474</v>
      </c>
      <c r="Z100" s="100">
        <v>7.4964823995031624</v>
      </c>
      <c r="AA100" s="100">
        <v>2428.8602974390246</v>
      </c>
      <c r="AB100" s="100">
        <v>5.2738059497619454E-4</v>
      </c>
      <c r="AC100" s="100">
        <v>0.17087131277228704</v>
      </c>
      <c r="AD100" s="100">
        <v>7.1137017870690259E-4</v>
      </c>
      <c r="AE100" s="100">
        <v>0.23048393790103644</v>
      </c>
      <c r="AF100" s="100">
        <v>5.8720605826166281</v>
      </c>
      <c r="AG100" s="100">
        <v>1902.5476287677875</v>
      </c>
      <c r="AH100" s="100">
        <v>8.1140834400312656</v>
      </c>
      <c r="AI100" s="100">
        <v>2628.9630345701298</v>
      </c>
      <c r="AJ100" s="100">
        <v>7.5816175092732703</v>
      </c>
      <c r="AK100" s="100">
        <v>2456.4440730045394</v>
      </c>
      <c r="AL100" s="100">
        <v>0.53180308447995805</v>
      </c>
      <c r="AM100" s="100">
        <v>172.3041993715064</v>
      </c>
      <c r="AN100" s="100">
        <v>10.215312088204842</v>
      </c>
      <c r="AO100" s="100">
        <v>3309.7611165783687</v>
      </c>
      <c r="AP100" s="100">
        <v>2.2239488728008152</v>
      </c>
      <c r="AQ100" s="100">
        <v>720.55943478746417</v>
      </c>
      <c r="AR100" s="100">
        <v>9.0210608562016699</v>
      </c>
      <c r="AS100" s="100">
        <v>2922.823717409341</v>
      </c>
      <c r="AT100" s="100">
        <v>2.7953090202619797</v>
      </c>
      <c r="AU100" s="100">
        <v>905.68012256488146</v>
      </c>
      <c r="AV100" s="100">
        <v>11.857921788965417</v>
      </c>
      <c r="AW100" s="100">
        <v>3841.9666596247948</v>
      </c>
      <c r="AX100" s="100">
        <v>9.2349788117157399</v>
      </c>
      <c r="AY100" s="100">
        <v>2992.1331349958996</v>
      </c>
      <c r="AZ100" s="100">
        <v>7.6470215902119474</v>
      </c>
      <c r="BA100" s="100">
        <v>2477.634995228671</v>
      </c>
      <c r="BB100" s="100">
        <v>8.3184754713327109</v>
      </c>
      <c r="BC100" s="100">
        <v>2695.1860527117983</v>
      </c>
      <c r="BD100" s="100">
        <v>6.7460809564671889E-4</v>
      </c>
      <c r="BE100" s="100">
        <v>0.21857302298953693</v>
      </c>
      <c r="BF100" s="100">
        <v>5.24695185502608E-4</v>
      </c>
      <c r="BG100" s="100">
        <v>0.17000124010284498</v>
      </c>
      <c r="BH100" s="100">
        <v>5.5495710835768298E-4</v>
      </c>
      <c r="BI100" s="100">
        <v>0.17980610310788928</v>
      </c>
      <c r="BJ100" s="100">
        <v>6.7501994430045089E-4</v>
      </c>
      <c r="BK100" s="100">
        <v>0.21870646195334609</v>
      </c>
      <c r="BL100" s="100">
        <v>8.9280097599965664</v>
      </c>
      <c r="BM100" s="100">
        <v>2892.6751622388874</v>
      </c>
      <c r="BN100" s="100">
        <v>6.7985872232776634</v>
      </c>
      <c r="BO100" s="100">
        <v>2202.7422603419627</v>
      </c>
      <c r="BP100" s="100">
        <v>7.2221755354782875</v>
      </c>
      <c r="BQ100" s="100">
        <v>2339.9848734949651</v>
      </c>
      <c r="BR100" s="100">
        <v>6.2389899717896764</v>
      </c>
      <c r="BS100" s="100">
        <v>2021.4327508598551</v>
      </c>
      <c r="BT100" s="100">
        <v>6.4516489046629673</v>
      </c>
      <c r="BU100" s="100">
        <v>2090.3342451108015</v>
      </c>
      <c r="BV100" s="100">
        <v>8.1682637557030287</v>
      </c>
      <c r="BW100" s="100">
        <v>2646.5174568477814</v>
      </c>
      <c r="BX100" s="100">
        <v>6.7362107548498251</v>
      </c>
      <c r="BY100" s="100">
        <v>2182.5322845713436</v>
      </c>
      <c r="BZ100" s="100">
        <v>7.3409679950598674</v>
      </c>
      <c r="CA100" s="100">
        <v>2378.4736303993968</v>
      </c>
      <c r="CB100" s="100">
        <v>9.0486272536149901</v>
      </c>
      <c r="CC100" s="100">
        <v>2931.7552301712567</v>
      </c>
      <c r="CD100" s="100">
        <v>8.610767030325615</v>
      </c>
      <c r="CE100" s="100">
        <v>2789.8885178254991</v>
      </c>
      <c r="CF100" s="100">
        <v>5.6369979022634755</v>
      </c>
      <c r="CG100" s="100">
        <v>1826.387320333366</v>
      </c>
      <c r="CH100" s="100">
        <v>1.2817765101183503</v>
      </c>
      <c r="CI100" s="100">
        <v>415.29558927834546</v>
      </c>
      <c r="CJ100" s="100">
        <v>10.502121283527828</v>
      </c>
      <c r="CK100" s="100">
        <v>3402.6872958630161</v>
      </c>
      <c r="CL100" s="100">
        <v>7</v>
      </c>
      <c r="CM100" s="100">
        <v>2268</v>
      </c>
      <c r="CN100" s="100">
        <v>7.1174827999593164</v>
      </c>
      <c r="CO100" s="100">
        <v>2306.0644271868186</v>
      </c>
      <c r="CP100" s="100">
        <v>1.0876861890063412</v>
      </c>
      <c r="CQ100" s="100">
        <v>352.41032523805455</v>
      </c>
      <c r="CR100" s="100">
        <v>11.567600018282008</v>
      </c>
      <c r="CS100" s="100">
        <v>3747.9024059233707</v>
      </c>
      <c r="CT100" s="100">
        <v>2.0035751016730106</v>
      </c>
      <c r="CU100" s="100">
        <v>649.15833294205538</v>
      </c>
    </row>
    <row r="101" spans="2:99">
      <c r="C101" s="99" t="s">
        <v>267</v>
      </c>
      <c r="D101" s="100">
        <v>7.045383198268766</v>
      </c>
      <c r="E101" s="100">
        <v>5098.0392822672793</v>
      </c>
      <c r="F101" s="100">
        <v>0.58393760842310505</v>
      </c>
      <c r="G101" s="100">
        <v>422.53725345495883</v>
      </c>
      <c r="H101" s="100">
        <v>6.4076118956444317</v>
      </c>
      <c r="I101" s="100">
        <v>4636.5479676883106</v>
      </c>
      <c r="J101" s="100">
        <v>7.6441622106046649</v>
      </c>
      <c r="K101" s="100">
        <v>5531.3157755935354</v>
      </c>
      <c r="L101" s="100">
        <v>6.3047000097262051</v>
      </c>
      <c r="M101" s="100">
        <v>4562.0809270378822</v>
      </c>
      <c r="N101" s="100">
        <v>6.2646535414007936</v>
      </c>
      <c r="O101" s="100">
        <v>4533.1033025576144</v>
      </c>
      <c r="P101" s="100">
        <v>6.8614342753961539</v>
      </c>
      <c r="Q101" s="100">
        <v>4964.9338416766568</v>
      </c>
      <c r="R101" s="100">
        <v>7.655952960465493</v>
      </c>
      <c r="S101" s="100">
        <v>5539.847562192831</v>
      </c>
      <c r="T101" s="100">
        <v>7.0564004254541741</v>
      </c>
      <c r="U101" s="100">
        <v>5106.0113478586409</v>
      </c>
      <c r="V101" s="100">
        <v>5.5495710835768298E-4</v>
      </c>
      <c r="W101" s="100">
        <v>0.4015669636076194</v>
      </c>
      <c r="X101" s="100">
        <v>5.9423735936326505</v>
      </c>
      <c r="Y101" s="100">
        <v>4299.9015323525864</v>
      </c>
      <c r="Z101" s="100">
        <v>6.7406305970296989</v>
      </c>
      <c r="AA101" s="100">
        <v>4877.5203000106903</v>
      </c>
      <c r="AB101" s="100">
        <v>5.2765265362307774E-4</v>
      </c>
      <c r="AC101" s="100">
        <v>0.38180946016165906</v>
      </c>
      <c r="AD101" s="100">
        <v>7.1137017870690259E-4</v>
      </c>
      <c r="AE101" s="100">
        <v>0.51474746131231475</v>
      </c>
      <c r="AF101" s="100">
        <v>6.710880355316851</v>
      </c>
      <c r="AG101" s="100">
        <v>4855.9930251072738</v>
      </c>
      <c r="AH101" s="100">
        <v>6.7148676877240749</v>
      </c>
      <c r="AI101" s="100">
        <v>4858.8782588371405</v>
      </c>
      <c r="AJ101" s="100">
        <v>6.904069949937929</v>
      </c>
      <c r="AK101" s="100">
        <v>4995.7850157750854</v>
      </c>
      <c r="AL101" s="100">
        <v>0.58009512797650697</v>
      </c>
      <c r="AM101" s="100">
        <v>419.75683460380048</v>
      </c>
      <c r="AN101" s="100">
        <v>10.215312088204842</v>
      </c>
      <c r="AO101" s="100">
        <v>7391.7998270250237</v>
      </c>
      <c r="AP101" s="100">
        <v>1.9103481286825892</v>
      </c>
      <c r="AQ101" s="100">
        <v>1382.3279059147217</v>
      </c>
      <c r="AR101" s="100">
        <v>9.0210608562016699</v>
      </c>
      <c r="AS101" s="100">
        <v>6527.6396355475281</v>
      </c>
      <c r="AT101" s="100">
        <v>2.6690058367945406</v>
      </c>
      <c r="AU101" s="100">
        <v>1931.2926235045297</v>
      </c>
      <c r="AV101" s="100">
        <v>11.857921788965417</v>
      </c>
      <c r="AW101" s="100">
        <v>8580.3922064953749</v>
      </c>
      <c r="AX101" s="100">
        <v>7.8142128406825497</v>
      </c>
      <c r="AY101" s="100">
        <v>5654.3644115178931</v>
      </c>
      <c r="AZ101" s="100">
        <v>7.6470215902119474</v>
      </c>
      <c r="BA101" s="100">
        <v>5533.3848226773653</v>
      </c>
      <c r="BB101" s="100">
        <v>8.2342030817261325</v>
      </c>
      <c r="BC101" s="100">
        <v>5958.2693499370298</v>
      </c>
      <c r="BD101" s="100">
        <v>5.9965164057486126E-4</v>
      </c>
      <c r="BE101" s="100">
        <v>0.43390792711996962</v>
      </c>
      <c r="BF101" s="100">
        <v>4.497387304308068E-4</v>
      </c>
      <c r="BG101" s="100">
        <v>0.32543094533973183</v>
      </c>
      <c r="BH101" s="100">
        <v>4.8558746981297259E-4</v>
      </c>
      <c r="BI101" s="100">
        <v>0.35137109315666698</v>
      </c>
      <c r="BJ101" s="100">
        <v>6.7501994430045089E-4</v>
      </c>
      <c r="BK101" s="100">
        <v>0.48844443169580626</v>
      </c>
      <c r="BL101" s="100">
        <v>7.5545047875041895</v>
      </c>
      <c r="BM101" s="100">
        <v>5466.4396642380316</v>
      </c>
      <c r="BN101" s="100">
        <v>7.3311637643445273</v>
      </c>
      <c r="BO101" s="100">
        <v>5304.8300998797004</v>
      </c>
      <c r="BP101" s="100">
        <v>7.2221755354782875</v>
      </c>
      <c r="BQ101" s="100">
        <v>5225.9662174720888</v>
      </c>
      <c r="BR101" s="100">
        <v>5.5665732247487938</v>
      </c>
      <c r="BS101" s="100">
        <v>4027.9723854282274</v>
      </c>
      <c r="BT101" s="100">
        <v>6.4516489046629673</v>
      </c>
      <c r="BU101" s="100">
        <v>4668.4131474141232</v>
      </c>
      <c r="BV101" s="100">
        <v>7.5570171787827451</v>
      </c>
      <c r="BW101" s="100">
        <v>5468.2576305671946</v>
      </c>
      <c r="BX101" s="100">
        <v>5.8951865564199046</v>
      </c>
      <c r="BY101" s="100">
        <v>4265.7569922254434</v>
      </c>
      <c r="BZ101" s="100">
        <v>7.4440684543350617</v>
      </c>
      <c r="CA101" s="100">
        <v>5386.5279335568512</v>
      </c>
      <c r="CB101" s="100">
        <v>7.8135867282984055</v>
      </c>
      <c r="CC101" s="100">
        <v>5653.9113565967264</v>
      </c>
      <c r="CD101" s="100">
        <v>8.5104258593861761</v>
      </c>
      <c r="CE101" s="100">
        <v>6158.1441518518368</v>
      </c>
      <c r="CF101" s="100">
        <v>6.5126299846190889</v>
      </c>
      <c r="CG101" s="100">
        <v>4712.5390568703733</v>
      </c>
      <c r="CH101" s="100">
        <v>1.1017151110125054</v>
      </c>
      <c r="CI101" s="100">
        <v>797.20105432864898</v>
      </c>
      <c r="CJ101" s="100">
        <v>11.564886443968806</v>
      </c>
      <c r="CK101" s="100">
        <v>8368.3518308558287</v>
      </c>
      <c r="CL101" s="100">
        <v>6</v>
      </c>
      <c r="CM101" s="100">
        <v>4341.6000000000004</v>
      </c>
      <c r="CN101" s="100">
        <v>6.5053713047526376</v>
      </c>
      <c r="CO101" s="100">
        <v>4707.2866761190089</v>
      </c>
      <c r="CP101" s="100">
        <v>0.9728070164449778</v>
      </c>
      <c r="CQ101" s="100">
        <v>703.92315709958598</v>
      </c>
      <c r="CR101" s="100">
        <v>10.516000016620007</v>
      </c>
      <c r="CS101" s="100">
        <v>7609.3776120262373</v>
      </c>
      <c r="CT101" s="100">
        <v>2.0035751016730106</v>
      </c>
      <c r="CU101" s="100">
        <v>1449.7869435705904</v>
      </c>
    </row>
    <row r="102" spans="2:99">
      <c r="C102" s="99" t="s">
        <v>268</v>
      </c>
      <c r="D102" s="100">
        <v>7.6213564765388204</v>
      </c>
      <c r="E102" s="100">
        <v>4051.5131029280369</v>
      </c>
      <c r="F102" s="100">
        <v>0.52649910658554866</v>
      </c>
      <c r="G102" s="100">
        <v>279.88692506087767</v>
      </c>
      <c r="H102" s="100">
        <v>6.4076118956444317</v>
      </c>
      <c r="I102" s="100">
        <v>3406.2864837245802</v>
      </c>
      <c r="J102" s="100">
        <v>6.2511304083537373</v>
      </c>
      <c r="K102" s="100">
        <v>3323.100925080847</v>
      </c>
      <c r="L102" s="100">
        <v>7.1221528268900034</v>
      </c>
      <c r="M102" s="100">
        <v>3786.1364427747258</v>
      </c>
      <c r="N102" s="100">
        <v>6.9532111057547734</v>
      </c>
      <c r="O102" s="100">
        <v>3696.3270238192376</v>
      </c>
      <c r="P102" s="100">
        <v>7.6475827838802308</v>
      </c>
      <c r="Q102" s="100">
        <v>4065.4550079107307</v>
      </c>
      <c r="R102" s="100">
        <v>7.0461386885405517</v>
      </c>
      <c r="S102" s="100">
        <v>3745.7273268281574</v>
      </c>
      <c r="T102" s="100">
        <v>7.0564004254541741</v>
      </c>
      <c r="U102" s="100">
        <v>3751.182466171439</v>
      </c>
      <c r="V102" s="100">
        <v>5.5495710835768298E-4</v>
      </c>
      <c r="W102" s="100">
        <v>0.2950151988029443</v>
      </c>
      <c r="X102" s="100">
        <v>6.6851385550500888</v>
      </c>
      <c r="Y102" s="100">
        <v>3553.8196558646273</v>
      </c>
      <c r="Z102" s="100">
        <v>6.7406305970296989</v>
      </c>
      <c r="AA102" s="100">
        <v>3583.319225380988</v>
      </c>
      <c r="AB102" s="100">
        <v>5.2765265362307774E-4</v>
      </c>
      <c r="AC102" s="100">
        <v>0.28050015066602813</v>
      </c>
      <c r="AD102" s="100">
        <v>6.4023316083621233E-4</v>
      </c>
      <c r="AE102" s="100">
        <v>0.3403479483005305</v>
      </c>
      <c r="AF102" s="100">
        <v>6.7108510667973</v>
      </c>
      <c r="AG102" s="100">
        <v>3567.4884271094447</v>
      </c>
      <c r="AH102" s="100">
        <v>7.538698305932706</v>
      </c>
      <c r="AI102" s="100">
        <v>4007.5720194338269</v>
      </c>
      <c r="AJ102" s="100">
        <v>7.4812218221761384</v>
      </c>
      <c r="AK102" s="100">
        <v>3977.0175206688355</v>
      </c>
      <c r="AL102" s="100">
        <v>0.62838717147305601</v>
      </c>
      <c r="AM102" s="100">
        <v>334.0506203550766</v>
      </c>
      <c r="AN102" s="100">
        <v>10.215312088204842</v>
      </c>
      <c r="AO102" s="100">
        <v>5430.4599060896944</v>
      </c>
      <c r="AP102" s="100">
        <v>2.4627423888861388</v>
      </c>
      <c r="AQ102" s="100">
        <v>1309.1938539318714</v>
      </c>
      <c r="AR102" s="100">
        <v>8.2252730274420038</v>
      </c>
      <c r="AS102" s="100">
        <v>4372.5551413881694</v>
      </c>
      <c r="AT102" s="100">
        <v>2.7838269126740305</v>
      </c>
      <c r="AU102" s="100">
        <v>1479.8823867775147</v>
      </c>
      <c r="AV102" s="100">
        <v>11.714934824137847</v>
      </c>
      <c r="AW102" s="100">
        <v>6227.6593525116796</v>
      </c>
      <c r="AX102" s="100">
        <v>9.2349788117157399</v>
      </c>
      <c r="AY102" s="100">
        <v>4909.314736308088</v>
      </c>
      <c r="AZ102" s="100">
        <v>7.6470215902119474</v>
      </c>
      <c r="BA102" s="100">
        <v>4065.1566773566715</v>
      </c>
      <c r="BB102" s="100">
        <v>7.1164999123029782</v>
      </c>
      <c r="BC102" s="100">
        <v>3783.1313533802636</v>
      </c>
      <c r="BD102" s="100">
        <v>5.9965164057486126E-4</v>
      </c>
      <c r="BE102" s="100">
        <v>0.31877481212959624</v>
      </c>
      <c r="BF102" s="100">
        <v>5.24695185502608E-4</v>
      </c>
      <c r="BG102" s="100">
        <v>0.27892796061318642</v>
      </c>
      <c r="BH102" s="100">
        <v>4.8558746981297259E-4</v>
      </c>
      <c r="BI102" s="100">
        <v>0.25813829895257623</v>
      </c>
      <c r="BJ102" s="100">
        <v>6.1365449481859174E-4</v>
      </c>
      <c r="BK102" s="100">
        <v>0.3262187294455634</v>
      </c>
      <c r="BL102" s="100">
        <v>8.2412571347116117</v>
      </c>
      <c r="BM102" s="100">
        <v>4381.0522928126929</v>
      </c>
      <c r="BN102" s="100">
        <v>7.2371392371903127</v>
      </c>
      <c r="BO102" s="100">
        <v>3847.2632184903705</v>
      </c>
      <c r="BP102" s="100">
        <v>6.6626573071069064</v>
      </c>
      <c r="BQ102" s="100">
        <v>3541.8686244580317</v>
      </c>
      <c r="BR102" s="100">
        <v>6.2389899717896764</v>
      </c>
      <c r="BS102" s="100">
        <v>3316.6470690033921</v>
      </c>
      <c r="BT102" s="100">
        <v>6.71269706032753</v>
      </c>
      <c r="BU102" s="100">
        <v>3568.4697572701152</v>
      </c>
      <c r="BV102" s="100">
        <v>8.1682637557030287</v>
      </c>
      <c r="BW102" s="100">
        <v>4342.2490125317299</v>
      </c>
      <c r="BX102" s="100">
        <v>5.894295760040964</v>
      </c>
      <c r="BY102" s="100">
        <v>3133.4076260377765</v>
      </c>
      <c r="BZ102" s="100">
        <v>7.3409679950598674</v>
      </c>
      <c r="CA102" s="100">
        <v>3902.4585861738256</v>
      </c>
      <c r="CB102" s="100">
        <v>7.3473203067896948</v>
      </c>
      <c r="CC102" s="100">
        <v>3905.8354750894018</v>
      </c>
      <c r="CD102" s="100">
        <v>8.4100846884467355</v>
      </c>
      <c r="CE102" s="100">
        <v>4470.8010203782851</v>
      </c>
      <c r="CF102" s="100">
        <v>5.7647330383067459</v>
      </c>
      <c r="CG102" s="100">
        <v>3064.5320831638664</v>
      </c>
      <c r="CH102" s="100">
        <v>1.0997745004327384</v>
      </c>
      <c r="CI102" s="100">
        <v>584.64012443004378</v>
      </c>
      <c r="CJ102" s="100">
        <v>12.502121283527828</v>
      </c>
      <c r="CK102" s="100">
        <v>6646.1276743233939</v>
      </c>
      <c r="CL102" s="100">
        <v>7</v>
      </c>
      <c r="CM102" s="100">
        <v>3721.2000000000003</v>
      </c>
      <c r="CN102" s="100">
        <v>7.1174827999593164</v>
      </c>
      <c r="CO102" s="100">
        <v>3783.653856458373</v>
      </c>
      <c r="CP102" s="100">
        <v>0.9728070164449778</v>
      </c>
      <c r="CQ102" s="100">
        <v>517.14420994215027</v>
      </c>
      <c r="CR102" s="100">
        <v>11.516000016620007</v>
      </c>
      <c r="CS102" s="100">
        <v>6121.9056088351954</v>
      </c>
      <c r="CT102" s="100">
        <v>2.2540219893821365</v>
      </c>
      <c r="CU102" s="100">
        <v>1198.2380895555439</v>
      </c>
    </row>
    <row r="103" spans="2:99">
      <c r="C103" s="99" t="s">
        <v>269</v>
      </c>
      <c r="D103" s="100">
        <v>6.4694099199987116</v>
      </c>
      <c r="E103" s="100">
        <v>3811.7763248632405</v>
      </c>
      <c r="F103" s="100">
        <v>0.52502947734746541</v>
      </c>
      <c r="G103" s="100">
        <v>309.34736805312656</v>
      </c>
      <c r="H103" s="100">
        <v>7.6588288424677726</v>
      </c>
      <c r="I103" s="100">
        <v>4512.5819539820113</v>
      </c>
      <c r="J103" s="100">
        <v>6.7647431527978803</v>
      </c>
      <c r="K103" s="100">
        <v>3985.7866656285105</v>
      </c>
      <c r="L103" s="100">
        <v>7.1221528268900034</v>
      </c>
      <c r="M103" s="100">
        <v>4196.3724456035898</v>
      </c>
      <c r="N103" s="100">
        <v>6.3726811166249284</v>
      </c>
      <c r="O103" s="100">
        <v>3754.7837139154076</v>
      </c>
      <c r="P103" s="100">
        <v>6.0752857669120779</v>
      </c>
      <c r="Q103" s="100">
        <v>3579.558373864596</v>
      </c>
      <c r="R103" s="100">
        <v>6.9408058030637587</v>
      </c>
      <c r="S103" s="100">
        <v>4089.522779165166</v>
      </c>
      <c r="T103" s="100">
        <v>6.548912099748402</v>
      </c>
      <c r="U103" s="100">
        <v>3858.6190091717581</v>
      </c>
      <c r="V103" s="100">
        <v>6.2432674690239337E-4</v>
      </c>
      <c r="W103" s="100">
        <v>0.36785331927489012</v>
      </c>
      <c r="X103" s="100">
        <v>6.6851395738955937</v>
      </c>
      <c r="Y103" s="100">
        <v>3938.8842369392833</v>
      </c>
      <c r="Z103" s="100">
        <v>7.3646944013472115</v>
      </c>
      <c r="AA103" s="100">
        <v>4339.2779412737764</v>
      </c>
      <c r="AB103" s="100">
        <v>5.2738059497619454E-4</v>
      </c>
      <c r="AC103" s="100">
        <v>0.31073264655997379</v>
      </c>
      <c r="AD103" s="100">
        <v>6.4023316083621233E-4</v>
      </c>
      <c r="AE103" s="100">
        <v>0.37722537836469627</v>
      </c>
      <c r="AF103" s="100">
        <v>5.8720605826166281</v>
      </c>
      <c r="AG103" s="100">
        <v>3459.818095277717</v>
      </c>
      <c r="AH103" s="100">
        <v>7.9898606979762299</v>
      </c>
      <c r="AI103" s="100">
        <v>4707.6259232475941</v>
      </c>
      <c r="AJ103" s="100">
        <v>8.0276115095190175</v>
      </c>
      <c r="AK103" s="100">
        <v>4729.8687014086045</v>
      </c>
      <c r="AL103" s="100">
        <v>0.58009512797650697</v>
      </c>
      <c r="AM103" s="100">
        <v>341.79204940375786</v>
      </c>
      <c r="AN103" s="100">
        <v>11.251197436238982</v>
      </c>
      <c r="AO103" s="100">
        <v>6629.2055294320071</v>
      </c>
      <c r="AP103" s="100">
        <v>2.149141644767913</v>
      </c>
      <c r="AQ103" s="100">
        <v>1266.2742570972541</v>
      </c>
      <c r="AR103" s="100">
        <v>9.123166941821836</v>
      </c>
      <c r="AS103" s="100">
        <v>5375.3699621214255</v>
      </c>
      <c r="AT103" s="100">
        <v>2.4021052531150864</v>
      </c>
      <c r="AU103" s="100">
        <v>1415.3204151354087</v>
      </c>
      <c r="AV103" s="100">
        <v>11.857921788965417</v>
      </c>
      <c r="AW103" s="100">
        <v>6986.6875180584229</v>
      </c>
      <c r="AX103" s="100">
        <v>8.5245958261991461</v>
      </c>
      <c r="AY103" s="100">
        <v>5022.6918607965363</v>
      </c>
      <c r="AZ103" s="100">
        <v>7.6470215902119474</v>
      </c>
      <c r="BA103" s="100">
        <v>4505.6251209528791</v>
      </c>
      <c r="BB103" s="100">
        <v>7.200772301909554</v>
      </c>
      <c r="BC103" s="100">
        <v>4242.6950402851089</v>
      </c>
      <c r="BD103" s="100">
        <v>5.9965164057486126E-4</v>
      </c>
      <c r="BE103" s="100">
        <v>0.3533147466267082</v>
      </c>
      <c r="BF103" s="100">
        <v>5.24695185502608E-4</v>
      </c>
      <c r="BG103" s="100">
        <v>0.30915040329813659</v>
      </c>
      <c r="BH103" s="100">
        <v>5.5495710835768298E-4</v>
      </c>
      <c r="BI103" s="100">
        <v>0.32698072824434676</v>
      </c>
      <c r="BJ103" s="100">
        <v>6.7501994430045089E-4</v>
      </c>
      <c r="BK103" s="100">
        <v>0.39772175118182562</v>
      </c>
      <c r="BL103" s="100">
        <v>7.5544723955610058</v>
      </c>
      <c r="BM103" s="100">
        <v>4451.095135464544</v>
      </c>
      <c r="BN103" s="100">
        <v>7.4251882914987428</v>
      </c>
      <c r="BO103" s="100">
        <v>4374.9209413510589</v>
      </c>
      <c r="BP103" s="100">
        <v>6.6626573071069064</v>
      </c>
      <c r="BQ103" s="100">
        <v>3925.6376853473889</v>
      </c>
      <c r="BR103" s="100">
        <v>5.4487214753254483</v>
      </c>
      <c r="BS103" s="100">
        <v>3210.3866932617539</v>
      </c>
      <c r="BT103" s="100">
        <v>6.5821729824952495</v>
      </c>
      <c r="BU103" s="100">
        <v>3878.2163212862006</v>
      </c>
      <c r="BV103" s="100">
        <v>6.9457706018624616</v>
      </c>
      <c r="BW103" s="100">
        <v>4092.4480386173618</v>
      </c>
      <c r="BX103" s="100">
        <v>6.6180604636984928</v>
      </c>
      <c r="BY103" s="100">
        <v>3899.3612252111516</v>
      </c>
      <c r="BZ103" s="100">
        <v>7.4440684543350617</v>
      </c>
      <c r="CA103" s="100">
        <v>4386.0451332942175</v>
      </c>
      <c r="CB103" s="100">
        <v>7.2464844126899735</v>
      </c>
      <c r="CC103" s="100">
        <v>4269.6286159569318</v>
      </c>
      <c r="CD103" s="100">
        <v>7.9329632324637318</v>
      </c>
      <c r="CE103" s="100">
        <v>4674.1019365676302</v>
      </c>
      <c r="CF103" s="100">
        <v>6.5126299846190889</v>
      </c>
      <c r="CG103" s="100">
        <v>3837.2415869375668</v>
      </c>
      <c r="CH103" s="100">
        <v>1.1917458105654277</v>
      </c>
      <c r="CI103" s="100">
        <v>702.17663158514995</v>
      </c>
      <c r="CJ103" s="100">
        <v>11.502121283527828</v>
      </c>
      <c r="CK103" s="100">
        <v>6777.0498602545949</v>
      </c>
      <c r="CL103" s="100">
        <v>7</v>
      </c>
      <c r="CM103" s="100">
        <v>4124.3999999999996</v>
      </c>
      <c r="CN103" s="100">
        <v>7.1174827999593164</v>
      </c>
      <c r="CO103" s="100">
        <v>4193.6208657360285</v>
      </c>
      <c r="CP103" s="100">
        <v>0.96742965284957072</v>
      </c>
      <c r="CQ103" s="100">
        <v>570.00955145896705</v>
      </c>
      <c r="CR103" s="100">
        <v>11.464400014958006</v>
      </c>
      <c r="CS103" s="100">
        <v>6754.8244888132567</v>
      </c>
      <c r="CT103" s="100">
        <v>2.0035751016730106</v>
      </c>
      <c r="CU103" s="100">
        <v>1180.5064499057378</v>
      </c>
    </row>
    <row r="104" spans="2:99">
      <c r="C104" s="99" t="s">
        <v>270</v>
      </c>
      <c r="D104" s="100">
        <v>6.5581124356749685</v>
      </c>
      <c r="E104" s="100">
        <v>4147.3503043208502</v>
      </c>
      <c r="F104" s="100">
        <v>0.52649910658554866</v>
      </c>
      <c r="G104" s="100">
        <v>332.95803500470095</v>
      </c>
      <c r="H104" s="100">
        <v>7.0332203690561013</v>
      </c>
      <c r="I104" s="100">
        <v>4447.808561391078</v>
      </c>
      <c r="J104" s="100">
        <v>7.6670397940407211</v>
      </c>
      <c r="K104" s="100">
        <v>4848.6359657513522</v>
      </c>
      <c r="L104" s="100">
        <v>7.262151137564345</v>
      </c>
      <c r="M104" s="100">
        <v>4592.5843793956919</v>
      </c>
      <c r="N104" s="100">
        <v>6.2646535414007936</v>
      </c>
      <c r="O104" s="100">
        <v>3961.7668995818617</v>
      </c>
      <c r="P104" s="100">
        <v>6.8677642779348167</v>
      </c>
      <c r="Q104" s="100">
        <v>4343.1741293659779</v>
      </c>
      <c r="R104" s="100">
        <v>7.655952960465493</v>
      </c>
      <c r="S104" s="100">
        <v>4841.6246521983776</v>
      </c>
      <c r="T104" s="100">
        <v>7.1866827654458261</v>
      </c>
      <c r="U104" s="100">
        <v>4544.8581808679401</v>
      </c>
      <c r="V104" s="100">
        <v>6.2432674690239337E-4</v>
      </c>
      <c r="W104" s="100">
        <v>0.39482423474107353</v>
      </c>
      <c r="X104" s="100">
        <v>5.9423993858350448</v>
      </c>
      <c r="Y104" s="100">
        <v>3757.9733716020824</v>
      </c>
      <c r="Z104" s="100">
        <v>6.7406305970296989</v>
      </c>
      <c r="AA104" s="100">
        <v>4262.7747895615812</v>
      </c>
      <c r="AB104" s="100">
        <v>6.1491461594304943E-4</v>
      </c>
      <c r="AC104" s="100">
        <v>0.38887200312238446</v>
      </c>
      <c r="AD104" s="100">
        <v>7.1137017870690259E-4</v>
      </c>
      <c r="AE104" s="100">
        <v>0.44987050101424519</v>
      </c>
      <c r="AF104" s="100">
        <v>6.7108510667973</v>
      </c>
      <c r="AG104" s="100">
        <v>4243.9422146426123</v>
      </c>
      <c r="AH104" s="100">
        <v>7.538698305932706</v>
      </c>
      <c r="AI104" s="100">
        <v>4767.4728086718433</v>
      </c>
      <c r="AJ104" s="100">
        <v>7.3808261350790074</v>
      </c>
      <c r="AK104" s="100">
        <v>4667.6344478239644</v>
      </c>
      <c r="AL104" s="100">
        <v>0.53180308447995805</v>
      </c>
      <c r="AM104" s="100">
        <v>336.31227062512545</v>
      </c>
      <c r="AN104" s="100">
        <v>11.215312088204842</v>
      </c>
      <c r="AO104" s="100">
        <v>7092.563364580742</v>
      </c>
      <c r="AP104" s="100">
        <v>2.149141644767913</v>
      </c>
      <c r="AQ104" s="100">
        <v>1359.1171761512283</v>
      </c>
      <c r="AR104" s="100">
        <v>9.123166941821836</v>
      </c>
      <c r="AS104" s="100">
        <v>5769.4907740081289</v>
      </c>
      <c r="AT104" s="100">
        <v>2.7838269126740305</v>
      </c>
      <c r="AU104" s="100">
        <v>1760.4921395750569</v>
      </c>
      <c r="AV104" s="100">
        <v>12.714934824137847</v>
      </c>
      <c r="AW104" s="100">
        <v>8040.9247827847739</v>
      </c>
      <c r="AX104" s="100">
        <v>9.2349788117157399</v>
      </c>
      <c r="AY104" s="100">
        <v>5840.2006005290341</v>
      </c>
      <c r="AZ104" s="100">
        <v>8.4966906557910544</v>
      </c>
      <c r="BA104" s="100">
        <v>5373.3071707222625</v>
      </c>
      <c r="BB104" s="100">
        <v>7.7174876918178441</v>
      </c>
      <c r="BC104" s="100">
        <v>4880.539216305604</v>
      </c>
      <c r="BD104" s="100">
        <v>7.4956455071857652E-4</v>
      </c>
      <c r="BE104" s="100">
        <v>0.47402462187442779</v>
      </c>
      <c r="BF104" s="100">
        <v>5.24695185502608E-4</v>
      </c>
      <c r="BG104" s="100">
        <v>0.33181723531184931</v>
      </c>
      <c r="BH104" s="100">
        <v>5.5495710835768298E-4</v>
      </c>
      <c r="BI104" s="100">
        <v>0.35095487532539871</v>
      </c>
      <c r="BJ104" s="100">
        <v>6.1365449481859174E-4</v>
      </c>
      <c r="BK104" s="100">
        <v>0.38807510252327743</v>
      </c>
      <c r="BL104" s="100">
        <v>6.8677527183742999</v>
      </c>
      <c r="BM104" s="100">
        <v>4343.1668190999071</v>
      </c>
      <c r="BN104" s="100">
        <v>7.2371392371903127</v>
      </c>
      <c r="BO104" s="100">
        <v>4576.7668535991534</v>
      </c>
      <c r="BP104" s="100">
        <v>7.125132351533459</v>
      </c>
      <c r="BQ104" s="100">
        <v>4505.9336991097589</v>
      </c>
      <c r="BR104" s="100">
        <v>6.2389899717896764</v>
      </c>
      <c r="BS104" s="100">
        <v>3945.5372581597912</v>
      </c>
      <c r="BT104" s="100">
        <v>6.5821729824952495</v>
      </c>
      <c r="BU104" s="100">
        <v>4162.5661941299959</v>
      </c>
      <c r="BV104" s="100">
        <v>8.17724485174395</v>
      </c>
      <c r="BW104" s="100">
        <v>5171.2896442428737</v>
      </c>
      <c r="BX104" s="100">
        <v>6.7362107548498251</v>
      </c>
      <c r="BY104" s="100">
        <v>4259.9796813670291</v>
      </c>
      <c r="BZ104" s="100">
        <v>7.3409679950598674</v>
      </c>
      <c r="CA104" s="100">
        <v>4642.4281600758604</v>
      </c>
      <c r="CB104" s="100">
        <v>8.5823608321062803</v>
      </c>
      <c r="CC104" s="100">
        <v>5427.4849902240112</v>
      </c>
      <c r="CD104" s="100">
        <v>8.4457087728039326</v>
      </c>
      <c r="CE104" s="100">
        <v>5341.0662279212065</v>
      </c>
      <c r="CF104" s="100">
        <v>5.7647330383067459</v>
      </c>
      <c r="CG104" s="100">
        <v>3645.6171734251861</v>
      </c>
      <c r="CH104" s="100">
        <v>1.1017151110125054</v>
      </c>
      <c r="CI104" s="100">
        <v>696.72463620430835</v>
      </c>
      <c r="CJ104" s="100">
        <v>10.502121283527828</v>
      </c>
      <c r="CK104" s="100">
        <v>6641.5414997029984</v>
      </c>
      <c r="CL104" s="100">
        <v>6</v>
      </c>
      <c r="CM104" s="100">
        <v>3794.3999999999996</v>
      </c>
      <c r="CN104" s="100">
        <v>6.5053713047526376</v>
      </c>
      <c r="CO104" s="100">
        <v>4113.9968131255682</v>
      </c>
      <c r="CP104" s="100">
        <v>1.0876861890063412</v>
      </c>
      <c r="CQ104" s="100">
        <v>687.85274592761016</v>
      </c>
      <c r="CR104" s="100">
        <v>11.464400014958006</v>
      </c>
      <c r="CS104" s="100">
        <v>7250.0865694594422</v>
      </c>
      <c r="CT104" s="100">
        <v>2.0035751016730106</v>
      </c>
      <c r="CU104" s="100">
        <v>1267.0608942980118</v>
      </c>
    </row>
    <row r="105" spans="2:99">
      <c r="C105" s="99" t="s">
        <v>271</v>
      </c>
      <c r="D105" s="100">
        <v>6.5581124356749685</v>
      </c>
      <c r="E105" s="100">
        <v>3651.5570041838223</v>
      </c>
      <c r="F105" s="100">
        <v>0.58393760842310505</v>
      </c>
      <c r="G105" s="100">
        <v>325.13646036998489</v>
      </c>
      <c r="H105" s="100">
        <v>6.4076118956444317</v>
      </c>
      <c r="I105" s="100">
        <v>3567.7583034948193</v>
      </c>
      <c r="J105" s="100">
        <v>7.0134668491018344</v>
      </c>
      <c r="K105" s="100">
        <v>3905.098341579901</v>
      </c>
      <c r="L105" s="100">
        <v>7.1221528268900034</v>
      </c>
      <c r="M105" s="100">
        <v>3965.6146940123535</v>
      </c>
      <c r="N105" s="100">
        <v>6.3726811166249284</v>
      </c>
      <c r="O105" s="100">
        <v>3548.3088457367598</v>
      </c>
      <c r="P105" s="100">
        <v>6.8614342753961539</v>
      </c>
      <c r="Q105" s="100">
        <v>3820.4466045405784</v>
      </c>
      <c r="R105" s="100">
        <v>7.0461386885405517</v>
      </c>
      <c r="S105" s="100">
        <v>3923.290021779379</v>
      </c>
      <c r="T105" s="100">
        <v>6.548912099748402</v>
      </c>
      <c r="U105" s="100">
        <v>3646.4342571399102</v>
      </c>
      <c r="V105" s="100">
        <v>5.5495710835768298E-4</v>
      </c>
      <c r="W105" s="100">
        <v>0.30900011793355786</v>
      </c>
      <c r="X105" s="100">
        <v>5.9423634051775975</v>
      </c>
      <c r="Y105" s="100">
        <v>3308.7079440028861</v>
      </c>
      <c r="Z105" s="100">
        <v>6.477054600717798</v>
      </c>
      <c r="AA105" s="100">
        <v>3606.4240016796698</v>
      </c>
      <c r="AB105" s="100">
        <v>5.2765265362307774E-4</v>
      </c>
      <c r="AC105" s="100">
        <v>0.29379699753732968</v>
      </c>
      <c r="AD105" s="100">
        <v>6.4023316083621233E-4</v>
      </c>
      <c r="AE105" s="100">
        <v>0.35648182395360301</v>
      </c>
      <c r="AF105" s="100">
        <v>5.8720020055775253</v>
      </c>
      <c r="AG105" s="100">
        <v>3269.5307167055657</v>
      </c>
      <c r="AH105" s="100">
        <v>7.4144755638776694</v>
      </c>
      <c r="AI105" s="100">
        <v>4128.3799939670862</v>
      </c>
      <c r="AJ105" s="100">
        <v>7.4786583067681942</v>
      </c>
      <c r="AK105" s="100">
        <v>4164.1169452085305</v>
      </c>
      <c r="AL105" s="100">
        <v>0.62838717147305601</v>
      </c>
      <c r="AM105" s="100">
        <v>349.88597707619755</v>
      </c>
      <c r="AN105" s="100">
        <v>10.215312088204842</v>
      </c>
      <c r="AO105" s="100">
        <v>5687.8857707124553</v>
      </c>
      <c r="AP105" s="100">
        <v>2.149141644767913</v>
      </c>
      <c r="AQ105" s="100">
        <v>1196.6420678067739</v>
      </c>
      <c r="AR105" s="100">
        <v>8.123166941821836</v>
      </c>
      <c r="AS105" s="100">
        <v>4522.9793532063977</v>
      </c>
      <c r="AT105" s="100">
        <v>2.6690058367945406</v>
      </c>
      <c r="AU105" s="100">
        <v>1486.1024499272</v>
      </c>
      <c r="AV105" s="100">
        <v>10.857921788965417</v>
      </c>
      <c r="AW105" s="100">
        <v>6045.6908520959432</v>
      </c>
      <c r="AX105" s="100">
        <v>8.5245958261991461</v>
      </c>
      <c r="AY105" s="100">
        <v>4746.4949560276846</v>
      </c>
      <c r="AZ105" s="100">
        <v>7.6470215902119474</v>
      </c>
      <c r="BA105" s="100">
        <v>4257.8616214300118</v>
      </c>
      <c r="BB105" s="100">
        <v>8.3184754713327109</v>
      </c>
      <c r="BC105" s="100">
        <v>4631.7271424380533</v>
      </c>
      <c r="BD105" s="100">
        <v>7.4956455071857652E-4</v>
      </c>
      <c r="BE105" s="100">
        <v>0.41735754184010337</v>
      </c>
      <c r="BF105" s="100">
        <v>4.497387304308068E-4</v>
      </c>
      <c r="BG105" s="100">
        <v>0.25041452510387319</v>
      </c>
      <c r="BH105" s="100">
        <v>4.8558746981297259E-4</v>
      </c>
      <c r="BI105" s="100">
        <v>0.27037510319186314</v>
      </c>
      <c r="BJ105" s="100">
        <v>6.1365449481859174E-4</v>
      </c>
      <c r="BK105" s="100">
        <v>0.34168282271499184</v>
      </c>
      <c r="BL105" s="100">
        <v>7.5545047875041895</v>
      </c>
      <c r="BM105" s="100">
        <v>4206.3482656823326</v>
      </c>
      <c r="BN105" s="100">
        <v>7.2371392371903127</v>
      </c>
      <c r="BO105" s="100">
        <v>4029.639127267566</v>
      </c>
      <c r="BP105" s="100">
        <v>7.125132351533459</v>
      </c>
      <c r="BQ105" s="100">
        <v>3967.2736933338297</v>
      </c>
      <c r="BR105" s="100">
        <v>6.266855087997862</v>
      </c>
      <c r="BS105" s="100">
        <v>3489.3849129972091</v>
      </c>
      <c r="BT105" s="100">
        <v>6.5821729824952495</v>
      </c>
      <c r="BU105" s="100">
        <v>3664.9539166533546</v>
      </c>
      <c r="BV105" s="100">
        <v>8.1682637557030287</v>
      </c>
      <c r="BW105" s="100">
        <v>4548.0892591754464</v>
      </c>
      <c r="BX105" s="100">
        <v>6.6180604636984928</v>
      </c>
      <c r="BY105" s="100">
        <v>3684.9360661873206</v>
      </c>
      <c r="BZ105" s="100">
        <v>7.4440684543350617</v>
      </c>
      <c r="CA105" s="100">
        <v>4144.8573153737616</v>
      </c>
      <c r="CB105" s="100">
        <v>8.3806890439068376</v>
      </c>
      <c r="CC105" s="100">
        <v>4666.3676596473269</v>
      </c>
      <c r="CD105" s="100">
        <v>7.8326220615242903</v>
      </c>
      <c r="CE105" s="100">
        <v>4361.2039638567248</v>
      </c>
      <c r="CF105" s="100">
        <v>5.6369979022634755</v>
      </c>
      <c r="CG105" s="100">
        <v>3138.6804319803027</v>
      </c>
      <c r="CH105" s="100">
        <v>1.0997745004327384</v>
      </c>
      <c r="CI105" s="100">
        <v>612.35444184094865</v>
      </c>
      <c r="CJ105" s="100">
        <v>11.502121283527828</v>
      </c>
      <c r="CK105" s="100">
        <v>6404.3811306682937</v>
      </c>
      <c r="CL105" s="100">
        <v>7</v>
      </c>
      <c r="CM105" s="100">
        <v>3897.5999999999995</v>
      </c>
      <c r="CN105" s="100">
        <v>6.5053713047526376</v>
      </c>
      <c r="CO105" s="100">
        <v>3622.1907424862684</v>
      </c>
      <c r="CP105" s="100">
        <v>1.0876861890063412</v>
      </c>
      <c r="CQ105" s="100">
        <v>605.62367003873067</v>
      </c>
      <c r="CR105" s="100">
        <v>11.567600018282008</v>
      </c>
      <c r="CS105" s="100">
        <v>6440.8396901794213</v>
      </c>
      <c r="CT105" s="100">
        <v>2.0035751016730106</v>
      </c>
      <c r="CU105" s="100">
        <v>1115.5906166115321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282.39933207719338</v>
      </c>
      <c r="E109" s="100">
        <f>SUM(L$6:L$19)+SUM(N$6:N$19)+SUM(P$6:P$19)+SUM(R$6:R$19)</f>
        <v>285.08355828302666</v>
      </c>
      <c r="F109" s="100">
        <f>SUM(T$6:T$19)+SUM(V$6:V$19)+SUM(X$6:X$19)+SUM(Z$6:Z$19)</f>
        <v>352.04384770157401</v>
      </c>
      <c r="G109" s="100">
        <f>SUM(AB$6:AB$19)+SUM(AD$6:AD$19)+SUM(AF$6:AF$19)+SUM(AH$6:AH$19)</f>
        <v>325.83989347368191</v>
      </c>
      <c r="H109" s="100">
        <f>SUM(AJ$6:AJ$19)+SUM(AL$6:AL$19)+SUM(AN$6:AN$19)+SUM(AP$6:AP$19)</f>
        <v>352.2394445756604</v>
      </c>
      <c r="I109" s="100">
        <f>SUM(AR$6:AR$19)+SUM(AT$6:AT$19)+SUM(AV$6:AV$19)+SUM(AX$6:AX$19)</f>
        <v>296.71265571661695</v>
      </c>
      <c r="J109" s="100">
        <f>SUM(AZ$6:AZ$19)+SUM(BB$6:BB$19)+SUM(BD$6:BD$19)+SUM(BF$6:BF$19)</f>
        <v>310.11203148461823</v>
      </c>
      <c r="K109" s="100">
        <f>SUM(BH$6:BH$19)+SUM(BJ$6:BJ$19)+SUM(BL$6:BL$19)+SUM(BN$6:BN$19)</f>
        <v>327.02913291148661</v>
      </c>
      <c r="L109" s="100">
        <f>SUM(BP$6:BP$19)+SUM(BR$6:BR$19)+SUM(BT$6:BT$19)+SUM(BV$6:BV$19)</f>
        <v>350.16726853655172</v>
      </c>
      <c r="M109" s="100">
        <f>SUM(BX$6:BX$19)+SUM(BZ$6:BZ$19)+SUM(CB$6:CB$19)+SUM(CD$6:CD$19)</f>
        <v>287.27843872934392</v>
      </c>
      <c r="N109" s="100">
        <f>SUM(CF$6:CF$19)+SUM(CH$6:CH$19)+SUM(CJ$6:CJ$19)+SUM(CL$6:CL$19)</f>
        <v>312.20691511338282</v>
      </c>
      <c r="O109" s="100">
        <f>SUM(CN$6:CN$19)+SUM(CP$6:CP$19)+SUM(CR$6:CR$19)+SUM(CT$6:CT$19)</f>
        <v>360.85146918920412</v>
      </c>
    </row>
    <row r="110" spans="2:99">
      <c r="C110" s="99" t="s">
        <v>127</v>
      </c>
      <c r="D110" s="100">
        <f>SUM(D$20:D$36)+SUM(F$20:F$36)+SUM(H$20:H$36)+SUM(J$20:J$36)</f>
        <v>462.03405064269913</v>
      </c>
      <c r="E110" s="100">
        <f>SUM(L$20:L$36)+SUM(N$20:N$36)+SUM(P$20:P$36)+SUM(R$20:R$36)</f>
        <v>389.25673991359201</v>
      </c>
      <c r="F110" s="100">
        <f>SUM(T$20:T$36)+SUM(V$20:V$36)+SUM(X$20:X$36)+SUM(Z$20:Z$36)</f>
        <v>409.56577155236107</v>
      </c>
      <c r="G110" s="100">
        <f>SUM(AB$20:AB$36)+SUM(AD$20:AD$36)+SUM(AF$20:AF$36)+SUM(AH$20:AH$36)</f>
        <v>390.06312367465011</v>
      </c>
      <c r="H110" s="100">
        <f>SUM(AJ$20:AJ$36)+SUM(AL$20:AL$36)+SUM(AN$20:AN$36)+SUM(AP$20:AP$36)</f>
        <v>532.9869249127222</v>
      </c>
      <c r="I110" s="100">
        <f>SUM(AR$20:AR$36)+SUM(AT$20:AT$36)+SUM(AV$20:AV$36)+SUM(AX$20:AX$36)</f>
        <v>409.48389062198038</v>
      </c>
      <c r="J110" s="100">
        <f>SUM(AZ$20:AZ$36)+SUM(BB$20:BB$36)+SUM(BD$20:BD$36)+SUM(BF$20:BF$36)</f>
        <v>432.50161972170247</v>
      </c>
      <c r="K110" s="100">
        <f>SUM(BH$20:BH$36)+SUM(BJ$20:BJ$36)+SUM(BL$20:BL$36)+SUM(BN$20:BN$36)</f>
        <v>428.99726055195663</v>
      </c>
      <c r="L110" s="100">
        <f>SUM(BP$20:BP$36)+SUM(BR$20:BR$36)+SUM(BT$20:BT$36)+SUM(BV$20:BV$36)</f>
        <v>539.80092062843175</v>
      </c>
      <c r="M110" s="100">
        <f>SUM(BX$20:BX$36)+SUM(BZ$20:BZ$36)+SUM(CB$20:CB$36)+SUM(CD$20:CD$36)</f>
        <v>422.10588444811407</v>
      </c>
      <c r="N110" s="100">
        <f>SUM(CF$20:CF$36)+SUM(CH$20:CH$36)+SUM(CJ$20:CJ$36)+SUM(CL$20:CL$36)</f>
        <v>428.3234832650819</v>
      </c>
      <c r="O110" s="100">
        <f>SUM(CN$20:CN$36)+SUM(CP$20:CP$36)+SUM(CR$20:CR$36)+SUM(CT$20:CT$36)</f>
        <v>423.16601090269154</v>
      </c>
    </row>
    <row r="111" spans="2:99">
      <c r="C111" s="99" t="s">
        <v>128</v>
      </c>
      <c r="D111" s="100">
        <f>SUM(D$37:D$48)+SUM(F$37:F$48)+SUM(H$37:H$48)+SUM(J$37:J$48)</f>
        <v>538.18774149471528</v>
      </c>
      <c r="E111" s="100">
        <f>SUM(L$37:L$48)+SUM(N$37:N$48)+SUM(P$37:P$48)+SUM(R$37:R$48)</f>
        <v>495.34872637209298</v>
      </c>
      <c r="F111" s="100">
        <f>SUM(T$37:T$48)+SUM(V$37:V$48)+SUM(X$37:X$48)+SUM(Z$37:Z$48)</f>
        <v>628.22790614651876</v>
      </c>
      <c r="G111" s="100">
        <f>SUM(AB$37:AB$48)+SUM(AD$37:AD$48)+SUM(AF$37:AF$48)+SUM(AH$37:AH$48)</f>
        <v>447.56326096476931</v>
      </c>
      <c r="H111" s="100">
        <f>SUM(AJ$37:AJ$48)+SUM(AL$37:AL$48)+SUM(AN$37:AN$48)+SUM(AP$37:AP$48)</f>
        <v>593.79241974031811</v>
      </c>
      <c r="I111" s="100">
        <f>SUM(AR$37:AR$48)+SUM(AT$37:AT$48)+SUM(AV$37:AV$48)+SUM(AX$37:AX$48)</f>
        <v>536.74059874413479</v>
      </c>
      <c r="J111" s="100">
        <f>SUM(AZ$37:AZ$48)+SUM(BB$37:BB$48)+SUM(BD$37:BD$48)+SUM(BF$37:BF$48)</f>
        <v>550.1397853747028</v>
      </c>
      <c r="K111" s="100">
        <f>SUM(BH$37:BH$48)+SUM(BJ$37:BJ$48)+SUM(BL$37:BL$48)+SUM(BN$37:BN$48)</f>
        <v>465.25523409826644</v>
      </c>
      <c r="L111" s="100">
        <f>SUM(BP$37:BP$48)+SUM(BR$37:BR$48)+SUM(BT$37:BT$48)+SUM(BV$37:BV$48)</f>
        <v>500.88886364507789</v>
      </c>
      <c r="M111" s="100">
        <f>SUM(BX$37:BX$48)+SUM(BZ$37:BZ$48)+SUM(CB$37:CB$48)+SUM(CD$37:CD$48)</f>
        <v>479.24745385272365</v>
      </c>
      <c r="N111" s="100">
        <f>SUM(CF$37:CF$48)+SUM(CH$37:CH$48)+SUM(CJ$37:CJ$48)+SUM(CL$37:CL$48)</f>
        <v>363.19764605671946</v>
      </c>
      <c r="O111" s="100">
        <f>SUM(CN$37:CN$48)+SUM(CP$37:CP$48)+SUM(CR$37:CR$48)+SUM(CT$37:CT$48)</f>
        <v>664.30687560448575</v>
      </c>
    </row>
    <row r="112" spans="2:99">
      <c r="C112" s="99" t="s">
        <v>129</v>
      </c>
      <c r="D112" s="100">
        <f>SUM(D$49:D$70)+SUM(F$49:F$70)+SUM(H$49:H$70)+SUM(J$49:J$70)</f>
        <v>612.86715723406712</v>
      </c>
      <c r="E112" s="100">
        <f>SUM(L$49:L$70)+SUM(N$49:N$70)+SUM(P$49:P$70)+SUM(R$49:R$70)</f>
        <v>557.71350806065425</v>
      </c>
      <c r="F112" s="100">
        <f>SUM(T$49:T$70)+SUM(V$49:V$70)+SUM(X$49:X$70)+SUM(Z$49:Z$70)</f>
        <v>523.85428555906879</v>
      </c>
      <c r="G112" s="100">
        <f>SUM(AB$49:AB$70)+SUM(AD$49:AD$70)+SUM(AF$49:AF$70)+SUM(AH$49:AH$70)</f>
        <v>415.31721451778697</v>
      </c>
      <c r="H112" s="100">
        <f>SUM(AJ$49:AJ$70)+SUM(AL$49:AL$70)+SUM(AN$49:AN$70)+SUM(AP$49:AP$70)</f>
        <v>702.6446998292439</v>
      </c>
      <c r="I112" s="100">
        <f>SUM(AR$49:AR$70)+SUM(AT$49:AT$70)+SUM(AV$49:AV$70)+SUM(AX$49:AX$70)</f>
        <v>559.17527645996108</v>
      </c>
      <c r="J112" s="100">
        <f>SUM(AZ$49:AZ$70)+SUM(BB$49:BB$70)+SUM(BD$49:BD$70)+SUM(BF$49:BF$70)</f>
        <v>610.46078440833401</v>
      </c>
      <c r="K112" s="100">
        <f>SUM(BH$49:BH$70)+SUM(BJ$49:BJ$70)+SUM(BL$49:BL$70)+SUM(BN$49:BN$70)</f>
        <v>418.23407569760616</v>
      </c>
      <c r="L112" s="100">
        <f>SUM(BP$49:BP$70)+SUM(BR$49:BR$70)+SUM(BT$49:BT$70)+SUM(BV$49:BV$70)</f>
        <v>440.99885845713351</v>
      </c>
      <c r="M112" s="100">
        <f>SUM(BX$49:BX$70)+SUM(BZ$49:BZ$70)+SUM(CB$49:CB$70)+SUM(CD$49:CD$70)</f>
        <v>535.2977317401494</v>
      </c>
      <c r="N112" s="100">
        <f>SUM(CF$49:CF$70)+SUM(CH$49:CH$70)+SUM(CJ$49:CJ$70)+SUM(CL$49:CL$70)</f>
        <v>468.11494265483248</v>
      </c>
      <c r="O112" s="100">
        <f>SUM(CN$49:CN$70)+SUM(CP$49:CP$70)+SUM(CR$49:CR$70)+SUM(CT$49:CT$70)</f>
        <v>563.03054256587711</v>
      </c>
    </row>
    <row r="113" spans="2:15">
      <c r="C113" s="99" t="s">
        <v>130</v>
      </c>
      <c r="D113" s="100">
        <f>SUM(D$71:D$86)+SUM(F$71:F$86)+SUM(H$71:H$86)+SUM(J$71:J$86)</f>
        <v>363.67837231181323</v>
      </c>
      <c r="E113" s="100">
        <f>SUM(L$71:L$86)+SUM(N$71:N$86)+SUM(P$71:P$86)+SUM(R$71:R$86)</f>
        <v>321.33760188871554</v>
      </c>
      <c r="F113" s="100">
        <f>SUM(T$71:T$86)+SUM(V$71:V$86)+SUM(X$71:X$86)+SUM(Z$71:Z$86)</f>
        <v>307.58180895343156</v>
      </c>
      <c r="G113" s="100">
        <f>SUM(AB$71:AB$86)+SUM(AD$71:AD$86)+SUM(AF$71:AF$86)+SUM(AH$71:AH$86)</f>
        <v>205.31280705053132</v>
      </c>
      <c r="H113" s="100">
        <f>SUM(AJ$71:AJ$86)+SUM(AL$71:AL$86)+SUM(AN$71:AN$86)+SUM(AP$71:AP$86)</f>
        <v>341.27302568066307</v>
      </c>
      <c r="I113" s="100">
        <f>SUM(AR$71:AR$86)+SUM(AT$71:AT$86)+SUM(AV$71:AV$86)+SUM(AX$71:AX$86)</f>
        <v>333.79914123482712</v>
      </c>
      <c r="J113" s="100">
        <f>SUM(AZ$71:AZ$86)+SUM(BB$71:BB$86)+SUM(BD$71:BD$86)+SUM(BF$71:BF$86)</f>
        <v>252.99780119825996</v>
      </c>
      <c r="K113" s="100">
        <f>SUM(BH$71:BH$86)+SUM(BJ$71:BJ$86)+SUM(BL$71:BL$86)+SUM(BN$71:BN$86)</f>
        <v>203.14425830557838</v>
      </c>
      <c r="L113" s="100">
        <f>SUM(BP$71:BP$86)+SUM(BR$71:BR$86)+SUM(BT$71:BT$86)+SUM(BV$71:BV$86)</f>
        <v>261.7402443333815</v>
      </c>
      <c r="M113" s="100">
        <f>SUM(BX$71:BX$86)+SUM(BZ$71:BZ$86)+SUM(CB$71:CB$86)+SUM(CD$71:CD$86)</f>
        <v>437.19661537324464</v>
      </c>
      <c r="N113" s="100">
        <f>SUM(CF$71:CF$86)+SUM(CH$71:CH$86)+SUM(CJ$71:CJ$86)+SUM(CL$71:CL$86)</f>
        <v>381.51464744412488</v>
      </c>
      <c r="O113" s="100">
        <f>SUM(CN$71:CN$86)+SUM(CP$71:CP$86)+SUM(CR$71:CR$86)+SUM(CT$71:CT$86)</f>
        <v>357.71681597066282</v>
      </c>
    </row>
    <row r="114" spans="2:15">
      <c r="C114" s="99" t="s">
        <v>131</v>
      </c>
      <c r="D114" s="100">
        <f>SUM(D$87:D$94)+SUM(F$87:F$94)+SUM(H$87:H$94)+SUM(J$87:J$94)</f>
        <v>109.9167226139116</v>
      </c>
      <c r="E114" s="100">
        <f>SUM(L$87:L$94)+SUM(N$87:N$94)+SUM(P$87:P$94)+SUM(R$87:R$94)</f>
        <v>152.94095341554237</v>
      </c>
      <c r="F114" s="100">
        <f>SUM(T$87:T$94)+SUM(V$87:V$94)+SUM(X$87:X$94)+SUM(Z$87:Z$94)</f>
        <v>121.97580538001264</v>
      </c>
      <c r="G114" s="100">
        <f>SUM(AB$87:AB$94)+SUM(AD$87:AD$94)+SUM(AF$87:AF$94)+SUM(AH$87:AH$94)</f>
        <v>76.128108559566428</v>
      </c>
      <c r="H114" s="100">
        <f>SUM(AJ$87:AJ$94)+SUM(AL$87:AL$94)+SUM(AN$87:AN$94)+SUM(AP$87:AP$94)</f>
        <v>92.752907688520366</v>
      </c>
      <c r="I114" s="100">
        <f>SUM(AR$87:AR$94)+SUM(AT$87:AT$94)+SUM(AV$87:AV$94)+SUM(AX$87:AX$94)</f>
        <v>179.91292028812853</v>
      </c>
      <c r="J114" s="100">
        <f>SUM(AZ$87:AZ$94)+SUM(BB$87:BB$94)+SUM(BD$87:BD$94)+SUM(BF$87:BF$94)</f>
        <v>56.578745670198899</v>
      </c>
      <c r="K114" s="100">
        <f>SUM(BH$87:BH$94)+SUM(BJ$87:BJ$94)+SUM(BL$87:BL$94)+SUM(BN$87:BN$94)</f>
        <v>66.125973759351041</v>
      </c>
      <c r="L114" s="100">
        <f>SUM(BP$87:BP$94)+SUM(BR$87:BR$94)+SUM(BT$87:BT$94)+SUM(BV$87:BV$94)</f>
        <v>163.54203627485023</v>
      </c>
      <c r="M114" s="100">
        <f>SUM(BX$87:BX$94)+SUM(BZ$87:BZ$94)+SUM(CB$87:CB$94)+SUM(CD$87:CD$94)</f>
        <v>128.93786203787869</v>
      </c>
      <c r="N114" s="100">
        <f>SUM(CF$87:CF$94)+SUM(CH$87:CH$94)+SUM(CJ$87:CJ$94)+SUM(CL$87:CL$94)</f>
        <v>156.66637259076902</v>
      </c>
      <c r="O114" s="100">
        <f>SUM(CN$87:CN$94)+SUM(CP$87:CP$94)+SUM(CR$87:CR$94)+SUM(CT$87:CT$94)</f>
        <v>123.44987263960611</v>
      </c>
    </row>
    <row r="115" spans="2:15">
      <c r="C115" s="99" t="s">
        <v>132</v>
      </c>
      <c r="D115" s="100">
        <f>SUM(D$95:D$105)+SUM(F$95:F$105)+SUM(H$95:H$105)+SUM(J$95:J$105)</f>
        <v>229.44987248220821</v>
      </c>
      <c r="E115" s="100">
        <f>SUM(L$95:L$105)+SUM(N$95:N$105)+SUM(P$95:P$105)+SUM(R$95:R$105)</f>
        <v>296.57230750392989</v>
      </c>
      <c r="F115" s="100">
        <f>SUM(T$95:T$105)+SUM(V$95:V$105)+SUM(X$95:X$105)+SUM(Z$95:Z$105)</f>
        <v>214.64470702089028</v>
      </c>
      <c r="G115" s="100">
        <f>SUM(AB$95:AB$105)+SUM(AD$95:AD$105)+SUM(AF$95:AF$105)+SUM(AH$95:AH$105)</f>
        <v>147.39139190388306</v>
      </c>
      <c r="H115" s="100">
        <f>SUM(AJ$95:AJ$105)+SUM(AL$95:AL$105)+SUM(AN$95:AN$105)+SUM(AP$95:AP$105)</f>
        <v>225.13034352542485</v>
      </c>
      <c r="I115" s="100">
        <f>SUM(AR$95:AR$105)+SUM(AT$95:AT$105)+SUM(AV$95:AV$105)+SUM(AX$95:AX$105)</f>
        <v>342.74404199079487</v>
      </c>
      <c r="J115" s="100">
        <f>SUM(AZ$95:AZ$105)+SUM(BB$95:BB$105)+SUM(BD$95:BD$105)+SUM(BF$95:BF$105)</f>
        <v>165.76849964668614</v>
      </c>
      <c r="K115" s="100">
        <f>SUM(BH$95:BH$105)+SUM(BJ$95:BJ$105)+SUM(BL$95:BL$105)+SUM(BN$95:BN$105)</f>
        <v>159.98506460177981</v>
      </c>
      <c r="L115" s="100">
        <f>SUM(BP$95:BP$105)+SUM(BR$95:BR$105)+SUM(BT$95:BT$105)+SUM(BV$95:BV$105)</f>
        <v>296.41134377946901</v>
      </c>
      <c r="M115" s="100">
        <f>SUM(BX$95:BX$105)+SUM(BZ$95:BZ$105)+SUM(CB$95:CB$105)+SUM(CD$95:CD$105)</f>
        <v>321.49391309212672</v>
      </c>
      <c r="N115" s="100">
        <f>SUM(CF$95:CF$105)+SUM(CH$95:CH$105)+SUM(CJ$95:CJ$105)+SUM(CL$95:CL$105)</f>
        <v>271.62959627103891</v>
      </c>
      <c r="O115" s="100">
        <f>SUM(CN$95:CN$105)+SUM(CP$95:CP$105)+SUM(CR$95:CR$105)+SUM(CT$95:CT$105)</f>
        <v>227.61315676162039</v>
      </c>
    </row>
    <row r="116" spans="2:15">
      <c r="C116" s="99" t="s">
        <v>278</v>
      </c>
      <c r="D116" s="100">
        <f t="shared" ref="D116:O116" si="0">SUM(D$109:D$115)</f>
        <v>2598.5332488566082</v>
      </c>
      <c r="E116" s="100">
        <f t="shared" si="0"/>
        <v>2498.253395437554</v>
      </c>
      <c r="F116" s="100">
        <f t="shared" si="0"/>
        <v>2557.894132313857</v>
      </c>
      <c r="G116" s="100">
        <f t="shared" si="0"/>
        <v>2007.6158001448691</v>
      </c>
      <c r="H116" s="100">
        <f t="shared" si="0"/>
        <v>2840.8197659525531</v>
      </c>
      <c r="I116" s="100">
        <f t="shared" si="0"/>
        <v>2658.5685250564434</v>
      </c>
      <c r="J116" s="100">
        <f t="shared" si="0"/>
        <v>2378.5592675045018</v>
      </c>
      <c r="K116" s="100">
        <f t="shared" si="0"/>
        <v>2068.7709999260251</v>
      </c>
      <c r="L116" s="100">
        <f t="shared" si="0"/>
        <v>2553.5495356548954</v>
      </c>
      <c r="M116" s="100">
        <f t="shared" si="0"/>
        <v>2611.5578992735814</v>
      </c>
      <c r="N116" s="100">
        <f t="shared" si="0"/>
        <v>2381.6536033959492</v>
      </c>
      <c r="O116" s="100">
        <f t="shared" si="0"/>
        <v>2720.1347436341475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1524956.3932168444</v>
      </c>
      <c r="E120" s="100">
        <f>E109*pricing!E33*2000</f>
        <v>1539451.214728344</v>
      </c>
      <c r="F120" s="100">
        <f>F109*pricing!F33*2000</f>
        <v>1901036.7775884997</v>
      </c>
      <c r="G120" s="100">
        <f>G109*pricing!G33*2000</f>
        <v>1759535.4247578825</v>
      </c>
      <c r="H120" s="100">
        <f>H109*pricing!H33*2000</f>
        <v>1902093.0007085663</v>
      </c>
      <c r="I120" s="100">
        <f>I109*pricing!I33*2000</f>
        <v>1602248.3408697317</v>
      </c>
      <c r="J120" s="100">
        <f>J109*pricing!J33*2000</f>
        <v>1674604.9700169386</v>
      </c>
      <c r="K120" s="100">
        <f>K109*pricing!K33*2000</f>
        <v>1765957.3177220279</v>
      </c>
      <c r="L120" s="100">
        <f>L109*pricing!L33*2000</f>
        <v>1890903.2500973796</v>
      </c>
      <c r="M120" s="100">
        <f>M109*pricing!M33*2000</f>
        <v>1551303.5691384573</v>
      </c>
      <c r="N120" s="100">
        <f>N109*pricing!N33*2000</f>
        <v>1685917.3416122673</v>
      </c>
      <c r="O120" s="100">
        <f>O109*pricing!O33*2000</f>
        <v>1948597.9336217025</v>
      </c>
    </row>
    <row r="121" spans="2:15">
      <c r="C121" s="99" t="s">
        <v>127</v>
      </c>
      <c r="D121" s="100">
        <f>D110*pricing!D34*2000</f>
        <v>2217763.4430849557</v>
      </c>
      <c r="E121" s="100">
        <f>E110*pricing!E34*2000</f>
        <v>1868432.3515852415</v>
      </c>
      <c r="F121" s="100">
        <f>F110*pricing!F34*2000</f>
        <v>1965915.7034513331</v>
      </c>
      <c r="G121" s="100">
        <f>G110*pricing!G34*2000</f>
        <v>1872302.9936383204</v>
      </c>
      <c r="H121" s="100">
        <f>H110*pricing!H34*2000</f>
        <v>2558337.2395810666</v>
      </c>
      <c r="I121" s="100">
        <f>I110*pricing!I34*2000</f>
        <v>1965522.6749855059</v>
      </c>
      <c r="J121" s="100">
        <f>J110*pricing!J34*2000</f>
        <v>2076007.7746641717</v>
      </c>
      <c r="K121" s="100">
        <f>K110*pricing!K34*2000</f>
        <v>2059186.8506493915</v>
      </c>
      <c r="L121" s="100">
        <f>L110*pricing!L34*2000</f>
        <v>2591044.4190164721</v>
      </c>
      <c r="M121" s="100">
        <f>M110*pricing!M34*2000</f>
        <v>2026108.2453509476</v>
      </c>
      <c r="N121" s="100">
        <f>N110*pricing!N34*2000</f>
        <v>2055952.7196723931</v>
      </c>
      <c r="O121" s="100">
        <f>O110*pricing!O34*2000</f>
        <v>2031196.8523329191</v>
      </c>
    </row>
    <row r="122" spans="2:15">
      <c r="C122" s="99" t="s">
        <v>128</v>
      </c>
      <c r="D122" s="100">
        <f>D111*pricing!D35*2000</f>
        <v>2475663.6108756904</v>
      </c>
      <c r="E122" s="100">
        <f>E111*pricing!E35*2000</f>
        <v>2278604.1413116278</v>
      </c>
      <c r="F122" s="100">
        <f>F111*pricing!F35*2000</f>
        <v>2889848.368273986</v>
      </c>
      <c r="G122" s="100">
        <f>G111*pricing!G35*2000</f>
        <v>2058791.0004379386</v>
      </c>
      <c r="H122" s="100">
        <f>H111*pricing!H35*2000</f>
        <v>2731445.1308054631</v>
      </c>
      <c r="I122" s="100">
        <f>I111*pricing!I35*2000</f>
        <v>2469006.7542230198</v>
      </c>
      <c r="J122" s="100">
        <f>J111*pricing!J35*2000</f>
        <v>2530643.0127236326</v>
      </c>
      <c r="K122" s="100">
        <f>K111*pricing!K35*2000</f>
        <v>2140174.0768520255</v>
      </c>
      <c r="L122" s="100">
        <f>L111*pricing!L35*2000</f>
        <v>2304088.772767358</v>
      </c>
      <c r="M122" s="100">
        <f>M111*pricing!M35*2000</f>
        <v>2204538.2877225289</v>
      </c>
      <c r="N122" s="100">
        <f>N111*pricing!N35*2000</f>
        <v>1670709.1718609096</v>
      </c>
      <c r="O122" s="100">
        <f>O111*pricing!O35*2000</f>
        <v>3055811.6277806344</v>
      </c>
    </row>
    <row r="123" spans="2:15">
      <c r="C123" s="99" t="s">
        <v>129</v>
      </c>
      <c r="D123" s="100">
        <f>D112*pricing!D36*2000</f>
        <v>3064335.786170336</v>
      </c>
      <c r="E123" s="100">
        <f>E112*pricing!E36*2000</f>
        <v>2788567.5403032708</v>
      </c>
      <c r="F123" s="100">
        <f>F112*pricing!F36*2000</f>
        <v>2619271.4277953436</v>
      </c>
      <c r="G123" s="100">
        <f>G112*pricing!G36*2000</f>
        <v>2076586.0725889348</v>
      </c>
      <c r="H123" s="100">
        <f>H112*pricing!H36*2000</f>
        <v>3513223.4991462198</v>
      </c>
      <c r="I123" s="100">
        <f>I112*pricing!I36*2000</f>
        <v>2795876.3822998055</v>
      </c>
      <c r="J123" s="100">
        <f>J112*pricing!J36*2000</f>
        <v>3052303.92204167</v>
      </c>
      <c r="K123" s="100">
        <f>K112*pricing!K36*2000</f>
        <v>2091170.378488031</v>
      </c>
      <c r="L123" s="100">
        <f>L112*pricing!L36*2000</f>
        <v>2204994.2922856677</v>
      </c>
      <c r="M123" s="100">
        <f>M112*pricing!M36*2000</f>
        <v>2676488.6587007469</v>
      </c>
      <c r="N123" s="100">
        <f>N112*pricing!N36*2000</f>
        <v>2340574.7132741627</v>
      </c>
      <c r="O123" s="100">
        <f>O112*pricing!O36*2000</f>
        <v>2815152.7128293854</v>
      </c>
    </row>
    <row r="124" spans="2:15">
      <c r="C124" s="99" t="s">
        <v>130</v>
      </c>
      <c r="D124" s="100">
        <f>D113*pricing!D37*2000</f>
        <v>1891127.5360214289</v>
      </c>
      <c r="E124" s="100">
        <f>E113*pricing!E37*2000</f>
        <v>1670955.5298213209</v>
      </c>
      <c r="F124" s="100">
        <f>F113*pricing!F37*2000</f>
        <v>1599425.406557844</v>
      </c>
      <c r="G124" s="100">
        <f>G113*pricing!G37*2000</f>
        <v>1067626.596662763</v>
      </c>
      <c r="H124" s="100">
        <f>H113*pricing!H37*2000</f>
        <v>1774619.7335394479</v>
      </c>
      <c r="I124" s="100">
        <f>I113*pricing!I37*2000</f>
        <v>1735755.5344211012</v>
      </c>
      <c r="J124" s="100">
        <f>J113*pricing!J37*2000</f>
        <v>1315588.5662309518</v>
      </c>
      <c r="K124" s="100">
        <f>K113*pricing!K37*2000</f>
        <v>1056350.1431890076</v>
      </c>
      <c r="L124" s="100">
        <f>L113*pricing!L37*2000</f>
        <v>1361049.2705335838</v>
      </c>
      <c r="M124" s="100">
        <f>M113*pricing!M37*2000</f>
        <v>2273422.3999408721</v>
      </c>
      <c r="N124" s="100">
        <f>N113*pricing!N37*2000</f>
        <v>1983876.1667094494</v>
      </c>
      <c r="O124" s="100">
        <f>O113*pricing!O37*2000</f>
        <v>1860127.4430474469</v>
      </c>
    </row>
    <row r="125" spans="2:15">
      <c r="C125" s="99" t="s">
        <v>131</v>
      </c>
      <c r="D125" s="100">
        <f>D114*pricing!D38*2000</f>
        <v>615533.64663790492</v>
      </c>
      <c r="E125" s="100">
        <f>E114*pricing!E38*2000</f>
        <v>856469.33912703721</v>
      </c>
      <c r="F125" s="100">
        <f>F114*pricing!F38*2000</f>
        <v>683064.51012807072</v>
      </c>
      <c r="G125" s="100">
        <f>G114*pricing!G38*2000</f>
        <v>426317.40793357196</v>
      </c>
      <c r="H125" s="100">
        <f>H114*pricing!H38*2000</f>
        <v>519416.2830557141</v>
      </c>
      <c r="I125" s="100">
        <f>I114*pricing!I38*2000</f>
        <v>1007512.3536135197</v>
      </c>
      <c r="J125" s="100">
        <f>J114*pricing!J38*2000</f>
        <v>316840.9757531138</v>
      </c>
      <c r="K125" s="100">
        <f>K114*pricing!K38*2000</f>
        <v>370305.4530523658</v>
      </c>
      <c r="L125" s="100">
        <f>L114*pricing!L38*2000</f>
        <v>915835.4031391613</v>
      </c>
      <c r="M125" s="100">
        <f>M114*pricing!M38*2000</f>
        <v>722052.0274121206</v>
      </c>
      <c r="N125" s="100">
        <f>N114*pricing!N38*2000</f>
        <v>877331.68650830642</v>
      </c>
      <c r="O125" s="100">
        <f>O114*pricing!O38*2000</f>
        <v>691319.28678179416</v>
      </c>
    </row>
    <row r="126" spans="2:15">
      <c r="C126" s="99" t="s">
        <v>132</v>
      </c>
      <c r="D126" s="100">
        <f>D115*pricing!D39*2000</f>
        <v>1193139.3369074827</v>
      </c>
      <c r="E126" s="100">
        <f>E115*pricing!E39*2000</f>
        <v>1542175.9990204354</v>
      </c>
      <c r="F126" s="100">
        <f>F115*pricing!F39*2000</f>
        <v>1116152.4765086295</v>
      </c>
      <c r="G126" s="100">
        <f>G115*pricing!G39*2000</f>
        <v>766435.23790019192</v>
      </c>
      <c r="H126" s="100">
        <f>H115*pricing!H39*2000</f>
        <v>1170677.7863322094</v>
      </c>
      <c r="I126" s="100">
        <f>I115*pricing!I39*2000</f>
        <v>1782269.0183521335</v>
      </c>
      <c r="J126" s="100">
        <f>J115*pricing!J39*2000</f>
        <v>861996.19816276804</v>
      </c>
      <c r="K126" s="100">
        <f>K115*pricing!K39*2000</f>
        <v>831922.335929255</v>
      </c>
      <c r="L126" s="100">
        <f>L115*pricing!L39*2000</f>
        <v>1541338.9876532389</v>
      </c>
      <c r="M126" s="100">
        <f>M115*pricing!M39*2000</f>
        <v>1671768.348079059</v>
      </c>
      <c r="N126" s="100">
        <f>N115*pricing!N39*2000</f>
        <v>1412473.9006094025</v>
      </c>
      <c r="O126" s="100">
        <f>O115*pricing!O39*2000</f>
        <v>1183588.4151604262</v>
      </c>
    </row>
    <row r="127" spans="2:15">
      <c r="C127" s="99" t="s">
        <v>278</v>
      </c>
      <c r="D127" s="100">
        <f>SUM(D$120:D$126)</f>
        <v>12982519.752914641</v>
      </c>
      <c r="E127" s="100">
        <f t="shared" ref="E127:O127" si="1">SUM(E$120:E$126)</f>
        <v>12544656.115897277</v>
      </c>
      <c r="F127" s="100">
        <f t="shared" si="1"/>
        <v>12774714.67030371</v>
      </c>
      <c r="G127" s="100">
        <f t="shared" si="1"/>
        <v>10027594.733919604</v>
      </c>
      <c r="H127" s="100">
        <f t="shared" si="1"/>
        <v>14169812.673168685</v>
      </c>
      <c r="I127" s="100">
        <f t="shared" si="1"/>
        <v>13358191.058764819</v>
      </c>
      <c r="J127" s="100">
        <f t="shared" si="1"/>
        <v>11827985.419593245</v>
      </c>
      <c r="K127" s="100">
        <f t="shared" si="1"/>
        <v>10315066.555882104</v>
      </c>
      <c r="L127" s="100">
        <f t="shared" si="1"/>
        <v>12809254.395492861</v>
      </c>
      <c r="M127" s="100">
        <f t="shared" si="1"/>
        <v>13125681.536344733</v>
      </c>
      <c r="N127" s="100">
        <f t="shared" si="1"/>
        <v>12026835.700246891</v>
      </c>
      <c r="O127" s="100">
        <f t="shared" si="1"/>
        <v>13585794.271554308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141604.74129735105</v>
      </c>
      <c r="E131" s="106">
        <f>SUM(M$6:M$19)+SUM(O$6:O$19)+SUM(Q$6:Q$19)+SUM(S$6:S$19)</f>
        <v>144635.66658030826</v>
      </c>
      <c r="F131" s="106">
        <f>SUM(U$6:U$19)+SUM(W$6:W$19)+SUM(Y$6:Y$19)+SUM(AA$6:AA$19)</f>
        <v>177532.48765090783</v>
      </c>
      <c r="G131" s="106">
        <f>SUM(AC$6:AC$19)+SUM(AE$6:AE$19)+SUM(AG$6:AG$19)+SUM(AI$6:AI$19)</f>
        <v>163442.37305255432</v>
      </c>
      <c r="H131" s="106">
        <f>SUM(AK$6:AK$19)+SUM(AM$6:AM$19)+SUM(AO$6:AO$19)+SUM(AQ$6:AQ$19)</f>
        <v>178135.44763156245</v>
      </c>
      <c r="I131" s="106">
        <f>SUM(AS$6:AS$19)+SUM(AU$6:AU$19)+SUM(AW$6:AW$19)+SUM(AY$6:AY$19)</f>
        <v>148824.28258371996</v>
      </c>
      <c r="J131" s="106">
        <f>SUM(BA$6:BA$19)+SUM(BC$6:BC$19)+SUM(BE$6:BE$19)+SUM(BG$6:BG$19)</f>
        <v>156005.30499673969</v>
      </c>
      <c r="K131" s="106">
        <f>SUM(BI$6:BI$19)+SUM(BK$6:BK$19)+SUM(BM$6:BM$19)+SUM(BO$6:BO$19)</f>
        <v>164196.87974924839</v>
      </c>
      <c r="L131" s="106">
        <f>SUM(BQ$6:BQ$19)+SUM(BS$6:BS$19)+SUM(BU$6:BU$19)+SUM(BW$6:BW$19)</f>
        <v>176182.96708014142</v>
      </c>
      <c r="M131" s="106">
        <f>SUM(BY$6:BY$19)+SUM(CA$6:CA$19)+SUM(CC$6:CC$19)+SUM(CE$6:CE$19)</f>
        <v>145017.69692102843</v>
      </c>
      <c r="N131" s="106">
        <f>SUM(CG$6:CG$19)+SUM(CI$6:CI$19)+SUM(CK$6:CK$19)+SUM(CM$6:CM$19)</f>
        <v>156791.27897486193</v>
      </c>
      <c r="O131" s="106">
        <f>SUM(CO$6:CO$19)+SUM(CQ$6:CQ$19)+SUM(CS$6:CS$19)+SUM(CU$6:CU$19)</f>
        <v>182020.35262831725</v>
      </c>
    </row>
    <row r="132" spans="2:15">
      <c r="C132" s="105" t="s">
        <v>127</v>
      </c>
      <c r="D132" s="106">
        <f>SUM(E$20:E$36)+SUM(G$20:G$36)+SUM(I$20:I$36)+SUM(K$20:K$36)</f>
        <v>196232.70580642173</v>
      </c>
      <c r="E132" s="106">
        <f>SUM(M$20:M$36)+SUM(O$20:O$36)+SUM(Q$20:Q$36)+SUM(S$20:S$36)</f>
        <v>166397.22560790024</v>
      </c>
      <c r="F132" s="106">
        <f>SUM(U$20:U$36)+SUM(W$20:W$36)+SUM(Y$20:Y$36)+SUM(AA$20:AA$36)</f>
        <v>175454.35430327582</v>
      </c>
      <c r="G132" s="106">
        <f>SUM(AC$20:AC$36)+SUM(AE$20:AE$36)+SUM(AG$20:AG$36)+SUM(AI$20:AI$36)</f>
        <v>166263.3337350068</v>
      </c>
      <c r="H132" s="106">
        <f>SUM(AK$20:AK$36)+SUM(AM$20:AM$36)+SUM(AO$20:AO$36)+SUM(AQ$20:AQ$36)</f>
        <v>227319.18310556642</v>
      </c>
      <c r="I132" s="106">
        <f>SUM(AS$20:AS$36)+SUM(AU$20:AU$36)+SUM(AW$20:AW$36)+SUM(AY$20:AY$36)</f>
        <v>174464.39459002897</v>
      </c>
      <c r="J132" s="106">
        <f>SUM(BA$20:BA$36)+SUM(BC$20:BC$36)+SUM(BE$20:BE$36)+SUM(BG$20:BG$36)</f>
        <v>185076.30512373781</v>
      </c>
      <c r="K132" s="106">
        <f>SUM(BI$20:BI$36)+SUM(BK$20:BK$36)+SUM(BM$20:BM$36)+SUM(BO$20:BO$36)</f>
        <v>182665.81485909448</v>
      </c>
      <c r="L132" s="106">
        <f>SUM(BQ$20:BQ$36)+SUM(BS$20:BS$36)+SUM(BU$20:BU$36)+SUM(BW$20:BW$36)</f>
        <v>229886.43289323524</v>
      </c>
      <c r="M132" s="106">
        <f>SUM(BY$20:BY$36)+SUM(CA$20:CA$36)+SUM(CC$20:CC$36)+SUM(CE$20:CE$36)</f>
        <v>180762.36859933301</v>
      </c>
      <c r="N132" s="106">
        <f>SUM(CG$20:CG$36)+SUM(CI$20:CI$36)+SUM(CK$20:CK$36)+SUM(CM$20:CM$36)</f>
        <v>182066.59283723857</v>
      </c>
      <c r="O132" s="106">
        <f>SUM(CO$20:CO$36)+SUM(CQ$20:CQ$36)+SUM(CS$20:CS$36)+SUM(CU$20:CU$36)</f>
        <v>179853.59393921818</v>
      </c>
    </row>
    <row r="133" spans="2:15">
      <c r="C133" s="105" t="s">
        <v>128</v>
      </c>
      <c r="D133" s="106">
        <f>SUM(E$37:E$48)+SUM(G$37:G$48)+SUM(I$37:I$48)+SUM(K$37:K$48)</f>
        <v>562975.0855445721</v>
      </c>
      <c r="E133" s="106">
        <f>SUM(M$37:M$48)+SUM(O$37:O$48)+SUM(Q$37:Q$48)+SUM(S$37:S$48)</f>
        <v>519787.46384802484</v>
      </c>
      <c r="F133" s="106">
        <f>SUM(U$37:U$48)+SUM(W$37:W$48)+SUM(Y$37:Y$48)+SUM(AA$37:AA$48)</f>
        <v>655155.27721855696</v>
      </c>
      <c r="G133" s="106">
        <f>SUM(AC$37:AC$48)+SUM(AE$37:AE$48)+SUM(AG$37:AG$48)+SUM(AI$37:AI$48)</f>
        <v>469317.3795748034</v>
      </c>
      <c r="H133" s="106">
        <f>SUM(AK$37:AK$48)+SUM(AM$37:AM$48)+SUM(AO$37:AO$48)+SUM(AQ$37:AQ$48)</f>
        <v>620922.15082395822</v>
      </c>
      <c r="I133" s="106">
        <f>SUM(AS$37:AS$48)+SUM(AU$37:AU$48)+SUM(AW$37:AW$48)+SUM(AY$37:AY$48)</f>
        <v>561140.37865359627</v>
      </c>
      <c r="J133" s="106">
        <f>SUM(BA$37:BA$48)+SUM(BC$37:BC$48)+SUM(BE$37:BE$48)+SUM(BG$37:BG$48)</f>
        <v>576530.7464425331</v>
      </c>
      <c r="K133" s="106">
        <f>SUM(BI$37:BI$48)+SUM(BK$37:BK$48)+SUM(BM$37:BM$48)+SUM(BO$37:BO$48)</f>
        <v>487739.51417062408</v>
      </c>
      <c r="L133" s="106">
        <f>SUM(BQ$37:BQ$48)+SUM(BS$37:BS$48)+SUM(BU$37:BU$48)+SUM(BW$37:BW$48)</f>
        <v>526432.32161826419</v>
      </c>
      <c r="M133" s="106">
        <f>SUM(BY$37:BY$48)+SUM(CA$37:CA$48)+SUM(CC$37:CC$48)+SUM(CE$37:CE$48)</f>
        <v>502114.82215419679</v>
      </c>
      <c r="N133" s="106">
        <f>SUM(CG$37:CG$48)+SUM(CI$37:CI$48)+SUM(CK$37:CK$48)+SUM(CM$37:CM$48)</f>
        <v>380882.31687390967</v>
      </c>
      <c r="O133" s="106">
        <f>SUM(CO$37:CO$48)+SUM(CQ$37:CQ$48)+SUM(CS$37:CS$48)+SUM(CU$37:CU$48)</f>
        <v>697829.738095426</v>
      </c>
    </row>
    <row r="134" spans="2:15">
      <c r="C134" s="105" t="s">
        <v>129</v>
      </c>
      <c r="D134" s="106">
        <f>SUM(E$49:E$70)+SUM(G$49:G$70)+SUM(I$49:I$70)+SUM(K$49:K$70)</f>
        <v>501107.14108924475</v>
      </c>
      <c r="E134" s="106">
        <f>SUM(M$49:M$70)+SUM(O$49:O$70)+SUM(Q$49:Q$70)+SUM(S$49:S$70)</f>
        <v>466295.96014105529</v>
      </c>
      <c r="F134" s="106">
        <f>SUM(U$49:U$70)+SUM(W$49:W$70)+SUM(Y$49:Y$70)+SUM(AA$49:AA$70)</f>
        <v>430826.35227561009</v>
      </c>
      <c r="G134" s="106">
        <f>SUM(AC$49:AC$70)+SUM(AE$49:AE$70)+SUM(AG$49:AG$70)+SUM(AI$49:AI$70)</f>
        <v>334855.43364281161</v>
      </c>
      <c r="H134" s="106">
        <f>SUM(AK$49:AK$70)+SUM(AM$49:AM$70)+SUM(AO$49:AO$70)+SUM(AQ$49:AQ$70)</f>
        <v>576115.21413543518</v>
      </c>
      <c r="I134" s="106">
        <f>SUM(AS$49:AS$70)+SUM(AU$49:AU$70)+SUM(AW$49:AW$70)+SUM(AY$49:AY$70)</f>
        <v>473529.08404226066</v>
      </c>
      <c r="J134" s="106">
        <f>SUM(BA$49:BA$70)+SUM(BC$49:BC$70)+SUM(BE$49:BE$70)+SUM(BG$49:BG$70)</f>
        <v>491904.93606241327</v>
      </c>
      <c r="K134" s="106">
        <f>SUM(BI$49:BI$70)+SUM(BK$49:BK$70)+SUM(BM$49:BM$70)+SUM(BO$49:BO$70)</f>
        <v>340116.18059308256</v>
      </c>
      <c r="L134" s="106">
        <f>SUM(BQ$49:BQ$70)+SUM(BS$49:BS$70)+SUM(BU$49:BU$70)+SUM(BW$49:BW$70)</f>
        <v>366360.02981307829</v>
      </c>
      <c r="M134" s="106">
        <f>SUM(BY$49:BY$70)+SUM(CA$49:CA$70)+SUM(CC$49:CC$70)+SUM(CE$49:CE$70)</f>
        <v>451891.73957632855</v>
      </c>
      <c r="N134" s="106">
        <f>SUM(CG$49:CG$70)+SUM(CI$49:CI$70)+SUM(CK$49:CK$70)+SUM(CM$49:CM$70)</f>
        <v>397834.50183536333</v>
      </c>
      <c r="O134" s="106">
        <f>SUM(CO$49:CO$70)+SUM(CQ$49:CQ$70)+SUM(CS$49:CS$70)+SUM(CU$49:CU$70)</f>
        <v>465184.59141966479</v>
      </c>
    </row>
    <row r="135" spans="2:15">
      <c r="C135" s="105" t="s">
        <v>130</v>
      </c>
      <c r="D135" s="106">
        <f>SUM(E$71:E$86)+SUM(G$71:G$86)+SUM(I$71:I$86)+SUM(K$71:K$86)</f>
        <v>202882.75802078968</v>
      </c>
      <c r="E135" s="106">
        <f>SUM(M$71:M$86)+SUM(O$71:O$86)+SUM(Q$71:Q$86)+SUM(S$71:S$86)</f>
        <v>178395.395175274</v>
      </c>
      <c r="F135" s="106">
        <f>SUM(U$71:U$86)+SUM(W$71:W$86)+SUM(Y$71:Y$86)+SUM(AA$71:AA$86)</f>
        <v>172148.07388614881</v>
      </c>
      <c r="G135" s="106">
        <f>SUM(AC$71:AC$86)+SUM(AE$71:AE$86)+SUM(AG$71:AG$86)+SUM(AI$71:AI$86)</f>
        <v>114315.74932159952</v>
      </c>
      <c r="H135" s="106">
        <f>SUM(AK$71:AK$86)+SUM(AM$71:AM$86)+SUM(AO$71:AO$86)+SUM(AQ$71:AQ$86)</f>
        <v>190047.5450859346</v>
      </c>
      <c r="I135" s="106">
        <f>SUM(AS$71:AS$86)+SUM(AU$71:AU$86)+SUM(AW$71:AW$86)+SUM(AY$71:AY$86)</f>
        <v>184791.18928700962</v>
      </c>
      <c r="J135" s="106">
        <f>SUM(BA$71:BA$86)+SUM(BC$71:BC$86)+SUM(BE$71:BE$86)+SUM(BG$71:BG$86)</f>
        <v>141907.64184704827</v>
      </c>
      <c r="K135" s="106">
        <f>SUM(BI$71:BI$86)+SUM(BK$71:BK$86)+SUM(BM$71:BM$86)+SUM(BO$71:BO$86)</f>
        <v>114081.0562860606</v>
      </c>
      <c r="L135" s="106">
        <f>SUM(BQ$71:BQ$86)+SUM(BS$71:BS$86)+SUM(BU$71:BU$86)+SUM(BW$71:BW$86)</f>
        <v>145966.87448612106</v>
      </c>
      <c r="M135" s="106">
        <f>SUM(BY$71:BY$86)+SUM(CA$71:CA$86)+SUM(CC$71:CC$86)+SUM(CE$71:CE$86)</f>
        <v>243900.53177559629</v>
      </c>
      <c r="N135" s="106">
        <f>SUM(CG$71:CG$86)+SUM(CI$71:CI$86)+SUM(CK$71:CK$86)+SUM(CM$71:CM$86)</f>
        <v>212251.2141525319</v>
      </c>
      <c r="O135" s="106">
        <f>SUM(CO$71:CO$86)+SUM(CQ$71:CQ$86)+SUM(CS$71:CS$86)+SUM(CU$71:CU$86)</f>
        <v>200505.34305265901</v>
      </c>
    </row>
    <row r="136" spans="2:15">
      <c r="C136" s="105" t="s">
        <v>131</v>
      </c>
      <c r="D136" s="106">
        <f>SUM(E$87:E$94)+SUM(G$87:G$94)+SUM(I$87:I$94)+SUM(K$87:K$94)</f>
        <v>110503.15135494102</v>
      </c>
      <c r="E136" s="106">
        <f>SUM(M$87:M$94)+SUM(O$87:O$94)+SUM(Q$87:Q$94)+SUM(S$87:S$94)</f>
        <v>152802.55191139891</v>
      </c>
      <c r="F136" s="106">
        <f>SUM(U$87:U$94)+SUM(W$87:W$94)+SUM(Y$87:Y$94)+SUM(AA$87:AA$94)</f>
        <v>122044.85687320834</v>
      </c>
      <c r="G136" s="106">
        <f>SUM(AC$87:AC$94)+SUM(AE$87:AE$94)+SUM(AG$87:AG$94)+SUM(AI$87:AI$94)</f>
        <v>76201.612727204512</v>
      </c>
      <c r="H136" s="106">
        <f>SUM(AK$87:AK$94)+SUM(AM$87:AM$94)+SUM(AO$87:AO$94)+SUM(AQ$87:AQ$94)</f>
        <v>92632.831074374946</v>
      </c>
      <c r="I136" s="106">
        <f>SUM(AS$87:AS$94)+SUM(AU$87:AU$94)+SUM(AW$87:AW$94)+SUM(AY$87:AY$94)</f>
        <v>180681.60886473564</v>
      </c>
      <c r="J136" s="106">
        <f>SUM(BA$87:BA$94)+SUM(BC$87:BC$94)+SUM(BE$87:BE$94)+SUM(BG$87:BG$94)</f>
        <v>56963.843782198899</v>
      </c>
      <c r="K136" s="106">
        <f>SUM(BI$87:BI$94)+SUM(BK$87:BK$94)+SUM(BM$87:BM$94)+SUM(BO$87:BO$94)</f>
        <v>66417.578354938727</v>
      </c>
      <c r="L136" s="106">
        <f>SUM(BQ$87:BQ$94)+SUM(BS$87:BS$94)+SUM(BU$87:BU$94)+SUM(BW$87:BW$94)</f>
        <v>164544.31164001804</v>
      </c>
      <c r="M136" s="106">
        <f>SUM(BY$87:BY$94)+SUM(CA$87:CA$94)+SUM(CC$87:CC$94)+SUM(CE$87:CE$94)</f>
        <v>129606.02059001088</v>
      </c>
      <c r="N136" s="106">
        <f>SUM(CG$87:CG$94)+SUM(CI$87:CI$94)+SUM(CK$87:CK$94)+SUM(CM$87:CM$94)</f>
        <v>156636.95644478811</v>
      </c>
      <c r="O136" s="106">
        <f>SUM(CO$87:CO$94)+SUM(CQ$87:CQ$94)+SUM(CS$87:CS$94)+SUM(CU$87:CU$94)</f>
        <v>124433.00860487499</v>
      </c>
    </row>
    <row r="137" spans="2:15">
      <c r="C137" s="105" t="s">
        <v>132</v>
      </c>
      <c r="D137" s="106">
        <f>SUM(E$95:E$105)+SUM(G$95:G$105)+SUM(I$95:I$105)+SUM(K$95:K$105)</f>
        <v>180637.23937281399</v>
      </c>
      <c r="E137" s="106">
        <f>SUM(M$95:M$105)+SUM(O$95:O$105)+SUM(Q$95:Q$105)+SUM(S$95:S$105)</f>
        <v>231441.44123925309</v>
      </c>
      <c r="F137" s="106">
        <f>SUM(U$95:U$105)+SUM(W$95:W$105)+SUM(Y$95:Y$105)+SUM(AA$95:AA$105)</f>
        <v>165372.65709284469</v>
      </c>
      <c r="G137" s="106">
        <f>SUM(AC$95:AC$105)+SUM(AE$95:AE$105)+SUM(AG$95:AG$105)+SUM(AI$95:AI$105)</f>
        <v>115526.12494177013</v>
      </c>
      <c r="H137" s="106">
        <f>SUM(AK$95:AK$105)+SUM(AM$95:AM$105)+SUM(AO$95:AO$105)+SUM(AQ$95:AQ$105)</f>
        <v>176340.91049686659</v>
      </c>
      <c r="I137" s="106">
        <f>SUM(AS$95:AS$105)+SUM(AU$95:AU$105)+SUM(AW$95:AW$105)+SUM(AY$95:AY$105)</f>
        <v>261914.94619164904</v>
      </c>
      <c r="J137" s="106">
        <f>SUM(BA$95:BA$105)+SUM(BC$95:BC$105)+SUM(BE$95:BE$105)+SUM(BG$95:BG$105)</f>
        <v>131406.40770599683</v>
      </c>
      <c r="K137" s="106">
        <f>SUM(BI$95:BI$105)+SUM(BK$95:BK$105)+SUM(BM$95:BM$105)+SUM(BO$95:BO$105)</f>
        <v>125549.11804435789</v>
      </c>
      <c r="L137" s="106">
        <f>SUM(BQ$95:BQ$105)+SUM(BS$95:BS$105)+SUM(BU$95:BU$105)+SUM(BW$95:BW$105)</f>
        <v>229688.05516534726</v>
      </c>
      <c r="M137" s="106">
        <f>SUM(BY$95:BY$105)+SUM(CA$95:CA$105)+SUM(CC$95:CC$105)+SUM(CE$95:CE$105)</f>
        <v>250876.8442014468</v>
      </c>
      <c r="N137" s="106">
        <f>SUM(CG$95:CG$105)+SUM(CI$95:CI$105)+SUM(CK$95:CK$105)+SUM(CM$95:CM$105)</f>
        <v>210542.32498785661</v>
      </c>
      <c r="O137" s="106">
        <f>SUM(CO$95:CO$105)+SUM(CQ$95:CQ$105)+SUM(CS$95:CS$105)+SUM(CU$95:CU$105)</f>
        <v>178463.9218013348</v>
      </c>
    </row>
    <row r="138" spans="2:15">
      <c r="C138" s="105" t="s">
        <v>278</v>
      </c>
      <c r="D138" s="100">
        <f t="shared" ref="D138:O138" si="2">SUM(D$131:D$137)</f>
        <v>1895942.8224861345</v>
      </c>
      <c r="E138" s="100">
        <f t="shared" si="2"/>
        <v>1859755.7045032147</v>
      </c>
      <c r="F138" s="100">
        <f t="shared" si="2"/>
        <v>1898534.0593005526</v>
      </c>
      <c r="G138" s="100">
        <f t="shared" si="2"/>
        <v>1439922.0069957504</v>
      </c>
      <c r="H138" s="100">
        <f t="shared" si="2"/>
        <v>2061513.2823536985</v>
      </c>
      <c r="I138" s="100">
        <f t="shared" si="2"/>
        <v>1985345.8842130001</v>
      </c>
      <c r="J138" s="100">
        <f t="shared" si="2"/>
        <v>1739795.1859606679</v>
      </c>
      <c r="K138" s="100">
        <f t="shared" si="2"/>
        <v>1480766.1420574067</v>
      </c>
      <c r="L138" s="100">
        <f t="shared" si="2"/>
        <v>1839060.9926962056</v>
      </c>
      <c r="M138" s="100">
        <f t="shared" si="2"/>
        <v>1904170.0238179406</v>
      </c>
      <c r="N138" s="100">
        <f t="shared" si="2"/>
        <v>1697005.18610655</v>
      </c>
      <c r="O138" s="100">
        <f t="shared" si="2"/>
        <v>2028290.5495414948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2015-01-12T20:35:33Z</dcterms:modified>
</cp:coreProperties>
</file>