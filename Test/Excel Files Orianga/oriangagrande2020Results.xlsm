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S8" i="20"/>
  <c r="H40" i="20"/>
  <c r="H39" i="20"/>
  <c r="S39" i="20"/>
  <c r="H38" i="20"/>
  <c r="H35" i="20"/>
  <c r="S42" i="20"/>
  <c r="T43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8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H9" i="20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H7" i="20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S7" i="20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S31" i="20"/>
  <c r="T32" i="20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260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260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H260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E259" i="14"/>
  <c r="AF14" i="14"/>
  <c r="AE181" i="14"/>
  <c r="AE179" i="14"/>
  <c r="AE177" i="14"/>
  <c r="AE175" i="14"/>
  <c r="AE14" i="14"/>
  <c r="AD259" i="14"/>
  <c r="AD181" i="14"/>
  <c r="AD179" i="14"/>
  <c r="AD177" i="14"/>
  <c r="AD175" i="14"/>
  <c r="AC259" i="14"/>
  <c r="AD14" i="14"/>
  <c r="AC181" i="14"/>
  <c r="AC179" i="14"/>
  <c r="AC177" i="14"/>
  <c r="AC260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Y259" i="14"/>
  <c r="Z14" i="14"/>
  <c r="Y181" i="14"/>
  <c r="Y179" i="14"/>
  <c r="Y177" i="14"/>
  <c r="Y260" i="14"/>
  <c r="Y175" i="14"/>
  <c r="Y14" i="14"/>
  <c r="X259" i="14"/>
  <c r="X181" i="14"/>
  <c r="X179" i="14"/>
  <c r="X177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M259" i="14"/>
  <c r="N14" i="14"/>
  <c r="M181" i="14"/>
  <c r="M179" i="14"/>
  <c r="M177" i="14"/>
  <c r="M260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59" i="14"/>
  <c r="F14" i="14"/>
  <c r="E181" i="14"/>
  <c r="E179" i="14"/>
  <c r="E177" i="14"/>
  <c r="E260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U259" i="15"/>
  <c r="AV14" i="15"/>
  <c r="AU181" i="15"/>
  <c r="AU179" i="15"/>
  <c r="AU177" i="15"/>
  <c r="AU175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260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177" i="15"/>
  <c r="AO260" i="15"/>
  <c r="AO175" i="15"/>
  <c r="AO14" i="15"/>
  <c r="AN259" i="15"/>
  <c r="AN181" i="15"/>
  <c r="AN179" i="15"/>
  <c r="AN177" i="15"/>
  <c r="AN175" i="15"/>
  <c r="AM259" i="15"/>
  <c r="AN14" i="15"/>
  <c r="AM181" i="15"/>
  <c r="AM179" i="15"/>
  <c r="AM177" i="15"/>
  <c r="AM175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260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260" i="15"/>
  <c r="AG175" i="15"/>
  <c r="AG14" i="15"/>
  <c r="AF259" i="15"/>
  <c r="AF181" i="15"/>
  <c r="AF179" i="15"/>
  <c r="AF177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260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59" i="15"/>
  <c r="Z14" i="15"/>
  <c r="Y181" i="15"/>
  <c r="Y179" i="15"/>
  <c r="Y177" i="15"/>
  <c r="Y260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177" i="15"/>
  <c r="U260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260" i="15"/>
  <c r="Q175" i="15"/>
  <c r="Q14" i="15"/>
  <c r="P259" i="15"/>
  <c r="P181" i="15"/>
  <c r="P179" i="15"/>
  <c r="P177" i="15"/>
  <c r="P175" i="15"/>
  <c r="P260" i="15"/>
  <c r="O259" i="15"/>
  <c r="P14" i="15"/>
  <c r="O181" i="15"/>
  <c r="O179" i="15"/>
  <c r="O177" i="15"/>
  <c r="O175" i="15"/>
  <c r="O14" i="15"/>
  <c r="N259" i="15"/>
  <c r="N181" i="15"/>
  <c r="N179" i="15"/>
  <c r="N177" i="15"/>
  <c r="N175" i="15"/>
  <c r="M259" i="15"/>
  <c r="N14" i="15"/>
  <c r="M181" i="15"/>
  <c r="M179" i="15"/>
  <c r="M177" i="15"/>
  <c r="M260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59" i="15"/>
  <c r="J14" i="15"/>
  <c r="I181" i="15"/>
  <c r="I179" i="15"/>
  <c r="I177" i="15"/>
  <c r="I260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E259" i="15"/>
  <c r="F14" i="15"/>
  <c r="E181" i="15"/>
  <c r="E179" i="15"/>
  <c r="E260" i="15"/>
  <c r="E177" i="15"/>
  <c r="E175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P260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260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177" i="16"/>
  <c r="AG260" i="16"/>
  <c r="AG175" i="16"/>
  <c r="AG14" i="16"/>
  <c r="AF259" i="16"/>
  <c r="AF181" i="16"/>
  <c r="AF179" i="16"/>
  <c r="AF177" i="16"/>
  <c r="AF175" i="16"/>
  <c r="AF260" i="16"/>
  <c r="AE259" i="16"/>
  <c r="AF14" i="16"/>
  <c r="AE181" i="16"/>
  <c r="AE179" i="16"/>
  <c r="AE177" i="16"/>
  <c r="AE175" i="16"/>
  <c r="AE14" i="16"/>
  <c r="AD259" i="16"/>
  <c r="AD181" i="16"/>
  <c r="AD179" i="16"/>
  <c r="AD177" i="16"/>
  <c r="AD175" i="16"/>
  <c r="AC259" i="16"/>
  <c r="AD14" i="16"/>
  <c r="AC181" i="16"/>
  <c r="AC179" i="16"/>
  <c r="AC260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Y259" i="16"/>
  <c r="Z14" i="16"/>
  <c r="Y181" i="16"/>
  <c r="Y179" i="16"/>
  <c r="Y177" i="16"/>
  <c r="Y260" i="16"/>
  <c r="Y175" i="16"/>
  <c r="Y14" i="16"/>
  <c r="X259" i="16"/>
  <c r="X181" i="16"/>
  <c r="X179" i="16"/>
  <c r="X177" i="16"/>
  <c r="X175" i="16"/>
  <c r="X260" i="16"/>
  <c r="W259" i="16"/>
  <c r="X14" i="16"/>
  <c r="W181" i="16"/>
  <c r="W179" i="16"/>
  <c r="W177" i="16"/>
  <c r="W175" i="16"/>
  <c r="W14" i="16"/>
  <c r="V259" i="16"/>
  <c r="V181" i="16"/>
  <c r="V179" i="16"/>
  <c r="V177" i="16"/>
  <c r="V175" i="16"/>
  <c r="U259" i="16"/>
  <c r="V14" i="16"/>
  <c r="U181" i="16"/>
  <c r="U179" i="16"/>
  <c r="U260" i="16"/>
  <c r="U177" i="16"/>
  <c r="U175" i="16"/>
  <c r="T259" i="16"/>
  <c r="U14" i="16"/>
  <c r="T181" i="16"/>
  <c r="T179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Q259" i="16"/>
  <c r="R14" i="16"/>
  <c r="Q181" i="16"/>
  <c r="Q179" i="16"/>
  <c r="Q177" i="16"/>
  <c r="Q260" i="16"/>
  <c r="Q175" i="16"/>
  <c r="Q14" i="16"/>
  <c r="P259" i="16"/>
  <c r="P181" i="16"/>
  <c r="P179" i="16"/>
  <c r="P177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M259" i="16"/>
  <c r="N14" i="16"/>
  <c r="M181" i="16"/>
  <c r="M179" i="16"/>
  <c r="M260" i="16"/>
  <c r="M177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I259" i="16"/>
  <c r="J14" i="16"/>
  <c r="I181" i="16"/>
  <c r="I179" i="16"/>
  <c r="I177" i="16"/>
  <c r="I260" i="16"/>
  <c r="I175" i="16"/>
  <c r="I14" i="16"/>
  <c r="H259" i="16"/>
  <c r="H181" i="16"/>
  <c r="H179" i="16"/>
  <c r="H177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59" i="16"/>
  <c r="F14" i="16"/>
  <c r="E181" i="16"/>
  <c r="E179" i="16"/>
  <c r="E177" i="16"/>
  <c r="E260" i="16"/>
  <c r="E175" i="16"/>
  <c r="D259" i="16"/>
  <c r="E14" i="16"/>
  <c r="D181" i="16"/>
  <c r="D179" i="16"/>
  <c r="D177" i="16"/>
  <c r="D175" i="16"/>
  <c r="AY14" i="17"/>
  <c r="AY15" i="17"/>
  <c r="AY16" i="17"/>
  <c r="AY10" i="17"/>
  <c r="AY13" i="17"/>
  <c r="AY17" i="17"/>
  <c r="AY29" i="17"/>
  <c r="AX21" i="17"/>
  <c r="AX22" i="17"/>
  <c r="AX23" i="17"/>
  <c r="AX29" i="17"/>
  <c r="AX33" i="17"/>
  <c r="AX44" i="17"/>
  <c r="AX50" i="17"/>
  <c r="AX55" i="17"/>
  <c r="AW14" i="17"/>
  <c r="AX15" i="17"/>
  <c r="AW15" i="17"/>
  <c r="AX16" i="17"/>
  <c r="AW16" i="17"/>
  <c r="AX17" i="17"/>
  <c r="AW10" i="17"/>
  <c r="AW13" i="17"/>
  <c r="AX14" i="17"/>
  <c r="AW17" i="17"/>
  <c r="AW29" i="17"/>
  <c r="AV14" i="17"/>
  <c r="AV15" i="17"/>
  <c r="AV10" i="17"/>
  <c r="AV13" i="17"/>
  <c r="AV16" i="17"/>
  <c r="AV17" i="17"/>
  <c r="AV29" i="17"/>
  <c r="AU14" i="17"/>
  <c r="AU10" i="17"/>
  <c r="AU13" i="17"/>
  <c r="AU15" i="17"/>
  <c r="AU16" i="17"/>
  <c r="AU17" i="17"/>
  <c r="AU29" i="17"/>
  <c r="AT14" i="17"/>
  <c r="AT15" i="17"/>
  <c r="AT10" i="17"/>
  <c r="AT13" i="17"/>
  <c r="AT16" i="17"/>
  <c r="AT17" i="17"/>
  <c r="AT29" i="17"/>
  <c r="AS14" i="17"/>
  <c r="AS15" i="17"/>
  <c r="AS16" i="17"/>
  <c r="AS10" i="17"/>
  <c r="AS13" i="17"/>
  <c r="AS17" i="17"/>
  <c r="AS29" i="17"/>
  <c r="AR14" i="17"/>
  <c r="AR15" i="17"/>
  <c r="AR10" i="17"/>
  <c r="AR13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0" i="17"/>
  <c r="AO13" i="17"/>
  <c r="AO15" i="17"/>
  <c r="AO16" i="17"/>
  <c r="AO17" i="17"/>
  <c r="AO29" i="17"/>
  <c r="AN14" i="17"/>
  <c r="AN15" i="17"/>
  <c r="AN10" i="17"/>
  <c r="AN13" i="17"/>
  <c r="AN16" i="17"/>
  <c r="AN17" i="17"/>
  <c r="AN29" i="17"/>
  <c r="AM14" i="17"/>
  <c r="AM10" i="17"/>
  <c r="AM15" i="17"/>
  <c r="AM16" i="17"/>
  <c r="AM13" i="17"/>
  <c r="AM17" i="17"/>
  <c r="AM29" i="17"/>
  <c r="AL15" i="17"/>
  <c r="AL10" i="17"/>
  <c r="AL13" i="17"/>
  <c r="AL17" i="17"/>
  <c r="AL21" i="17"/>
  <c r="AL22" i="17"/>
  <c r="AL23" i="17"/>
  <c r="AL29" i="17"/>
  <c r="AL33" i="17"/>
  <c r="AL39" i="17"/>
  <c r="AL44" i="17"/>
  <c r="AL50" i="17"/>
  <c r="AL55" i="17"/>
  <c r="AL61" i="17"/>
  <c r="AK14" i="17"/>
  <c r="AK15" i="17"/>
  <c r="AL16" i="17"/>
  <c r="AK16" i="17"/>
  <c r="AK10" i="17"/>
  <c r="AK13" i="17"/>
  <c r="AL14" i="17"/>
  <c r="AK17" i="17"/>
  <c r="AK29" i="17"/>
  <c r="AJ14" i="17"/>
  <c r="AJ10" i="17"/>
  <c r="AJ15" i="17"/>
  <c r="AJ16" i="17"/>
  <c r="AJ13" i="17"/>
  <c r="AJ17" i="17"/>
  <c r="AJ29" i="17"/>
  <c r="AI14" i="17"/>
  <c r="AI15" i="17"/>
  <c r="AI16" i="17"/>
  <c r="AI10" i="17"/>
  <c r="AI13" i="17"/>
  <c r="AI17" i="17"/>
  <c r="AI29" i="17"/>
  <c r="AH14" i="17"/>
  <c r="AH10" i="17"/>
  <c r="AH13" i="17"/>
  <c r="AH15" i="17"/>
  <c r="AH16" i="17"/>
  <c r="AH17" i="17"/>
  <c r="AH29" i="17"/>
  <c r="AG14" i="17"/>
  <c r="AG10" i="17"/>
  <c r="AG15" i="17"/>
  <c r="AG16" i="17"/>
  <c r="AG13" i="17"/>
  <c r="AG17" i="17"/>
  <c r="AG29" i="17"/>
  <c r="AF14" i="17"/>
  <c r="AF10" i="17"/>
  <c r="AF15" i="17"/>
  <c r="AF16" i="17"/>
  <c r="AF13" i="17"/>
  <c r="AF17" i="17"/>
  <c r="AF29" i="17"/>
  <c r="AE14" i="17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7" i="17"/>
  <c r="AC29" i="17"/>
  <c r="AB14" i="17"/>
  <c r="AB15" i="17"/>
  <c r="AB16" i="17"/>
  <c r="AB17" i="17"/>
  <c r="AB29" i="17"/>
  <c r="AA14" i="17"/>
  <c r="AA15" i="17"/>
  <c r="AA16" i="17"/>
  <c r="AA17" i="17"/>
  <c r="AA29" i="17"/>
  <c r="Z14" i="17"/>
  <c r="Z10" i="17"/>
  <c r="Z13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0" i="17"/>
  <c r="U13" i="17"/>
  <c r="U15" i="17"/>
  <c r="U16" i="17"/>
  <c r="U17" i="17"/>
  <c r="U29" i="17"/>
  <c r="T14" i="17"/>
  <c r="T10" i="17"/>
  <c r="T13" i="17"/>
  <c r="T15" i="17"/>
  <c r="T16" i="17"/>
  <c r="T17" i="17"/>
  <c r="T29" i="17"/>
  <c r="S14" i="17"/>
  <c r="S10" i="17"/>
  <c r="S13" i="17"/>
  <c r="S15" i="17"/>
  <c r="S16" i="17"/>
  <c r="S17" i="17"/>
  <c r="S29" i="17"/>
  <c r="R14" i="17"/>
  <c r="R17" i="17"/>
  <c r="R21" i="17"/>
  <c r="R55" i="17"/>
  <c r="R61" i="17"/>
  <c r="R22" i="17"/>
  <c r="R23" i="17"/>
  <c r="R24" i="17"/>
  <c r="R29" i="17"/>
  <c r="R33" i="17"/>
  <c r="R35" i="17"/>
  <c r="R34" i="17"/>
  <c r="R39" i="17"/>
  <c r="R40" i="17"/>
  <c r="R44" i="17"/>
  <c r="R45" i="17"/>
  <c r="R46" i="17"/>
  <c r="R50" i="17"/>
  <c r="R51" i="17"/>
  <c r="R56" i="17"/>
  <c r="R62" i="17"/>
  <c r="R57" i="17"/>
  <c r="Q14" i="17"/>
  <c r="Q10" i="17"/>
  <c r="Q15" i="17"/>
  <c r="R16" i="17"/>
  <c r="Q16" i="17"/>
  <c r="Q13" i="17"/>
  <c r="Q17" i="17"/>
  <c r="Q29" i="17"/>
  <c r="P14" i="17"/>
  <c r="P10" i="17"/>
  <c r="P15" i="17"/>
  <c r="P16" i="17"/>
  <c r="P13" i="17"/>
  <c r="P17" i="17"/>
  <c r="P29" i="17"/>
  <c r="O14" i="17"/>
  <c r="O10" i="17"/>
  <c r="O15" i="17"/>
  <c r="O16" i="17"/>
  <c r="O13" i="17"/>
  <c r="O17" i="17"/>
  <c r="O29" i="17"/>
  <c r="N14" i="17"/>
  <c r="N10" i="17"/>
  <c r="N15" i="17"/>
  <c r="N16" i="17"/>
  <c r="N13" i="17"/>
  <c r="N17" i="17"/>
  <c r="N29" i="17"/>
  <c r="M14" i="17"/>
  <c r="M10" i="17"/>
  <c r="M15" i="17"/>
  <c r="M16" i="17"/>
  <c r="M13" i="17"/>
  <c r="M17" i="17"/>
  <c r="M29" i="17"/>
  <c r="L14" i="17"/>
  <c r="L10" i="17"/>
  <c r="L15" i="17"/>
  <c r="L16" i="17"/>
  <c r="L13" i="17"/>
  <c r="L17" i="17"/>
  <c r="L29" i="17"/>
  <c r="K14" i="17"/>
  <c r="K10" i="17"/>
  <c r="K15" i="17"/>
  <c r="K16" i="17"/>
  <c r="K13" i="17"/>
  <c r="K17" i="17"/>
  <c r="K29" i="17"/>
  <c r="J14" i="17"/>
  <c r="J10" i="17"/>
  <c r="J15" i="17"/>
  <c r="J16" i="17"/>
  <c r="J13" i="17"/>
  <c r="J17" i="17"/>
  <c r="J29" i="17"/>
  <c r="I14" i="17"/>
  <c r="I10" i="17"/>
  <c r="I15" i="17"/>
  <c r="I16" i="17"/>
  <c r="I13" i="17"/>
  <c r="I17" i="17"/>
  <c r="I29" i="17"/>
  <c r="H14" i="17"/>
  <c r="H10" i="17"/>
  <c r="H15" i="17"/>
  <c r="H16" i="17"/>
  <c r="H13" i="17"/>
  <c r="H17" i="17"/>
  <c r="H29" i="17"/>
  <c r="G14" i="17"/>
  <c r="G10" i="17"/>
  <c r="G15" i="17"/>
  <c r="G16" i="17"/>
  <c r="G13" i="17"/>
  <c r="G17" i="17"/>
  <c r="G29" i="17"/>
  <c r="F14" i="17"/>
  <c r="F10" i="17"/>
  <c r="F15" i="17"/>
  <c r="F16" i="17"/>
  <c r="F13" i="17"/>
  <c r="F17" i="17"/>
  <c r="F29" i="17"/>
  <c r="E14" i="17"/>
  <c r="E10" i="17"/>
  <c r="E15" i="17"/>
  <c r="E16" i="17"/>
  <c r="E13" i="17"/>
  <c r="E17" i="17"/>
  <c r="E29" i="17"/>
  <c r="D14" i="17"/>
  <c r="D10" i="17"/>
  <c r="D15" i="17"/>
  <c r="D16" i="17"/>
  <c r="D13" i="17"/>
  <c r="D17" i="17"/>
  <c r="D27" i="17"/>
  <c r="E27" i="17"/>
  <c r="D29" i="17"/>
  <c r="D30" i="17"/>
  <c r="D33" i="17"/>
  <c r="D39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7" i="18"/>
  <c r="AU21" i="18"/>
  <c r="AU55" i="18"/>
  <c r="AU61" i="18"/>
  <c r="AU22" i="18"/>
  <c r="AU23" i="18"/>
  <c r="AU24" i="18"/>
  <c r="AU29" i="18"/>
  <c r="AU33" i="18"/>
  <c r="AU34" i="18"/>
  <c r="AU40" i="18"/>
  <c r="AU44" i="18"/>
  <c r="AU45" i="18"/>
  <c r="AU46" i="18"/>
  <c r="AU50" i="18"/>
  <c r="AU51" i="18"/>
  <c r="AU56" i="18"/>
  <c r="AU62" i="18"/>
  <c r="AT14" i="18"/>
  <c r="AT15" i="18"/>
  <c r="AU16" i="18"/>
  <c r="AT16" i="18"/>
  <c r="AT17" i="18"/>
  <c r="AT29" i="18"/>
  <c r="AS14" i="18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7" i="18"/>
  <c r="AK29" i="18"/>
  <c r="AJ14" i="18"/>
  <c r="AJ15" i="18"/>
  <c r="AJ16" i="18"/>
  <c r="AJ17" i="18"/>
  <c r="AJ29" i="18"/>
  <c r="AI14" i="18"/>
  <c r="AI15" i="18"/>
  <c r="AI16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0" i="18"/>
  <c r="AA13" i="18"/>
  <c r="AA16" i="18"/>
  <c r="AA17" i="18"/>
  <c r="AA29" i="18"/>
  <c r="Z15" i="18"/>
  <c r="Z16" i="18"/>
  <c r="Z17" i="18"/>
  <c r="Z21" i="18"/>
  <c r="Z22" i="18"/>
  <c r="Z56" i="18"/>
  <c r="Z62" i="18"/>
  <c r="Z24" i="18"/>
  <c r="Z29" i="18"/>
  <c r="Z33" i="18"/>
  <c r="Z34" i="18"/>
  <c r="Z40" i="18"/>
  <c r="Z44" i="18"/>
  <c r="Z46" i="18"/>
  <c r="Z45" i="18"/>
  <c r="Z50" i="18"/>
  <c r="Z51" i="18"/>
  <c r="Y14" i="18"/>
  <c r="Y15" i="18"/>
  <c r="Y10" i="18"/>
  <c r="Y13" i="18"/>
  <c r="Z14" i="18"/>
  <c r="Y16" i="18"/>
  <c r="Y17" i="18"/>
  <c r="Y21" i="18"/>
  <c r="Y29" i="18"/>
  <c r="X14" i="18"/>
  <c r="X15" i="18"/>
  <c r="X10" i="18"/>
  <c r="X13" i="18"/>
  <c r="X16" i="18"/>
  <c r="X17" i="18"/>
  <c r="X21" i="18"/>
  <c r="X29" i="18"/>
  <c r="W14" i="18"/>
  <c r="W15" i="18"/>
  <c r="W10" i="18"/>
  <c r="W13" i="18"/>
  <c r="W16" i="18"/>
  <c r="W17" i="18"/>
  <c r="W21" i="18"/>
  <c r="W29" i="18"/>
  <c r="V14" i="18"/>
  <c r="V15" i="18"/>
  <c r="V10" i="18"/>
  <c r="V13" i="18"/>
  <c r="V16" i="18"/>
  <c r="V17" i="18"/>
  <c r="V21" i="18"/>
  <c r="V29" i="18"/>
  <c r="U14" i="18"/>
  <c r="U15" i="18"/>
  <c r="U10" i="18"/>
  <c r="U13" i="18"/>
  <c r="U16" i="18"/>
  <c r="U17" i="18"/>
  <c r="U21" i="18"/>
  <c r="U29" i="18"/>
  <c r="T14" i="18"/>
  <c r="T15" i="18"/>
  <c r="T10" i="18"/>
  <c r="T13" i="18"/>
  <c r="T16" i="18"/>
  <c r="T17" i="18"/>
  <c r="T21" i="18"/>
  <c r="T29" i="18"/>
  <c r="S14" i="18"/>
  <c r="S15" i="18"/>
  <c r="S10" i="18"/>
  <c r="S13" i="18"/>
  <c r="S16" i="18"/>
  <c r="S17" i="18"/>
  <c r="S21" i="18"/>
  <c r="S29" i="18"/>
  <c r="R14" i="18"/>
  <c r="R15" i="18"/>
  <c r="R10" i="18"/>
  <c r="R13" i="18"/>
  <c r="R16" i="18"/>
  <c r="R17" i="18"/>
  <c r="R21" i="18"/>
  <c r="R29" i="18"/>
  <c r="Q14" i="18"/>
  <c r="Q15" i="18"/>
  <c r="Q10" i="18"/>
  <c r="Q13" i="18"/>
  <c r="Q16" i="18"/>
  <c r="Q17" i="18"/>
  <c r="Q21" i="18"/>
  <c r="Q29" i="18"/>
  <c r="P14" i="18"/>
  <c r="P15" i="18"/>
  <c r="P10" i="18"/>
  <c r="P13" i="18"/>
  <c r="P16" i="18"/>
  <c r="P17" i="18"/>
  <c r="P21" i="18"/>
  <c r="P29" i="18"/>
  <c r="O14" i="18"/>
  <c r="O15" i="18"/>
  <c r="O10" i="18"/>
  <c r="O13" i="18"/>
  <c r="O16" i="18"/>
  <c r="O17" i="18"/>
  <c r="O21" i="18"/>
  <c r="O29" i="18"/>
  <c r="N14" i="18"/>
  <c r="N15" i="18"/>
  <c r="N10" i="18"/>
  <c r="N13" i="18"/>
  <c r="N16" i="18"/>
  <c r="N17" i="18"/>
  <c r="N21" i="18"/>
  <c r="N29" i="18"/>
  <c r="M14" i="18"/>
  <c r="M15" i="18"/>
  <c r="M10" i="18"/>
  <c r="M13" i="18"/>
  <c r="M16" i="18"/>
  <c r="M17" i="18"/>
  <c r="M21" i="18"/>
  <c r="M29" i="18"/>
  <c r="L14" i="18"/>
  <c r="L15" i="18"/>
  <c r="L10" i="18"/>
  <c r="L13" i="18"/>
  <c r="L16" i="18"/>
  <c r="L17" i="18"/>
  <c r="L21" i="18"/>
  <c r="L29" i="18"/>
  <c r="K14" i="18"/>
  <c r="K15" i="18"/>
  <c r="K10" i="18"/>
  <c r="K13" i="18"/>
  <c r="K16" i="18"/>
  <c r="K17" i="18"/>
  <c r="K21" i="18"/>
  <c r="K29" i="18"/>
  <c r="J14" i="18"/>
  <c r="J15" i="18"/>
  <c r="J10" i="18"/>
  <c r="J13" i="18"/>
  <c r="J16" i="18"/>
  <c r="J17" i="18"/>
  <c r="J21" i="18"/>
  <c r="J29" i="18"/>
  <c r="I14" i="18"/>
  <c r="I15" i="18"/>
  <c r="I10" i="18"/>
  <c r="I13" i="18"/>
  <c r="I16" i="18"/>
  <c r="I17" i="18"/>
  <c r="I21" i="18"/>
  <c r="I29" i="18"/>
  <c r="H14" i="18"/>
  <c r="H15" i="18"/>
  <c r="H10" i="18"/>
  <c r="H13" i="18"/>
  <c r="H16" i="18"/>
  <c r="H17" i="18"/>
  <c r="H21" i="18"/>
  <c r="H29" i="18"/>
  <c r="G14" i="18"/>
  <c r="G15" i="18"/>
  <c r="G10" i="18"/>
  <c r="G13" i="18"/>
  <c r="G16" i="18"/>
  <c r="G17" i="18"/>
  <c r="G21" i="18"/>
  <c r="G29" i="18"/>
  <c r="F14" i="18"/>
  <c r="F15" i="18"/>
  <c r="F10" i="18"/>
  <c r="F13" i="18"/>
  <c r="F16" i="18"/>
  <c r="F17" i="18"/>
  <c r="F21" i="18"/>
  <c r="F29" i="18"/>
  <c r="E14" i="18"/>
  <c r="E15" i="18"/>
  <c r="E10" i="18"/>
  <c r="E13" i="18"/>
  <c r="E16" i="18"/>
  <c r="E17" i="18"/>
  <c r="E29" i="18"/>
  <c r="D14" i="18"/>
  <c r="D15" i="18"/>
  <c r="D10" i="18"/>
  <c r="D16" i="18"/>
  <c r="D17" i="18"/>
  <c r="D21" i="18"/>
  <c r="D27" i="18"/>
  <c r="D30" i="18"/>
  <c r="D29" i="18"/>
  <c r="B21" i="17"/>
  <c r="D21" i="17"/>
  <c r="B21" i="18"/>
  <c r="B22" i="18"/>
  <c r="D22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P21" i="17"/>
  <c r="D55" i="18"/>
  <c r="D23" i="18"/>
  <c r="D44" i="18"/>
  <c r="F55" i="18"/>
  <c r="F23" i="18"/>
  <c r="F44" i="18"/>
  <c r="G55" i="18"/>
  <c r="G23" i="18"/>
  <c r="G44" i="18"/>
  <c r="H55" i="18"/>
  <c r="H23" i="18"/>
  <c r="H44" i="18"/>
  <c r="I55" i="18"/>
  <c r="I23" i="18"/>
  <c r="I44" i="18"/>
  <c r="J55" i="18"/>
  <c r="J23" i="18"/>
  <c r="J44" i="18"/>
  <c r="K55" i="18"/>
  <c r="K23" i="18"/>
  <c r="K44" i="18"/>
  <c r="L55" i="18"/>
  <c r="L23" i="18"/>
  <c r="L44" i="18"/>
  <c r="M55" i="18"/>
  <c r="M23" i="18"/>
  <c r="M44" i="18"/>
  <c r="N55" i="18"/>
  <c r="N23" i="18"/>
  <c r="N44" i="18"/>
  <c r="O55" i="18"/>
  <c r="O23" i="18"/>
  <c r="O44" i="18"/>
  <c r="P55" i="18"/>
  <c r="P23" i="18"/>
  <c r="P44" i="18"/>
  <c r="Q55" i="18"/>
  <c r="Q23" i="18"/>
  <c r="Q44" i="18"/>
  <c r="R55" i="18"/>
  <c r="R23" i="18"/>
  <c r="R44" i="18"/>
  <c r="S55" i="18"/>
  <c r="S23" i="18"/>
  <c r="S44" i="18"/>
  <c r="T55" i="18"/>
  <c r="T23" i="18"/>
  <c r="T44" i="18"/>
  <c r="U55" i="18"/>
  <c r="U23" i="18"/>
  <c r="U44" i="18"/>
  <c r="V55" i="18"/>
  <c r="V23" i="18"/>
  <c r="V44" i="18"/>
  <c r="W55" i="18"/>
  <c r="W23" i="18"/>
  <c r="W44" i="18"/>
  <c r="X55" i="18"/>
  <c r="X23" i="18"/>
  <c r="X44" i="18"/>
  <c r="Y55" i="18"/>
  <c r="Y23" i="18"/>
  <c r="Y44" i="18"/>
  <c r="AB22" i="18"/>
  <c r="AB21" i="18"/>
  <c r="AG22" i="18"/>
  <c r="AG21" i="18"/>
  <c r="D33" i="18"/>
  <c r="D45" i="18"/>
  <c r="D51" i="18"/>
  <c r="D56" i="18"/>
  <c r="D62" i="18"/>
  <c r="D24" i="18"/>
  <c r="D34" i="18"/>
  <c r="D40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AH21" i="17"/>
  <c r="AL10" i="18"/>
  <c r="AL13" i="18"/>
  <c r="AN10" i="18"/>
  <c r="AN13" i="18"/>
  <c r="F27" i="17"/>
  <c r="E30" i="17"/>
  <c r="V22" i="17"/>
  <c r="V21" i="17"/>
  <c r="AI21" i="17"/>
  <c r="AM21" i="17"/>
  <c r="AV21" i="17"/>
  <c r="AW21" i="17"/>
  <c r="AX10" i="17"/>
  <c r="AX13" i="17"/>
  <c r="AZ17" i="18"/>
  <c r="Z35" i="18"/>
  <c r="Z39" i="18"/>
  <c r="AD10" i="18"/>
  <c r="AD13" i="18"/>
  <c r="E27" i="18"/>
  <c r="Z55" i="18"/>
  <c r="Z23" i="18"/>
  <c r="AB10" i="18"/>
  <c r="AB13" i="18"/>
  <c r="AJ10" i="18"/>
  <c r="AJ13" i="18"/>
  <c r="U21" i="17"/>
  <c r="AU35" i="18"/>
  <c r="AU39" i="18"/>
  <c r="D13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10" i="18"/>
  <c r="Z13" i="18"/>
  <c r="AI22" i="18"/>
  <c r="AI21" i="18"/>
  <c r="AN21" i="18"/>
  <c r="AN22" i="18"/>
  <c r="E21" i="17"/>
  <c r="F21" i="17"/>
  <c r="F22" i="17"/>
  <c r="G21" i="17"/>
  <c r="H21" i="17"/>
  <c r="H22" i="17"/>
  <c r="I21" i="17"/>
  <c r="J21" i="17"/>
  <c r="J22" i="17"/>
  <c r="K21" i="17"/>
  <c r="L21" i="17"/>
  <c r="L22" i="17"/>
  <c r="M21" i="17"/>
  <c r="N21" i="17"/>
  <c r="N22" i="17"/>
  <c r="O21" i="17"/>
  <c r="P21" i="17"/>
  <c r="P22" i="17"/>
  <c r="Q21" i="17"/>
  <c r="T21" i="17"/>
  <c r="T22" i="17"/>
  <c r="Y21" i="17"/>
  <c r="AO10" i="18"/>
  <c r="AO13" i="18"/>
  <c r="AT10" i="18"/>
  <c r="AT13" i="18"/>
  <c r="AU14" i="18"/>
  <c r="AU10" i="18"/>
  <c r="AU13" i="18"/>
  <c r="AU15" i="18"/>
  <c r="V10" i="17"/>
  <c r="V13" i="17"/>
  <c r="AD10" i="17"/>
  <c r="AD13" i="17"/>
  <c r="AG21" i="17"/>
  <c r="AO21" i="17"/>
  <c r="AR21" i="17"/>
  <c r="AT21" i="17"/>
  <c r="T11" i="20"/>
  <c r="BA14" i="15"/>
  <c r="D44" i="17"/>
  <c r="D55" i="17"/>
  <c r="AU57" i="18"/>
  <c r="AV10" i="18"/>
  <c r="AV13" i="18"/>
  <c r="AW10" i="18"/>
  <c r="AW13" i="18"/>
  <c r="AX10" i="18"/>
  <c r="AX13" i="18"/>
  <c r="AY10" i="18"/>
  <c r="AY13" i="18"/>
  <c r="D23" i="17"/>
  <c r="AB10" i="17"/>
  <c r="AB13" i="17"/>
  <c r="AK21" i="17"/>
  <c r="AP10" i="18"/>
  <c r="AP13" i="18"/>
  <c r="AQ10" i="18"/>
  <c r="AQ13" i="18"/>
  <c r="AR10" i="18"/>
  <c r="AR13" i="18"/>
  <c r="AS10" i="18"/>
  <c r="AS13" i="18"/>
  <c r="AC10" i="18"/>
  <c r="AC13" i="18"/>
  <c r="AE10" i="18"/>
  <c r="AE13" i="18"/>
  <c r="AG10" i="18"/>
  <c r="AG13" i="18"/>
  <c r="AI10" i="18"/>
  <c r="AI13" i="18"/>
  <c r="AK10" i="18"/>
  <c r="AK13" i="18"/>
  <c r="AZ17" i="17"/>
  <c r="R15" i="17"/>
  <c r="R10" i="17"/>
  <c r="AA21" i="17"/>
  <c r="AN21" i="17"/>
  <c r="AU21" i="17"/>
  <c r="AZ259" i="15"/>
  <c r="AL34" i="17"/>
  <c r="AL40" i="17"/>
  <c r="AL24" i="17"/>
  <c r="AL45" i="17"/>
  <c r="AL56" i="17"/>
  <c r="AS21" i="17"/>
  <c r="AX61" i="17"/>
  <c r="AX35" i="17"/>
  <c r="AX39" i="17"/>
  <c r="AX24" i="17"/>
  <c r="AX34" i="17"/>
  <c r="AX40" i="17"/>
  <c r="AX45" i="17"/>
  <c r="AX56" i="17"/>
  <c r="AX62" i="17"/>
  <c r="W10" i="17"/>
  <c r="W13" i="17"/>
  <c r="Y10" i="17"/>
  <c r="Y13" i="17"/>
  <c r="AA10" i="17"/>
  <c r="AA13" i="17"/>
  <c r="AC10" i="17"/>
  <c r="AC13" i="17"/>
  <c r="AE10" i="17"/>
  <c r="AE13" i="17"/>
  <c r="AJ21" i="17"/>
  <c r="AQ21" i="17"/>
  <c r="AQ22" i="17"/>
  <c r="T260" i="16"/>
  <c r="D260" i="15"/>
  <c r="AM260" i="15"/>
  <c r="D260" i="16"/>
  <c r="BA14" i="16"/>
  <c r="H260" i="16"/>
  <c r="R260" i="16"/>
  <c r="W260" i="16"/>
  <c r="AJ260" i="16"/>
  <c r="AN260" i="16"/>
  <c r="AX260" i="16"/>
  <c r="AH260" i="15"/>
  <c r="AN260" i="15"/>
  <c r="BA14" i="14"/>
  <c r="D259" i="14"/>
  <c r="AZ259" i="14"/>
  <c r="R260" i="14"/>
  <c r="X260" i="14"/>
  <c r="AU260" i="14"/>
  <c r="AZ259" i="16"/>
  <c r="L260" i="16"/>
  <c r="P260" i="16"/>
  <c r="Z260" i="16"/>
  <c r="AE260" i="16"/>
  <c r="AR260" i="16"/>
  <c r="AV260" i="16"/>
  <c r="J260" i="15"/>
  <c r="O260" i="15"/>
  <c r="Z260" i="15"/>
  <c r="AF260" i="15"/>
  <c r="AU260" i="15"/>
  <c r="J260" i="14"/>
  <c r="P260" i="14"/>
  <c r="AE260" i="14"/>
  <c r="AQ260" i="14"/>
  <c r="T19" i="20"/>
  <c r="F260" i="16"/>
  <c r="N260" i="16"/>
  <c r="V260" i="16"/>
  <c r="AD260" i="16"/>
  <c r="AL260" i="16"/>
  <c r="AT260" i="16"/>
  <c r="F260" i="15"/>
  <c r="N260" i="15"/>
  <c r="V260" i="15"/>
  <c r="AD260" i="15"/>
  <c r="AL260" i="15"/>
  <c r="AT260" i="15"/>
  <c r="F260" i="14"/>
  <c r="AZ260" i="14"/>
  <c r="N260" i="14"/>
  <c r="V260" i="14"/>
  <c r="AD260" i="14"/>
  <c r="AM260" i="14"/>
  <c r="AJ260" i="14"/>
  <c r="AN260" i="14"/>
  <c r="AR260" i="14"/>
  <c r="AV260" i="14"/>
  <c r="B22" i="17"/>
  <c r="AH22" i="17"/>
  <c r="AH34" i="17"/>
  <c r="AH40" i="17"/>
  <c r="AH45" i="17"/>
  <c r="AH51" i="17"/>
  <c r="AH24" i="17"/>
  <c r="AH56" i="17"/>
  <c r="AH62" i="17"/>
  <c r="R13" i="17"/>
  <c r="AZ10" i="17"/>
  <c r="AQ34" i="17"/>
  <c r="AQ40" i="17"/>
  <c r="AQ56" i="17"/>
  <c r="AQ62" i="17"/>
  <c r="AQ45" i="17"/>
  <c r="AQ51" i="17"/>
  <c r="AQ24" i="17"/>
  <c r="AV21" i="18"/>
  <c r="AV22" i="18"/>
  <c r="L34" i="17"/>
  <c r="L40" i="17"/>
  <c r="L45" i="17"/>
  <c r="L51" i="17"/>
  <c r="L24" i="17"/>
  <c r="L56" i="17"/>
  <c r="L62" i="17"/>
  <c r="AA22" i="18"/>
  <c r="AA21" i="18"/>
  <c r="N45" i="18"/>
  <c r="N51" i="18"/>
  <c r="N56" i="18"/>
  <c r="N62" i="18"/>
  <c r="N24" i="18"/>
  <c r="N34" i="18"/>
  <c r="N40" i="18"/>
  <c r="F45" i="18"/>
  <c r="F51" i="18"/>
  <c r="F56" i="18"/>
  <c r="F62" i="18"/>
  <c r="F24" i="18"/>
  <c r="F34" i="18"/>
  <c r="F40" i="18"/>
  <c r="E30" i="18"/>
  <c r="F27" i="18"/>
  <c r="V45" i="17"/>
  <c r="V51" i="17"/>
  <c r="V24" i="17"/>
  <c r="V34" i="17"/>
  <c r="V40" i="17"/>
  <c r="V56" i="17"/>
  <c r="V62" i="17"/>
  <c r="Q39" i="18"/>
  <c r="W50" i="18"/>
  <c r="O50" i="18"/>
  <c r="D57" i="18"/>
  <c r="D61" i="18"/>
  <c r="AQ44" i="17"/>
  <c r="AQ55" i="17"/>
  <c r="AQ33" i="17"/>
  <c r="AQ23" i="17"/>
  <c r="AD22" i="17"/>
  <c r="AD21" i="17"/>
  <c r="AS22" i="17"/>
  <c r="AU22" i="17"/>
  <c r="AA22" i="17"/>
  <c r="AL22" i="18"/>
  <c r="AL21" i="18"/>
  <c r="AD22" i="18"/>
  <c r="AD21" i="18"/>
  <c r="AR21" i="18"/>
  <c r="AR22" i="18"/>
  <c r="AX21" i="18"/>
  <c r="AX22" i="18"/>
  <c r="D50" i="17"/>
  <c r="AT22" i="17"/>
  <c r="AO22" i="17"/>
  <c r="AE22" i="17"/>
  <c r="AE21" i="17"/>
  <c r="AP21" i="18"/>
  <c r="AP22" i="18"/>
  <c r="T44" i="17"/>
  <c r="T55" i="17"/>
  <c r="T23" i="17"/>
  <c r="T33" i="17"/>
  <c r="P44" i="17"/>
  <c r="P55" i="17"/>
  <c r="P23" i="17"/>
  <c r="P33" i="17"/>
  <c r="N44" i="17"/>
  <c r="N55" i="17"/>
  <c r="N23" i="17"/>
  <c r="N33" i="17"/>
  <c r="L44" i="17"/>
  <c r="L55" i="17"/>
  <c r="L23" i="17"/>
  <c r="L33" i="17"/>
  <c r="J44" i="17"/>
  <c r="J55" i="17"/>
  <c r="J23" i="17"/>
  <c r="J33" i="17"/>
  <c r="H44" i="17"/>
  <c r="H55" i="17"/>
  <c r="H23" i="17"/>
  <c r="H33" i="17"/>
  <c r="F44" i="17"/>
  <c r="F55" i="17"/>
  <c r="F23" i="17"/>
  <c r="F33" i="17"/>
  <c r="AN44" i="18"/>
  <c r="AN55" i="18"/>
  <c r="AN33" i="18"/>
  <c r="AN23" i="18"/>
  <c r="Y45" i="18"/>
  <c r="Y51" i="18"/>
  <c r="Y56" i="18"/>
  <c r="Y62" i="18"/>
  <c r="Y24" i="18"/>
  <c r="Y34" i="18"/>
  <c r="Y40" i="18"/>
  <c r="U45" i="18"/>
  <c r="U51" i="18"/>
  <c r="U56" i="18"/>
  <c r="U62" i="18"/>
  <c r="U24" i="18"/>
  <c r="U34" i="18"/>
  <c r="U40" i="18"/>
  <c r="Q45" i="18"/>
  <c r="Q51" i="18"/>
  <c r="Q56" i="18"/>
  <c r="Q62" i="18"/>
  <c r="Q24" i="18"/>
  <c r="Q34" i="18"/>
  <c r="Q40" i="18"/>
  <c r="M45" i="18"/>
  <c r="M51" i="18"/>
  <c r="M56" i="18"/>
  <c r="M62" i="18"/>
  <c r="M24" i="18"/>
  <c r="M34" i="18"/>
  <c r="M40" i="18"/>
  <c r="I45" i="18"/>
  <c r="I51" i="18"/>
  <c r="I56" i="18"/>
  <c r="I62" i="18"/>
  <c r="I24" i="18"/>
  <c r="I34" i="18"/>
  <c r="I40" i="18"/>
  <c r="E22" i="18"/>
  <c r="E21" i="18"/>
  <c r="AN22" i="17"/>
  <c r="AC22" i="18"/>
  <c r="AC21" i="18"/>
  <c r="AV22" i="17"/>
  <c r="AI22" i="17"/>
  <c r="X39" i="18"/>
  <c r="T39" i="18"/>
  <c r="P39" i="18"/>
  <c r="L39" i="18"/>
  <c r="H39" i="18"/>
  <c r="D35" i="18"/>
  <c r="D39" i="18"/>
  <c r="AB45" i="18"/>
  <c r="AB51" i="18"/>
  <c r="AB24" i="18"/>
  <c r="AB56" i="18"/>
  <c r="AB62" i="18"/>
  <c r="AB34" i="18"/>
  <c r="AB40" i="18"/>
  <c r="X50" i="18"/>
  <c r="V61" i="18"/>
  <c r="T50" i="18"/>
  <c r="R61" i="18"/>
  <c r="P50" i="18"/>
  <c r="N61" i="18"/>
  <c r="L50" i="18"/>
  <c r="J61" i="18"/>
  <c r="H50" i="18"/>
  <c r="F61" i="18"/>
  <c r="AF21" i="17"/>
  <c r="AF22" i="17"/>
  <c r="AS21" i="18"/>
  <c r="AS22" i="18"/>
  <c r="T45" i="20"/>
  <c r="T34" i="17"/>
  <c r="T40" i="17"/>
  <c r="T45" i="17"/>
  <c r="T51" i="17"/>
  <c r="T24" i="17"/>
  <c r="T56" i="17"/>
  <c r="T62" i="17"/>
  <c r="J34" i="17"/>
  <c r="J40" i="17"/>
  <c r="J45" i="17"/>
  <c r="J51" i="17"/>
  <c r="J24" i="17"/>
  <c r="J56" i="17"/>
  <c r="J62" i="17"/>
  <c r="AN34" i="18"/>
  <c r="AN40" i="18"/>
  <c r="AN45" i="18"/>
  <c r="AN51" i="18"/>
  <c r="AN24" i="18"/>
  <c r="AN56" i="18"/>
  <c r="AN62" i="18"/>
  <c r="AK22" i="18"/>
  <c r="AK21" i="18"/>
  <c r="AM44" i="17"/>
  <c r="AM55" i="17"/>
  <c r="AM23" i="17"/>
  <c r="AM33" i="17"/>
  <c r="Y35" i="18"/>
  <c r="Y39" i="18"/>
  <c r="AB55" i="18"/>
  <c r="AB23" i="18"/>
  <c r="AB33" i="18"/>
  <c r="AB44" i="18"/>
  <c r="K46" i="18"/>
  <c r="K50" i="18"/>
  <c r="D22" i="17"/>
  <c r="AK22" i="17"/>
  <c r="AZ260" i="15"/>
  <c r="AJ22" i="17"/>
  <c r="AB22" i="17"/>
  <c r="AB21" i="17"/>
  <c r="AX51" i="17"/>
  <c r="AX46" i="17"/>
  <c r="AS44" i="17"/>
  <c r="AS55" i="17"/>
  <c r="AS23" i="17"/>
  <c r="AS33" i="17"/>
  <c r="AU44" i="17"/>
  <c r="AU55" i="17"/>
  <c r="AU23" i="17"/>
  <c r="AU33" i="17"/>
  <c r="AJ22" i="18"/>
  <c r="AJ21" i="18"/>
  <c r="AQ21" i="18"/>
  <c r="AQ22" i="18"/>
  <c r="AW21" i="18"/>
  <c r="AW22" i="18"/>
  <c r="AT44" i="17"/>
  <c r="AT23" i="17"/>
  <c r="AT33" i="17"/>
  <c r="AT55" i="17"/>
  <c r="AO44" i="17"/>
  <c r="AO55" i="17"/>
  <c r="AO33" i="17"/>
  <c r="AO23" i="17"/>
  <c r="W22" i="17"/>
  <c r="W21" i="17"/>
  <c r="Y55" i="17"/>
  <c r="Y44" i="17"/>
  <c r="Y23" i="17"/>
  <c r="Y33" i="17"/>
  <c r="Q22" i="17"/>
  <c r="O22" i="17"/>
  <c r="M22" i="17"/>
  <c r="K22" i="17"/>
  <c r="I22" i="17"/>
  <c r="G22" i="17"/>
  <c r="E22" i="17"/>
  <c r="AI55" i="18"/>
  <c r="AI23" i="18"/>
  <c r="AI44" i="18"/>
  <c r="AI33" i="18"/>
  <c r="X45" i="18"/>
  <c r="X51" i="18"/>
  <c r="X56" i="18"/>
  <c r="X62" i="18"/>
  <c r="X24" i="18"/>
  <c r="X34" i="18"/>
  <c r="X40" i="18"/>
  <c r="T45" i="18"/>
  <c r="T51" i="18"/>
  <c r="T56" i="18"/>
  <c r="T62" i="18"/>
  <c r="T24" i="18"/>
  <c r="T34" i="18"/>
  <c r="T40" i="18"/>
  <c r="P45" i="18"/>
  <c r="P51" i="18"/>
  <c r="P56" i="18"/>
  <c r="P62" i="18"/>
  <c r="P24" i="18"/>
  <c r="P34" i="18"/>
  <c r="P40" i="18"/>
  <c r="L45" i="18"/>
  <c r="L51" i="18"/>
  <c r="L56" i="18"/>
  <c r="L62" i="18"/>
  <c r="L24" i="18"/>
  <c r="L34" i="18"/>
  <c r="L40" i="18"/>
  <c r="H45" i="18"/>
  <c r="H51" i="18"/>
  <c r="H56" i="18"/>
  <c r="H62" i="18"/>
  <c r="H24" i="18"/>
  <c r="H34" i="18"/>
  <c r="H40" i="18"/>
  <c r="AZ10" i="18"/>
  <c r="U22" i="17"/>
  <c r="AE22" i="18"/>
  <c r="AE21" i="18"/>
  <c r="AY21" i="17"/>
  <c r="AY22" i="17"/>
  <c r="AV44" i="17"/>
  <c r="AV23" i="17"/>
  <c r="AV33" i="17"/>
  <c r="AV55" i="17"/>
  <c r="AI44" i="17"/>
  <c r="AI55" i="17"/>
  <c r="AI23" i="17"/>
  <c r="AI33" i="17"/>
  <c r="G27" i="17"/>
  <c r="F30" i="17"/>
  <c r="AH44" i="17"/>
  <c r="AH23" i="17"/>
  <c r="AH33" i="17"/>
  <c r="AH55" i="17"/>
  <c r="W39" i="18"/>
  <c r="S39" i="18"/>
  <c r="O39" i="18"/>
  <c r="K39" i="18"/>
  <c r="G39" i="18"/>
  <c r="AG55" i="18"/>
  <c r="AG44" i="18"/>
  <c r="AG23" i="18"/>
  <c r="AG33" i="18"/>
  <c r="Y46" i="18"/>
  <c r="Y50" i="18"/>
  <c r="W61" i="18"/>
  <c r="U46" i="18"/>
  <c r="U50" i="18"/>
  <c r="S61" i="18"/>
  <c r="Q46" i="18"/>
  <c r="Q50" i="18"/>
  <c r="O61" i="18"/>
  <c r="M46" i="18"/>
  <c r="M50" i="18"/>
  <c r="K61" i="18"/>
  <c r="I46" i="18"/>
  <c r="I50" i="18"/>
  <c r="G61" i="18"/>
  <c r="D46" i="18"/>
  <c r="D50" i="18"/>
  <c r="AP22" i="17"/>
  <c r="AZ260" i="16"/>
  <c r="X22" i="17"/>
  <c r="X21" i="17"/>
  <c r="AL51" i="17"/>
  <c r="AL46" i="17"/>
  <c r="AA55" i="17"/>
  <c r="AA44" i="17"/>
  <c r="AA33" i="17"/>
  <c r="AA23" i="17"/>
  <c r="AF22" i="18"/>
  <c r="AF21" i="18"/>
  <c r="AC22" i="17"/>
  <c r="AC21" i="17"/>
  <c r="AY21" i="18"/>
  <c r="AY22" i="18"/>
  <c r="D61" i="17"/>
  <c r="AR44" i="17"/>
  <c r="AR23" i="17"/>
  <c r="AR33" i="17"/>
  <c r="AR55" i="17"/>
  <c r="AG44" i="17"/>
  <c r="AG55" i="17"/>
  <c r="AG23" i="17"/>
  <c r="AG33" i="17"/>
  <c r="P34" i="17"/>
  <c r="P40" i="17"/>
  <c r="P45" i="17"/>
  <c r="P51" i="17"/>
  <c r="P24" i="17"/>
  <c r="P56" i="17"/>
  <c r="P62" i="17"/>
  <c r="N34" i="17"/>
  <c r="N40" i="17"/>
  <c r="N45" i="17"/>
  <c r="N51" i="17"/>
  <c r="N24" i="17"/>
  <c r="N56" i="17"/>
  <c r="N62" i="17"/>
  <c r="H34" i="17"/>
  <c r="H40" i="17"/>
  <c r="H45" i="17"/>
  <c r="H51" i="17"/>
  <c r="H24" i="17"/>
  <c r="H56" i="17"/>
  <c r="H62" i="17"/>
  <c r="F34" i="17"/>
  <c r="F40" i="17"/>
  <c r="F45" i="17"/>
  <c r="F51" i="17"/>
  <c r="F24" i="17"/>
  <c r="F56" i="17"/>
  <c r="F62" i="17"/>
  <c r="V45" i="18"/>
  <c r="V51" i="18"/>
  <c r="V56" i="18"/>
  <c r="V62" i="18"/>
  <c r="V24" i="18"/>
  <c r="V34" i="18"/>
  <c r="V40" i="18"/>
  <c r="R45" i="18"/>
  <c r="R51" i="18"/>
  <c r="R56" i="18"/>
  <c r="R62" i="18"/>
  <c r="R24" i="18"/>
  <c r="R34" i="18"/>
  <c r="R40" i="18"/>
  <c r="J45" i="18"/>
  <c r="J51" i="18"/>
  <c r="J56" i="18"/>
  <c r="J62" i="18"/>
  <c r="J24" i="18"/>
  <c r="J34" i="18"/>
  <c r="J40" i="18"/>
  <c r="AW44" i="17"/>
  <c r="AW55" i="17"/>
  <c r="AW33" i="17"/>
  <c r="AW23" i="17"/>
  <c r="AM21" i="18"/>
  <c r="AM22" i="18"/>
  <c r="U35" i="18"/>
  <c r="U39" i="18"/>
  <c r="M35" i="18"/>
  <c r="M39" i="18"/>
  <c r="I35" i="18"/>
  <c r="I39" i="18"/>
  <c r="Y61" i="18"/>
  <c r="U61" i="18"/>
  <c r="S50" i="18"/>
  <c r="Q61" i="18"/>
  <c r="M61" i="18"/>
  <c r="I61" i="18"/>
  <c r="G50" i="18"/>
  <c r="AJ44" i="17"/>
  <c r="AJ55" i="17"/>
  <c r="AJ23" i="17"/>
  <c r="AJ33" i="17"/>
  <c r="Z22" i="17"/>
  <c r="Z21" i="17"/>
  <c r="AX57" i="17"/>
  <c r="AL57" i="17"/>
  <c r="AL62" i="17"/>
  <c r="AL35" i="17"/>
  <c r="AN44" i="17"/>
  <c r="AN23" i="17"/>
  <c r="AN33" i="17"/>
  <c r="AN55" i="17"/>
  <c r="AH22" i="18"/>
  <c r="AH21" i="18"/>
  <c r="AT21" i="18"/>
  <c r="AT22" i="18"/>
  <c r="AK44" i="17"/>
  <c r="AK23" i="17"/>
  <c r="AK55" i="17"/>
  <c r="AK33" i="17"/>
  <c r="AR22" i="17"/>
  <c r="AG22" i="17"/>
  <c r="Y22" i="17"/>
  <c r="Q44" i="17"/>
  <c r="Q55" i="17"/>
  <c r="Q23" i="17"/>
  <c r="Q33" i="17"/>
  <c r="O44" i="17"/>
  <c r="O55" i="17"/>
  <c r="O23" i="17"/>
  <c r="O33" i="17"/>
  <c r="M44" i="17"/>
  <c r="M55" i="17"/>
  <c r="M23" i="17"/>
  <c r="M33" i="17"/>
  <c r="K44" i="17"/>
  <c r="K55" i="17"/>
  <c r="K23" i="17"/>
  <c r="K33" i="17"/>
  <c r="I44" i="17"/>
  <c r="I55" i="17"/>
  <c r="I23" i="17"/>
  <c r="I33" i="17"/>
  <c r="G44" i="17"/>
  <c r="G55" i="17"/>
  <c r="G23" i="17"/>
  <c r="G33" i="17"/>
  <c r="E44" i="17"/>
  <c r="E55" i="17"/>
  <c r="E23" i="17"/>
  <c r="E33" i="17"/>
  <c r="AI45" i="18"/>
  <c r="AI51" i="18"/>
  <c r="AI34" i="18"/>
  <c r="AI40" i="18"/>
  <c r="AI24" i="18"/>
  <c r="AI56" i="18"/>
  <c r="AI62" i="18"/>
  <c r="W45" i="18"/>
  <c r="W51" i="18"/>
  <c r="W56" i="18"/>
  <c r="W62" i="18"/>
  <c r="W24" i="18"/>
  <c r="W34" i="18"/>
  <c r="W40" i="18"/>
  <c r="S45" i="18"/>
  <c r="S51" i="18"/>
  <c r="S56" i="18"/>
  <c r="S62" i="18"/>
  <c r="S24" i="18"/>
  <c r="S34" i="18"/>
  <c r="S40" i="18"/>
  <c r="O45" i="18"/>
  <c r="O51" i="18"/>
  <c r="O56" i="18"/>
  <c r="O62" i="18"/>
  <c r="O24" i="18"/>
  <c r="O34" i="18"/>
  <c r="O40" i="18"/>
  <c r="K45" i="18"/>
  <c r="K51" i="18"/>
  <c r="K56" i="18"/>
  <c r="K62" i="18"/>
  <c r="K24" i="18"/>
  <c r="K34" i="18"/>
  <c r="K40" i="18"/>
  <c r="G45" i="18"/>
  <c r="G51" i="18"/>
  <c r="G56" i="18"/>
  <c r="G62" i="18"/>
  <c r="G24" i="18"/>
  <c r="G34" i="18"/>
  <c r="G40" i="18"/>
  <c r="U44" i="17"/>
  <c r="U55" i="17"/>
  <c r="U23" i="17"/>
  <c r="U33" i="17"/>
  <c r="Z57" i="18"/>
  <c r="Z61" i="18"/>
  <c r="AW22" i="17"/>
  <c r="AM22" i="17"/>
  <c r="V23" i="17"/>
  <c r="V33" i="17"/>
  <c r="V44" i="17"/>
  <c r="V55" i="17"/>
  <c r="AO21" i="18"/>
  <c r="AO22" i="18"/>
  <c r="V35" i="18"/>
  <c r="V39" i="18"/>
  <c r="R35" i="18"/>
  <c r="R39" i="18"/>
  <c r="N35" i="18"/>
  <c r="N39" i="18"/>
  <c r="J35" i="18"/>
  <c r="J39" i="18"/>
  <c r="F35" i="18"/>
  <c r="F39" i="18"/>
  <c r="AG45" i="18"/>
  <c r="AG51" i="18"/>
  <c r="AG34" i="18"/>
  <c r="AG40" i="18"/>
  <c r="AG56" i="18"/>
  <c r="AG62" i="18"/>
  <c r="AG24" i="18"/>
  <c r="X57" i="18"/>
  <c r="X61" i="18"/>
  <c r="V46" i="18"/>
  <c r="V50" i="18"/>
  <c r="T57" i="18"/>
  <c r="T61" i="18"/>
  <c r="R46" i="18"/>
  <c r="R50" i="18"/>
  <c r="P57" i="18"/>
  <c r="P61" i="18"/>
  <c r="N46" i="18"/>
  <c r="N50" i="18"/>
  <c r="L57" i="18"/>
  <c r="L61" i="18"/>
  <c r="J46" i="18"/>
  <c r="J50" i="18"/>
  <c r="H57" i="18"/>
  <c r="H61" i="18"/>
  <c r="F46" i="18"/>
  <c r="F50" i="18"/>
  <c r="AP44" i="17"/>
  <c r="AP23" i="17"/>
  <c r="AP33" i="17"/>
  <c r="AP55" i="17"/>
  <c r="V50" i="17"/>
  <c r="V46" i="17"/>
  <c r="AJ39" i="17"/>
  <c r="AM34" i="18"/>
  <c r="AM40" i="18"/>
  <c r="AM45" i="18"/>
  <c r="AM51" i="18"/>
  <c r="AM24" i="18"/>
  <c r="AM56" i="18"/>
  <c r="AM62" i="18"/>
  <c r="AG61" i="17"/>
  <c r="X55" i="17"/>
  <c r="X23" i="17"/>
  <c r="X33" i="17"/>
  <c r="X44" i="17"/>
  <c r="AH61" i="17"/>
  <c r="AH57" i="17"/>
  <c r="E34" i="17"/>
  <c r="E40" i="17"/>
  <c r="E45" i="17"/>
  <c r="E51" i="17"/>
  <c r="E56" i="17"/>
  <c r="E62" i="17"/>
  <c r="E24" i="17"/>
  <c r="AQ44" i="18"/>
  <c r="AQ55" i="18"/>
  <c r="AQ23" i="18"/>
  <c r="AQ33" i="18"/>
  <c r="AK45" i="18"/>
  <c r="AK51" i="18"/>
  <c r="AK34" i="18"/>
  <c r="AK40" i="18"/>
  <c r="AK56" i="18"/>
  <c r="AK62" i="18"/>
  <c r="AK24" i="18"/>
  <c r="E55" i="18"/>
  <c r="E23" i="18"/>
  <c r="E44" i="18"/>
  <c r="E33" i="18"/>
  <c r="AZ21" i="18"/>
  <c r="F61" i="17"/>
  <c r="F57" i="17"/>
  <c r="L61" i="17"/>
  <c r="L57" i="17"/>
  <c r="T61" i="17"/>
  <c r="T57" i="17"/>
  <c r="AU34" i="17"/>
  <c r="AU40" i="17"/>
  <c r="AU24" i="17"/>
  <c r="AU45" i="17"/>
  <c r="AU51" i="17"/>
  <c r="AU56" i="17"/>
  <c r="AU62" i="17"/>
  <c r="AP50" i="17"/>
  <c r="AO34" i="18"/>
  <c r="AO40" i="18"/>
  <c r="AO45" i="18"/>
  <c r="AO51" i="18"/>
  <c r="AO24" i="18"/>
  <c r="AO56" i="18"/>
  <c r="AO62" i="18"/>
  <c r="V35" i="17"/>
  <c r="V39" i="17"/>
  <c r="U61" i="17"/>
  <c r="E61" i="17"/>
  <c r="E57" i="17"/>
  <c r="G61" i="17"/>
  <c r="I61" i="17"/>
  <c r="I57" i="17"/>
  <c r="K61" i="17"/>
  <c r="M61" i="17"/>
  <c r="M57" i="17"/>
  <c r="O61" i="17"/>
  <c r="Q61" i="17"/>
  <c r="Q57" i="17"/>
  <c r="AR34" i="17"/>
  <c r="AR40" i="17"/>
  <c r="AR45" i="17"/>
  <c r="AR51" i="17"/>
  <c r="AR56" i="17"/>
  <c r="AR62" i="17"/>
  <c r="AR24" i="17"/>
  <c r="AK50" i="17"/>
  <c r="AH45" i="18"/>
  <c r="AH51" i="18"/>
  <c r="AH24" i="18"/>
  <c r="AH56" i="18"/>
  <c r="AH62" i="18"/>
  <c r="AH34" i="18"/>
  <c r="AH40" i="18"/>
  <c r="AN50" i="17"/>
  <c r="G46" i="18"/>
  <c r="M57" i="18"/>
  <c r="S46" i="18"/>
  <c r="Y57" i="18"/>
  <c r="AM44" i="18"/>
  <c r="AM55" i="18"/>
  <c r="AM23" i="18"/>
  <c r="AM33" i="18"/>
  <c r="AW50" i="17"/>
  <c r="AG50" i="17"/>
  <c r="AR46" i="17"/>
  <c r="AR50" i="17"/>
  <c r="AY44" i="18"/>
  <c r="AY55" i="18"/>
  <c r="AY23" i="18"/>
  <c r="AY33" i="18"/>
  <c r="AF45" i="18"/>
  <c r="AF51" i="18"/>
  <c r="AF24" i="18"/>
  <c r="AF56" i="18"/>
  <c r="AF62" i="18"/>
  <c r="AF34" i="18"/>
  <c r="AF40" i="18"/>
  <c r="AA61" i="17"/>
  <c r="X45" i="17"/>
  <c r="X51" i="17"/>
  <c r="X24" i="17"/>
  <c r="X56" i="17"/>
  <c r="X62" i="17"/>
  <c r="X34" i="17"/>
  <c r="X40" i="17"/>
  <c r="AG57" i="18"/>
  <c r="AG61" i="18"/>
  <c r="K35" i="18"/>
  <c r="S35" i="18"/>
  <c r="AH35" i="17"/>
  <c r="AH39" i="17"/>
  <c r="H27" i="17"/>
  <c r="G30" i="17"/>
  <c r="AI50" i="17"/>
  <c r="AV50" i="17"/>
  <c r="AE45" i="18"/>
  <c r="AE51" i="18"/>
  <c r="AE34" i="18"/>
  <c r="AE40" i="18"/>
  <c r="AE56" i="18"/>
  <c r="AE62" i="18"/>
  <c r="AE24" i="18"/>
  <c r="AI46" i="18"/>
  <c r="AI50" i="18"/>
  <c r="G34" i="17"/>
  <c r="G40" i="17"/>
  <c r="G45" i="17"/>
  <c r="G51" i="17"/>
  <c r="G24" i="17"/>
  <c r="G56" i="17"/>
  <c r="G62" i="17"/>
  <c r="O34" i="17"/>
  <c r="O40" i="17"/>
  <c r="O45" i="17"/>
  <c r="O51" i="17"/>
  <c r="O24" i="17"/>
  <c r="O56" i="17"/>
  <c r="O62" i="17"/>
  <c r="Y50" i="17"/>
  <c r="AT61" i="17"/>
  <c r="AW34" i="18"/>
  <c r="AW40" i="18"/>
  <c r="AW45" i="18"/>
  <c r="AW51" i="18"/>
  <c r="AW24" i="18"/>
  <c r="AW56" i="18"/>
  <c r="AW62" i="18"/>
  <c r="AJ55" i="18"/>
  <c r="AJ23" i="18"/>
  <c r="AJ33" i="18"/>
  <c r="AJ44" i="18"/>
  <c r="AU61" i="17"/>
  <c r="AU57" i="17"/>
  <c r="AS61" i="17"/>
  <c r="AB55" i="17"/>
  <c r="AB23" i="17"/>
  <c r="AB33" i="17"/>
  <c r="AB44" i="17"/>
  <c r="AK34" i="17"/>
  <c r="AK40" i="17"/>
  <c r="AK24" i="17"/>
  <c r="AK45" i="17"/>
  <c r="AK51" i="17"/>
  <c r="AK56" i="17"/>
  <c r="AK62" i="17"/>
  <c r="AB46" i="18"/>
  <c r="AB50" i="18"/>
  <c r="AM61" i="17"/>
  <c r="AF55" i="17"/>
  <c r="AF23" i="17"/>
  <c r="AF33" i="17"/>
  <c r="AF44" i="17"/>
  <c r="H46" i="18"/>
  <c r="L46" i="18"/>
  <c r="P46" i="18"/>
  <c r="T46" i="18"/>
  <c r="X46" i="18"/>
  <c r="AC55" i="18"/>
  <c r="AC23" i="18"/>
  <c r="AC33" i="18"/>
  <c r="AC44" i="18"/>
  <c r="E45" i="18"/>
  <c r="E51" i="18"/>
  <c r="E56" i="18"/>
  <c r="E62" i="18"/>
  <c r="E24" i="18"/>
  <c r="E34" i="18"/>
  <c r="E40" i="18"/>
  <c r="AZ22" i="18"/>
  <c r="AN50" i="18"/>
  <c r="AN46" i="18"/>
  <c r="F46" i="17"/>
  <c r="F50" i="17"/>
  <c r="H46" i="17"/>
  <c r="H50" i="17"/>
  <c r="J46" i="17"/>
  <c r="J50" i="17"/>
  <c r="L46" i="17"/>
  <c r="L50" i="17"/>
  <c r="N46" i="17"/>
  <c r="N50" i="17"/>
  <c r="P46" i="17"/>
  <c r="P50" i="17"/>
  <c r="T50" i="17"/>
  <c r="T46" i="17"/>
  <c r="AE45" i="17"/>
  <c r="AE51" i="17"/>
  <c r="AE34" i="17"/>
  <c r="AE40" i="17"/>
  <c r="AE56" i="17"/>
  <c r="AE62" i="17"/>
  <c r="AE24" i="17"/>
  <c r="AR34" i="18"/>
  <c r="AR40" i="18"/>
  <c r="AR45" i="18"/>
  <c r="AR51" i="18"/>
  <c r="AR24" i="18"/>
  <c r="AR56" i="18"/>
  <c r="AR62" i="18"/>
  <c r="AL55" i="18"/>
  <c r="AL23" i="18"/>
  <c r="AL33" i="18"/>
  <c r="AL44" i="18"/>
  <c r="AS34" i="17"/>
  <c r="AS40" i="17"/>
  <c r="AS24" i="17"/>
  <c r="AS45" i="17"/>
  <c r="AS51" i="17"/>
  <c r="AS56" i="17"/>
  <c r="AS62" i="17"/>
  <c r="AQ39" i="17"/>
  <c r="AQ35" i="17"/>
  <c r="W46" i="18"/>
  <c r="AV44" i="18"/>
  <c r="AV55" i="18"/>
  <c r="AV23" i="18"/>
  <c r="AV33" i="18"/>
  <c r="AW34" i="17"/>
  <c r="AW40" i="17"/>
  <c r="AW56" i="17"/>
  <c r="AW62" i="17"/>
  <c r="AW45" i="17"/>
  <c r="AW51" i="17"/>
  <c r="AW24" i="17"/>
  <c r="AG34" i="17"/>
  <c r="AG40" i="17"/>
  <c r="AG45" i="17"/>
  <c r="AG51" i="17"/>
  <c r="AG24" i="17"/>
  <c r="AG56" i="17"/>
  <c r="AG62" i="17"/>
  <c r="AY34" i="18"/>
  <c r="AY40" i="18"/>
  <c r="AY45" i="18"/>
  <c r="AY51" i="18"/>
  <c r="AY24" i="18"/>
  <c r="AY56" i="18"/>
  <c r="AY62" i="18"/>
  <c r="AA50" i="17"/>
  <c r="AI61" i="17"/>
  <c r="AI57" i="17"/>
  <c r="W45" i="17"/>
  <c r="W51" i="17"/>
  <c r="W34" i="17"/>
  <c r="W40" i="17"/>
  <c r="W56" i="17"/>
  <c r="W62" i="17"/>
  <c r="W24" i="17"/>
  <c r="AO50" i="17"/>
  <c r="T35" i="18"/>
  <c r="H61" i="17"/>
  <c r="H57" i="17"/>
  <c r="P61" i="17"/>
  <c r="P57" i="17"/>
  <c r="F30" i="18"/>
  <c r="G27" i="18"/>
  <c r="AV34" i="18"/>
  <c r="AV40" i="18"/>
  <c r="AV45" i="18"/>
  <c r="AV51" i="18"/>
  <c r="AV24" i="18"/>
  <c r="AV56" i="18"/>
  <c r="AV62" i="18"/>
  <c r="AO44" i="18"/>
  <c r="AO55" i="18"/>
  <c r="AO23" i="18"/>
  <c r="AO33" i="18"/>
  <c r="U50" i="17"/>
  <c r="E46" i="17"/>
  <c r="E50" i="17"/>
  <c r="G50" i="17"/>
  <c r="I46" i="17"/>
  <c r="I50" i="17"/>
  <c r="K50" i="17"/>
  <c r="M50" i="17"/>
  <c r="O50" i="17"/>
  <c r="Q46" i="17"/>
  <c r="Q50" i="17"/>
  <c r="AK35" i="17"/>
  <c r="AK39" i="17"/>
  <c r="AT34" i="18"/>
  <c r="AT40" i="18"/>
  <c r="AT45" i="18"/>
  <c r="AT51" i="18"/>
  <c r="AT24" i="18"/>
  <c r="AT56" i="18"/>
  <c r="AT62" i="18"/>
  <c r="AN61" i="17"/>
  <c r="Z55" i="17"/>
  <c r="Z23" i="17"/>
  <c r="Z33" i="17"/>
  <c r="Z44" i="17"/>
  <c r="AJ61" i="17"/>
  <c r="AG35" i="17"/>
  <c r="AG39" i="17"/>
  <c r="AR61" i="17"/>
  <c r="AR57" i="17"/>
  <c r="AC55" i="17"/>
  <c r="AC23" i="17"/>
  <c r="AC33" i="17"/>
  <c r="AC44" i="17"/>
  <c r="AG35" i="18"/>
  <c r="AG39" i="18"/>
  <c r="AI39" i="17"/>
  <c r="AV61" i="17"/>
  <c r="AY34" i="17"/>
  <c r="AY40" i="17"/>
  <c r="AY24" i="17"/>
  <c r="AY56" i="17"/>
  <c r="AY62" i="17"/>
  <c r="AY45" i="17"/>
  <c r="AY51" i="17"/>
  <c r="U34" i="17"/>
  <c r="U40" i="17"/>
  <c r="U45" i="17"/>
  <c r="U51" i="17"/>
  <c r="U24" i="17"/>
  <c r="U56" i="17"/>
  <c r="U62" i="17"/>
  <c r="I34" i="17"/>
  <c r="I40" i="17"/>
  <c r="I45" i="17"/>
  <c r="I51" i="17"/>
  <c r="I24" i="17"/>
  <c r="I56" i="17"/>
  <c r="I62" i="17"/>
  <c r="Q34" i="17"/>
  <c r="Q40" i="17"/>
  <c r="Q45" i="17"/>
  <c r="Q51" i="17"/>
  <c r="Q24" i="17"/>
  <c r="Q56" i="17"/>
  <c r="Q62" i="17"/>
  <c r="Y61" i="17"/>
  <c r="AO39" i="17"/>
  <c r="AT39" i="17"/>
  <c r="AW44" i="18"/>
  <c r="AW55" i="18"/>
  <c r="AW23" i="18"/>
  <c r="AW33" i="18"/>
  <c r="AJ45" i="18"/>
  <c r="AJ51" i="18"/>
  <c r="AJ24" i="18"/>
  <c r="AJ56" i="18"/>
  <c r="AJ62" i="18"/>
  <c r="AJ34" i="18"/>
  <c r="AJ40" i="18"/>
  <c r="AU50" i="17"/>
  <c r="AU46" i="17"/>
  <c r="AS50" i="17"/>
  <c r="AS46" i="17"/>
  <c r="AB45" i="17"/>
  <c r="AB51" i="17"/>
  <c r="AB24" i="17"/>
  <c r="AB56" i="17"/>
  <c r="AB62" i="17"/>
  <c r="AB34" i="17"/>
  <c r="AB40" i="17"/>
  <c r="AZ22" i="17"/>
  <c r="D34" i="17"/>
  <c r="D45" i="17"/>
  <c r="D24" i="17"/>
  <c r="D56" i="17"/>
  <c r="AB35" i="18"/>
  <c r="AB39" i="18"/>
  <c r="AM50" i="17"/>
  <c r="AM46" i="17"/>
  <c r="AS34" i="18"/>
  <c r="AS40" i="18"/>
  <c r="AS45" i="18"/>
  <c r="AS51" i="18"/>
  <c r="AS24" i="18"/>
  <c r="AS56" i="18"/>
  <c r="AS62" i="18"/>
  <c r="H35" i="18"/>
  <c r="P35" i="18"/>
  <c r="X35" i="18"/>
  <c r="AC45" i="18"/>
  <c r="AC51" i="18"/>
  <c r="AC34" i="18"/>
  <c r="AC40" i="18"/>
  <c r="AC56" i="18"/>
  <c r="AC62" i="18"/>
  <c r="AC24" i="18"/>
  <c r="F35" i="17"/>
  <c r="F39" i="17"/>
  <c r="H35" i="17"/>
  <c r="H39" i="17"/>
  <c r="J35" i="17"/>
  <c r="J39" i="17"/>
  <c r="L35" i="17"/>
  <c r="L39" i="17"/>
  <c r="N35" i="17"/>
  <c r="N39" i="17"/>
  <c r="P35" i="17"/>
  <c r="P39" i="17"/>
  <c r="T35" i="17"/>
  <c r="T39" i="17"/>
  <c r="AP34" i="18"/>
  <c r="AP40" i="18"/>
  <c r="AP45" i="18"/>
  <c r="AP51" i="18"/>
  <c r="AP24" i="18"/>
  <c r="AP56" i="18"/>
  <c r="AP62" i="18"/>
  <c r="AO34" i="17"/>
  <c r="AO40" i="17"/>
  <c r="AO56" i="17"/>
  <c r="AO62" i="17"/>
  <c r="AO24" i="17"/>
  <c r="AO45" i="17"/>
  <c r="AO51" i="17"/>
  <c r="AX34" i="18"/>
  <c r="AX40" i="18"/>
  <c r="AX45" i="18"/>
  <c r="AX51" i="18"/>
  <c r="AX24" i="18"/>
  <c r="AX56" i="18"/>
  <c r="AX62" i="18"/>
  <c r="AR44" i="18"/>
  <c r="AR55" i="18"/>
  <c r="AR23" i="18"/>
  <c r="AR33" i="18"/>
  <c r="AL45" i="18"/>
  <c r="AL51" i="18"/>
  <c r="AL24" i="18"/>
  <c r="AL56" i="18"/>
  <c r="AL62" i="18"/>
  <c r="AL34" i="18"/>
  <c r="AL40" i="18"/>
  <c r="AD55" i="17"/>
  <c r="AD23" i="17"/>
  <c r="AD33" i="17"/>
  <c r="AD44" i="17"/>
  <c r="AQ61" i="17"/>
  <c r="AQ57" i="17"/>
  <c r="AA55" i="18"/>
  <c r="AA23" i="18"/>
  <c r="AA44" i="18"/>
  <c r="AA33" i="18"/>
  <c r="AH55" i="18"/>
  <c r="AH23" i="18"/>
  <c r="AH33" i="18"/>
  <c r="AH44" i="18"/>
  <c r="AW61" i="17"/>
  <c r="AW57" i="17"/>
  <c r="AF55" i="18"/>
  <c r="AF23" i="18"/>
  <c r="AF33" i="18"/>
  <c r="AF44" i="18"/>
  <c r="AG46" i="18"/>
  <c r="AG50" i="18"/>
  <c r="AE55" i="18"/>
  <c r="AE23" i="18"/>
  <c r="AE33" i="18"/>
  <c r="AE44" i="18"/>
  <c r="AI35" i="18"/>
  <c r="AI39" i="18"/>
  <c r="M34" i="17"/>
  <c r="M40" i="17"/>
  <c r="M45" i="17"/>
  <c r="M51" i="17"/>
  <c r="M24" i="17"/>
  <c r="M56" i="17"/>
  <c r="M62" i="17"/>
  <c r="AT50" i="17"/>
  <c r="AB57" i="18"/>
  <c r="AB61" i="18"/>
  <c r="AF45" i="17"/>
  <c r="AF51" i="17"/>
  <c r="AF56" i="17"/>
  <c r="AF62" i="17"/>
  <c r="AF24" i="17"/>
  <c r="AF34" i="17"/>
  <c r="AF40" i="17"/>
  <c r="L35" i="18"/>
  <c r="AV34" i="17"/>
  <c r="AV40" i="17"/>
  <c r="AV45" i="17"/>
  <c r="AV51" i="17"/>
  <c r="AV56" i="17"/>
  <c r="AV62" i="17"/>
  <c r="AV24" i="17"/>
  <c r="AN61" i="18"/>
  <c r="AN57" i="18"/>
  <c r="J61" i="17"/>
  <c r="J57" i="17"/>
  <c r="N61" i="17"/>
  <c r="N57" i="17"/>
  <c r="AE55" i="17"/>
  <c r="AE23" i="17"/>
  <c r="AE33" i="17"/>
  <c r="AE44" i="17"/>
  <c r="AD45" i="18"/>
  <c r="AD51" i="18"/>
  <c r="AD24" i="18"/>
  <c r="AD56" i="18"/>
  <c r="AD62" i="18"/>
  <c r="AD34" i="18"/>
  <c r="AD40" i="18"/>
  <c r="AP61" i="17"/>
  <c r="AP57" i="17"/>
  <c r="AP35" i="17"/>
  <c r="AP39" i="17"/>
  <c r="V61" i="17"/>
  <c r="V57" i="17"/>
  <c r="AM34" i="17"/>
  <c r="AM40" i="17"/>
  <c r="AM24" i="17"/>
  <c r="AM45" i="17"/>
  <c r="AM51" i="17"/>
  <c r="AM56" i="17"/>
  <c r="AM62" i="17"/>
  <c r="U35" i="17"/>
  <c r="U39" i="17"/>
  <c r="E35" i="17"/>
  <c r="E39" i="17"/>
  <c r="G35" i="17"/>
  <c r="G39" i="17"/>
  <c r="I35" i="17"/>
  <c r="I39" i="17"/>
  <c r="K35" i="17"/>
  <c r="K39" i="17"/>
  <c r="M35" i="17"/>
  <c r="M39" i="17"/>
  <c r="O35" i="17"/>
  <c r="O39" i="17"/>
  <c r="Q35" i="17"/>
  <c r="Q39" i="17"/>
  <c r="Y45" i="17"/>
  <c r="Y51" i="17"/>
  <c r="Y34" i="17"/>
  <c r="Y40" i="17"/>
  <c r="Y56" i="17"/>
  <c r="Y62" i="17"/>
  <c r="Y24" i="17"/>
  <c r="AK61" i="17"/>
  <c r="AK57" i="17"/>
  <c r="AT44" i="18"/>
  <c r="AT55" i="18"/>
  <c r="AT23" i="18"/>
  <c r="AT33" i="18"/>
  <c r="AN39" i="17"/>
  <c r="Z45" i="17"/>
  <c r="Z51" i="17"/>
  <c r="Z24" i="17"/>
  <c r="Z56" i="17"/>
  <c r="Z62" i="17"/>
  <c r="Z34" i="17"/>
  <c r="Z40" i="17"/>
  <c r="AJ46" i="17"/>
  <c r="AJ50" i="17"/>
  <c r="I57" i="18"/>
  <c r="Q57" i="18"/>
  <c r="U57" i="18"/>
  <c r="AW39" i="17"/>
  <c r="AW35" i="17"/>
  <c r="AR35" i="17"/>
  <c r="AR39" i="17"/>
  <c r="AC45" i="17"/>
  <c r="AC51" i="17"/>
  <c r="AC34" i="17"/>
  <c r="AC40" i="17"/>
  <c r="AC56" i="17"/>
  <c r="AC62" i="17"/>
  <c r="AC24" i="17"/>
  <c r="AA39" i="17"/>
  <c r="AP34" i="17"/>
  <c r="AP40" i="17"/>
  <c r="AP45" i="17"/>
  <c r="AP51" i="17"/>
  <c r="AP56" i="17"/>
  <c r="AP62" i="17"/>
  <c r="AP24" i="17"/>
  <c r="G57" i="18"/>
  <c r="K57" i="18"/>
  <c r="O57" i="18"/>
  <c r="S57" i="18"/>
  <c r="W57" i="18"/>
  <c r="G35" i="18"/>
  <c r="O35" i="18"/>
  <c r="W35" i="18"/>
  <c r="AH46" i="17"/>
  <c r="AH50" i="17"/>
  <c r="AV39" i="17"/>
  <c r="AY23" i="17"/>
  <c r="AY44" i="17"/>
  <c r="AY55" i="17"/>
  <c r="AY33" i="17"/>
  <c r="AI57" i="18"/>
  <c r="AI61" i="18"/>
  <c r="K34" i="17"/>
  <c r="K40" i="17"/>
  <c r="K45" i="17"/>
  <c r="K51" i="17"/>
  <c r="K56" i="17"/>
  <c r="K62" i="17"/>
  <c r="K24" i="17"/>
  <c r="Y35" i="17"/>
  <c r="Y39" i="17"/>
  <c r="W55" i="17"/>
  <c r="W23" i="17"/>
  <c r="W33" i="17"/>
  <c r="W44" i="17"/>
  <c r="AO61" i="17"/>
  <c r="AO57" i="17"/>
  <c r="AQ34" i="18"/>
  <c r="AQ40" i="18"/>
  <c r="AQ45" i="18"/>
  <c r="AQ51" i="18"/>
  <c r="AQ24" i="18"/>
  <c r="AQ56" i="18"/>
  <c r="AQ62" i="18"/>
  <c r="AU39" i="17"/>
  <c r="AU35" i="17"/>
  <c r="AS39" i="17"/>
  <c r="AS35" i="17"/>
  <c r="AJ34" i="17"/>
  <c r="AJ40" i="17"/>
  <c r="AJ45" i="17"/>
  <c r="AJ51" i="17"/>
  <c r="AJ56" i="17"/>
  <c r="AJ62" i="17"/>
  <c r="AJ24" i="17"/>
  <c r="AM39" i="17"/>
  <c r="AK55" i="18"/>
  <c r="AK23" i="18"/>
  <c r="AK33" i="18"/>
  <c r="AK44" i="18"/>
  <c r="AS44" i="18"/>
  <c r="AS55" i="18"/>
  <c r="AS23" i="18"/>
  <c r="AS33" i="18"/>
  <c r="F57" i="18"/>
  <c r="J57" i="18"/>
  <c r="N57" i="18"/>
  <c r="R57" i="18"/>
  <c r="V57" i="18"/>
  <c r="AI34" i="17"/>
  <c r="AI40" i="17"/>
  <c r="AI24" i="17"/>
  <c r="AI45" i="17"/>
  <c r="AI51" i="17"/>
  <c r="AI56" i="17"/>
  <c r="AI62" i="17"/>
  <c r="AN34" i="17"/>
  <c r="AN40" i="17"/>
  <c r="AN45" i="17"/>
  <c r="AN51" i="17"/>
  <c r="AN56" i="17"/>
  <c r="AN62" i="17"/>
  <c r="AN24" i="17"/>
  <c r="AN35" i="18"/>
  <c r="AN39" i="18"/>
  <c r="AP44" i="18"/>
  <c r="AP55" i="18"/>
  <c r="AP23" i="18"/>
  <c r="AP33" i="18"/>
  <c r="AT34" i="17"/>
  <c r="AT40" i="17"/>
  <c r="AT45" i="17"/>
  <c r="AT51" i="17"/>
  <c r="AT56" i="17"/>
  <c r="AT62" i="17"/>
  <c r="AT24" i="17"/>
  <c r="AX44" i="18"/>
  <c r="AX55" i="18"/>
  <c r="AX23" i="18"/>
  <c r="AX33" i="18"/>
  <c r="AD55" i="18"/>
  <c r="AD23" i="18"/>
  <c r="AD33" i="18"/>
  <c r="AD44" i="18"/>
  <c r="AA45" i="17"/>
  <c r="AA51" i="17"/>
  <c r="AA34" i="17"/>
  <c r="AA40" i="17"/>
  <c r="AA24" i="17"/>
  <c r="AA56" i="17"/>
  <c r="AA62" i="17"/>
  <c r="AD45" i="17"/>
  <c r="AD51" i="17"/>
  <c r="AD24" i="17"/>
  <c r="AD56" i="17"/>
  <c r="AD62" i="17"/>
  <c r="AD34" i="17"/>
  <c r="AD40" i="17"/>
  <c r="AQ50" i="17"/>
  <c r="AQ46" i="17"/>
  <c r="O46" i="18"/>
  <c r="Q35" i="18"/>
  <c r="AA45" i="18"/>
  <c r="AA51" i="18"/>
  <c r="AA56" i="18"/>
  <c r="AA62" i="18"/>
  <c r="AA24" i="18"/>
  <c r="AA34" i="18"/>
  <c r="AA40" i="18"/>
  <c r="S21" i="17"/>
  <c r="S22" i="17"/>
  <c r="AE35" i="17"/>
  <c r="AE39" i="17"/>
  <c r="AF35" i="18"/>
  <c r="AF39" i="18"/>
  <c r="AD35" i="17"/>
  <c r="AD39" i="17"/>
  <c r="AW46" i="18"/>
  <c r="AW50" i="18"/>
  <c r="M46" i="17"/>
  <c r="AV35" i="18"/>
  <c r="AV39" i="18"/>
  <c r="AL50" i="18"/>
  <c r="AL46" i="18"/>
  <c r="S34" i="17"/>
  <c r="S40" i="17"/>
  <c r="S45" i="17"/>
  <c r="S51" i="17"/>
  <c r="S24" i="17"/>
  <c r="S56" i="17"/>
  <c r="S62" i="17"/>
  <c r="AX61" i="18"/>
  <c r="AX57" i="18"/>
  <c r="AP61" i="18"/>
  <c r="AP57" i="18"/>
  <c r="AS46" i="18"/>
  <c r="AS50" i="18"/>
  <c r="AK57" i="18"/>
  <c r="AK61" i="18"/>
  <c r="W57" i="17"/>
  <c r="W61" i="17"/>
  <c r="AT61" i="18"/>
  <c r="AT57" i="18"/>
  <c r="AT46" i="17"/>
  <c r="AE35" i="18"/>
  <c r="AE39" i="18"/>
  <c r="AH46" i="18"/>
  <c r="AH50" i="18"/>
  <c r="AA35" i="18"/>
  <c r="AA39" i="18"/>
  <c r="AR61" i="18"/>
  <c r="AR57" i="18"/>
  <c r="AZ24" i="17"/>
  <c r="AW35" i="18"/>
  <c r="AW39" i="18"/>
  <c r="AC46" i="17"/>
  <c r="AC50" i="17"/>
  <c r="AJ57" i="17"/>
  <c r="U46" i="17"/>
  <c r="AO61" i="18"/>
  <c r="AO57" i="18"/>
  <c r="AL35" i="18"/>
  <c r="AL39" i="18"/>
  <c r="AC46" i="18"/>
  <c r="AC50" i="18"/>
  <c r="AF57" i="17"/>
  <c r="AF61" i="17"/>
  <c r="AB57" i="17"/>
  <c r="AB61" i="17"/>
  <c r="AJ57" i="18"/>
  <c r="AJ61" i="18"/>
  <c r="Y46" i="17"/>
  <c r="AV46" i="17"/>
  <c r="I27" i="17"/>
  <c r="H30" i="17"/>
  <c r="AA57" i="17"/>
  <c r="AY46" i="18"/>
  <c r="AY50" i="18"/>
  <c r="AG46" i="17"/>
  <c r="AN46" i="17"/>
  <c r="AZ23" i="18"/>
  <c r="AQ61" i="18"/>
  <c r="AQ57" i="18"/>
  <c r="X46" i="17"/>
  <c r="X50" i="17"/>
  <c r="AG57" i="17"/>
  <c r="AS61" i="18"/>
  <c r="AS57" i="18"/>
  <c r="AA57" i="18"/>
  <c r="AA61" i="18"/>
  <c r="D62" i="17"/>
  <c r="D57" i="17"/>
  <c r="AC57" i="18"/>
  <c r="AC61" i="18"/>
  <c r="AM35" i="18"/>
  <c r="AM39" i="18"/>
  <c r="E46" i="18"/>
  <c r="E50" i="18"/>
  <c r="X57" i="17"/>
  <c r="X61" i="17"/>
  <c r="S44" i="17"/>
  <c r="S55" i="17"/>
  <c r="S23" i="17"/>
  <c r="AZ23" i="17"/>
  <c r="S33" i="17"/>
  <c r="AZ21" i="17"/>
  <c r="AD57" i="18"/>
  <c r="AD61" i="18"/>
  <c r="AX46" i="18"/>
  <c r="AX50" i="18"/>
  <c r="AP46" i="18"/>
  <c r="AP50" i="18"/>
  <c r="AS35" i="18"/>
  <c r="AS39" i="18"/>
  <c r="AK46" i="18"/>
  <c r="AK50" i="18"/>
  <c r="AM35" i="17"/>
  <c r="W46" i="17"/>
  <c r="W50" i="17"/>
  <c r="AY39" i="17"/>
  <c r="AY35" i="17"/>
  <c r="AN35" i="17"/>
  <c r="AT46" i="18"/>
  <c r="AT50" i="18"/>
  <c r="AE57" i="17"/>
  <c r="AE61" i="17"/>
  <c r="AF57" i="18"/>
  <c r="AF61" i="18"/>
  <c r="AH35" i="18"/>
  <c r="AH39" i="18"/>
  <c r="AA46" i="18"/>
  <c r="AA50" i="18"/>
  <c r="AD57" i="17"/>
  <c r="AD61" i="17"/>
  <c r="AR46" i="18"/>
  <c r="AR50" i="18"/>
  <c r="D51" i="17"/>
  <c r="D46" i="17"/>
  <c r="AT35" i="17"/>
  <c r="Y57" i="17"/>
  <c r="AI35" i="17"/>
  <c r="AC35" i="17"/>
  <c r="AC39" i="17"/>
  <c r="Z61" i="17"/>
  <c r="Z57" i="17"/>
  <c r="O46" i="17"/>
  <c r="K46" i="17"/>
  <c r="G46" i="17"/>
  <c r="AO46" i="18"/>
  <c r="AO50" i="18"/>
  <c r="AO46" i="17"/>
  <c r="AV61" i="18"/>
  <c r="AV57" i="18"/>
  <c r="AZ24" i="18"/>
  <c r="AC35" i="18"/>
  <c r="AC39" i="18"/>
  <c r="AF46" i="17"/>
  <c r="AF50" i="17"/>
  <c r="AM57" i="17"/>
  <c r="AB46" i="17"/>
  <c r="AB50" i="17"/>
  <c r="AS57" i="17"/>
  <c r="AJ46" i="18"/>
  <c r="AJ50" i="18"/>
  <c r="AT57" i="17"/>
  <c r="AY35" i="18"/>
  <c r="AY39" i="18"/>
  <c r="AW46" i="17"/>
  <c r="AM61" i="18"/>
  <c r="AM57" i="18"/>
  <c r="O57" i="17"/>
  <c r="K57" i="17"/>
  <c r="G57" i="17"/>
  <c r="U57" i="17"/>
  <c r="E57" i="18"/>
  <c r="E61" i="18"/>
  <c r="AQ46" i="18"/>
  <c r="AQ50" i="18"/>
  <c r="X35" i="17"/>
  <c r="X39" i="17"/>
  <c r="AD35" i="18"/>
  <c r="AD39" i="18"/>
  <c r="AY46" i="17"/>
  <c r="AY50" i="17"/>
  <c r="AE46" i="18"/>
  <c r="AE50" i="18"/>
  <c r="AH61" i="18"/>
  <c r="AH57" i="18"/>
  <c r="AC57" i="17"/>
  <c r="AC61" i="17"/>
  <c r="Z35" i="17"/>
  <c r="Z39" i="17"/>
  <c r="AY61" i="18"/>
  <c r="AY57" i="18"/>
  <c r="AD50" i="18"/>
  <c r="AD46" i="18"/>
  <c r="AX35" i="18"/>
  <c r="AX39" i="18"/>
  <c r="AP35" i="18"/>
  <c r="AP39" i="18"/>
  <c r="AK35" i="18"/>
  <c r="AK39" i="18"/>
  <c r="W35" i="17"/>
  <c r="W39" i="17"/>
  <c r="AY61" i="17"/>
  <c r="AY57" i="17"/>
  <c r="AV35" i="17"/>
  <c r="AA35" i="17"/>
  <c r="AT35" i="18"/>
  <c r="AT39" i="18"/>
  <c r="AE46" i="17"/>
  <c r="AE50" i="17"/>
  <c r="AE57" i="18"/>
  <c r="AE61" i="18"/>
  <c r="AF46" i="18"/>
  <c r="AF50" i="18"/>
  <c r="AD50" i="17"/>
  <c r="AD46" i="17"/>
  <c r="AR35" i="18"/>
  <c r="AR39" i="18"/>
  <c r="D40" i="17"/>
  <c r="D35" i="17"/>
  <c r="AW61" i="18"/>
  <c r="AW57" i="18"/>
  <c r="AO35" i="17"/>
  <c r="AV57" i="17"/>
  <c r="Z46" i="17"/>
  <c r="Z50" i="17"/>
  <c r="AN57" i="17"/>
  <c r="AO35" i="18"/>
  <c r="AO39" i="18"/>
  <c r="G30" i="18"/>
  <c r="H27" i="18"/>
  <c r="AA46" i="17"/>
  <c r="AV46" i="18"/>
  <c r="AV50" i="18"/>
  <c r="AL57" i="18"/>
  <c r="AL61" i="18"/>
  <c r="AF35" i="17"/>
  <c r="AF39" i="17"/>
  <c r="AB35" i="17"/>
  <c r="AB39" i="17"/>
  <c r="AJ35" i="18"/>
  <c r="AJ39" i="18"/>
  <c r="AI46" i="17"/>
  <c r="AM46" i="18"/>
  <c r="AM50" i="18"/>
  <c r="AK46" i="17"/>
  <c r="AP46" i="17"/>
  <c r="E35" i="18"/>
  <c r="E39" i="18"/>
  <c r="AQ35" i="18"/>
  <c r="AQ39" i="18"/>
  <c r="AJ35" i="17"/>
  <c r="H30" i="18"/>
  <c r="I27" i="18"/>
  <c r="S35" i="17"/>
  <c r="S39" i="17"/>
  <c r="S50" i="17"/>
  <c r="S46" i="17"/>
  <c r="S61" i="17"/>
  <c r="S57" i="17"/>
  <c r="J27" i="17"/>
  <c r="I30" i="17"/>
  <c r="K27" i="17"/>
  <c r="J30" i="17"/>
  <c r="I30" i="18"/>
  <c r="J27" i="18"/>
  <c r="J30" i="18"/>
  <c r="K27" i="18"/>
  <c r="L27" i="17"/>
  <c r="K30" i="17"/>
  <c r="K30" i="18"/>
  <c r="L27" i="18"/>
  <c r="M27" i="17"/>
  <c r="L30" i="17"/>
  <c r="L30" i="18"/>
  <c r="M27" i="18"/>
  <c r="N27" i="17"/>
  <c r="M30" i="17"/>
  <c r="O27" i="17"/>
  <c r="N30" i="17"/>
  <c r="M30" i="18"/>
  <c r="N27" i="18"/>
  <c r="N30" i="18"/>
  <c r="O27" i="18"/>
  <c r="P27" i="17"/>
  <c r="O30" i="17"/>
  <c r="O30" i="18"/>
  <c r="P27" i="18"/>
  <c r="Q27" i="17"/>
  <c r="P30" i="17"/>
  <c r="P30" i="18"/>
  <c r="Q27" i="18"/>
  <c r="R27" i="17"/>
  <c r="Q30" i="17"/>
  <c r="Q30" i="18"/>
  <c r="R27" i="18"/>
  <c r="S27" i="17"/>
  <c r="R30" i="17"/>
  <c r="R30" i="18"/>
  <c r="S27" i="18"/>
  <c r="T27" i="17"/>
  <c r="S30" i="17"/>
  <c r="S30" i="18"/>
  <c r="T27" i="18"/>
  <c r="U27" i="17"/>
  <c r="T30" i="17"/>
  <c r="T30" i="18"/>
  <c r="U27" i="18"/>
  <c r="U30" i="17"/>
  <c r="V27" i="17"/>
  <c r="W27" i="17"/>
  <c r="V30" i="17"/>
  <c r="U30" i="18"/>
  <c r="V27" i="18"/>
  <c r="V30" i="18"/>
  <c r="W27" i="18"/>
  <c r="X27" i="17"/>
  <c r="W30" i="17"/>
  <c r="Y27" i="17"/>
  <c r="X30" i="17"/>
  <c r="W30" i="18"/>
  <c r="X27" i="18"/>
  <c r="X30" i="18"/>
  <c r="Y27" i="18"/>
  <c r="Z27" i="17"/>
  <c r="Y30" i="17"/>
  <c r="AA27" i="17"/>
  <c r="Z30" i="17"/>
  <c r="Y30" i="18"/>
  <c r="Z27" i="18"/>
  <c r="Z30" i="18"/>
  <c r="AA27" i="18"/>
  <c r="AB27" i="17"/>
  <c r="AA30" i="17"/>
  <c r="AC27" i="17"/>
  <c r="AB30" i="17"/>
  <c r="AA30" i="18"/>
  <c r="AB27" i="18"/>
  <c r="AC27" i="18"/>
  <c r="AB30" i="18"/>
  <c r="AD27" i="17"/>
  <c r="AC30" i="17"/>
  <c r="AE27" i="17"/>
  <c r="AD30" i="17"/>
  <c r="AD27" i="18"/>
  <c r="AC30" i="18"/>
  <c r="AF27" i="17"/>
  <c r="AE30" i="17"/>
  <c r="AE27" i="18"/>
  <c r="AD30" i="18"/>
  <c r="AF27" i="18"/>
  <c r="AE30" i="18"/>
  <c r="AG27" i="17"/>
  <c r="AF30" i="17"/>
  <c r="AH27" i="17"/>
  <c r="AG30" i="17"/>
  <c r="AG27" i="18"/>
  <c r="AF30" i="18"/>
  <c r="AH27" i="18"/>
  <c r="AG30" i="18"/>
  <c r="AI27" i="17"/>
  <c r="AH30" i="17"/>
  <c r="AJ27" i="17"/>
  <c r="AI30" i="17"/>
  <c r="AI27" i="18"/>
  <c r="AH30" i="18"/>
  <c r="AJ27" i="18"/>
  <c r="AI30" i="18"/>
  <c r="AK27" i="17"/>
  <c r="AJ30" i="17"/>
  <c r="AL27" i="17"/>
  <c r="AK30" i="17"/>
  <c r="AK27" i="18"/>
  <c r="AJ30" i="18"/>
  <c r="AL27" i="18"/>
  <c r="AK30" i="18"/>
  <c r="AM27" i="17"/>
  <c r="AL30" i="17"/>
  <c r="AN27" i="17"/>
  <c r="AM30" i="17"/>
  <c r="AM27" i="18"/>
  <c r="AL30" i="18"/>
  <c r="AN27" i="18"/>
  <c r="AM30" i="18"/>
  <c r="AO27" i="17"/>
  <c r="AN30" i="17"/>
  <c r="AP27" i="17"/>
  <c r="AO30" i="17"/>
  <c r="AO27" i="18"/>
  <c r="AN30" i="18"/>
  <c r="AP27" i="18"/>
  <c r="AO30" i="18"/>
  <c r="AQ27" i="17"/>
  <c r="AP30" i="17"/>
  <c r="AR27" i="17"/>
  <c r="AQ30" i="17"/>
  <c r="AQ27" i="18"/>
  <c r="AP30" i="18"/>
  <c r="AR27" i="18"/>
  <c r="AQ30" i="18"/>
  <c r="AS27" i="17"/>
  <c r="AR30" i="17"/>
  <c r="AT27" i="17"/>
  <c r="AS30" i="17"/>
  <c r="AS27" i="18"/>
  <c r="AR30" i="18"/>
  <c r="AT27" i="18"/>
  <c r="AS30" i="18"/>
  <c r="AU27" i="17"/>
  <c r="AT30" i="17"/>
  <c r="AV27" i="17"/>
  <c r="AU30" i="17"/>
  <c r="AU27" i="18"/>
  <c r="AT30" i="18"/>
  <c r="AV27" i="18"/>
  <c r="AU30" i="18"/>
  <c r="AW27" i="17"/>
  <c r="AV30" i="17"/>
  <c r="AX27" i="17"/>
  <c r="AW30" i="17"/>
  <c r="AW27" i="18"/>
  <c r="AV30" i="18"/>
  <c r="AX27" i="18"/>
  <c r="AW30" i="18"/>
  <c r="AY27" i="17"/>
  <c r="AY30" i="17"/>
  <c r="AZ30" i="17"/>
  <c r="AX30" i="17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<sst xmlns="http://schemas.openxmlformats.org/spreadsheetml/2006/main" count="2632" uniqueCount="414">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</sst>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2020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64" sqref="C64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-1500</v>
      </c>
      <c r="D39" s="14">
        <v>3500</v>
      </c>
      <c r="E39" s="15" t="s">
        <v>166</v>
      </c>
      <c r="F39" s="15" t="s">
        <v>6</v>
      </c>
      <c r="G39" s="15">
        <f t="shared" si="3"/>
        <v>2000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-250</v>
      </c>
      <c r="D63" s="15">
        <v>2250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9" sqref="C9"/>
    </sheetView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2286.3733812813821</v>
      </c>
      <c r="D6" s="87">
        <v>2286.3733812813821</v>
      </c>
      <c r="E6" s="87">
        <v>2286.3733812813821</v>
      </c>
      <c r="F6" s="87">
        <v>2286.3733812813821</v>
      </c>
      <c r="G6" s="87">
        <v>2286.3733812813821</v>
      </c>
      <c r="H6" s="87">
        <v>2286.3733812813821</v>
      </c>
      <c r="I6" s="87">
        <v>2286.3733812813821</v>
      </c>
      <c r="J6" s="87">
        <v>2286.3733812813821</v>
      </c>
      <c r="K6" s="87">
        <v>2286.3733812813821</v>
      </c>
      <c r="L6" s="87">
        <v>2286.3733812813821</v>
      </c>
      <c r="M6" s="87">
        <v>2286.3733812813821</v>
      </c>
      <c r="N6" s="87">
        <v>2286.3733812813821</v>
      </c>
    </row>
    <row r="7" spans="2:14">
      <c r="B7" s="36" t="s">
        <v>105</v>
      </c>
      <c r="C7" s="88">
        <v>1.1822953366672563E-21</v>
      </c>
      <c r="D7" s="89">
        <v>1.1822953366672563E-21</v>
      </c>
      <c r="E7" s="89">
        <v>1.1822953366672563E-21</v>
      </c>
      <c r="F7" s="89">
        <v>1.1822953366672563E-21</v>
      </c>
      <c r="G7" s="89">
        <v>1.1822953366672563E-21</v>
      </c>
      <c r="H7" s="89">
        <v>1.1822953366672563E-21</v>
      </c>
      <c r="I7" s="89">
        <v>1.1822953366672563E-21</v>
      </c>
      <c r="J7" s="89">
        <v>1.1822953366672563E-21</v>
      </c>
      <c r="K7" s="89">
        <v>1.1822953366672563E-21</v>
      </c>
      <c r="L7" s="89">
        <v>1.1822953366672563E-21</v>
      </c>
      <c r="M7" s="89">
        <v>1.1822953366672563E-21</v>
      </c>
      <c r="N7" s="89">
        <v>1.1822953366672563E-21</v>
      </c>
    </row>
    <row r="8" spans="2:14">
      <c r="B8" s="36" t="s">
        <v>106</v>
      </c>
      <c r="C8" s="88">
        <v>120</v>
      </c>
      <c r="D8" s="88">
        <v>160</v>
      </c>
      <c r="E8" s="88">
        <v>160</v>
      </c>
      <c r="F8" s="88">
        <v>160</v>
      </c>
      <c r="G8" s="88">
        <v>160</v>
      </c>
      <c r="H8" s="88">
        <v>160</v>
      </c>
      <c r="I8" s="88">
        <v>160</v>
      </c>
      <c r="J8" s="88">
        <v>160</v>
      </c>
      <c r="K8" s="88">
        <v>160</v>
      </c>
      <c r="L8" s="88">
        <v>160</v>
      </c>
      <c r="M8" s="88">
        <v>160</v>
      </c>
      <c r="N8" s="88">
        <v>160</v>
      </c>
    </row>
    <row r="9" spans="2:14">
      <c r="B9" s="36" t="s">
        <v>107</v>
      </c>
      <c r="C9" s="88">
        <v>815.15335703879305</v>
      </c>
      <c r="D9" s="89">
        <v>815.15335703879305</v>
      </c>
      <c r="E9" s="89">
        <v>815.15335703879305</v>
      </c>
      <c r="F9" s="89">
        <v>815.15335703879305</v>
      </c>
      <c r="G9" s="89">
        <v>815.15335703879305</v>
      </c>
      <c r="H9" s="89">
        <v>815.15335703879305</v>
      </c>
      <c r="I9" s="89">
        <v>815.15335703879305</v>
      </c>
      <c r="J9" s="89">
        <v>815.15335703879305</v>
      </c>
      <c r="K9" s="89">
        <v>815.15335703879305</v>
      </c>
      <c r="L9" s="89">
        <v>815.15335703879305</v>
      </c>
      <c r="M9" s="89">
        <v>815.15335703879305</v>
      </c>
      <c r="N9" s="89">
        <v>815.15335703879305</v>
      </c>
    </row>
    <row r="10" spans="2:14">
      <c r="B10" s="36" t="s">
        <v>108</v>
      </c>
      <c r="C10" s="88">
        <v>4.859486158924392E-22</v>
      </c>
      <c r="D10" s="89">
        <v>4.859486158924392E-22</v>
      </c>
      <c r="E10" s="89">
        <v>4.859486158924392E-22</v>
      </c>
      <c r="F10" s="89">
        <v>4.859486158924392E-22</v>
      </c>
      <c r="G10" s="89">
        <v>4.859486158924392E-22</v>
      </c>
      <c r="H10" s="89">
        <v>4.859486158924392E-22</v>
      </c>
      <c r="I10" s="89">
        <v>4.859486158924392E-22</v>
      </c>
      <c r="J10" s="89">
        <v>4.859486158924392E-22</v>
      </c>
      <c r="K10" s="89">
        <v>4.859486158924392E-22</v>
      </c>
      <c r="L10" s="89">
        <v>4.859486158924392E-22</v>
      </c>
      <c r="M10" s="89">
        <v>4.859486158924392E-22</v>
      </c>
      <c r="N10" s="89">
        <v>4.859486158924392E-22</v>
      </c>
    </row>
    <row r="11" spans="2:14">
      <c r="B11" s="37" t="s">
        <v>109</v>
      </c>
      <c r="C11" s="88">
        <v>1.6556289414246386E-21</v>
      </c>
      <c r="D11" s="89">
        <v>1.6556289414246386E-21</v>
      </c>
      <c r="E11" s="89">
        <v>1.6556289414246386E-21</v>
      </c>
      <c r="F11" s="89">
        <v>1.6556289414246386E-21</v>
      </c>
      <c r="G11" s="89">
        <v>1.6556289414246386E-21</v>
      </c>
      <c r="H11" s="89">
        <v>1.6556289414246386E-21</v>
      </c>
      <c r="I11" s="89">
        <v>1.6556289414246386E-21</v>
      </c>
      <c r="J11" s="89">
        <v>1.6556289414246386E-21</v>
      </c>
      <c r="K11" s="89">
        <v>1.6556289414246386E-21</v>
      </c>
      <c r="L11" s="89">
        <v>1.6556289414246386E-21</v>
      </c>
      <c r="M11" s="89">
        <v>1.6556289414246386E-21</v>
      </c>
      <c r="N11" s="89">
        <v>1.6556289414246386E-21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0.55903119155075243</v>
      </c>
      <c r="E17" s="90">
        <v>1</v>
      </c>
      <c r="F17" s="90">
        <v>0.78242407516446932</v>
      </c>
      <c r="G17" s="90">
        <v>0.8</v>
      </c>
      <c r="H17" s="90">
        <v>1.0058169587781862</v>
      </c>
      <c r="I17" s="29" t="s">
        <v>110</v>
      </c>
    </row>
    <row r="18" spans="2:33">
      <c r="B18" s="36" t="s">
        <v>105</v>
      </c>
      <c r="C18" s="91">
        <v>1.2</v>
      </c>
      <c r="D18" s="91">
        <v>0.63784786282160688</v>
      </c>
      <c r="E18" s="91">
        <v>1</v>
      </c>
      <c r="F18" s="91">
        <v>0.76630229792259485</v>
      </c>
      <c r="G18" s="91">
        <v>0.8</v>
      </c>
      <c r="H18" s="91">
        <v>0.89475673302358261</v>
      </c>
      <c r="I18" s="29" t="s">
        <v>110</v>
      </c>
    </row>
    <row r="19" spans="2:33">
      <c r="B19" s="36" t="s">
        <v>106</v>
      </c>
      <c r="C19" s="91">
        <v>1.2</v>
      </c>
      <c r="D19" s="91">
        <v>0.68362873999170948</v>
      </c>
      <c r="E19" s="91">
        <v>1</v>
      </c>
      <c r="F19" s="91">
        <v>0.83625110419460869</v>
      </c>
      <c r="G19" s="91">
        <v>0.8</v>
      </c>
      <c r="H19" s="91">
        <v>0.98887346839750778</v>
      </c>
      <c r="I19" s="29" t="s">
        <v>110</v>
      </c>
    </row>
    <row r="20" spans="2:33">
      <c r="B20" s="36" t="s">
        <v>107</v>
      </c>
      <c r="C20" s="91">
        <v>1.2</v>
      </c>
      <c r="D20" s="91">
        <v>0.64566278632824503</v>
      </c>
      <c r="E20" s="91">
        <v>1</v>
      </c>
      <c r="F20" s="91">
        <v>0.8175727618138281</v>
      </c>
      <c r="G20" s="91">
        <v>0.8</v>
      </c>
      <c r="H20" s="91">
        <v>0.98948273729941105</v>
      </c>
    </row>
    <row r="21" spans="2:33">
      <c r="B21" s="36" t="s">
        <v>108</v>
      </c>
      <c r="C21" s="91">
        <v>1.2</v>
      </c>
      <c r="D21" s="91">
        <v>0.71164424678667748</v>
      </c>
      <c r="E21" s="91">
        <v>1</v>
      </c>
      <c r="F21" s="91">
        <v>0.74009711833390912</v>
      </c>
      <c r="G21" s="91">
        <v>0.8</v>
      </c>
      <c r="H21" s="91">
        <v>0.76854998988114087</v>
      </c>
    </row>
    <row r="22" spans="2:33">
      <c r="B22" s="37" t="s">
        <v>109</v>
      </c>
      <c r="C22" s="91">
        <v>1.2</v>
      </c>
      <c r="D22" s="91">
        <v>0.70021354704439331</v>
      </c>
      <c r="E22" s="91">
        <v>1</v>
      </c>
      <c r="F22" s="91">
        <v>0.76327855712684678</v>
      </c>
      <c r="G22" s="91">
        <v>0.8</v>
      </c>
      <c r="H22" s="91">
        <v>0.82634356720930013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2015</v>
      </c>
      <c r="E28" s="49"/>
      <c r="F28" s="45">
        <f>basic_info!$D$5-4</f>
        <v>2016</v>
      </c>
      <c r="G28" s="49"/>
      <c r="H28" s="45">
        <f>basic_info!$D$5-3</f>
        <v>2017</v>
      </c>
      <c r="I28" s="49"/>
      <c r="J28" s="45">
        <f>basic_info!$D$5-2</f>
        <v>2018</v>
      </c>
      <c r="K28" s="49"/>
      <c r="L28" s="45">
        <f>basic_info!$D$5-1</f>
        <v>2019</v>
      </c>
      <c r="N28" s="45">
        <f>basic_info!$D$5</f>
        <v>2020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2020</v>
      </c>
      <c r="D30" s="44">
        <v>0.74553772844970234</v>
      </c>
      <c r="E30" s="35">
        <v>1145.3</v>
      </c>
      <c r="F30" s="47">
        <v>0.69965863319312305</v>
      </c>
      <c r="G30" s="46">
        <v>0</v>
      </c>
      <c r="H30" s="47">
        <v>0.87457866977723531</v>
      </c>
      <c r="I30" s="46">
        <v>1061.069</v>
      </c>
      <c r="J30" s="47">
        <v>0.79998380292338289</v>
      </c>
      <c r="K30" s="46">
        <v>0.79998380292338289</v>
      </c>
      <c r="L30" s="47">
        <v>0.87461334533313895</v>
      </c>
      <c r="M30" s="46">
        <v>0.87461334533313895</v>
      </c>
      <c r="N30" s="60"/>
      <c r="O30" s="71" t="s">
        <v>162</v>
      </c>
      <c r="P30" s="41">
        <f>M30+K30+I30+E30+G30</f>
        <v>2208.0435971482566</v>
      </c>
      <c r="Q30" s="70"/>
    </row>
    <row r="31" spans="2:33">
      <c r="B31" s="36"/>
      <c r="C31" s="47">
        <f>basic_info!$D$5+1</f>
        <v>2021</v>
      </c>
      <c r="D31" s="76"/>
      <c r="E31" s="75"/>
      <c r="F31" s="69">
        <v>0.67052111424505711</v>
      </c>
      <c r="G31" s="79">
        <v>2000</v>
      </c>
      <c r="H31" s="61">
        <v>0.82996059621196905</v>
      </c>
      <c r="I31" s="62">
        <v>1061.069</v>
      </c>
      <c r="J31" s="61">
        <v>0.81109959679484855</v>
      </c>
      <c r="K31" s="62">
        <v>0.81109959679484855</v>
      </c>
      <c r="L31" s="61">
        <v>0.85598770293106174</v>
      </c>
      <c r="M31" s="62">
        <v>0.85598770293106174</v>
      </c>
      <c r="N31" s="63">
        <v>0.73990162963512685</v>
      </c>
      <c r="O31" s="89">
        <v>0.73990162963512685</v>
      </c>
      <c r="P31" s="63">
        <f>O31+M31+K31+I31+G31</f>
        <v>3063.4759889293609</v>
      </c>
    </row>
    <row r="32" spans="2:33">
      <c r="B32" s="36"/>
      <c r="C32" s="47">
        <f>basic_info!$D$5+2</f>
        <v>2022</v>
      </c>
      <c r="D32" s="76"/>
      <c r="E32" s="75"/>
      <c r="F32" s="75"/>
      <c r="G32" s="75"/>
      <c r="H32" s="69">
        <v>0.77235281866490846</v>
      </c>
      <c r="I32" s="79">
        <v>1061.069</v>
      </c>
      <c r="J32" s="61">
        <v>0.74817568762620479</v>
      </c>
      <c r="K32" s="62">
        <v>0.74817568762620479</v>
      </c>
      <c r="L32" s="61">
        <v>0.80283888711486584</v>
      </c>
      <c r="M32" s="62">
        <v>0.80283888711486584</v>
      </c>
      <c r="N32" s="63">
        <v>0.74570195787797222</v>
      </c>
      <c r="O32" s="89">
        <v>0.74570195787797222</v>
      </c>
      <c r="P32" s="63">
        <f>O32+M32+K32+I32</f>
        <v>1063.365716532619</v>
      </c>
    </row>
    <row r="33" spans="2:17">
      <c r="B33" s="36"/>
      <c r="C33" s="47">
        <f>basic_info!$D$5+3</f>
        <v>2023</v>
      </c>
      <c r="D33" s="76"/>
      <c r="E33" s="75"/>
      <c r="F33" s="75"/>
      <c r="G33" s="75"/>
      <c r="H33" s="75"/>
      <c r="I33" s="75"/>
      <c r="J33" s="69">
        <v>0.76104814894497397</v>
      </c>
      <c r="K33" s="79">
        <v>0.76104814894497397</v>
      </c>
      <c r="L33" s="61">
        <v>0.79273633468025484</v>
      </c>
      <c r="M33" s="62">
        <v>0.79273633468025484</v>
      </c>
      <c r="N33" s="63">
        <v>0.69703697591794289</v>
      </c>
      <c r="O33" s="89">
        <v>0.69703697591794289</v>
      </c>
      <c r="P33" s="63">
        <f>O33+M33+K33</f>
        <v>2.2508214595431717</v>
      </c>
    </row>
    <row r="34" spans="2:17">
      <c r="B34" s="36"/>
      <c r="C34" s="47">
        <f>basic_info!$D$5+4</f>
        <v>2024</v>
      </c>
      <c r="D34" s="76"/>
      <c r="E34" s="75"/>
      <c r="F34" s="75"/>
      <c r="G34" s="75"/>
      <c r="H34" s="75"/>
      <c r="I34" s="75"/>
      <c r="J34" s="75"/>
      <c r="K34" s="75"/>
      <c r="L34" s="69">
        <v>0.74555828573405758</v>
      </c>
      <c r="M34" s="79">
        <v>0.74555828573405758</v>
      </c>
      <c r="N34" s="63">
        <v>0.64461704818677901</v>
      </c>
      <c r="O34" s="89">
        <v>0.64461704818677901</v>
      </c>
      <c r="P34" s="63">
        <f>O34+M34</f>
        <v>1.3901753339208365</v>
      </c>
    </row>
    <row r="35" spans="2:17">
      <c r="B35" s="37"/>
      <c r="C35" s="72">
        <f>basic_info!$D$5+5</f>
        <v>2025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0.64994232899248594</v>
      </c>
      <c r="O35" s="89">
        <v>0.64994232899248594</v>
      </c>
      <c r="P35" s="65">
        <f>O35</f>
        <v>0.64994232899248594</v>
      </c>
    </row>
    <row r="36" spans="2:17">
      <c r="B36" s="41" t="s">
        <v>113</v>
      </c>
      <c r="C36" s="36">
        <f>basic_info!$D$5</f>
        <v>2020</v>
      </c>
      <c r="D36" s="44">
        <v>0.93049090272188195</v>
      </c>
      <c r="E36" s="35">
        <v>298.27199999999999</v>
      </c>
      <c r="F36" s="73">
        <v>0.94087785036126215</v>
      </c>
      <c r="G36" s="74">
        <v>15000</v>
      </c>
      <c r="H36" s="73">
        <v>1.0674782123792534</v>
      </c>
      <c r="I36" s="74">
        <v>0</v>
      </c>
      <c r="J36" s="73">
        <v>1.0255380813967128</v>
      </c>
      <c r="K36" s="74">
        <v>1.0255380813967128</v>
      </c>
      <c r="L36" s="66">
        <v>1.064074118420409</v>
      </c>
      <c r="M36" s="67">
        <v>1.064074118420409</v>
      </c>
      <c r="N36" s="68"/>
      <c r="O36" s="71" t="s">
        <v>162</v>
      </c>
      <c r="P36" s="41">
        <f>M36+K36+I36+E36+G36</f>
        <v>15300.361612199817</v>
      </c>
      <c r="Q36" s="70"/>
    </row>
    <row r="37" spans="2:17">
      <c r="B37" s="36"/>
      <c r="C37" s="47">
        <f>basic_info!$D$5+1</f>
        <v>2021</v>
      </c>
      <c r="D37" s="76"/>
      <c r="E37" s="75"/>
      <c r="F37" s="69">
        <v>0.88851178684830667</v>
      </c>
      <c r="G37" s="79">
        <v>20000</v>
      </c>
      <c r="H37" s="61">
        <v>0.9979103092184296</v>
      </c>
      <c r="I37" s="62">
        <v>16262.2045658647</v>
      </c>
      <c r="J37" s="61">
        <v>0.98917274591614612</v>
      </c>
      <c r="K37" s="62">
        <v>0.98917274591614612</v>
      </c>
      <c r="L37" s="61">
        <v>1.0530186656760385</v>
      </c>
      <c r="M37" s="62">
        <v>1.0530186656760385</v>
      </c>
      <c r="N37" s="61">
        <v>1.225624111661084</v>
      </c>
      <c r="O37" s="89">
        <v>1.225624111661084</v>
      </c>
      <c r="P37" s="63">
        <f>O37+M37+K37+I37+G37</f>
        <v>36265.472381387954</v>
      </c>
    </row>
    <row r="38" spans="2:17">
      <c r="B38" s="36"/>
      <c r="C38" s="47">
        <f>basic_info!$D$5+2</f>
        <v>2022</v>
      </c>
      <c r="D38" s="76"/>
      <c r="E38" s="75"/>
      <c r="F38" s="75"/>
      <c r="G38" s="75"/>
      <c r="H38" s="69">
        <v>0.91683839964866642</v>
      </c>
      <c r="I38" s="79">
        <v>16262.2045658647</v>
      </c>
      <c r="J38" s="61">
        <v>0.95076571483281835</v>
      </c>
      <c r="K38" s="62">
        <v>0.95076571483281835</v>
      </c>
      <c r="L38" s="61">
        <v>0.99685742648302889</v>
      </c>
      <c r="M38" s="62">
        <v>0.99685742648302889</v>
      </c>
      <c r="N38" s="61">
        <v>1.1844849384504048</v>
      </c>
      <c r="O38" s="89">
        <v>1.1844849384504048</v>
      </c>
      <c r="P38" s="63">
        <f>O38+M38+K38+I38</f>
        <v>16265.336673944466</v>
      </c>
    </row>
    <row r="39" spans="2:17">
      <c r="B39" s="36"/>
      <c r="C39" s="47">
        <f>basic_info!$D$5+3</f>
        <v>2023</v>
      </c>
      <c r="D39" s="76"/>
      <c r="E39" s="75"/>
      <c r="F39" s="75"/>
      <c r="G39" s="75"/>
      <c r="H39" s="75"/>
      <c r="I39" s="75"/>
      <c r="J39" s="69">
        <v>0.92028542885184295</v>
      </c>
      <c r="K39" s="79">
        <v>0.92028542885184295</v>
      </c>
      <c r="L39" s="61">
        <v>0.97101189850230707</v>
      </c>
      <c r="M39" s="62">
        <v>0.97101189850230707</v>
      </c>
      <c r="N39" s="61">
        <v>1.0883434339799747</v>
      </c>
      <c r="O39" s="89">
        <v>1.0883434339799747</v>
      </c>
      <c r="P39" s="63">
        <f>O39+M39+K39</f>
        <v>2.9796407613341245</v>
      </c>
    </row>
    <row r="40" spans="2:17">
      <c r="B40" s="36"/>
      <c r="C40" s="47">
        <f>basic_info!$D$5+4</f>
        <v>2024</v>
      </c>
      <c r="D40" s="76"/>
      <c r="E40" s="75"/>
      <c r="F40" s="75"/>
      <c r="G40" s="75"/>
      <c r="H40" s="75"/>
      <c r="I40" s="75"/>
      <c r="J40" s="75"/>
      <c r="K40" s="75"/>
      <c r="L40" s="69">
        <v>0.91845404595136637</v>
      </c>
      <c r="M40" s="79">
        <v>0.91845404595136637</v>
      </c>
      <c r="N40" s="61">
        <v>1.0508784733022103</v>
      </c>
      <c r="O40" s="89">
        <v>1.0508784733022103</v>
      </c>
      <c r="P40" s="63">
        <f>O40+M40</f>
        <v>1.9693325192535767</v>
      </c>
    </row>
    <row r="41" spans="2:17">
      <c r="B41" s="37"/>
      <c r="C41" s="72">
        <f>basic_info!$D$5+5</f>
        <v>2025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1.0247439911663534</v>
      </c>
      <c r="O41" s="89">
        <v>1.0247439911663534</v>
      </c>
      <c r="P41" s="64">
        <f>O41</f>
        <v>1.0247439911663534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8.3333333333333304</v>
      </c>
      <c r="D47" s="92">
        <v>8.3333333333333304</v>
      </c>
      <c r="E47" s="92">
        <v>8.3333333333333304</v>
      </c>
      <c r="F47" s="92">
        <v>8.3333333333333304</v>
      </c>
      <c r="G47" s="92">
        <v>8.3333333333333304</v>
      </c>
      <c r="H47" s="92">
        <v>8.3333333333333304</v>
      </c>
      <c r="I47" s="92">
        <v>8.3333333333333304</v>
      </c>
      <c r="J47" s="92">
        <v>8.3333333333333304</v>
      </c>
      <c r="K47" s="92">
        <v>8.3333333333333304</v>
      </c>
      <c r="L47" s="92">
        <v>8.3333333333333304</v>
      </c>
      <c r="M47" s="92">
        <v>8.3333333333333304</v>
      </c>
      <c r="N47" s="92">
        <v>8.3333333333333304</v>
      </c>
      <c r="O47" s="33">
        <f>SUM(C47:N47)</f>
        <v>99.999999999999957</v>
      </c>
    </row>
    <row r="48" spans="2:17">
      <c r="B48" s="37" t="s">
        <v>113</v>
      </c>
      <c r="C48" s="92">
        <v>8.3333333333333304</v>
      </c>
      <c r="D48" s="92">
        <v>8.3333333333333304</v>
      </c>
      <c r="E48" s="92">
        <v>8.3333333333333304</v>
      </c>
      <c r="F48" s="92">
        <v>8.3333333333333304</v>
      </c>
      <c r="G48" s="92">
        <v>8.3333333333333304</v>
      </c>
      <c r="H48" s="92">
        <v>8.3333333333333304</v>
      </c>
      <c r="I48" s="92">
        <v>8.3333333333333304</v>
      </c>
      <c r="J48" s="92">
        <v>8.3333333333333304</v>
      </c>
      <c r="K48" s="92">
        <v>8.3333333333333304</v>
      </c>
      <c r="L48" s="92">
        <v>8.3333333333333304</v>
      </c>
      <c r="M48" s="92">
        <v>8.3333333333333304</v>
      </c>
      <c r="N48" s="92">
        <v>8.3333333333333304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1.9408369896125283E-23</v>
      </c>
      <c r="D6" s="93">
        <v>54.685611819137051</v>
      </c>
      <c r="E6" s="93">
        <v>2.1789332530058259E-23</v>
      </c>
      <c r="F6" s="93">
        <v>1.8470426603302493E-23</v>
      </c>
      <c r="G6" s="93">
        <v>45.314388180862949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78.507544510177055</v>
      </c>
      <c r="D7" s="93">
        <v>17.50709653950404</v>
      </c>
      <c r="E7" s="93">
        <v>0</v>
      </c>
      <c r="F7" s="93">
        <v>0</v>
      </c>
      <c r="G7" s="93">
        <v>3.9853589503189002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7.5156228431741451E-22</v>
      </c>
      <c r="D8" s="93">
        <v>2.3540980548377715E-22</v>
      </c>
      <c r="E8" s="93">
        <v>100.00000000000001</v>
      </c>
      <c r="F8" s="93">
        <v>5.4258312813737097E-23</v>
      </c>
      <c r="G8" s="93">
        <v>2.3738016197254699E-23</v>
      </c>
      <c r="H8" s="97">
        <f>SUM($C$8:$G$8)</f>
        <v>100.00000000000001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73.6057816383925</v>
      </c>
      <c r="D9" s="93">
        <v>1.2215235407971839E-22</v>
      </c>
      <c r="E9" s="93">
        <v>0</v>
      </c>
      <c r="F9" s="93">
        <v>26.394218361607503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6.2559498766288311</v>
      </c>
      <c r="D10" s="93">
        <v>93.744050123371167</v>
      </c>
      <c r="E10" s="93">
        <v>0</v>
      </c>
      <c r="F10" s="93">
        <v>0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29.565351062181517</v>
      </c>
      <c r="D11" s="94">
        <v>67.588679849293371</v>
      </c>
      <c r="E11" s="94">
        <v>0</v>
      </c>
      <c r="F11" s="94">
        <v>0</v>
      </c>
      <c r="G11" s="94">
        <v>2.8459690885251128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49.939160482043782</v>
      </c>
      <c r="D19" s="44">
        <f>100-$C$19</f>
        <v>50.060839517956218</v>
      </c>
      <c r="E19" s="94">
        <v>49.676454736647365</v>
      </c>
      <c r="F19" s="33">
        <f>100-$E$19</f>
        <v>50.323545263352635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14.778802026561191</v>
      </c>
      <c r="D27" s="93">
        <v>48.851549334333114</v>
      </c>
      <c r="E27" s="93">
        <v>43.808277315778696</v>
      </c>
      <c r="F27" s="93">
        <v>3.5571520681326456</v>
      </c>
      <c r="G27" s="95">
        <v>1.1942283124418829</v>
      </c>
      <c r="N27" s="50"/>
      <c r="O27" s="50"/>
      <c r="P27" s="50"/>
    </row>
    <row r="28" spans="2:16">
      <c r="B28" s="45" t="s">
        <v>46</v>
      </c>
      <c r="C28" s="93">
        <v>17.912885932697556</v>
      </c>
      <c r="D28" s="93">
        <v>51.148450665666893</v>
      </c>
      <c r="E28" s="93">
        <v>56.19172268422129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67.308312040741242</v>
      </c>
      <c r="D29" s="93">
        <v>0</v>
      </c>
      <c r="E29" s="93">
        <v>0</v>
      </c>
      <c r="F29" s="93">
        <v>96.442847931867348</v>
      </c>
      <c r="G29" s="95">
        <v>98.805771687558106</v>
      </c>
      <c r="N29" s="50"/>
      <c r="O29" s="50"/>
      <c r="P29" s="50"/>
    </row>
    <row r="30" spans="2:16">
      <c r="B30" s="45" t="s">
        <v>150</v>
      </c>
      <c r="C30" s="98">
        <f>SUM($C$27:$C$29)</f>
        <v>99.999999999999986</v>
      </c>
      <c r="D30" s="98">
        <f>SUM($D$27:$D$29)</f>
        <v>100</v>
      </c>
      <c r="E30" s="98">
        <f>SUM($E$27:$E$29)</f>
        <v>99.999999999999986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39.28388747885986</v>
      </c>
      <c r="D37" s="93">
        <v>39.28388747885986</v>
      </c>
      <c r="E37" s="93">
        <v>39.28388747885986</v>
      </c>
      <c r="F37" s="93">
        <v>39.28388747885986</v>
      </c>
      <c r="G37" s="93">
        <v>39.28388747885986</v>
      </c>
      <c r="H37" s="93">
        <v>39.28388747885986</v>
      </c>
      <c r="I37" s="93">
        <v>39.28388747885986</v>
      </c>
      <c r="J37" s="93">
        <v>39.28388747885986</v>
      </c>
      <c r="K37" s="93">
        <v>39.28388747885986</v>
      </c>
      <c r="L37" s="93">
        <v>39.28388747885986</v>
      </c>
      <c r="M37" s="93">
        <v>39.28388747885986</v>
      </c>
      <c r="N37" s="95">
        <v>39.28388747885986</v>
      </c>
    </row>
    <row r="38" spans="2:14">
      <c r="B38" s="45" t="s">
        <v>46</v>
      </c>
      <c r="C38" s="93">
        <v>41.180328899486284</v>
      </c>
      <c r="D38" s="93">
        <v>41.180328899486284</v>
      </c>
      <c r="E38" s="93">
        <v>41.180328899486284</v>
      </c>
      <c r="F38" s="93">
        <v>41.180328899486284</v>
      </c>
      <c r="G38" s="93">
        <v>41.180328899486284</v>
      </c>
      <c r="H38" s="93">
        <v>41.180328899486284</v>
      </c>
      <c r="I38" s="93">
        <v>41.180328899486284</v>
      </c>
      <c r="J38" s="93">
        <v>41.180328899486284</v>
      </c>
      <c r="K38" s="93">
        <v>41.180328899486284</v>
      </c>
      <c r="L38" s="93">
        <v>41.180328899486284</v>
      </c>
      <c r="M38" s="93">
        <v>41.180328899486284</v>
      </c>
      <c r="N38" s="95">
        <v>41.180328899486284</v>
      </c>
    </row>
    <row r="39" spans="2:14">
      <c r="B39" s="45" t="s">
        <v>59</v>
      </c>
      <c r="C39" s="94">
        <v>43.627634665399007</v>
      </c>
      <c r="D39" s="94">
        <v>43.627634665399007</v>
      </c>
      <c r="E39" s="94">
        <v>43.627634665399007</v>
      </c>
      <c r="F39" s="94">
        <v>43.627634665399007</v>
      </c>
      <c r="G39" s="94">
        <v>43.627634665399007</v>
      </c>
      <c r="H39" s="94">
        <v>43.627634665399007</v>
      </c>
      <c r="I39" s="94">
        <v>43.627634665399007</v>
      </c>
      <c r="J39" s="94">
        <v>43.627634665399007</v>
      </c>
      <c r="K39" s="94">
        <v>43.627634665399007</v>
      </c>
      <c r="L39" s="94">
        <v>43.627634665399007</v>
      </c>
      <c r="M39" s="94">
        <v>43.627634665399007</v>
      </c>
      <c r="N39" s="89">
        <v>43.627634665399007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63755.177826526618</v>
      </c>
      <c r="L7" s="182"/>
      <c r="M7" s="182" t="s">
        <v>356</v>
      </c>
      <c r="S7" s="187">
        <f>SUM(ORA!$D$127:$O$127)</f>
        <v>273742235.24912995</v>
      </c>
    </row>
    <row r="8" spans="1:20">
      <c r="A8" s="182"/>
      <c r="B8" s="182" t="s">
        <v>357</v>
      </c>
      <c r="G8" s="185"/>
      <c r="H8" s="188">
        <f>SUM(POJ!$D$116:$O$116)</f>
        <v>42560.787714896083</v>
      </c>
      <c r="L8" s="182"/>
      <c r="M8" s="182" t="s">
        <v>357</v>
      </c>
      <c r="S8" s="189">
        <f>SUM(POJ!$D$127:$O$127)</f>
        <v>297925514.00427252</v>
      </c>
    </row>
    <row r="9" spans="1:20">
      <c r="A9" s="182"/>
      <c r="B9" s="182" t="s">
        <v>358</v>
      </c>
      <c r="G9" s="185"/>
      <c r="H9" s="188">
        <f>SUM(ROJ!$D$116:$O$116)</f>
        <v>26317.352478970704</v>
      </c>
      <c r="L9" s="182"/>
      <c r="M9" s="182" t="s">
        <v>358</v>
      </c>
      <c r="S9" s="189">
        <f>SUM(ROJ!$D$127:$O$127)</f>
        <v>200011878.84017736</v>
      </c>
    </row>
    <row r="10" spans="1:20">
      <c r="A10" s="182"/>
      <c r="B10" s="182" t="s">
        <v>359</v>
      </c>
      <c r="G10" s="185"/>
      <c r="H10" s="190">
        <f>SUM(FCOJ!$D$116:$O$116)</f>
        <v>31894.703028914082</v>
      </c>
      <c r="L10" s="182"/>
      <c r="M10" s="182" t="s">
        <v>359</v>
      </c>
      <c r="S10" s="191">
        <f>SUM(FCOJ!$D$127:$O$127)</f>
        <v>159836734.89110857</v>
      </c>
    </row>
    <row r="11" spans="1:20">
      <c r="A11" s="182"/>
      <c r="B11" s="182"/>
      <c r="G11" s="185"/>
      <c r="M11" s="182" t="s">
        <v>360</v>
      </c>
      <c r="T11" s="192">
        <f>SUM($S$7:$S$10)</f>
        <v>931516362.98468828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143371.75850115507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2208.0435971482566</v>
      </c>
      <c r="L14" s="182"/>
      <c r="M14" s="182" t="s">
        <v>365</v>
      </c>
      <c r="S14" s="187">
        <f>SUM(grove!$C$58:$AX$63)</f>
        <v>188150010.86921614</v>
      </c>
    </row>
    <row r="15" spans="1:20">
      <c r="A15" s="182"/>
      <c r="B15" s="182" t="s">
        <v>366</v>
      </c>
      <c r="G15" s="185"/>
      <c r="H15" s="190">
        <f>raw_materials!$P$36</f>
        <v>15300.361612199817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3566515.1950881598</v>
      </c>
    </row>
    <row r="16" spans="1:20">
      <c r="A16" s="182"/>
      <c r="B16" s="182" t="s">
        <v>368</v>
      </c>
      <c r="G16" s="185"/>
      <c r="H16" s="194">
        <v>41303.784035020843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28785782.240082961</v>
      </c>
    </row>
    <row r="17" spans="1:21">
      <c r="A17" s="182"/>
      <c r="B17" s="182" t="s">
        <v>370</v>
      </c>
      <c r="G17" s="185"/>
      <c r="H17" s="195">
        <v>41708.545258194783</v>
      </c>
      <c r="L17" s="182"/>
      <c r="M17" s="182" t="s">
        <v>371</v>
      </c>
      <c r="S17" s="189">
        <v>26761839.627861865</v>
      </c>
    </row>
    <row r="18" spans="1:21">
      <c r="A18" s="182"/>
      <c r="B18" s="182" t="s">
        <v>372</v>
      </c>
      <c r="G18" s="185"/>
      <c r="H18" s="196">
        <v>25770.77257304985</v>
      </c>
      <c r="L18" s="182"/>
      <c r="M18" s="182" t="s">
        <v>373</v>
      </c>
      <c r="S18" s="191">
        <v>4882691.8861240782</v>
      </c>
    </row>
    <row r="19" spans="1:21">
      <c r="A19" s="182"/>
      <c r="B19" s="182" t="s">
        <v>374</v>
      </c>
      <c r="G19" s="185"/>
      <c r="H19" s="195">
        <v>841.23218234402873</v>
      </c>
      <c r="L19" s="182"/>
      <c r="M19" s="182" t="s">
        <v>375</v>
      </c>
      <c r="S19" s="197" t="s">
        <v>376</v>
      </c>
      <c r="T19" s="198">
        <f>SUM($S$14:$S$18)</f>
        <v>252146839.81837317</v>
      </c>
      <c r="U19" s="100" t="s">
        <v>377</v>
      </c>
    </row>
    <row r="20" spans="1:21">
      <c r="A20" s="182"/>
      <c r="B20" s="182" t="s">
        <v>378</v>
      </c>
      <c r="G20" s="185"/>
      <c r="H20" s="190">
        <v>470.49872615721114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82607568.070041656</v>
      </c>
    </row>
    <row r="23" spans="1:21">
      <c r="A23" s="182"/>
      <c r="B23" s="182" t="s">
        <v>382</v>
      </c>
      <c r="G23" s="185"/>
      <c r="H23" s="186">
        <f>SUM(raw_materials!$O$31:$O$35)</f>
        <v>3.4771999406103067</v>
      </c>
      <c r="L23" s="182"/>
      <c r="M23" s="182" t="s">
        <v>383</v>
      </c>
      <c r="S23" s="189">
        <v>41708545.258194819</v>
      </c>
    </row>
    <row r="24" spans="1:21">
      <c r="A24" s="182"/>
      <c r="B24" s="182" t="s">
        <v>384</v>
      </c>
      <c r="G24" s="185"/>
      <c r="H24" s="190">
        <f>SUM(raw_materials!$O$37:$O$41)</f>
        <v>5.5740749485600265</v>
      </c>
      <c r="L24" s="182"/>
      <c r="M24" s="182" t="s">
        <v>385</v>
      </c>
      <c r="S24" s="191">
        <v>16751002.172482397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141067115.50071886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16344648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20865677.022677306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-1750</v>
      </c>
      <c r="L30" s="182"/>
      <c r="M30" s="182" t="s">
        <v>395</v>
      </c>
      <c r="S30" s="189">
        <v>4450930.9076758828</v>
      </c>
    </row>
    <row r="31" spans="1:21">
      <c r="L31" s="182"/>
      <c r="M31" s="182" t="s">
        <v>396</v>
      </c>
      <c r="S31" s="191">
        <f>SUM(ORA!D138:O138)+SUM(POJ!D138:O138)+SUM(ROJ!D138:O138)+SUM(FCOJ!D138:O138)</f>
        <v>112029126.71477443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153690382.64512762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30137500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-8400000</v>
      </c>
    </row>
    <row r="41" spans="1:21">
      <c r="L41" s="182"/>
      <c r="M41" s="182" t="s">
        <v>409</v>
      </c>
      <c r="S41" s="189">
        <v>9400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48219400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336392625.02046859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0.65915558185246548</v>
      </c>
      <c r="D5" s="100">
        <v>0.74042781165206317</v>
      </c>
      <c r="E5" s="100">
        <v>0.57643283935703282</v>
      </c>
      <c r="F5" s="100">
        <v>0.70389269123793852</v>
      </c>
      <c r="G5" s="100">
        <v>0.62945344169608408</v>
      </c>
      <c r="H5" s="100">
        <v>0.57780004908030747</v>
      </c>
      <c r="I5" s="100">
        <v>0.68030490177795744</v>
      </c>
      <c r="J5" s="100">
        <v>0.61748728322020119</v>
      </c>
      <c r="K5" s="100">
        <v>0.65459198180861999</v>
      </c>
      <c r="L5" s="100">
        <v>0.56113254967391435</v>
      </c>
      <c r="M5" s="100">
        <v>0.61119783708001274</v>
      </c>
      <c r="N5" s="100">
        <v>1.2082739938940181</v>
      </c>
    </row>
    <row r="6" spans="2:14">
      <c r="B6" s="171" t="s">
        <v>105</v>
      </c>
      <c r="C6" s="100">
        <v>0.68945725373464106</v>
      </c>
      <c r="D6" s="100">
        <v>0.69225314363703916</v>
      </c>
      <c r="E6" s="100">
        <v>0.71766333753530842</v>
      </c>
      <c r="F6" s="100">
        <v>0.68643465212221266</v>
      </c>
      <c r="G6" s="100">
        <v>0.71750109004728824</v>
      </c>
      <c r="H6" s="100">
        <v>0.76910352621321731</v>
      </c>
      <c r="I6" s="100">
        <v>0.72350333606423267</v>
      </c>
      <c r="J6" s="100">
        <v>0.69194251364383041</v>
      </c>
      <c r="K6" s="100">
        <v>0.72232125054419816</v>
      </c>
      <c r="L6" s="100">
        <v>0.74506578835933135</v>
      </c>
      <c r="M6" s="100">
        <v>0.78540359654838432</v>
      </c>
      <c r="N6" s="100">
        <v>0.64658712192073442</v>
      </c>
    </row>
    <row r="7" spans="2:14">
      <c r="B7" s="171" t="s">
        <v>106</v>
      </c>
      <c r="C7" s="100">
        <v>0.81004459346644109</v>
      </c>
      <c r="D7" s="100">
        <v>0.69345108319742732</v>
      </c>
      <c r="E7" s="100">
        <v>0.71182456527571614</v>
      </c>
      <c r="F7" s="100">
        <v>0.70544643946115659</v>
      </c>
      <c r="G7" s="100">
        <v>0.76892888682587768</v>
      </c>
      <c r="H7" s="100">
        <v>0.86489895664695693</v>
      </c>
      <c r="I7" s="100">
        <v>0.70272299675563477</v>
      </c>
      <c r="J7" s="100">
        <v>0.76768286972059385</v>
      </c>
      <c r="K7" s="100">
        <v>0.73321690660814443</v>
      </c>
      <c r="L7" s="100">
        <v>0.7268500347540785</v>
      </c>
      <c r="M7" s="100">
        <v>0.75104267094864885</v>
      </c>
      <c r="N7" s="100">
        <v>0.79009276681579066</v>
      </c>
    </row>
    <row r="8" spans="2:14">
      <c r="B8" s="171" t="s">
        <v>107</v>
      </c>
      <c r="C8" s="100">
        <v>0.72090046635449967</v>
      </c>
      <c r="D8" s="100">
        <v>0.72051694508161612</v>
      </c>
      <c r="E8" s="100">
        <v>0.67616880424244952</v>
      </c>
      <c r="F8" s="100">
        <v>1.1000000000000001</v>
      </c>
      <c r="G8" s="100">
        <v>0.67116754595561878</v>
      </c>
      <c r="H8" s="100">
        <v>0.68843618071637769</v>
      </c>
      <c r="I8" s="100">
        <v>0.66507580250102083</v>
      </c>
      <c r="J8" s="100">
        <v>0.66245816176128858</v>
      </c>
      <c r="K8" s="100">
        <v>0.67736257279312106</v>
      </c>
      <c r="L8" s="100">
        <v>0.65682853600348878</v>
      </c>
      <c r="M8" s="100">
        <v>0.80202436098776353</v>
      </c>
      <c r="N8" s="100">
        <v>0.66572608502411268</v>
      </c>
    </row>
    <row r="9" spans="2:14">
      <c r="B9" s="171" t="s">
        <v>108</v>
      </c>
      <c r="C9" s="100">
        <v>2.0517621672153474</v>
      </c>
      <c r="D9" s="100">
        <v>2.080762634277344</v>
      </c>
      <c r="E9" s="100">
        <v>2.0100637233257292</v>
      </c>
      <c r="F9" s="100">
        <v>2.0670029854774477</v>
      </c>
      <c r="G9" s="100">
        <v>2.0804076111316681</v>
      </c>
      <c r="H9" s="100">
        <v>2.0312764978408815</v>
      </c>
      <c r="I9" s="100">
        <v>2.0741715466976167</v>
      </c>
      <c r="J9" s="100">
        <v>2.0527312731742859</v>
      </c>
      <c r="K9" s="100">
        <v>2.0140674746036531</v>
      </c>
      <c r="L9" s="100">
        <v>2.082762727737427</v>
      </c>
      <c r="M9" s="100">
        <v>2.0873153960704802</v>
      </c>
      <c r="N9" s="100">
        <v>2.0354921078681945</v>
      </c>
    </row>
    <row r="10" spans="2:14">
      <c r="B10" s="171" t="s">
        <v>109</v>
      </c>
      <c r="C10" s="100">
        <v>0.61420782208442692</v>
      </c>
      <c r="D10" s="100">
        <v>0.692073130607605</v>
      </c>
      <c r="E10" s="100">
        <v>0.69518985152244572</v>
      </c>
      <c r="F10" s="100">
        <v>0.66945174932479856</v>
      </c>
      <c r="G10" s="100">
        <v>0.61457987427711491</v>
      </c>
      <c r="H10" s="100">
        <v>0.61920404434204102</v>
      </c>
      <c r="I10" s="100">
        <v>0.65405589938163755</v>
      </c>
      <c r="J10" s="100">
        <v>0.69707723855972292</v>
      </c>
      <c r="K10" s="100">
        <v>0.64403250813484192</v>
      </c>
      <c r="L10" s="100">
        <v>0.61885883808135989</v>
      </c>
      <c r="M10" s="100">
        <v>0.61605343222618103</v>
      </c>
      <c r="N10" s="100">
        <v>0.65319889783859253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0.30658568353550947</v>
      </c>
      <c r="D14" s="101">
        <v>0.30772369084125389</v>
      </c>
      <c r="E14" s="101">
        <v>0.30885849600237847</v>
      </c>
      <c r="F14" s="101">
        <v>0.30998690588451311</v>
      </c>
      <c r="G14" s="101">
        <v>0.31110574534843422</v>
      </c>
      <c r="H14" s="100">
        <v>0.31221186618432656</v>
      </c>
      <c r="I14" s="100">
        <v>0.31330215597027</v>
      </c>
      <c r="J14" s="100">
        <v>0.31437354683002633</v>
      </c>
      <c r="K14" s="100">
        <v>0.3154230240654825</v>
      </c>
      <c r="L14" s="100">
        <v>0.31644763463945991</v>
      </c>
      <c r="M14" s="100">
        <v>0.3174444954850219</v>
      </c>
      <c r="N14" s="100">
        <v>0.31841080161789703</v>
      </c>
    </row>
    <row r="15" spans="2:14">
      <c r="B15" s="170" t="s">
        <v>318</v>
      </c>
      <c r="C15" s="100">
        <v>1.1238187200891439</v>
      </c>
      <c r="D15" s="100">
        <v>1.1267983436902516</v>
      </c>
      <c r="E15" s="100">
        <v>1.1297695831749874</v>
      </c>
      <c r="F15" s="100">
        <v>1.1327240780183503</v>
      </c>
      <c r="G15" s="100">
        <v>1.1356535148117015</v>
      </c>
      <c r="H15" s="100">
        <v>1.1385496506551755</v>
      </c>
      <c r="I15" s="100">
        <v>1.1414043363516957</v>
      </c>
      <c r="J15" s="100">
        <v>1.1442095393373239</v>
      </c>
      <c r="K15" s="100">
        <v>1.14695736628343</v>
      </c>
      <c r="L15" s="100">
        <v>1.1496400853070752</v>
      </c>
      <c r="M15" s="100">
        <v>1.152250147727117</v>
      </c>
      <c r="N15" s="100">
        <v>1.1547802093048205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0.65915558185246548</v>
      </c>
      <c r="D19" s="100">
        <f t="shared" ref="D19:N20" si="0">D5</f>
        <v>0.74042781165206317</v>
      </c>
      <c r="E19" s="100">
        <f t="shared" si="0"/>
        <v>0.57643283935703282</v>
      </c>
      <c r="F19" s="100">
        <f t="shared" si="0"/>
        <v>0.70389269123793852</v>
      </c>
      <c r="G19" s="100">
        <f t="shared" si="0"/>
        <v>0.62945344169608408</v>
      </c>
      <c r="H19" s="100">
        <f t="shared" si="0"/>
        <v>0.57780004908030747</v>
      </c>
      <c r="I19" s="100">
        <f t="shared" si="0"/>
        <v>0.68030490177795744</v>
      </c>
      <c r="J19" s="100">
        <f t="shared" si="0"/>
        <v>0.61748728322020119</v>
      </c>
      <c r="K19" s="100">
        <f t="shared" si="0"/>
        <v>0.65459198180861999</v>
      </c>
      <c r="L19" s="100">
        <f t="shared" si="0"/>
        <v>0.56113254967391435</v>
      </c>
      <c r="M19" s="100">
        <f t="shared" si="0"/>
        <v>0.61119783708001274</v>
      </c>
      <c r="N19" s="100">
        <f t="shared" si="0"/>
        <v>1.2082739938940181</v>
      </c>
    </row>
    <row r="20" spans="2:14">
      <c r="B20" s="173" t="s">
        <v>105</v>
      </c>
      <c r="C20" s="100">
        <f>C6</f>
        <v>0.68945725373464106</v>
      </c>
      <c r="D20" s="100">
        <f t="shared" si="0"/>
        <v>0.69225314363703916</v>
      </c>
      <c r="E20" s="100">
        <f t="shared" si="0"/>
        <v>0.71766333753530842</v>
      </c>
      <c r="F20" s="100">
        <f t="shared" si="0"/>
        <v>0.68643465212221266</v>
      </c>
      <c r="G20" s="100">
        <f t="shared" si="0"/>
        <v>0.71750109004728824</v>
      </c>
      <c r="H20" s="100">
        <f t="shared" si="0"/>
        <v>0.76910352621321731</v>
      </c>
      <c r="I20" s="100">
        <f t="shared" si="0"/>
        <v>0.72350333606423267</v>
      </c>
      <c r="J20" s="100">
        <f t="shared" si="0"/>
        <v>0.69194251364383041</v>
      </c>
      <c r="K20" s="100">
        <f t="shared" si="0"/>
        <v>0.72232125054419816</v>
      </c>
      <c r="L20" s="100">
        <f t="shared" si="0"/>
        <v>0.74506578835933135</v>
      </c>
      <c r="M20" s="100">
        <f t="shared" si="0"/>
        <v>0.78540359654838432</v>
      </c>
      <c r="N20" s="100">
        <f t="shared" si="0"/>
        <v>0.64658712192073442</v>
      </c>
    </row>
    <row r="21" spans="2:14">
      <c r="B21" s="173" t="s">
        <v>106</v>
      </c>
      <c r="C21" s="100">
        <f t="shared" ref="C21:N22" si="1">C7</f>
        <v>0.81004459346644109</v>
      </c>
      <c r="D21" s="100">
        <f t="shared" si="1"/>
        <v>0.69345108319742732</v>
      </c>
      <c r="E21" s="100">
        <f t="shared" si="1"/>
        <v>0.71182456527571614</v>
      </c>
      <c r="F21" s="100">
        <f t="shared" si="1"/>
        <v>0.70544643946115659</v>
      </c>
      <c r="G21" s="100">
        <f t="shared" si="1"/>
        <v>0.76892888682587768</v>
      </c>
      <c r="H21" s="100">
        <f t="shared" si="1"/>
        <v>0.86489895664695693</v>
      </c>
      <c r="I21" s="100">
        <f t="shared" si="1"/>
        <v>0.70272299675563477</v>
      </c>
      <c r="J21" s="100">
        <f t="shared" si="1"/>
        <v>0.76768286972059385</v>
      </c>
      <c r="K21" s="100">
        <f t="shared" si="1"/>
        <v>0.73321690660814443</v>
      </c>
      <c r="L21" s="100">
        <f t="shared" si="1"/>
        <v>0.7268500347540785</v>
      </c>
      <c r="M21" s="100">
        <f t="shared" si="1"/>
        <v>0.75104267094864885</v>
      </c>
      <c r="N21" s="100">
        <f t="shared" si="1"/>
        <v>0.79009276681579066</v>
      </c>
    </row>
    <row r="22" spans="2:14">
      <c r="B22" s="173" t="s">
        <v>107</v>
      </c>
      <c r="C22" s="100">
        <f t="shared" si="1"/>
        <v>0.72090046635449967</v>
      </c>
      <c r="D22" s="100">
        <f t="shared" si="1"/>
        <v>0.72051694508161612</v>
      </c>
      <c r="E22" s="100">
        <f t="shared" si="1"/>
        <v>0.67616880424244952</v>
      </c>
      <c r="F22" s="100">
        <f t="shared" si="1"/>
        <v>1.1000000000000001</v>
      </c>
      <c r="G22" s="100">
        <f t="shared" si="1"/>
        <v>0.67116754595561878</v>
      </c>
      <c r="H22" s="100">
        <f t="shared" si="1"/>
        <v>0.68843618071637769</v>
      </c>
      <c r="I22" s="100">
        <f t="shared" si="1"/>
        <v>0.66507580250102083</v>
      </c>
      <c r="J22" s="100">
        <f t="shared" si="1"/>
        <v>0.66245816176128858</v>
      </c>
      <c r="K22" s="100">
        <f t="shared" si="1"/>
        <v>0.67736257279312106</v>
      </c>
      <c r="L22" s="100">
        <f t="shared" si="1"/>
        <v>0.65682853600348878</v>
      </c>
      <c r="M22" s="100">
        <f t="shared" si="1"/>
        <v>0.80202436098776353</v>
      </c>
      <c r="N22" s="100">
        <f t="shared" si="1"/>
        <v>0.66572608502411268</v>
      </c>
    </row>
    <row r="23" spans="2:14">
      <c r="B23" s="173" t="s">
        <v>108</v>
      </c>
      <c r="C23" s="100">
        <f>C9*C14</f>
        <v>0.62904090648801558</v>
      </c>
      <c r="D23" s="100">
        <f t="shared" ref="D23:N24" si="2">D9*D14</f>
        <v>0.6402999575843944</v>
      </c>
      <c r="E23" s="100">
        <f t="shared" si="2"/>
        <v>0.62082525845532577</v>
      </c>
      <c r="F23" s="100">
        <f t="shared" si="2"/>
        <v>0.64074385992220517</v>
      </c>
      <c r="G23" s="100">
        <f t="shared" si="2"/>
        <v>0.64722676048967309</v>
      </c>
      <c r="H23" s="100">
        <f t="shared" si="2"/>
        <v>0.63418862612726479</v>
      </c>
      <c r="I23" s="100">
        <f t="shared" si="2"/>
        <v>0.64984241743255289</v>
      </c>
      <c r="J23" s="100">
        <f t="shared" si="2"/>
        <v>0.64532441103671601</v>
      </c>
      <c r="K23" s="100">
        <f t="shared" si="2"/>
        <v>0.63528325351141368</v>
      </c>
      <c r="L23" s="100">
        <f t="shared" si="2"/>
        <v>0.65908533870773822</v>
      </c>
      <c r="M23" s="100">
        <f t="shared" si="2"/>
        <v>0.66260678282371221</v>
      </c>
      <c r="N23" s="100">
        <f t="shared" si="2"/>
        <v>0.64812267375321475</v>
      </c>
    </row>
    <row r="24" spans="2:14">
      <c r="B24" s="173" t="s">
        <v>109</v>
      </c>
      <c r="C24" s="100">
        <f>C10*C15</f>
        <v>0.69025824848366124</v>
      </c>
      <c r="D24" s="100">
        <f t="shared" si="2"/>
        <v>0.77982685728117651</v>
      </c>
      <c r="E24" s="100">
        <f t="shared" si="2"/>
        <v>0.78540434878199494</v>
      </c>
      <c r="F24" s="100">
        <f t="shared" si="2"/>
        <v>0.75830411553170418</v>
      </c>
      <c r="G24" s="100">
        <f t="shared" si="2"/>
        <v>0.69794979435533921</v>
      </c>
      <c r="H24" s="100">
        <f t="shared" si="2"/>
        <v>0.70499454836990261</v>
      </c>
      <c r="I24" s="100">
        <f t="shared" si="2"/>
        <v>0.74654223977060952</v>
      </c>
      <c r="J24" s="100">
        <f t="shared" si="2"/>
        <v>0.79760242601495446</v>
      </c>
      <c r="K24" s="100">
        <f t="shared" si="2"/>
        <v>0.73867782933125004</v>
      </c>
      <c r="L24" s="100">
        <f t="shared" si="2"/>
        <v>0.71146492740489198</v>
      </c>
      <c r="M24" s="100">
        <f t="shared" si="2"/>
        <v>0.70984765829041452</v>
      </c>
      <c r="N24" s="100">
        <f t="shared" si="2"/>
        <v>0.75430115996372793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0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0.8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0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0.8</v>
      </c>
      <c r="E33" s="100">
        <f>IF(E24&lt;=raw_materials!$D22,raw_materials!$C22,IF(E24&lt;=raw_materials!$F22,raw_materials!$E22,IF(E24&lt;=raw_materials!$H22,raw_materials!$G22,0)))</f>
        <v>0.8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10153.702233522454</v>
      </c>
      <c r="J38" s="100">
        <v>2543.9055203174698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18559.04645652269</v>
      </c>
      <c r="AE38" s="100">
        <v>18595.390586236659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10827.981935896303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2731.1281008823512</v>
      </c>
      <c r="AU38" s="100">
        <v>2735.8521424379819</v>
      </c>
      <c r="AV38" s="100">
        <v>2740.5402323231451</v>
      </c>
      <c r="AW38" s="100">
        <v>2745.1916146805797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6300.0350923082115</v>
      </c>
      <c r="Z39" s="100">
        <v>15781.858178949733</v>
      </c>
      <c r="AA39" s="100">
        <v>15813.515140569893</v>
      </c>
      <c r="AB39" s="100">
        <v>11091.537454357509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6508.5305796643552</v>
      </c>
      <c r="AQ39" s="100">
        <v>6520.194992751367</v>
      </c>
      <c r="AR39" s="100">
        <v>6531.7805182872416</v>
      </c>
      <c r="AS39" s="100">
        <v>16358.213216962538</v>
      </c>
      <c r="AT39" s="100">
        <v>16386.768605294106</v>
      </c>
      <c r="AU39" s="100">
        <v>16415.112854627889</v>
      </c>
      <c r="AV39" s="100">
        <v>16443.241393938872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3576.7894160882365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3630.0530132731265</v>
      </c>
      <c r="T40" s="100">
        <v>3637.5997475031577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2100.0116974360703</v>
      </c>
      <c r="Z40" s="100">
        <v>2104.2477571932977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3726.3145473720992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2169.510193221452</v>
      </c>
      <c r="AQ40" s="100">
        <v>2173.3983309171226</v>
      </c>
      <c r="AR40" s="100">
        <v>3810.2053023342241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549.96110795383822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1234.1821589014871</v>
      </c>
      <c r="P41" s="100">
        <v>309.1979571362827</v>
      </c>
      <c r="Q41" s="100">
        <v>309.84914307053936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327.73537210588216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2286.3733812813821</v>
      </c>
      <c r="D48" s="100">
        <v>2286.3733812813821</v>
      </c>
      <c r="E48" s="100">
        <v>2286.3733812813821</v>
      </c>
      <c r="F48" s="100">
        <v>2286.3733812813821</v>
      </c>
      <c r="G48" s="100">
        <v>2286.3733812813821</v>
      </c>
      <c r="H48" s="100">
        <v>2286.3733812813821</v>
      </c>
      <c r="I48" s="100">
        <v>2286.3733812813821</v>
      </c>
      <c r="J48" s="100">
        <v>2286.3733812813821</v>
      </c>
      <c r="K48" s="100">
        <v>2286.3733812813821</v>
      </c>
      <c r="L48" s="100">
        <v>2286.3733812813821</v>
      </c>
      <c r="M48" s="100">
        <v>2286.3733812813821</v>
      </c>
      <c r="N48" s="100">
        <v>2286.3733812813821</v>
      </c>
      <c r="O48" s="100">
        <v>2286.3733812813821</v>
      </c>
      <c r="P48" s="100">
        <v>2286.3733812813821</v>
      </c>
      <c r="Q48" s="100">
        <v>2286.3733812813821</v>
      </c>
      <c r="R48" s="100">
        <v>2286.3733812813821</v>
      </c>
      <c r="S48" s="100">
        <v>2286.3733812813821</v>
      </c>
      <c r="T48" s="100">
        <v>2286.3733812813821</v>
      </c>
      <c r="U48" s="100">
        <v>2286.3733812813821</v>
      </c>
      <c r="V48" s="100">
        <v>2286.3733812813821</v>
      </c>
      <c r="W48" s="100">
        <v>2286.3733812813821</v>
      </c>
      <c r="X48" s="100">
        <v>2286.3733812813821</v>
      </c>
      <c r="Y48" s="100">
        <v>2286.3733812813821</v>
      </c>
      <c r="Z48" s="100">
        <v>2286.3733812813821</v>
      </c>
      <c r="AA48" s="100">
        <v>2286.3733812813821</v>
      </c>
      <c r="AB48" s="100">
        <v>2286.3733812813821</v>
      </c>
      <c r="AC48" s="100">
        <v>2286.3733812813821</v>
      </c>
      <c r="AD48" s="100">
        <v>2286.3733812813821</v>
      </c>
      <c r="AE48" s="100">
        <v>2286.3733812813821</v>
      </c>
      <c r="AF48" s="100">
        <v>2286.3733812813821</v>
      </c>
      <c r="AG48" s="100">
        <v>2286.3733812813821</v>
      </c>
      <c r="AH48" s="100">
        <v>2286.3733812813821</v>
      </c>
      <c r="AI48" s="100">
        <v>2286.3733812813821</v>
      </c>
      <c r="AJ48" s="100">
        <v>2286.3733812813821</v>
      </c>
      <c r="AK48" s="100">
        <v>2286.3733812813821</v>
      </c>
      <c r="AL48" s="100">
        <v>2286.3733812813821</v>
      </c>
      <c r="AM48" s="100">
        <v>2286.3733812813821</v>
      </c>
      <c r="AN48" s="100">
        <v>2286.3733812813821</v>
      </c>
      <c r="AO48" s="100">
        <v>2286.3733812813821</v>
      </c>
      <c r="AP48" s="100">
        <v>2286.3733812813821</v>
      </c>
      <c r="AQ48" s="100">
        <v>2286.3733812813821</v>
      </c>
      <c r="AR48" s="100">
        <v>2286.3733812813821</v>
      </c>
      <c r="AS48" s="100">
        <v>2286.3733812813821</v>
      </c>
      <c r="AT48" s="100">
        <v>2286.3733812813821</v>
      </c>
      <c r="AU48" s="100">
        <v>0</v>
      </c>
      <c r="AV48" s="100">
        <v>0</v>
      </c>
      <c r="AW48" s="100">
        <v>0</v>
      </c>
      <c r="AX48" s="100">
        <v>0</v>
      </c>
    </row>
    <row r="49" spans="2:51">
      <c r="B49" s="99" t="s">
        <v>105</v>
      </c>
      <c r="C49" s="100">
        <v>1.1822953366672563E-21</v>
      </c>
      <c r="D49" s="100">
        <v>1.1822953366672563E-21</v>
      </c>
      <c r="E49" s="100">
        <v>1.1822953366672563E-21</v>
      </c>
      <c r="F49" s="100">
        <v>1.1822953366672563E-21</v>
      </c>
      <c r="G49" s="100">
        <v>1.1822953366672563E-21</v>
      </c>
      <c r="H49" s="100">
        <v>1.1822953366672563E-21</v>
      </c>
      <c r="I49" s="100">
        <v>1.1822953366672563E-21</v>
      </c>
      <c r="J49" s="100">
        <v>1.1822953366672563E-21</v>
      </c>
      <c r="K49" s="100">
        <v>1.1822953366672563E-21</v>
      </c>
      <c r="L49" s="100">
        <v>1.1822953366672563E-21</v>
      </c>
      <c r="M49" s="100">
        <v>1.1822953366672563E-21</v>
      </c>
      <c r="N49" s="100">
        <v>1.1822953366672563E-21</v>
      </c>
      <c r="O49" s="100">
        <v>1.1822953366672563E-21</v>
      </c>
      <c r="P49" s="100">
        <v>1.1822953366672563E-21</v>
      </c>
      <c r="Q49" s="100">
        <v>1.1822953366672563E-21</v>
      </c>
      <c r="R49" s="100">
        <v>1.1822953366672563E-21</v>
      </c>
      <c r="S49" s="100">
        <v>1.1822953366672563E-21</v>
      </c>
      <c r="T49" s="100">
        <v>1.1822953366672563E-21</v>
      </c>
      <c r="U49" s="100">
        <v>1.1822953366672563E-21</v>
      </c>
      <c r="V49" s="100">
        <v>1.1822953366672563E-21</v>
      </c>
      <c r="W49" s="100">
        <v>9.4583626933380518E-22</v>
      </c>
      <c r="X49" s="100">
        <v>9.4583626933380518E-22</v>
      </c>
      <c r="Y49" s="100">
        <v>9.4583626933380518E-22</v>
      </c>
      <c r="Z49" s="100">
        <v>9.4583626933380518E-22</v>
      </c>
      <c r="AA49" s="100">
        <v>1.1822953366672563E-21</v>
      </c>
      <c r="AB49" s="100">
        <v>1.1822953366672563E-21</v>
      </c>
      <c r="AC49" s="100">
        <v>1.1822953366672563E-21</v>
      </c>
      <c r="AD49" s="100">
        <v>1.1822953366672563E-21</v>
      </c>
      <c r="AE49" s="100">
        <v>1.1822953366672563E-21</v>
      </c>
      <c r="AF49" s="100">
        <v>1.1822953366672563E-21</v>
      </c>
      <c r="AG49" s="100">
        <v>1.1822953366672563E-21</v>
      </c>
      <c r="AH49" s="100">
        <v>1.1822953366672563E-21</v>
      </c>
      <c r="AI49" s="100">
        <v>1.1822953366672563E-21</v>
      </c>
      <c r="AJ49" s="100">
        <v>1.1822953366672563E-21</v>
      </c>
      <c r="AK49" s="100">
        <v>1.1822953366672563E-21</v>
      </c>
      <c r="AL49" s="100">
        <v>1.1822953366672563E-21</v>
      </c>
      <c r="AM49" s="100">
        <v>1.1822953366672563E-21</v>
      </c>
      <c r="AN49" s="100">
        <v>1.1822953366672563E-21</v>
      </c>
      <c r="AO49" s="100">
        <v>1.1822953366672563E-21</v>
      </c>
      <c r="AP49" s="100">
        <v>1.1822953366672563E-21</v>
      </c>
      <c r="AQ49" s="100">
        <v>9.4583626933380518E-22</v>
      </c>
      <c r="AR49" s="100">
        <v>9.4583626933380518E-22</v>
      </c>
      <c r="AS49" s="100">
        <v>9.4583626933380518E-22</v>
      </c>
      <c r="AT49" s="100">
        <v>9.4583626933380518E-22</v>
      </c>
      <c r="AU49" s="100">
        <v>1.1822953366672563E-21</v>
      </c>
      <c r="AV49" s="100">
        <v>1.1822953366672563E-21</v>
      </c>
      <c r="AW49" s="100">
        <v>1.1822953366672563E-21</v>
      </c>
      <c r="AX49" s="100">
        <v>1.1822953366672563E-21</v>
      </c>
    </row>
    <row r="50" spans="2:51">
      <c r="B50" s="99" t="s">
        <v>106</v>
      </c>
      <c r="C50" s="100">
        <v>120</v>
      </c>
      <c r="D50" s="100">
        <v>120</v>
      </c>
      <c r="E50" s="100">
        <v>120</v>
      </c>
      <c r="F50" s="100">
        <v>120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128</v>
      </c>
      <c r="X50" s="100">
        <v>128</v>
      </c>
      <c r="Y50" s="100">
        <v>128</v>
      </c>
      <c r="Z50" s="100">
        <v>128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160</v>
      </c>
      <c r="AJ50" s="100">
        <v>160</v>
      </c>
      <c r="AK50" s="100">
        <v>160</v>
      </c>
      <c r="AL50" s="100">
        <v>160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815.15335703879305</v>
      </c>
      <c r="D51" s="100">
        <v>815.15335703879305</v>
      </c>
      <c r="E51" s="100">
        <v>815.15335703879305</v>
      </c>
      <c r="F51" s="100">
        <v>815.15335703879305</v>
      </c>
      <c r="G51" s="100">
        <v>815.15335703879305</v>
      </c>
      <c r="H51" s="100">
        <v>815.15335703879305</v>
      </c>
      <c r="I51" s="100">
        <v>815.15335703879305</v>
      </c>
      <c r="J51" s="100">
        <v>815.15335703879305</v>
      </c>
      <c r="K51" s="100">
        <v>815.15335703879305</v>
      </c>
      <c r="L51" s="100">
        <v>815.15335703879305</v>
      </c>
      <c r="M51" s="100">
        <v>815.15335703879305</v>
      </c>
      <c r="N51" s="100">
        <v>815.15335703879305</v>
      </c>
      <c r="O51" s="100">
        <v>0</v>
      </c>
      <c r="P51" s="100">
        <v>0</v>
      </c>
      <c r="Q51" s="100">
        <v>0</v>
      </c>
      <c r="R51" s="100">
        <v>0</v>
      </c>
      <c r="S51" s="100">
        <v>815.15335703879305</v>
      </c>
      <c r="T51" s="100">
        <v>815.15335703879305</v>
      </c>
      <c r="U51" s="100">
        <v>815.15335703879305</v>
      </c>
      <c r="V51" s="100">
        <v>815.15335703879305</v>
      </c>
      <c r="W51" s="100">
        <v>815.15335703879305</v>
      </c>
      <c r="X51" s="100">
        <v>815.15335703879305</v>
      </c>
      <c r="Y51" s="100">
        <v>815.15335703879305</v>
      </c>
      <c r="Z51" s="100">
        <v>815.15335703879305</v>
      </c>
      <c r="AA51" s="100">
        <v>815.15335703879305</v>
      </c>
      <c r="AB51" s="100">
        <v>815.15335703879305</v>
      </c>
      <c r="AC51" s="100">
        <v>815.15335703879305</v>
      </c>
      <c r="AD51" s="100">
        <v>815.15335703879305</v>
      </c>
      <c r="AE51" s="100">
        <v>815.15335703879305</v>
      </c>
      <c r="AF51" s="100">
        <v>815.15335703879305</v>
      </c>
      <c r="AG51" s="100">
        <v>815.15335703879305</v>
      </c>
      <c r="AH51" s="100">
        <v>815.15335703879305</v>
      </c>
      <c r="AI51" s="100">
        <v>815.15335703879305</v>
      </c>
      <c r="AJ51" s="100">
        <v>815.15335703879305</v>
      </c>
      <c r="AK51" s="100">
        <v>815.15335703879305</v>
      </c>
      <c r="AL51" s="100">
        <v>815.15335703879305</v>
      </c>
      <c r="AM51" s="100">
        <v>815.15335703879305</v>
      </c>
      <c r="AN51" s="100">
        <v>815.15335703879305</v>
      </c>
      <c r="AO51" s="100">
        <v>815.15335703879305</v>
      </c>
      <c r="AP51" s="100">
        <v>815.15335703879305</v>
      </c>
      <c r="AQ51" s="100">
        <v>815.15335703879305</v>
      </c>
      <c r="AR51" s="100">
        <v>815.15335703879305</v>
      </c>
      <c r="AS51" s="100">
        <v>815.15335703879305</v>
      </c>
      <c r="AT51" s="100">
        <v>327.73537210588216</v>
      </c>
      <c r="AU51" s="100">
        <v>815.15335703879305</v>
      </c>
      <c r="AV51" s="100">
        <v>815.15335703879305</v>
      </c>
      <c r="AW51" s="100">
        <v>815.15335703879305</v>
      </c>
      <c r="AX51" s="100">
        <v>815.15335703879305</v>
      </c>
      <c r="AY51" s="111"/>
    </row>
    <row r="52" spans="2:51">
      <c r="B52" s="99" t="s">
        <v>108</v>
      </c>
      <c r="C52" s="100">
        <v>5.83138339070927E-22</v>
      </c>
      <c r="D52" s="100">
        <v>5.83138339070927E-22</v>
      </c>
      <c r="E52" s="100">
        <v>5.83138339070927E-22</v>
      </c>
      <c r="F52" s="100">
        <v>5.83138339070927E-22</v>
      </c>
      <c r="G52" s="100">
        <v>5.83138339070927E-22</v>
      </c>
      <c r="H52" s="100">
        <v>5.83138339070927E-22</v>
      </c>
      <c r="I52" s="100">
        <v>5.83138339070927E-22</v>
      </c>
      <c r="J52" s="100">
        <v>5.83138339070927E-22</v>
      </c>
      <c r="K52" s="100">
        <v>5.83138339070927E-22</v>
      </c>
      <c r="L52" s="100">
        <v>5.83138339070927E-22</v>
      </c>
      <c r="M52" s="100">
        <v>5.83138339070927E-22</v>
      </c>
      <c r="N52" s="100">
        <v>5.83138339070927E-22</v>
      </c>
      <c r="O52" s="100">
        <v>5.83138339070927E-22</v>
      </c>
      <c r="P52" s="100">
        <v>5.83138339070927E-22</v>
      </c>
      <c r="Q52" s="100">
        <v>5.83138339070927E-22</v>
      </c>
      <c r="R52" s="100">
        <v>5.83138339070927E-22</v>
      </c>
      <c r="S52" s="100">
        <v>5.83138339070927E-22</v>
      </c>
      <c r="T52" s="100">
        <v>5.83138339070927E-22</v>
      </c>
      <c r="U52" s="100">
        <v>5.83138339070927E-22</v>
      </c>
      <c r="V52" s="100">
        <v>5.83138339070927E-22</v>
      </c>
      <c r="W52" s="100">
        <v>5.83138339070927E-22</v>
      </c>
      <c r="X52" s="100">
        <v>5.83138339070927E-22</v>
      </c>
      <c r="Y52" s="100">
        <v>5.83138339070927E-22</v>
      </c>
      <c r="Z52" s="100">
        <v>5.83138339070927E-22</v>
      </c>
      <c r="AA52" s="100">
        <v>5.83138339070927E-22</v>
      </c>
      <c r="AB52" s="100">
        <v>5.83138339070927E-22</v>
      </c>
      <c r="AC52" s="100">
        <v>5.83138339070927E-22</v>
      </c>
      <c r="AD52" s="100">
        <v>5.83138339070927E-22</v>
      </c>
      <c r="AE52" s="100">
        <v>5.83138339070927E-22</v>
      </c>
      <c r="AF52" s="100">
        <v>5.83138339070927E-22</v>
      </c>
      <c r="AG52" s="100">
        <v>5.83138339070927E-22</v>
      </c>
      <c r="AH52" s="100">
        <v>5.83138339070927E-22</v>
      </c>
      <c r="AI52" s="100">
        <v>5.83138339070927E-22</v>
      </c>
      <c r="AJ52" s="100">
        <v>5.83138339070927E-22</v>
      </c>
      <c r="AK52" s="100">
        <v>5.83138339070927E-22</v>
      </c>
      <c r="AL52" s="100">
        <v>5.83138339070927E-22</v>
      </c>
      <c r="AM52" s="100">
        <v>5.83138339070927E-22</v>
      </c>
      <c r="AN52" s="100">
        <v>5.83138339070927E-22</v>
      </c>
      <c r="AO52" s="100">
        <v>5.83138339070927E-22</v>
      </c>
      <c r="AP52" s="100">
        <v>5.83138339070927E-22</v>
      </c>
      <c r="AQ52" s="100">
        <v>5.83138339070927E-22</v>
      </c>
      <c r="AR52" s="100">
        <v>5.83138339070927E-22</v>
      </c>
      <c r="AS52" s="100">
        <v>5.83138339070927E-22</v>
      </c>
      <c r="AT52" s="100">
        <v>5.83138339070927E-22</v>
      </c>
      <c r="AU52" s="100">
        <v>5.83138339070927E-22</v>
      </c>
      <c r="AV52" s="100">
        <v>5.83138339070927E-22</v>
      </c>
      <c r="AW52" s="100">
        <v>5.83138339070927E-22</v>
      </c>
      <c r="AX52" s="100">
        <v>5.83138339070927E-22</v>
      </c>
    </row>
    <row r="53" spans="2:51">
      <c r="B53" s="99" t="s">
        <v>109</v>
      </c>
      <c r="C53" s="100">
        <v>1.9867547297095662E-21</v>
      </c>
      <c r="D53" s="100">
        <v>1.9867547297095662E-21</v>
      </c>
      <c r="E53" s="100">
        <v>1.9867547297095662E-21</v>
      </c>
      <c r="F53" s="100">
        <v>1.9867547297095662E-21</v>
      </c>
      <c r="G53" s="100">
        <v>1.324503153139711E-21</v>
      </c>
      <c r="H53" s="100">
        <v>1.324503153139711E-21</v>
      </c>
      <c r="I53" s="100">
        <v>1.324503153139711E-21</v>
      </c>
      <c r="J53" s="100">
        <v>1.324503153139711E-21</v>
      </c>
      <c r="K53" s="100">
        <v>1.324503153139711E-21</v>
      </c>
      <c r="L53" s="100">
        <v>1.324503153139711E-21</v>
      </c>
      <c r="M53" s="100">
        <v>1.324503153139711E-21</v>
      </c>
      <c r="N53" s="100">
        <v>1.324503153139711E-21</v>
      </c>
      <c r="O53" s="100">
        <v>1.6556289414246386E-21</v>
      </c>
      <c r="P53" s="100">
        <v>1.6556289414246386E-21</v>
      </c>
      <c r="Q53" s="100">
        <v>1.6556289414246386E-21</v>
      </c>
      <c r="R53" s="100">
        <v>1.6556289414246386E-21</v>
      </c>
      <c r="S53" s="100">
        <v>1.9867547297095662E-21</v>
      </c>
      <c r="T53" s="100">
        <v>1.9867547297095662E-21</v>
      </c>
      <c r="U53" s="100">
        <v>1.9867547297095662E-21</v>
      </c>
      <c r="V53" s="100">
        <v>1.9867547297095662E-21</v>
      </c>
      <c r="W53" s="100">
        <v>1.6556289414246386E-21</v>
      </c>
      <c r="X53" s="100">
        <v>1.6556289414246386E-21</v>
      </c>
      <c r="Y53" s="100">
        <v>1.6556289414246386E-21</v>
      </c>
      <c r="Z53" s="100">
        <v>1.6556289414246386E-21</v>
      </c>
      <c r="AA53" s="100">
        <v>1.6556289414246386E-21</v>
      </c>
      <c r="AB53" s="100">
        <v>1.6556289414246386E-21</v>
      </c>
      <c r="AC53" s="100">
        <v>1.6556289414246386E-21</v>
      </c>
      <c r="AD53" s="100">
        <v>1.6556289414246386E-21</v>
      </c>
      <c r="AE53" s="100">
        <v>1.324503153139711E-21</v>
      </c>
      <c r="AF53" s="100">
        <v>1.324503153139711E-21</v>
      </c>
      <c r="AG53" s="100">
        <v>1.324503153139711E-21</v>
      </c>
      <c r="AH53" s="100">
        <v>1.324503153139711E-21</v>
      </c>
      <c r="AI53" s="100">
        <v>1.6556289414246386E-21</v>
      </c>
      <c r="AJ53" s="100">
        <v>1.6556289414246386E-21</v>
      </c>
      <c r="AK53" s="100">
        <v>1.6556289414246386E-21</v>
      </c>
      <c r="AL53" s="100">
        <v>1.6556289414246386E-21</v>
      </c>
      <c r="AM53" s="100">
        <v>1.6556289414246386E-21</v>
      </c>
      <c r="AN53" s="100">
        <v>1.6556289414246386E-21</v>
      </c>
      <c r="AO53" s="100">
        <v>1.6556289414246386E-21</v>
      </c>
      <c r="AP53" s="100">
        <v>1.6556289414246386E-21</v>
      </c>
      <c r="AQ53" s="100">
        <v>1.6556289414246386E-21</v>
      </c>
      <c r="AR53" s="100">
        <v>1.6556289414246386E-21</v>
      </c>
      <c r="AS53" s="100">
        <v>1.6556289414246386E-21</v>
      </c>
      <c r="AT53" s="100">
        <v>1.6556289414246386E-21</v>
      </c>
      <c r="AU53" s="100">
        <v>1.6556289414246386E-21</v>
      </c>
      <c r="AV53" s="100">
        <v>1.6556289414246386E-21</v>
      </c>
      <c r="AW53" s="100">
        <v>1.6556289414246386E-21</v>
      </c>
      <c r="AX53" s="100">
        <v>1.6556289414246386E-21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3014151.5529410369</v>
      </c>
      <c r="D58" s="100">
        <v>3014151.5529410369</v>
      </c>
      <c r="E58" s="100">
        <v>3014151.5529410369</v>
      </c>
      <c r="F58" s="100">
        <v>3014151.5529410369</v>
      </c>
      <c r="G58" s="100">
        <v>3385788.8786434042</v>
      </c>
      <c r="H58" s="100">
        <v>3385788.8786434042</v>
      </c>
      <c r="I58" s="100">
        <v>3385788.8786434042</v>
      </c>
      <c r="J58" s="100">
        <v>3385788.8786434042</v>
      </c>
      <c r="K58" s="100">
        <v>2635881.4000047338</v>
      </c>
      <c r="L58" s="100">
        <v>2635881.4000047338</v>
      </c>
      <c r="M58" s="100">
        <v>2635881.4000047338</v>
      </c>
      <c r="N58" s="100">
        <v>2635881.4000047338</v>
      </c>
      <c r="O58" s="100">
        <v>3218723.0250498746</v>
      </c>
      <c r="P58" s="100">
        <v>3218723.0250498746</v>
      </c>
      <c r="Q58" s="100">
        <v>3218723.0250498746</v>
      </c>
      <c r="R58" s="100">
        <v>3218723.0250498746</v>
      </c>
      <c r="S58" s="100">
        <v>2878331.187699758</v>
      </c>
      <c r="T58" s="100">
        <v>2878331.187699758</v>
      </c>
      <c r="U58" s="100">
        <v>2878331.187699758</v>
      </c>
      <c r="V58" s="100">
        <v>2878331.187699758</v>
      </c>
      <c r="W58" s="100">
        <v>2642133.3038405823</v>
      </c>
      <c r="X58" s="100">
        <v>2642133.3038405823</v>
      </c>
      <c r="Y58" s="100">
        <v>2642133.3038405823</v>
      </c>
      <c r="Z58" s="100">
        <v>2642133.3038405823</v>
      </c>
      <c r="AA58" s="100">
        <v>3110862.0371607342</v>
      </c>
      <c r="AB58" s="100">
        <v>3110862.0371607342</v>
      </c>
      <c r="AC58" s="100">
        <v>3110862.0371607342</v>
      </c>
      <c r="AD58" s="100">
        <v>3110862.0371607342</v>
      </c>
      <c r="AE58" s="100">
        <v>2823612.9752688515</v>
      </c>
      <c r="AF58" s="100">
        <v>2823612.9752688515</v>
      </c>
      <c r="AG58" s="100">
        <v>2823612.9752688515</v>
      </c>
      <c r="AH58" s="100">
        <v>2823612.9752688515</v>
      </c>
      <c r="AI58" s="100">
        <v>2993283.3656149111</v>
      </c>
      <c r="AJ58" s="100">
        <v>2993283.3656149111</v>
      </c>
      <c r="AK58" s="100">
        <v>2993283.3656149111</v>
      </c>
      <c r="AL58" s="100">
        <v>2993283.3656149111</v>
      </c>
      <c r="AM58" s="100">
        <v>2565917.0498899813</v>
      </c>
      <c r="AN58" s="100">
        <v>2565917.0498899813</v>
      </c>
      <c r="AO58" s="100">
        <v>2565917.0498899813</v>
      </c>
      <c r="AP58" s="100">
        <v>2565917.0498899813</v>
      </c>
      <c r="AQ58" s="100">
        <v>2794852.930792992</v>
      </c>
      <c r="AR58" s="100">
        <v>2794852.930792992</v>
      </c>
      <c r="AS58" s="100">
        <v>2794852.930792992</v>
      </c>
      <c r="AT58" s="100">
        <v>2794852.930792992</v>
      </c>
      <c r="AU58" s="100">
        <v>0</v>
      </c>
      <c r="AV58" s="100">
        <v>0</v>
      </c>
      <c r="AW58" s="100">
        <v>0</v>
      </c>
      <c r="AX58" s="100">
        <v>0</v>
      </c>
    </row>
    <row r="59" spans="2:51">
      <c r="B59" s="105" t="s">
        <v>105</v>
      </c>
      <c r="C59" s="100">
        <v>1.630284191843759E-18</v>
      </c>
      <c r="D59" s="100">
        <v>1.630284191843759E-18</v>
      </c>
      <c r="E59" s="100">
        <v>1.630284191843759E-18</v>
      </c>
      <c r="F59" s="100">
        <v>1.630284191843759E-18</v>
      </c>
      <c r="G59" s="100">
        <v>1.6368953270306395E-18</v>
      </c>
      <c r="H59" s="100">
        <v>1.6368953270306395E-18</v>
      </c>
      <c r="I59" s="100">
        <v>1.6368953270306395E-18</v>
      </c>
      <c r="J59" s="100">
        <v>1.6368953270306395E-18</v>
      </c>
      <c r="K59" s="100">
        <v>1.6969800345301086E-18</v>
      </c>
      <c r="L59" s="100">
        <v>1.6969800345301086E-18</v>
      </c>
      <c r="M59" s="100">
        <v>1.6969800345301086E-18</v>
      </c>
      <c r="N59" s="100">
        <v>1.6969800345301086E-18</v>
      </c>
      <c r="O59" s="100">
        <v>1.623136976261805E-18</v>
      </c>
      <c r="P59" s="100">
        <v>1.623136976261805E-18</v>
      </c>
      <c r="Q59" s="100">
        <v>1.623136976261805E-18</v>
      </c>
      <c r="R59" s="100">
        <v>1.623136976261805E-18</v>
      </c>
      <c r="S59" s="100">
        <v>1.6965963856331641E-18</v>
      </c>
      <c r="T59" s="100">
        <v>1.6965963856331641E-18</v>
      </c>
      <c r="U59" s="100">
        <v>1.6965963856331641E-18</v>
      </c>
      <c r="V59" s="100">
        <v>1.6965963856331641E-18</v>
      </c>
      <c r="W59" s="100">
        <v>1.4548920199299679E-18</v>
      </c>
      <c r="X59" s="100">
        <v>1.4548920199299679E-18</v>
      </c>
      <c r="Y59" s="100">
        <v>1.4548920199299679E-18</v>
      </c>
      <c r="Z59" s="100">
        <v>1.4548920199299679E-18</v>
      </c>
      <c r="AA59" s="100">
        <v>1.7107892405838901E-18</v>
      </c>
      <c r="AB59" s="100">
        <v>1.7107892405838901E-18</v>
      </c>
      <c r="AC59" s="100">
        <v>1.7107892405838901E-18</v>
      </c>
      <c r="AD59" s="100">
        <v>1.7107892405838901E-18</v>
      </c>
      <c r="AE59" s="100">
        <v>1.6361608142458403E-18</v>
      </c>
      <c r="AF59" s="100">
        <v>1.6361608142458403E-18</v>
      </c>
      <c r="AG59" s="100">
        <v>1.6361608142458403E-18</v>
      </c>
      <c r="AH59" s="100">
        <v>1.6361608142458403E-18</v>
      </c>
      <c r="AI59" s="100">
        <v>1.7079940921881327E-18</v>
      </c>
      <c r="AJ59" s="100">
        <v>1.7079940921881327E-18</v>
      </c>
      <c r="AK59" s="100">
        <v>1.7079940921881327E-18</v>
      </c>
      <c r="AL59" s="100">
        <v>1.7079940921881327E-18</v>
      </c>
      <c r="AM59" s="100">
        <v>1.7617756141751007E-18</v>
      </c>
      <c r="AN59" s="100">
        <v>1.7617756141751007E-18</v>
      </c>
      <c r="AO59" s="100">
        <v>1.7617756141751007E-18</v>
      </c>
      <c r="AP59" s="100">
        <v>1.7617756141751007E-18</v>
      </c>
      <c r="AQ59" s="100">
        <v>1.4857264153613538E-18</v>
      </c>
      <c r="AR59" s="100">
        <v>1.4857264153613538E-18</v>
      </c>
      <c r="AS59" s="100">
        <v>1.4857264153613538E-18</v>
      </c>
      <c r="AT59" s="100">
        <v>1.4857264153613538E-18</v>
      </c>
      <c r="AU59" s="100">
        <v>1.5289138779919739E-18</v>
      </c>
      <c r="AV59" s="100">
        <v>1.5289138779919739E-18</v>
      </c>
      <c r="AW59" s="100">
        <v>1.5289138779919739E-18</v>
      </c>
      <c r="AX59" s="100">
        <v>1.5289138779919739E-18</v>
      </c>
    </row>
    <row r="60" spans="2:51">
      <c r="B60" s="105" t="s">
        <v>106</v>
      </c>
      <c r="C60" s="100">
        <v>194410.70243194586</v>
      </c>
      <c r="D60" s="100">
        <v>194410.70243194586</v>
      </c>
      <c r="E60" s="100">
        <v>194410.70243194586</v>
      </c>
      <c r="F60" s="100">
        <v>194410.70243194586</v>
      </c>
      <c r="G60" s="100">
        <v>221904.34662317674</v>
      </c>
      <c r="H60" s="100">
        <v>221904.34662317674</v>
      </c>
      <c r="I60" s="100">
        <v>221904.34662317674</v>
      </c>
      <c r="J60" s="100">
        <v>221904.34662317674</v>
      </c>
      <c r="K60" s="100">
        <v>227783.86088822916</v>
      </c>
      <c r="L60" s="100">
        <v>227783.86088822916</v>
      </c>
      <c r="M60" s="100">
        <v>227783.86088822916</v>
      </c>
      <c r="N60" s="100">
        <v>227783.86088822916</v>
      </c>
      <c r="O60" s="100">
        <v>225742.8606275701</v>
      </c>
      <c r="P60" s="100">
        <v>225742.8606275701</v>
      </c>
      <c r="Q60" s="100">
        <v>225742.8606275701</v>
      </c>
      <c r="R60" s="100">
        <v>225742.8606275701</v>
      </c>
      <c r="S60" s="100">
        <v>246057.24378428084</v>
      </c>
      <c r="T60" s="100">
        <v>246057.24378428084</v>
      </c>
      <c r="U60" s="100">
        <v>246057.24378428084</v>
      </c>
      <c r="V60" s="100">
        <v>246057.24378428084</v>
      </c>
      <c r="W60" s="100">
        <v>221414.13290162096</v>
      </c>
      <c r="X60" s="100">
        <v>221414.13290162096</v>
      </c>
      <c r="Y60" s="100">
        <v>221414.13290162096</v>
      </c>
      <c r="Z60" s="100">
        <v>221414.13290162096</v>
      </c>
      <c r="AA60" s="100">
        <v>224871.35896180314</v>
      </c>
      <c r="AB60" s="100">
        <v>224871.35896180314</v>
      </c>
      <c r="AC60" s="100">
        <v>224871.35896180314</v>
      </c>
      <c r="AD60" s="100">
        <v>224871.35896180314</v>
      </c>
      <c r="AE60" s="100">
        <v>245658.51831059004</v>
      </c>
      <c r="AF60" s="100">
        <v>245658.51831059004</v>
      </c>
      <c r="AG60" s="100">
        <v>245658.51831059004</v>
      </c>
      <c r="AH60" s="100">
        <v>245658.51831059004</v>
      </c>
      <c r="AI60" s="100">
        <v>234629.41011460623</v>
      </c>
      <c r="AJ60" s="100">
        <v>234629.41011460623</v>
      </c>
      <c r="AK60" s="100">
        <v>234629.41011460623</v>
      </c>
      <c r="AL60" s="100">
        <v>234629.41011460623</v>
      </c>
      <c r="AM60" s="100">
        <v>232592.01112130511</v>
      </c>
      <c r="AN60" s="100">
        <v>232592.01112130511</v>
      </c>
      <c r="AO60" s="100">
        <v>232592.01112130511</v>
      </c>
      <c r="AP60" s="100">
        <v>232592.01112130511</v>
      </c>
      <c r="AQ60" s="100">
        <v>240333.65470356762</v>
      </c>
      <c r="AR60" s="100">
        <v>240333.65470356762</v>
      </c>
      <c r="AS60" s="100">
        <v>240333.65470356762</v>
      </c>
      <c r="AT60" s="100">
        <v>240333.65470356762</v>
      </c>
      <c r="AU60" s="100">
        <v>252829.68538105302</v>
      </c>
      <c r="AV60" s="100">
        <v>252829.68538105302</v>
      </c>
      <c r="AW60" s="100">
        <v>252829.68538105302</v>
      </c>
      <c r="AX60" s="100">
        <v>252829.68538105302</v>
      </c>
    </row>
    <row r="61" spans="2:51">
      <c r="B61" s="105" t="s">
        <v>107</v>
      </c>
      <c r="C61" s="100">
        <v>1175288.8704794038</v>
      </c>
      <c r="D61" s="100">
        <v>1175288.8704794038</v>
      </c>
      <c r="E61" s="100">
        <v>1175288.8704794038</v>
      </c>
      <c r="F61" s="100">
        <v>1175288.8704794038</v>
      </c>
      <c r="G61" s="100">
        <v>1174663.6131732301</v>
      </c>
      <c r="H61" s="100">
        <v>1174663.6131732301</v>
      </c>
      <c r="I61" s="100">
        <v>1174663.6131732301</v>
      </c>
      <c r="J61" s="100">
        <v>1174663.6131732301</v>
      </c>
      <c r="K61" s="100">
        <v>1102362.5414062785</v>
      </c>
      <c r="L61" s="100">
        <v>1102362.5414062785</v>
      </c>
      <c r="M61" s="100">
        <v>1102362.5414062785</v>
      </c>
      <c r="N61" s="100">
        <v>1102362.5414062785</v>
      </c>
      <c r="O61" s="100">
        <v>0</v>
      </c>
      <c r="P61" s="100">
        <v>0</v>
      </c>
      <c r="Q61" s="100">
        <v>0</v>
      </c>
      <c r="R61" s="100">
        <v>0</v>
      </c>
      <c r="S61" s="100">
        <v>1094208.956442422</v>
      </c>
      <c r="T61" s="100">
        <v>1094208.956442422</v>
      </c>
      <c r="U61" s="100">
        <v>1094208.956442422</v>
      </c>
      <c r="V61" s="100">
        <v>1094208.956442422</v>
      </c>
      <c r="W61" s="100">
        <v>1122362.127635841</v>
      </c>
      <c r="X61" s="100">
        <v>1122362.127635841</v>
      </c>
      <c r="Y61" s="100">
        <v>1122362.127635841</v>
      </c>
      <c r="Z61" s="100">
        <v>1122362.127635841</v>
      </c>
      <c r="AA61" s="100">
        <v>1084277.5461879529</v>
      </c>
      <c r="AB61" s="100">
        <v>1084277.5461879529</v>
      </c>
      <c r="AC61" s="100">
        <v>1084277.5461879529</v>
      </c>
      <c r="AD61" s="100">
        <v>1084277.5461879529</v>
      </c>
      <c r="AE61" s="100">
        <v>1080009.9889149244</v>
      </c>
      <c r="AF61" s="100">
        <v>1080009.9889149244</v>
      </c>
      <c r="AG61" s="100">
        <v>1080009.9889149244</v>
      </c>
      <c r="AH61" s="100">
        <v>1080009.9889149244</v>
      </c>
      <c r="AI61" s="100">
        <v>1104308.750289493</v>
      </c>
      <c r="AJ61" s="100">
        <v>1104308.750289493</v>
      </c>
      <c r="AK61" s="100">
        <v>1104308.750289493</v>
      </c>
      <c r="AL61" s="100">
        <v>1104308.750289493</v>
      </c>
      <c r="AM61" s="100">
        <v>1070831.9722442394</v>
      </c>
      <c r="AN61" s="100">
        <v>1070831.9722442394</v>
      </c>
      <c r="AO61" s="100">
        <v>1070831.9722442394</v>
      </c>
      <c r="AP61" s="100">
        <v>1070831.9722442394</v>
      </c>
      <c r="AQ61" s="100">
        <v>1307545.7005721363</v>
      </c>
      <c r="AR61" s="100">
        <v>1307545.7005721363</v>
      </c>
      <c r="AS61" s="100">
        <v>1307545.7005721363</v>
      </c>
      <c r="AT61" s="100">
        <v>525703.50477261411</v>
      </c>
      <c r="AU61" s="100">
        <v>1085337.7061513967</v>
      </c>
      <c r="AV61" s="100">
        <v>1085337.7061513967</v>
      </c>
      <c r="AW61" s="100">
        <v>1085337.7061513967</v>
      </c>
      <c r="AX61" s="100">
        <v>1085337.7061513967</v>
      </c>
    </row>
    <row r="62" spans="2:51">
      <c r="B62" s="105" t="s">
        <v>108</v>
      </c>
      <c r="C62" s="100">
        <v>7.3363573883418346E-19</v>
      </c>
      <c r="D62" s="100">
        <v>7.3363573883418346E-19</v>
      </c>
      <c r="E62" s="100">
        <v>7.3363573883418346E-19</v>
      </c>
      <c r="F62" s="100">
        <v>7.3363573883418346E-19</v>
      </c>
      <c r="G62" s="100">
        <v>7.4676690754589747E-19</v>
      </c>
      <c r="H62" s="100">
        <v>7.4676690754589747E-19</v>
      </c>
      <c r="I62" s="100">
        <v>7.4676690754589747E-19</v>
      </c>
      <c r="J62" s="100">
        <v>7.4676690754589747E-19</v>
      </c>
      <c r="K62" s="100">
        <v>7.2405402013783529E-19</v>
      </c>
      <c r="L62" s="100">
        <v>7.2405402013783529E-19</v>
      </c>
      <c r="M62" s="100">
        <v>7.2405402013783529E-19</v>
      </c>
      <c r="N62" s="100">
        <v>7.2405402013783529E-19</v>
      </c>
      <c r="O62" s="100">
        <v>7.4728462048985895E-19</v>
      </c>
      <c r="P62" s="100">
        <v>7.4728462048985895E-19</v>
      </c>
      <c r="Q62" s="100">
        <v>7.4728462048985895E-19</v>
      </c>
      <c r="R62" s="100">
        <v>7.4728462048985895E-19</v>
      </c>
      <c r="S62" s="100">
        <v>7.548454762284093E-19</v>
      </c>
      <c r="T62" s="100">
        <v>7.548454762284093E-19</v>
      </c>
      <c r="U62" s="100">
        <v>7.548454762284093E-19</v>
      </c>
      <c r="V62" s="100">
        <v>7.548454762284093E-19</v>
      </c>
      <c r="W62" s="100">
        <v>7.3963940419505256E-19</v>
      </c>
      <c r="X62" s="100">
        <v>7.3963940419505256E-19</v>
      </c>
      <c r="Y62" s="100">
        <v>7.3963940419505256E-19</v>
      </c>
      <c r="Z62" s="100">
        <v>7.3963940419505256E-19</v>
      </c>
      <c r="AA62" s="100">
        <v>7.5789605591890982E-19</v>
      </c>
      <c r="AB62" s="100">
        <v>7.5789605591890982E-19</v>
      </c>
      <c r="AC62" s="100">
        <v>7.5789605591890982E-19</v>
      </c>
      <c r="AD62" s="100">
        <v>7.5789605591890982E-19</v>
      </c>
      <c r="AE62" s="100">
        <v>7.526268104277496E-19</v>
      </c>
      <c r="AF62" s="100">
        <v>7.526268104277496E-19</v>
      </c>
      <c r="AG62" s="100">
        <v>7.526268104277496E-19</v>
      </c>
      <c r="AH62" s="100">
        <v>7.526268104277496E-19</v>
      </c>
      <c r="AI62" s="100">
        <v>7.4091604258444089E-19</v>
      </c>
      <c r="AJ62" s="100">
        <v>7.4091604258444089E-19</v>
      </c>
      <c r="AK62" s="100">
        <v>7.4091604258444089E-19</v>
      </c>
      <c r="AL62" s="100">
        <v>7.4091604258444089E-19</v>
      </c>
      <c r="AM62" s="100">
        <v>7.6867585944005956E-19</v>
      </c>
      <c r="AN62" s="100">
        <v>7.6867585944005956E-19</v>
      </c>
      <c r="AO62" s="100">
        <v>7.6867585944005956E-19</v>
      </c>
      <c r="AP62" s="100">
        <v>7.6867585944005956E-19</v>
      </c>
      <c r="AQ62" s="100">
        <v>7.727828375859E-19</v>
      </c>
      <c r="AR62" s="100">
        <v>7.727828375859E-19</v>
      </c>
      <c r="AS62" s="100">
        <v>7.727828375859E-19</v>
      </c>
      <c r="AT62" s="100">
        <v>7.727828375859E-19</v>
      </c>
      <c r="AU62" s="100">
        <v>7.5589035897331584E-19</v>
      </c>
      <c r="AV62" s="100">
        <v>7.5589035897331584E-19</v>
      </c>
      <c r="AW62" s="100">
        <v>7.5589035897331584E-19</v>
      </c>
      <c r="AX62" s="100">
        <v>7.5589035897331584E-19</v>
      </c>
    </row>
    <row r="63" spans="2:51">
      <c r="B63" s="105" t="s">
        <v>109</v>
      </c>
      <c r="C63" s="100">
        <v>2.7427476797919101E-18</v>
      </c>
      <c r="D63" s="100">
        <v>2.7427476797919101E-18</v>
      </c>
      <c r="E63" s="100">
        <v>2.7427476797919101E-18</v>
      </c>
      <c r="F63" s="100">
        <v>2.7427476797919101E-18</v>
      </c>
      <c r="G63" s="100">
        <v>2.065766262743899E-18</v>
      </c>
      <c r="H63" s="100">
        <v>2.065766262743899E-18</v>
      </c>
      <c r="I63" s="100">
        <v>2.065766262743899E-18</v>
      </c>
      <c r="J63" s="100">
        <v>2.065766262743899E-18</v>
      </c>
      <c r="K63" s="100">
        <v>2.0805410729027872E-18</v>
      </c>
      <c r="L63" s="100">
        <v>2.0805410729027872E-18</v>
      </c>
      <c r="M63" s="100">
        <v>2.0805410729027872E-18</v>
      </c>
      <c r="N63" s="100">
        <v>2.0805410729027872E-18</v>
      </c>
      <c r="O63" s="100">
        <v>2.5109404801514043E-18</v>
      </c>
      <c r="P63" s="100">
        <v>2.5109404801514043E-18</v>
      </c>
      <c r="Q63" s="100">
        <v>2.5109404801514043E-18</v>
      </c>
      <c r="R63" s="100">
        <v>2.5109404801514043E-18</v>
      </c>
      <c r="S63" s="100">
        <v>2.7733101100705785E-18</v>
      </c>
      <c r="T63" s="100">
        <v>2.7733101100705785E-18</v>
      </c>
      <c r="U63" s="100">
        <v>2.7733101100705785E-18</v>
      </c>
      <c r="V63" s="100">
        <v>2.7733101100705785E-18</v>
      </c>
      <c r="W63" s="100">
        <v>2.3344187556556059E-18</v>
      </c>
      <c r="X63" s="100">
        <v>2.3344187556556059E-18</v>
      </c>
      <c r="Y63" s="100">
        <v>2.3344187556556059E-18</v>
      </c>
      <c r="Z63" s="100">
        <v>2.3344187556556059E-18</v>
      </c>
      <c r="AA63" s="100">
        <v>2.4719938763203861E-18</v>
      </c>
      <c r="AB63" s="100">
        <v>2.4719938763203861E-18</v>
      </c>
      <c r="AC63" s="100">
        <v>2.4719938763203861E-18</v>
      </c>
      <c r="AD63" s="100">
        <v>2.4719938763203861E-18</v>
      </c>
      <c r="AE63" s="100">
        <v>2.1128538564173804E-18</v>
      </c>
      <c r="AF63" s="100">
        <v>2.1128538564173804E-18</v>
      </c>
      <c r="AG63" s="100">
        <v>2.1128538564173804E-18</v>
      </c>
      <c r="AH63" s="100">
        <v>2.1128538564173804E-18</v>
      </c>
      <c r="AI63" s="100">
        <v>2.4459527852590945E-18</v>
      </c>
      <c r="AJ63" s="100">
        <v>2.4459527852590945E-18</v>
      </c>
      <c r="AK63" s="100">
        <v>2.4459527852590945E-18</v>
      </c>
      <c r="AL63" s="100">
        <v>2.4459527852590945E-18</v>
      </c>
      <c r="AM63" s="100">
        <v>2.3558438492402373E-18</v>
      </c>
      <c r="AN63" s="100">
        <v>2.3558438492402373E-18</v>
      </c>
      <c r="AO63" s="100">
        <v>2.3558438492402373E-18</v>
      </c>
      <c r="AP63" s="100">
        <v>2.3558438492402373E-18</v>
      </c>
      <c r="AQ63" s="100">
        <v>2.350488654136235E-18</v>
      </c>
      <c r="AR63" s="100">
        <v>2.350488654136235E-18</v>
      </c>
      <c r="AS63" s="100">
        <v>2.350488654136235E-18</v>
      </c>
      <c r="AT63" s="100">
        <v>2.350488654136235E-18</v>
      </c>
      <c r="AU63" s="100">
        <v>2.4976856619722475E-18</v>
      </c>
      <c r="AV63" s="100">
        <v>2.4976856619722475E-18</v>
      </c>
      <c r="AW63" s="100">
        <v>2.4976856619722475E-18</v>
      </c>
      <c r="AX63" s="100">
        <v>2.4976856619722475E-18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184.00363309568797</v>
      </c>
      <c r="D67" s="100">
        <v>184.00363309568797</v>
      </c>
      <c r="E67" s="100">
        <v>184.00363309568797</v>
      </c>
      <c r="F67" s="100">
        <v>184.00363309568797</v>
      </c>
      <c r="G67" s="100">
        <v>184.00363309568797</v>
      </c>
      <c r="H67" s="100">
        <v>184.00363309568797</v>
      </c>
      <c r="I67" s="100">
        <v>184.00363309568797</v>
      </c>
      <c r="J67" s="100">
        <v>184.00363309568797</v>
      </c>
      <c r="K67" s="100">
        <v>184.00363309568797</v>
      </c>
      <c r="L67" s="100">
        <v>184.00363309568797</v>
      </c>
      <c r="M67" s="100">
        <v>184.00363309568797</v>
      </c>
      <c r="N67" s="100">
        <v>184.00363309568797</v>
      </c>
    </row>
    <row r="68" spans="1:14">
      <c r="B68" s="99" t="s">
        <v>330</v>
      </c>
      <c r="C68" s="100">
        <v>1275.0301343499843</v>
      </c>
      <c r="D68" s="100">
        <v>1275.0301343499843</v>
      </c>
      <c r="E68" s="100">
        <v>1275.0301343499843</v>
      </c>
      <c r="F68" s="100">
        <v>1275.0301343499843</v>
      </c>
      <c r="G68" s="100">
        <v>1275.0301343499843</v>
      </c>
      <c r="H68" s="100">
        <v>1275.0301343499843</v>
      </c>
      <c r="I68" s="100">
        <v>1275.0301343499843</v>
      </c>
      <c r="J68" s="100">
        <v>1275.0301343499843</v>
      </c>
      <c r="K68" s="100">
        <v>1275.0301343499843</v>
      </c>
      <c r="L68" s="100">
        <v>1275.0301343499843</v>
      </c>
      <c r="M68" s="100">
        <v>1275.0301343499843</v>
      </c>
      <c r="N68" s="100">
        <v>1275.0301343499843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60898.158077350003</v>
      </c>
      <c r="D72" s="100">
        <v>130189.54323084233</v>
      </c>
      <c r="E72" s="100">
        <v>215803.28920214745</v>
      </c>
    </row>
    <row r="73" spans="1:14">
      <c r="B73" s="105" t="s">
        <v>93</v>
      </c>
      <c r="C73" s="100">
        <v>60898.158077350003</v>
      </c>
      <c r="D73" s="100">
        <v>130189.54323084233</v>
      </c>
      <c r="E73" s="100">
        <v>215803.28920214745</v>
      </c>
    </row>
    <row r="74" spans="1:14">
      <c r="B74" s="105" t="s">
        <v>94</v>
      </c>
      <c r="C74" s="100">
        <v>60898.158077350003</v>
      </c>
      <c r="D74" s="100">
        <v>130189.54323084233</v>
      </c>
      <c r="E74" s="100">
        <v>215803.28920214745</v>
      </c>
    </row>
    <row r="75" spans="1:14">
      <c r="B75" s="105" t="s">
        <v>95</v>
      </c>
      <c r="C75" s="100">
        <v>60898.158077350003</v>
      </c>
      <c r="D75" s="100">
        <v>130189.54323084233</v>
      </c>
      <c r="E75" s="100">
        <v>215803.28920214745</v>
      </c>
    </row>
    <row r="76" spans="1:14">
      <c r="B76" s="105" t="s">
        <v>96</v>
      </c>
      <c r="C76" s="100">
        <v>60898.158077350003</v>
      </c>
      <c r="D76" s="100">
        <v>130189.54323084233</v>
      </c>
      <c r="E76" s="100">
        <v>215803.28920214745</v>
      </c>
    </row>
    <row r="77" spans="1:14">
      <c r="B77" s="105" t="s">
        <v>97</v>
      </c>
      <c r="C77" s="100">
        <v>60898.158077350003</v>
      </c>
      <c r="D77" s="100">
        <v>130189.54323084233</v>
      </c>
      <c r="E77" s="100">
        <v>215803.28920214745</v>
      </c>
    </row>
    <row r="78" spans="1:14">
      <c r="B78" s="105" t="s">
        <v>98</v>
      </c>
      <c r="C78" s="100">
        <v>60898.158077350003</v>
      </c>
      <c r="D78" s="100">
        <v>130189.54323084233</v>
      </c>
      <c r="E78" s="100">
        <v>215803.28920214745</v>
      </c>
    </row>
    <row r="79" spans="1:14">
      <c r="B79" s="105" t="s">
        <v>99</v>
      </c>
      <c r="C79" s="100">
        <v>60898.158077350003</v>
      </c>
      <c r="D79" s="100">
        <v>130189.54323084233</v>
      </c>
      <c r="E79" s="100">
        <v>215803.28920214745</v>
      </c>
    </row>
    <row r="80" spans="1:14">
      <c r="B80" s="105" t="s">
        <v>100</v>
      </c>
      <c r="C80" s="100">
        <v>60898.158077350003</v>
      </c>
      <c r="D80" s="100">
        <v>130189.54323084233</v>
      </c>
      <c r="E80" s="100">
        <v>215803.28920214745</v>
      </c>
    </row>
    <row r="81" spans="2:50">
      <c r="B81" s="105" t="s">
        <v>101</v>
      </c>
      <c r="C81" s="100">
        <v>60898.158077350003</v>
      </c>
      <c r="D81" s="100">
        <v>130189.54323084233</v>
      </c>
      <c r="E81" s="100">
        <v>215803.28920214745</v>
      </c>
    </row>
    <row r="82" spans="2:50">
      <c r="B82" s="105" t="s">
        <v>102</v>
      </c>
      <c r="C82" s="100">
        <v>60898.158077350003</v>
      </c>
      <c r="D82" s="100">
        <v>130189.54323084233</v>
      </c>
      <c r="E82" s="100">
        <v>215803.28920214745</v>
      </c>
    </row>
    <row r="83" spans="2:50">
      <c r="B83" s="105" t="s">
        <v>103</v>
      </c>
      <c r="C83" s="100">
        <v>60898.158077350003</v>
      </c>
      <c r="D83" s="100">
        <v>130189.54323084233</v>
      </c>
      <c r="E83" s="100">
        <v>215803.28920214745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2332.3742895553041</v>
      </c>
      <c r="D88" s="100">
        <f>D48+$C$67/4</f>
        <v>2332.3742895553041</v>
      </c>
      <c r="E88" s="100">
        <f>E48+$C$67/4</f>
        <v>2332.3742895553041</v>
      </c>
      <c r="F88" s="100">
        <f>F48+$C$67/4</f>
        <v>2332.3742895553041</v>
      </c>
      <c r="G88" s="100">
        <f>G48+$D$67/4</f>
        <v>2332.3742895553041</v>
      </c>
      <c r="H88" s="100">
        <f>H48+$D$67/4</f>
        <v>2332.3742895553041</v>
      </c>
      <c r="I88" s="100">
        <f>I48+$D$67/4</f>
        <v>2332.3742895553041</v>
      </c>
      <c r="J88" s="100">
        <f>J48+$D$67/4</f>
        <v>2332.3742895553041</v>
      </c>
      <c r="K88" s="100">
        <f>K48+$E$67/4</f>
        <v>2332.3742895553041</v>
      </c>
      <c r="L88" s="100">
        <f>L48+$E$67/4</f>
        <v>2332.3742895553041</v>
      </c>
      <c r="M88" s="100">
        <f>M48+$E$67/4</f>
        <v>2332.3742895553041</v>
      </c>
      <c r="N88" s="100">
        <f>N48+$E$67/4</f>
        <v>2332.3742895553041</v>
      </c>
      <c r="O88" s="100">
        <f>O48+$F$67/4</f>
        <v>2332.3742895553041</v>
      </c>
      <c r="P88" s="100">
        <f>P48+$F$67/4</f>
        <v>2332.3742895553041</v>
      </c>
      <c r="Q88" s="100">
        <f>Q48+$F$67/4</f>
        <v>2332.3742895553041</v>
      </c>
      <c r="R88" s="100">
        <f>R48+$F$67/4</f>
        <v>2332.3742895553041</v>
      </c>
      <c r="S88" s="100">
        <f>S48+$G$67/4</f>
        <v>2332.3742895553041</v>
      </c>
      <c r="T88" s="100">
        <f>T48+$G$67/4</f>
        <v>2332.3742895553041</v>
      </c>
      <c r="U88" s="100">
        <f>U48+$G$67/4</f>
        <v>2332.3742895553041</v>
      </c>
      <c r="V88" s="100">
        <f>V48+$G$67/4</f>
        <v>2332.3742895553041</v>
      </c>
      <c r="W88" s="100">
        <f>W48+$H$67/4</f>
        <v>2332.3742895553041</v>
      </c>
      <c r="X88" s="100">
        <f>X48+$H$67/4</f>
        <v>2332.3742895553041</v>
      </c>
      <c r="Y88" s="100">
        <f>Y48+$H$67/4</f>
        <v>2332.3742895553041</v>
      </c>
      <c r="Z88" s="100">
        <f>Z48+$H$67/4</f>
        <v>2332.3742895553041</v>
      </c>
      <c r="AA88" s="100">
        <f>AA48+$I$67/4</f>
        <v>2332.3742895553041</v>
      </c>
      <c r="AB88" s="100">
        <f>AB48+$I$67/4</f>
        <v>2332.3742895553041</v>
      </c>
      <c r="AC88" s="100">
        <f>AC48+$I$67/4</f>
        <v>2332.3742895553041</v>
      </c>
      <c r="AD88" s="100">
        <f>AD48+$I$67/4</f>
        <v>2332.3742895553041</v>
      </c>
      <c r="AE88" s="100">
        <f>AE48+$J$67/4</f>
        <v>2332.3742895553041</v>
      </c>
      <c r="AF88" s="100">
        <f>AF48+$J$67/4</f>
        <v>2332.3742895553041</v>
      </c>
      <c r="AG88" s="100">
        <f>AG48+$J$67/4</f>
        <v>2332.3742895553041</v>
      </c>
      <c r="AH88" s="100">
        <f>AH48+$J$67/4</f>
        <v>2332.3742895553041</v>
      </c>
      <c r="AI88" s="100">
        <f>AI48+$K$67/4</f>
        <v>2332.3742895553041</v>
      </c>
      <c r="AJ88" s="100">
        <f>AJ48+$K$67/4</f>
        <v>2332.3742895553041</v>
      </c>
      <c r="AK88" s="100">
        <f>AK48+$K$67/4</f>
        <v>2332.3742895553041</v>
      </c>
      <c r="AL88" s="100">
        <f>AL48+$K$67/4</f>
        <v>2332.3742895553041</v>
      </c>
      <c r="AM88" s="100">
        <f>AM48+$L$67/4</f>
        <v>2332.3742895553041</v>
      </c>
      <c r="AN88" s="100">
        <f>AN48+$L$67/4</f>
        <v>2332.3742895553041</v>
      </c>
      <c r="AO88" s="100">
        <f>AO48+$L$67/4</f>
        <v>2332.3742895553041</v>
      </c>
      <c r="AP88" s="100">
        <f>AP48+$L$67/4</f>
        <v>2332.3742895553041</v>
      </c>
      <c r="AQ88" s="100">
        <f>AQ48+$M$67/4</f>
        <v>2332.3742895553041</v>
      </c>
      <c r="AR88" s="100">
        <f>AR48+$M$67/4</f>
        <v>2332.3742895553041</v>
      </c>
      <c r="AS88" s="100">
        <f>AS48+$M$67/4</f>
        <v>2332.3742895553041</v>
      </c>
      <c r="AT88" s="100">
        <f>AT48+$M$67/4</f>
        <v>2332.3742895553041</v>
      </c>
      <c r="AU88" s="100">
        <f>AU48+$N$67/4</f>
        <v>46.000908273921993</v>
      </c>
      <c r="AV88" s="100">
        <f>AV48+$N$67/4</f>
        <v>46.000908273921993</v>
      </c>
      <c r="AW88" s="100">
        <f>AW48+$N$67/4</f>
        <v>46.000908273921993</v>
      </c>
      <c r="AX88" s="100">
        <f>AX48+$N$67/4</f>
        <v>46.000908273921993</v>
      </c>
    </row>
    <row r="89" spans="2:50">
      <c r="B89" s="99" t="s">
        <v>105</v>
      </c>
      <c r="C89" s="100">
        <f>C49</f>
        <v>1.1822953366672563E-21</v>
      </c>
      <c r="D89" s="100">
        <f t="shared" ref="D89:AX93" si="3">D49</f>
        <v>1.1822953366672563E-21</v>
      </c>
      <c r="E89" s="100">
        <f t="shared" si="3"/>
        <v>1.1822953366672563E-21</v>
      </c>
      <c r="F89" s="100">
        <f t="shared" si="3"/>
        <v>1.1822953366672563E-21</v>
      </c>
      <c r="G89" s="100">
        <f t="shared" si="3"/>
        <v>1.1822953366672563E-21</v>
      </c>
      <c r="H89" s="100">
        <f t="shared" si="3"/>
        <v>1.1822953366672563E-21</v>
      </c>
      <c r="I89" s="100">
        <f t="shared" si="3"/>
        <v>1.1822953366672563E-21</v>
      </c>
      <c r="J89" s="100">
        <f t="shared" si="3"/>
        <v>1.1822953366672563E-21</v>
      </c>
      <c r="K89" s="100">
        <f t="shared" si="3"/>
        <v>1.1822953366672563E-21</v>
      </c>
      <c r="L89" s="100">
        <f t="shared" si="3"/>
        <v>1.1822953366672563E-21</v>
      </c>
      <c r="M89" s="100">
        <f t="shared" si="3"/>
        <v>1.1822953366672563E-21</v>
      </c>
      <c r="N89" s="100">
        <f t="shared" si="3"/>
        <v>1.1822953366672563E-21</v>
      </c>
      <c r="O89" s="100">
        <f t="shared" si="3"/>
        <v>1.1822953366672563E-21</v>
      </c>
      <c r="P89" s="100">
        <f t="shared" si="3"/>
        <v>1.1822953366672563E-21</v>
      </c>
      <c r="Q89" s="100">
        <f t="shared" si="3"/>
        <v>1.1822953366672563E-21</v>
      </c>
      <c r="R89" s="100">
        <f t="shared" si="3"/>
        <v>1.1822953366672563E-21</v>
      </c>
      <c r="S89" s="100">
        <f t="shared" si="3"/>
        <v>1.1822953366672563E-21</v>
      </c>
      <c r="T89" s="100">
        <f t="shared" si="3"/>
        <v>1.1822953366672563E-21</v>
      </c>
      <c r="U89" s="100">
        <f t="shared" si="3"/>
        <v>1.1822953366672563E-21</v>
      </c>
      <c r="V89" s="100">
        <f t="shared" si="3"/>
        <v>1.1822953366672563E-21</v>
      </c>
      <c r="W89" s="100">
        <f t="shared" si="3"/>
        <v>9.4583626933380518E-22</v>
      </c>
      <c r="X89" s="100">
        <f t="shared" si="3"/>
        <v>9.4583626933380518E-22</v>
      </c>
      <c r="Y89" s="100">
        <f t="shared" si="3"/>
        <v>9.4583626933380518E-22</v>
      </c>
      <c r="Z89" s="100">
        <f t="shared" si="3"/>
        <v>9.4583626933380518E-22</v>
      </c>
      <c r="AA89" s="100">
        <f t="shared" si="3"/>
        <v>1.1822953366672563E-21</v>
      </c>
      <c r="AB89" s="100">
        <f t="shared" si="3"/>
        <v>1.1822953366672563E-21</v>
      </c>
      <c r="AC89" s="100">
        <f t="shared" si="3"/>
        <v>1.1822953366672563E-21</v>
      </c>
      <c r="AD89" s="100">
        <f t="shared" si="3"/>
        <v>1.1822953366672563E-21</v>
      </c>
      <c r="AE89" s="100">
        <f t="shared" si="3"/>
        <v>1.1822953366672563E-21</v>
      </c>
      <c r="AF89" s="100">
        <f t="shared" si="3"/>
        <v>1.1822953366672563E-21</v>
      </c>
      <c r="AG89" s="100">
        <f t="shared" si="3"/>
        <v>1.1822953366672563E-21</v>
      </c>
      <c r="AH89" s="100">
        <f t="shared" si="3"/>
        <v>1.1822953366672563E-21</v>
      </c>
      <c r="AI89" s="100">
        <f t="shared" si="3"/>
        <v>1.1822953366672563E-21</v>
      </c>
      <c r="AJ89" s="100">
        <f t="shared" si="3"/>
        <v>1.1822953366672563E-21</v>
      </c>
      <c r="AK89" s="100">
        <f t="shared" si="3"/>
        <v>1.1822953366672563E-21</v>
      </c>
      <c r="AL89" s="100">
        <f t="shared" si="3"/>
        <v>1.1822953366672563E-21</v>
      </c>
      <c r="AM89" s="100">
        <f t="shared" si="3"/>
        <v>1.1822953366672563E-21</v>
      </c>
      <c r="AN89" s="100">
        <f t="shared" si="3"/>
        <v>1.1822953366672563E-21</v>
      </c>
      <c r="AO89" s="100">
        <f t="shared" si="3"/>
        <v>1.1822953366672563E-21</v>
      </c>
      <c r="AP89" s="100">
        <f t="shared" si="3"/>
        <v>1.1822953366672563E-21</v>
      </c>
      <c r="AQ89" s="100">
        <f t="shared" si="3"/>
        <v>9.4583626933380518E-22</v>
      </c>
      <c r="AR89" s="100">
        <f t="shared" si="3"/>
        <v>9.4583626933380518E-22</v>
      </c>
      <c r="AS89" s="100">
        <f t="shared" si="3"/>
        <v>9.4583626933380518E-22</v>
      </c>
      <c r="AT89" s="100">
        <f t="shared" si="3"/>
        <v>9.4583626933380518E-22</v>
      </c>
      <c r="AU89" s="100">
        <f t="shared" si="3"/>
        <v>1.1822953366672563E-21</v>
      </c>
      <c r="AV89" s="100">
        <f t="shared" si="3"/>
        <v>1.1822953366672563E-21</v>
      </c>
      <c r="AW89" s="100">
        <f t="shared" si="3"/>
        <v>1.1822953366672563E-21</v>
      </c>
      <c r="AX89" s="100">
        <f t="shared" si="3"/>
        <v>1.1822953366672563E-21</v>
      </c>
    </row>
    <row r="90" spans="2:50">
      <c r="B90" s="99" t="s">
        <v>106</v>
      </c>
      <c r="C90" s="100">
        <f t="shared" ref="C90:R93" si="4">C50</f>
        <v>120</v>
      </c>
      <c r="D90" s="100">
        <f t="shared" si="4"/>
        <v>120</v>
      </c>
      <c r="E90" s="100">
        <f t="shared" si="4"/>
        <v>120</v>
      </c>
      <c r="F90" s="100">
        <f t="shared" si="4"/>
        <v>120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128</v>
      </c>
      <c r="X90" s="100">
        <f t="shared" si="3"/>
        <v>128</v>
      </c>
      <c r="Y90" s="100">
        <f t="shared" si="3"/>
        <v>128</v>
      </c>
      <c r="Z90" s="100">
        <f t="shared" si="3"/>
        <v>128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160</v>
      </c>
      <c r="AJ90" s="100">
        <f t="shared" si="3"/>
        <v>160</v>
      </c>
      <c r="AK90" s="100">
        <f t="shared" si="3"/>
        <v>160</v>
      </c>
      <c r="AL90" s="100">
        <f t="shared" si="3"/>
        <v>160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815.15335703879305</v>
      </c>
      <c r="D91" s="100">
        <f t="shared" si="3"/>
        <v>815.15335703879305</v>
      </c>
      <c r="E91" s="100">
        <f t="shared" si="3"/>
        <v>815.15335703879305</v>
      </c>
      <c r="F91" s="100">
        <f t="shared" si="3"/>
        <v>815.15335703879305</v>
      </c>
      <c r="G91" s="100">
        <f t="shared" si="3"/>
        <v>815.15335703879305</v>
      </c>
      <c r="H91" s="100">
        <f t="shared" si="3"/>
        <v>815.15335703879305</v>
      </c>
      <c r="I91" s="100">
        <f t="shared" si="3"/>
        <v>815.15335703879305</v>
      </c>
      <c r="J91" s="100">
        <f t="shared" si="3"/>
        <v>815.15335703879305</v>
      </c>
      <c r="K91" s="100">
        <f t="shared" si="3"/>
        <v>815.15335703879305</v>
      </c>
      <c r="L91" s="100">
        <f t="shared" si="3"/>
        <v>815.15335703879305</v>
      </c>
      <c r="M91" s="100">
        <f t="shared" si="3"/>
        <v>815.15335703879305</v>
      </c>
      <c r="N91" s="100">
        <f t="shared" si="3"/>
        <v>815.15335703879305</v>
      </c>
      <c r="O91" s="100">
        <f t="shared" si="3"/>
        <v>0</v>
      </c>
      <c r="P91" s="100">
        <f t="shared" si="3"/>
        <v>0</v>
      </c>
      <c r="Q91" s="100">
        <f t="shared" si="3"/>
        <v>0</v>
      </c>
      <c r="R91" s="100">
        <f t="shared" si="3"/>
        <v>0</v>
      </c>
      <c r="S91" s="100">
        <f t="shared" si="3"/>
        <v>815.15335703879305</v>
      </c>
      <c r="T91" s="100">
        <f t="shared" si="3"/>
        <v>815.15335703879305</v>
      </c>
      <c r="U91" s="100">
        <f t="shared" si="3"/>
        <v>815.15335703879305</v>
      </c>
      <c r="V91" s="100">
        <f t="shared" si="3"/>
        <v>815.15335703879305</v>
      </c>
      <c r="W91" s="100">
        <f t="shared" si="3"/>
        <v>815.15335703879305</v>
      </c>
      <c r="X91" s="100">
        <f t="shared" si="3"/>
        <v>815.15335703879305</v>
      </c>
      <c r="Y91" s="100">
        <f t="shared" si="3"/>
        <v>815.15335703879305</v>
      </c>
      <c r="Z91" s="100">
        <f t="shared" si="3"/>
        <v>815.15335703879305</v>
      </c>
      <c r="AA91" s="100">
        <f t="shared" si="3"/>
        <v>815.15335703879305</v>
      </c>
      <c r="AB91" s="100">
        <f t="shared" si="3"/>
        <v>815.15335703879305</v>
      </c>
      <c r="AC91" s="100">
        <f t="shared" si="3"/>
        <v>815.15335703879305</v>
      </c>
      <c r="AD91" s="100">
        <f t="shared" si="3"/>
        <v>815.15335703879305</v>
      </c>
      <c r="AE91" s="100">
        <f t="shared" si="3"/>
        <v>815.15335703879305</v>
      </c>
      <c r="AF91" s="100">
        <f t="shared" si="3"/>
        <v>815.15335703879305</v>
      </c>
      <c r="AG91" s="100">
        <f t="shared" si="3"/>
        <v>815.15335703879305</v>
      </c>
      <c r="AH91" s="100">
        <f t="shared" si="3"/>
        <v>815.15335703879305</v>
      </c>
      <c r="AI91" s="100">
        <f t="shared" si="3"/>
        <v>815.15335703879305</v>
      </c>
      <c r="AJ91" s="100">
        <f t="shared" si="3"/>
        <v>815.15335703879305</v>
      </c>
      <c r="AK91" s="100">
        <f t="shared" si="3"/>
        <v>815.15335703879305</v>
      </c>
      <c r="AL91" s="100">
        <f t="shared" si="3"/>
        <v>815.15335703879305</v>
      </c>
      <c r="AM91" s="100">
        <f t="shared" si="3"/>
        <v>815.15335703879305</v>
      </c>
      <c r="AN91" s="100">
        <f t="shared" si="3"/>
        <v>815.15335703879305</v>
      </c>
      <c r="AO91" s="100">
        <f t="shared" si="3"/>
        <v>815.15335703879305</v>
      </c>
      <c r="AP91" s="100">
        <f t="shared" si="3"/>
        <v>815.15335703879305</v>
      </c>
      <c r="AQ91" s="100">
        <f t="shared" si="3"/>
        <v>815.15335703879305</v>
      </c>
      <c r="AR91" s="100">
        <f t="shared" si="3"/>
        <v>815.15335703879305</v>
      </c>
      <c r="AS91" s="100">
        <f t="shared" si="3"/>
        <v>815.15335703879305</v>
      </c>
      <c r="AT91" s="100">
        <f t="shared" si="3"/>
        <v>327.73537210588216</v>
      </c>
      <c r="AU91" s="100">
        <f t="shared" si="3"/>
        <v>815.15335703879305</v>
      </c>
      <c r="AV91" s="100">
        <f t="shared" si="3"/>
        <v>815.15335703879305</v>
      </c>
      <c r="AW91" s="100">
        <f t="shared" si="3"/>
        <v>815.15335703879305</v>
      </c>
      <c r="AX91" s="100">
        <f t="shared" si="3"/>
        <v>815.15335703879305</v>
      </c>
    </row>
    <row r="92" spans="2:50">
      <c r="B92" s="99" t="s">
        <v>108</v>
      </c>
      <c r="C92" s="100">
        <f t="shared" si="4"/>
        <v>5.83138339070927E-22</v>
      </c>
      <c r="D92" s="100">
        <f t="shared" si="4"/>
        <v>5.83138339070927E-22</v>
      </c>
      <c r="E92" s="100">
        <f t="shared" si="4"/>
        <v>5.83138339070927E-22</v>
      </c>
      <c r="F92" s="100">
        <f t="shared" si="4"/>
        <v>5.83138339070927E-22</v>
      </c>
      <c r="G92" s="100">
        <f t="shared" si="4"/>
        <v>5.83138339070927E-22</v>
      </c>
      <c r="H92" s="100">
        <f t="shared" si="4"/>
        <v>5.83138339070927E-22</v>
      </c>
      <c r="I92" s="100">
        <f t="shared" si="4"/>
        <v>5.83138339070927E-22</v>
      </c>
      <c r="J92" s="100">
        <f t="shared" si="4"/>
        <v>5.83138339070927E-22</v>
      </c>
      <c r="K92" s="100">
        <f t="shared" si="4"/>
        <v>5.83138339070927E-22</v>
      </c>
      <c r="L92" s="100">
        <f t="shared" si="4"/>
        <v>5.83138339070927E-22</v>
      </c>
      <c r="M92" s="100">
        <f t="shared" si="4"/>
        <v>5.83138339070927E-22</v>
      </c>
      <c r="N92" s="100">
        <f t="shared" si="4"/>
        <v>5.83138339070927E-22</v>
      </c>
      <c r="O92" s="100">
        <f t="shared" si="4"/>
        <v>5.83138339070927E-22</v>
      </c>
      <c r="P92" s="100">
        <f t="shared" si="4"/>
        <v>5.83138339070927E-22</v>
      </c>
      <c r="Q92" s="100">
        <f t="shared" si="4"/>
        <v>5.83138339070927E-22</v>
      </c>
      <c r="R92" s="100">
        <f t="shared" si="4"/>
        <v>5.83138339070927E-22</v>
      </c>
      <c r="S92" s="100">
        <f t="shared" si="3"/>
        <v>5.83138339070927E-22</v>
      </c>
      <c r="T92" s="100">
        <f t="shared" si="3"/>
        <v>5.83138339070927E-22</v>
      </c>
      <c r="U92" s="100">
        <f t="shared" si="3"/>
        <v>5.83138339070927E-22</v>
      </c>
      <c r="V92" s="100">
        <f t="shared" si="3"/>
        <v>5.83138339070927E-22</v>
      </c>
      <c r="W92" s="100">
        <f t="shared" si="3"/>
        <v>5.83138339070927E-22</v>
      </c>
      <c r="X92" s="100">
        <f t="shared" si="3"/>
        <v>5.83138339070927E-22</v>
      </c>
      <c r="Y92" s="100">
        <f t="shared" si="3"/>
        <v>5.83138339070927E-22</v>
      </c>
      <c r="Z92" s="100">
        <f t="shared" si="3"/>
        <v>5.83138339070927E-22</v>
      </c>
      <c r="AA92" s="100">
        <f t="shared" si="3"/>
        <v>5.83138339070927E-22</v>
      </c>
      <c r="AB92" s="100">
        <f t="shared" si="3"/>
        <v>5.83138339070927E-22</v>
      </c>
      <c r="AC92" s="100">
        <f t="shared" si="3"/>
        <v>5.83138339070927E-22</v>
      </c>
      <c r="AD92" s="100">
        <f t="shared" si="3"/>
        <v>5.83138339070927E-22</v>
      </c>
      <c r="AE92" s="100">
        <f t="shared" si="3"/>
        <v>5.83138339070927E-22</v>
      </c>
      <c r="AF92" s="100">
        <f t="shared" si="3"/>
        <v>5.83138339070927E-22</v>
      </c>
      <c r="AG92" s="100">
        <f t="shared" si="3"/>
        <v>5.83138339070927E-22</v>
      </c>
      <c r="AH92" s="100">
        <f t="shared" si="3"/>
        <v>5.83138339070927E-22</v>
      </c>
      <c r="AI92" s="100">
        <f t="shared" si="3"/>
        <v>5.83138339070927E-22</v>
      </c>
      <c r="AJ92" s="100">
        <f t="shared" si="3"/>
        <v>5.83138339070927E-22</v>
      </c>
      <c r="AK92" s="100">
        <f t="shared" si="3"/>
        <v>5.83138339070927E-22</v>
      </c>
      <c r="AL92" s="100">
        <f t="shared" si="3"/>
        <v>5.83138339070927E-22</v>
      </c>
      <c r="AM92" s="100">
        <f t="shared" si="3"/>
        <v>5.83138339070927E-22</v>
      </c>
      <c r="AN92" s="100">
        <f t="shared" si="3"/>
        <v>5.83138339070927E-22</v>
      </c>
      <c r="AO92" s="100">
        <f t="shared" si="3"/>
        <v>5.83138339070927E-22</v>
      </c>
      <c r="AP92" s="100">
        <f t="shared" si="3"/>
        <v>5.83138339070927E-22</v>
      </c>
      <c r="AQ92" s="100">
        <f t="shared" si="3"/>
        <v>5.83138339070927E-22</v>
      </c>
      <c r="AR92" s="100">
        <f t="shared" si="3"/>
        <v>5.83138339070927E-22</v>
      </c>
      <c r="AS92" s="100">
        <f t="shared" si="3"/>
        <v>5.83138339070927E-22</v>
      </c>
      <c r="AT92" s="100">
        <f t="shared" si="3"/>
        <v>5.83138339070927E-22</v>
      </c>
      <c r="AU92" s="100">
        <f t="shared" si="3"/>
        <v>5.83138339070927E-22</v>
      </c>
      <c r="AV92" s="100">
        <f t="shared" si="3"/>
        <v>5.83138339070927E-22</v>
      </c>
      <c r="AW92" s="100">
        <f t="shared" si="3"/>
        <v>5.83138339070927E-22</v>
      </c>
      <c r="AX92" s="100">
        <f t="shared" si="3"/>
        <v>5.83138339070927E-22</v>
      </c>
    </row>
    <row r="93" spans="2:50">
      <c r="B93" s="99" t="s">
        <v>109</v>
      </c>
      <c r="C93" s="100">
        <f t="shared" si="4"/>
        <v>1.9867547297095662E-21</v>
      </c>
      <c r="D93" s="100">
        <f t="shared" si="4"/>
        <v>1.9867547297095662E-21</v>
      </c>
      <c r="E93" s="100">
        <f t="shared" si="4"/>
        <v>1.9867547297095662E-21</v>
      </c>
      <c r="F93" s="100">
        <f t="shared" si="4"/>
        <v>1.9867547297095662E-21</v>
      </c>
      <c r="G93" s="100">
        <f t="shared" si="4"/>
        <v>1.324503153139711E-21</v>
      </c>
      <c r="H93" s="100">
        <f t="shared" si="4"/>
        <v>1.324503153139711E-21</v>
      </c>
      <c r="I93" s="100">
        <f t="shared" si="4"/>
        <v>1.324503153139711E-21</v>
      </c>
      <c r="J93" s="100">
        <f t="shared" si="4"/>
        <v>1.324503153139711E-21</v>
      </c>
      <c r="K93" s="100">
        <f t="shared" si="4"/>
        <v>1.324503153139711E-21</v>
      </c>
      <c r="L93" s="100">
        <f t="shared" si="4"/>
        <v>1.324503153139711E-21</v>
      </c>
      <c r="M93" s="100">
        <f t="shared" si="4"/>
        <v>1.324503153139711E-21</v>
      </c>
      <c r="N93" s="100">
        <f t="shared" si="4"/>
        <v>1.324503153139711E-21</v>
      </c>
      <c r="O93" s="100">
        <f t="shared" si="4"/>
        <v>1.6556289414246386E-21</v>
      </c>
      <c r="P93" s="100">
        <f t="shared" si="4"/>
        <v>1.6556289414246386E-21</v>
      </c>
      <c r="Q93" s="100">
        <f t="shared" si="4"/>
        <v>1.6556289414246386E-21</v>
      </c>
      <c r="R93" s="100">
        <f t="shared" si="4"/>
        <v>1.6556289414246386E-21</v>
      </c>
      <c r="S93" s="100">
        <f t="shared" si="3"/>
        <v>1.9867547297095662E-21</v>
      </c>
      <c r="T93" s="100">
        <f t="shared" si="3"/>
        <v>1.9867547297095662E-21</v>
      </c>
      <c r="U93" s="100">
        <f t="shared" si="3"/>
        <v>1.9867547297095662E-21</v>
      </c>
      <c r="V93" s="100">
        <f t="shared" si="3"/>
        <v>1.9867547297095662E-21</v>
      </c>
      <c r="W93" s="100">
        <f t="shared" si="3"/>
        <v>1.6556289414246386E-21</v>
      </c>
      <c r="X93" s="100">
        <f t="shared" si="3"/>
        <v>1.6556289414246386E-21</v>
      </c>
      <c r="Y93" s="100">
        <f t="shared" si="3"/>
        <v>1.6556289414246386E-21</v>
      </c>
      <c r="Z93" s="100">
        <f t="shared" si="3"/>
        <v>1.6556289414246386E-21</v>
      </c>
      <c r="AA93" s="100">
        <f t="shared" si="3"/>
        <v>1.6556289414246386E-21</v>
      </c>
      <c r="AB93" s="100">
        <f t="shared" si="3"/>
        <v>1.6556289414246386E-21</v>
      </c>
      <c r="AC93" s="100">
        <f t="shared" si="3"/>
        <v>1.6556289414246386E-21</v>
      </c>
      <c r="AD93" s="100">
        <f t="shared" si="3"/>
        <v>1.6556289414246386E-21</v>
      </c>
      <c r="AE93" s="100">
        <f t="shared" si="3"/>
        <v>1.324503153139711E-21</v>
      </c>
      <c r="AF93" s="100">
        <f t="shared" si="3"/>
        <v>1.324503153139711E-21</v>
      </c>
      <c r="AG93" s="100">
        <f t="shared" si="3"/>
        <v>1.324503153139711E-21</v>
      </c>
      <c r="AH93" s="100">
        <f t="shared" si="3"/>
        <v>1.324503153139711E-21</v>
      </c>
      <c r="AI93" s="100">
        <f t="shared" si="3"/>
        <v>1.6556289414246386E-21</v>
      </c>
      <c r="AJ93" s="100">
        <f t="shared" si="3"/>
        <v>1.6556289414246386E-21</v>
      </c>
      <c r="AK93" s="100">
        <f t="shared" si="3"/>
        <v>1.6556289414246386E-21</v>
      </c>
      <c r="AL93" s="100">
        <f t="shared" si="3"/>
        <v>1.6556289414246386E-21</v>
      </c>
      <c r="AM93" s="100">
        <f t="shared" si="3"/>
        <v>1.6556289414246386E-21</v>
      </c>
      <c r="AN93" s="100">
        <f t="shared" si="3"/>
        <v>1.6556289414246386E-21</v>
      </c>
      <c r="AO93" s="100">
        <f t="shared" si="3"/>
        <v>1.6556289414246386E-21</v>
      </c>
      <c r="AP93" s="100">
        <f t="shared" si="3"/>
        <v>1.6556289414246386E-21</v>
      </c>
      <c r="AQ93" s="100">
        <f t="shared" si="3"/>
        <v>1.6556289414246386E-21</v>
      </c>
      <c r="AR93" s="100">
        <f t="shared" si="3"/>
        <v>1.6556289414246386E-21</v>
      </c>
      <c r="AS93" s="100">
        <f t="shared" si="3"/>
        <v>1.6556289414246386E-21</v>
      </c>
      <c r="AT93" s="100">
        <f t="shared" si="3"/>
        <v>1.6556289414246386E-21</v>
      </c>
      <c r="AU93" s="100">
        <f t="shared" si="3"/>
        <v>1.6556289414246386E-21</v>
      </c>
      <c r="AV93" s="100">
        <f t="shared" si="3"/>
        <v>1.6556289414246386E-21</v>
      </c>
      <c r="AW93" s="100">
        <f t="shared" si="3"/>
        <v>1.6556289414246386E-21</v>
      </c>
      <c r="AX93" s="100">
        <f t="shared" si="3"/>
        <v>1.6556289414246386E-21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2.5783509895465884E-19</v>
      </c>
      <c r="D98" s="100">
        <v>2.5783509895465884E-19</v>
      </c>
      <c r="E98" s="100">
        <v>2.5783509895465884E-19</v>
      </c>
      <c r="F98" s="100">
        <v>2.5783509895465884E-19</v>
      </c>
      <c r="G98" s="100">
        <v>2.5783509895465884E-19</v>
      </c>
      <c r="H98" s="100">
        <v>2.5783509895465884E-19</v>
      </c>
      <c r="I98" s="100">
        <v>2.5783509895465884E-19</v>
      </c>
      <c r="J98" s="100">
        <v>2.5783509895465884E-19</v>
      </c>
      <c r="K98" s="100">
        <v>2.5783509895465884E-19</v>
      </c>
      <c r="L98" s="100">
        <v>2.5783509895465884E-19</v>
      </c>
      <c r="M98" s="100">
        <v>2.5783509895465884E-19</v>
      </c>
      <c r="N98" s="100">
        <v>2.5783509895465884E-19</v>
      </c>
      <c r="O98" s="100">
        <v>2.5783509895465884E-19</v>
      </c>
      <c r="P98" s="100">
        <v>2.5783509895465884E-19</v>
      </c>
      <c r="Q98" s="100">
        <v>2.5783509895465884E-19</v>
      </c>
      <c r="R98" s="100">
        <v>2.5783509895465884E-19</v>
      </c>
      <c r="S98" s="100">
        <v>2.5783509895465884E-19</v>
      </c>
      <c r="T98" s="100">
        <v>2.5783509895465884E-19</v>
      </c>
      <c r="U98" s="100">
        <v>2.5783509895465884E-19</v>
      </c>
      <c r="V98" s="100">
        <v>2.5783509895465884E-19</v>
      </c>
      <c r="W98" s="100">
        <v>2.5783509895465884E-19</v>
      </c>
      <c r="X98" s="100">
        <v>2.5783509895465884E-19</v>
      </c>
      <c r="Y98" s="100">
        <v>2.5783509895465884E-19</v>
      </c>
      <c r="Z98" s="100">
        <v>2.5783509895465884E-19</v>
      </c>
      <c r="AA98" s="100">
        <v>2.5783509895465884E-19</v>
      </c>
      <c r="AB98" s="100">
        <v>2.5783509895465884E-19</v>
      </c>
      <c r="AC98" s="100">
        <v>2.5783509895465884E-19</v>
      </c>
      <c r="AD98" s="100">
        <v>2.5783509895465884E-19</v>
      </c>
      <c r="AE98" s="100">
        <v>2.5783509895465884E-19</v>
      </c>
      <c r="AF98" s="100">
        <v>2.5783509895465884E-19</v>
      </c>
      <c r="AG98" s="100">
        <v>2.5783509895465884E-19</v>
      </c>
      <c r="AH98" s="100">
        <v>2.5783509895465884E-19</v>
      </c>
      <c r="AI98" s="100">
        <v>2.5783509895465884E-19</v>
      </c>
      <c r="AJ98" s="100">
        <v>2.5783509895465884E-19</v>
      </c>
      <c r="AK98" s="100">
        <v>2.5783509895465884E-19</v>
      </c>
      <c r="AL98" s="100">
        <v>2.5783509895465884E-19</v>
      </c>
      <c r="AM98" s="100">
        <v>2.5783509895465884E-19</v>
      </c>
      <c r="AN98" s="100">
        <v>2.5783509895465884E-19</v>
      </c>
      <c r="AO98" s="100">
        <v>2.5783509895465884E-19</v>
      </c>
      <c r="AP98" s="100">
        <v>2.5783509895465884E-19</v>
      </c>
      <c r="AQ98" s="100">
        <v>2.5783509895465884E-19</v>
      </c>
      <c r="AR98" s="100">
        <v>2.5783509895465884E-19</v>
      </c>
      <c r="AS98" s="100">
        <v>2.5783509895465884E-19</v>
      </c>
      <c r="AT98" s="100">
        <v>2.5783509895465884E-19</v>
      </c>
      <c r="AU98" s="100">
        <v>5.0852252959246257E-21</v>
      </c>
      <c r="AV98" s="100">
        <v>5.0852252959246257E-21</v>
      </c>
      <c r="AW98" s="100">
        <v>5.0852252959246257E-21</v>
      </c>
      <c r="AX98" s="100">
        <v>5.0852252959246257E-21</v>
      </c>
    </row>
    <row r="99" spans="1:50">
      <c r="B99" s="105" t="s">
        <v>12</v>
      </c>
      <c r="C99" s="100">
        <v>325781.3520127355</v>
      </c>
      <c r="D99" s="100">
        <v>325781.3520127355</v>
      </c>
      <c r="E99" s="100">
        <v>325781.3520127355</v>
      </c>
      <c r="F99" s="100">
        <v>325781.3520127355</v>
      </c>
      <c r="G99" s="100">
        <v>325781.3520127355</v>
      </c>
      <c r="H99" s="100">
        <v>325781.3520127355</v>
      </c>
      <c r="I99" s="100">
        <v>325781.3520127355</v>
      </c>
      <c r="J99" s="100">
        <v>325781.3520127355</v>
      </c>
      <c r="K99" s="100">
        <v>325781.3520127355</v>
      </c>
      <c r="L99" s="100">
        <v>325781.3520127355</v>
      </c>
      <c r="M99" s="100">
        <v>325781.3520127355</v>
      </c>
      <c r="N99" s="100">
        <v>325781.3520127355</v>
      </c>
      <c r="O99" s="100">
        <v>325781.3520127355</v>
      </c>
      <c r="P99" s="100">
        <v>325781.3520127355</v>
      </c>
      <c r="Q99" s="100">
        <v>325781.3520127355</v>
      </c>
      <c r="R99" s="100">
        <v>325781.3520127355</v>
      </c>
      <c r="S99" s="100">
        <v>325781.3520127355</v>
      </c>
      <c r="T99" s="100">
        <v>325781.3520127355</v>
      </c>
      <c r="U99" s="100">
        <v>325781.3520127355</v>
      </c>
      <c r="V99" s="100">
        <v>325781.3520127355</v>
      </c>
      <c r="W99" s="100">
        <v>325781.3520127355</v>
      </c>
      <c r="X99" s="100">
        <v>325781.3520127355</v>
      </c>
      <c r="Y99" s="100">
        <v>325781.3520127355</v>
      </c>
      <c r="Z99" s="100">
        <v>325781.3520127355</v>
      </c>
      <c r="AA99" s="100">
        <v>325781.3520127355</v>
      </c>
      <c r="AB99" s="100">
        <v>325781.3520127355</v>
      </c>
      <c r="AC99" s="100">
        <v>325781.3520127355</v>
      </c>
      <c r="AD99" s="100">
        <v>325781.3520127355</v>
      </c>
      <c r="AE99" s="100">
        <v>325781.3520127355</v>
      </c>
      <c r="AF99" s="100">
        <v>325781.3520127355</v>
      </c>
      <c r="AG99" s="100">
        <v>325781.3520127355</v>
      </c>
      <c r="AH99" s="100">
        <v>325781.3520127355</v>
      </c>
      <c r="AI99" s="100">
        <v>325781.3520127355</v>
      </c>
      <c r="AJ99" s="100">
        <v>325781.3520127355</v>
      </c>
      <c r="AK99" s="100">
        <v>325781.3520127355</v>
      </c>
      <c r="AL99" s="100">
        <v>325781.3520127355</v>
      </c>
      <c r="AM99" s="100">
        <v>325781.3520127355</v>
      </c>
      <c r="AN99" s="100">
        <v>325781.3520127355</v>
      </c>
      <c r="AO99" s="100">
        <v>325781.3520127355</v>
      </c>
      <c r="AP99" s="100">
        <v>325781.3520127355</v>
      </c>
      <c r="AQ99" s="100">
        <v>325781.3520127355</v>
      </c>
      <c r="AR99" s="100">
        <v>325781.3520127355</v>
      </c>
      <c r="AS99" s="100">
        <v>325781.3520127355</v>
      </c>
      <c r="AT99" s="100">
        <v>325781.3520127355</v>
      </c>
      <c r="AU99" s="100">
        <v>6425.3143924637616</v>
      </c>
      <c r="AV99" s="100">
        <v>6425.3143924637616</v>
      </c>
      <c r="AW99" s="100">
        <v>6425.3143924637616</v>
      </c>
      <c r="AX99" s="100">
        <v>6425.3143924637616</v>
      </c>
    </row>
    <row r="100" spans="1:50">
      <c r="B100" s="105" t="s">
        <v>22</v>
      </c>
      <c r="C100" s="100">
        <v>1.6424291668652631E-19</v>
      </c>
      <c r="D100" s="100">
        <v>1.6424291668652631E-19</v>
      </c>
      <c r="E100" s="100">
        <v>1.6424291668652631E-19</v>
      </c>
      <c r="F100" s="100">
        <v>1.6424291668652631E-19</v>
      </c>
      <c r="G100" s="100">
        <v>1.6424291668652631E-19</v>
      </c>
      <c r="H100" s="100">
        <v>1.6424291668652631E-19</v>
      </c>
      <c r="I100" s="100">
        <v>1.6424291668652631E-19</v>
      </c>
      <c r="J100" s="100">
        <v>1.6424291668652631E-19</v>
      </c>
      <c r="K100" s="100">
        <v>1.6424291668652631E-19</v>
      </c>
      <c r="L100" s="100">
        <v>1.6424291668652631E-19</v>
      </c>
      <c r="M100" s="100">
        <v>1.6424291668652631E-19</v>
      </c>
      <c r="N100" s="100">
        <v>1.6424291668652631E-19</v>
      </c>
      <c r="O100" s="100">
        <v>1.6424291668652631E-19</v>
      </c>
      <c r="P100" s="100">
        <v>1.6424291668652631E-19</v>
      </c>
      <c r="Q100" s="100">
        <v>1.6424291668652631E-19</v>
      </c>
      <c r="R100" s="100">
        <v>1.6424291668652631E-19</v>
      </c>
      <c r="S100" s="100">
        <v>1.6424291668652631E-19</v>
      </c>
      <c r="T100" s="100">
        <v>1.6424291668652631E-19</v>
      </c>
      <c r="U100" s="100">
        <v>1.6424291668652631E-19</v>
      </c>
      <c r="V100" s="100">
        <v>1.6424291668652631E-19</v>
      </c>
      <c r="W100" s="100">
        <v>1.6424291668652631E-19</v>
      </c>
      <c r="X100" s="100">
        <v>1.6424291668652631E-19</v>
      </c>
      <c r="Y100" s="100">
        <v>1.6424291668652631E-19</v>
      </c>
      <c r="Z100" s="100">
        <v>1.6424291668652631E-19</v>
      </c>
      <c r="AA100" s="100">
        <v>1.6424291668652631E-19</v>
      </c>
      <c r="AB100" s="100">
        <v>1.6424291668652631E-19</v>
      </c>
      <c r="AC100" s="100">
        <v>1.6424291668652631E-19</v>
      </c>
      <c r="AD100" s="100">
        <v>1.6424291668652631E-19</v>
      </c>
      <c r="AE100" s="100">
        <v>1.6424291668652631E-19</v>
      </c>
      <c r="AF100" s="100">
        <v>1.6424291668652631E-19</v>
      </c>
      <c r="AG100" s="100">
        <v>1.6424291668652631E-19</v>
      </c>
      <c r="AH100" s="100">
        <v>1.6424291668652631E-19</v>
      </c>
      <c r="AI100" s="100">
        <v>1.6424291668652631E-19</v>
      </c>
      <c r="AJ100" s="100">
        <v>1.6424291668652631E-19</v>
      </c>
      <c r="AK100" s="100">
        <v>1.6424291668652631E-19</v>
      </c>
      <c r="AL100" s="100">
        <v>1.6424291668652631E-19</v>
      </c>
      <c r="AM100" s="100">
        <v>1.6424291668652631E-19</v>
      </c>
      <c r="AN100" s="100">
        <v>1.6424291668652631E-19</v>
      </c>
      <c r="AO100" s="100">
        <v>1.6424291668652631E-19</v>
      </c>
      <c r="AP100" s="100">
        <v>1.6424291668652631E-19</v>
      </c>
      <c r="AQ100" s="100">
        <v>1.6424291668652631E-19</v>
      </c>
      <c r="AR100" s="100">
        <v>1.6424291668652631E-19</v>
      </c>
      <c r="AS100" s="100">
        <v>1.6424291668652631E-19</v>
      </c>
      <c r="AT100" s="100">
        <v>1.6424291668652631E-19</v>
      </c>
      <c r="AU100" s="100">
        <v>3.2393271435772959E-21</v>
      </c>
      <c r="AV100" s="100">
        <v>3.2393271435772959E-21</v>
      </c>
      <c r="AW100" s="100">
        <v>3.2393271435772959E-21</v>
      </c>
      <c r="AX100" s="100">
        <v>3.2393271435772959E-21</v>
      </c>
    </row>
    <row r="101" spans="1:50">
      <c r="B101" s="105" t="s">
        <v>46</v>
      </c>
      <c r="C101" s="100">
        <v>2.4556432031159329E-19</v>
      </c>
      <c r="D101" s="100">
        <v>2.4556432031159329E-19</v>
      </c>
      <c r="E101" s="100">
        <v>2.4556432031159329E-19</v>
      </c>
      <c r="F101" s="100">
        <v>2.4556432031159329E-19</v>
      </c>
      <c r="G101" s="100">
        <v>2.4556432031159329E-19</v>
      </c>
      <c r="H101" s="100">
        <v>2.4556432031159329E-19</v>
      </c>
      <c r="I101" s="100">
        <v>2.4556432031159329E-19</v>
      </c>
      <c r="J101" s="100">
        <v>2.4556432031159329E-19</v>
      </c>
      <c r="K101" s="100">
        <v>2.4556432031159329E-19</v>
      </c>
      <c r="L101" s="100">
        <v>2.4556432031159329E-19</v>
      </c>
      <c r="M101" s="100">
        <v>2.4556432031159329E-19</v>
      </c>
      <c r="N101" s="100">
        <v>2.4556432031159329E-19</v>
      </c>
      <c r="O101" s="100">
        <v>2.4556432031159329E-19</v>
      </c>
      <c r="P101" s="100">
        <v>2.4556432031159329E-19</v>
      </c>
      <c r="Q101" s="100">
        <v>2.4556432031159329E-19</v>
      </c>
      <c r="R101" s="100">
        <v>2.4556432031159329E-19</v>
      </c>
      <c r="S101" s="100">
        <v>2.4556432031159329E-19</v>
      </c>
      <c r="T101" s="100">
        <v>2.4556432031159329E-19</v>
      </c>
      <c r="U101" s="100">
        <v>2.4556432031159329E-19</v>
      </c>
      <c r="V101" s="100">
        <v>2.4556432031159329E-19</v>
      </c>
      <c r="W101" s="100">
        <v>2.4556432031159329E-19</v>
      </c>
      <c r="X101" s="100">
        <v>2.4556432031159329E-19</v>
      </c>
      <c r="Y101" s="100">
        <v>2.4556432031159329E-19</v>
      </c>
      <c r="Z101" s="100">
        <v>2.4556432031159329E-19</v>
      </c>
      <c r="AA101" s="100">
        <v>2.4556432031159329E-19</v>
      </c>
      <c r="AB101" s="100">
        <v>2.4556432031159329E-19</v>
      </c>
      <c r="AC101" s="100">
        <v>2.4556432031159329E-19</v>
      </c>
      <c r="AD101" s="100">
        <v>2.4556432031159329E-19</v>
      </c>
      <c r="AE101" s="100">
        <v>2.4556432031159329E-19</v>
      </c>
      <c r="AF101" s="100">
        <v>2.4556432031159329E-19</v>
      </c>
      <c r="AG101" s="100">
        <v>2.4556432031159329E-19</v>
      </c>
      <c r="AH101" s="100">
        <v>2.4556432031159329E-19</v>
      </c>
      <c r="AI101" s="100">
        <v>2.4556432031159329E-19</v>
      </c>
      <c r="AJ101" s="100">
        <v>2.4556432031159329E-19</v>
      </c>
      <c r="AK101" s="100">
        <v>2.4556432031159329E-19</v>
      </c>
      <c r="AL101" s="100">
        <v>2.4556432031159329E-19</v>
      </c>
      <c r="AM101" s="100">
        <v>2.4556432031159329E-19</v>
      </c>
      <c r="AN101" s="100">
        <v>2.4556432031159329E-19</v>
      </c>
      <c r="AO101" s="100">
        <v>2.4556432031159329E-19</v>
      </c>
      <c r="AP101" s="100">
        <v>2.4556432031159329E-19</v>
      </c>
      <c r="AQ101" s="100">
        <v>2.4556432031159329E-19</v>
      </c>
      <c r="AR101" s="100">
        <v>2.4556432031159329E-19</v>
      </c>
      <c r="AS101" s="100">
        <v>2.4556432031159329E-19</v>
      </c>
      <c r="AT101" s="100">
        <v>2.4556432031159329E-19</v>
      </c>
      <c r="AU101" s="100">
        <v>4.8432114110447331E-21</v>
      </c>
      <c r="AV101" s="100">
        <v>4.8432114110447331E-21</v>
      </c>
      <c r="AW101" s="100">
        <v>4.8432114110447331E-21</v>
      </c>
      <c r="AX101" s="100">
        <v>4.8432114110447331E-21</v>
      </c>
    </row>
    <row r="102" spans="1:50">
      <c r="B102" s="105" t="s">
        <v>59</v>
      </c>
      <c r="C102" s="100">
        <v>265768.36051345733</v>
      </c>
      <c r="D102" s="100">
        <v>265768.36051345733</v>
      </c>
      <c r="E102" s="100">
        <v>265768.36051345733</v>
      </c>
      <c r="F102" s="100">
        <v>265768.36051345733</v>
      </c>
      <c r="G102" s="100">
        <v>265768.36051345733</v>
      </c>
      <c r="H102" s="100">
        <v>265768.36051345733</v>
      </c>
      <c r="I102" s="100">
        <v>265768.36051345733</v>
      </c>
      <c r="J102" s="100">
        <v>265768.36051345733</v>
      </c>
      <c r="K102" s="100">
        <v>265768.36051345733</v>
      </c>
      <c r="L102" s="100">
        <v>265768.36051345733</v>
      </c>
      <c r="M102" s="100">
        <v>265768.36051345733</v>
      </c>
      <c r="N102" s="100">
        <v>265768.36051345733</v>
      </c>
      <c r="O102" s="100">
        <v>265768.36051345733</v>
      </c>
      <c r="P102" s="100">
        <v>265768.36051345733</v>
      </c>
      <c r="Q102" s="100">
        <v>265768.36051345733</v>
      </c>
      <c r="R102" s="100">
        <v>265768.36051345733</v>
      </c>
      <c r="S102" s="100">
        <v>265768.36051345733</v>
      </c>
      <c r="T102" s="100">
        <v>265768.36051345733</v>
      </c>
      <c r="U102" s="100">
        <v>265768.36051345733</v>
      </c>
      <c r="V102" s="100">
        <v>265768.36051345733</v>
      </c>
      <c r="W102" s="100">
        <v>265768.36051345733</v>
      </c>
      <c r="X102" s="100">
        <v>265768.36051345733</v>
      </c>
      <c r="Y102" s="100">
        <v>265768.36051345733</v>
      </c>
      <c r="Z102" s="100">
        <v>265768.36051345733</v>
      </c>
      <c r="AA102" s="100">
        <v>265768.36051345733</v>
      </c>
      <c r="AB102" s="100">
        <v>265768.36051345733</v>
      </c>
      <c r="AC102" s="100">
        <v>265768.36051345733</v>
      </c>
      <c r="AD102" s="100">
        <v>265768.36051345733</v>
      </c>
      <c r="AE102" s="100">
        <v>265768.36051345733</v>
      </c>
      <c r="AF102" s="100">
        <v>265768.36051345733</v>
      </c>
      <c r="AG102" s="100">
        <v>265768.36051345733</v>
      </c>
      <c r="AH102" s="100">
        <v>265768.36051345733</v>
      </c>
      <c r="AI102" s="100">
        <v>265768.36051345733</v>
      </c>
      <c r="AJ102" s="100">
        <v>265768.36051345733</v>
      </c>
      <c r="AK102" s="100">
        <v>265768.36051345733</v>
      </c>
      <c r="AL102" s="100">
        <v>265768.36051345733</v>
      </c>
      <c r="AM102" s="100">
        <v>265768.36051345733</v>
      </c>
      <c r="AN102" s="100">
        <v>265768.36051345733</v>
      </c>
      <c r="AO102" s="100">
        <v>265768.36051345733</v>
      </c>
      <c r="AP102" s="100">
        <v>265768.36051345733</v>
      </c>
      <c r="AQ102" s="100">
        <v>265768.36051345733</v>
      </c>
      <c r="AR102" s="100">
        <v>265768.36051345733</v>
      </c>
      <c r="AS102" s="100">
        <v>265768.36051345733</v>
      </c>
      <c r="AT102" s="100">
        <v>265768.36051345733</v>
      </c>
      <c r="AU102" s="100">
        <v>5241.6912794992004</v>
      </c>
      <c r="AV102" s="100">
        <v>5241.6912794992004</v>
      </c>
      <c r="AW102" s="100">
        <v>5241.6912794992004</v>
      </c>
      <c r="AX102" s="100">
        <v>5241.6912794992004</v>
      </c>
    </row>
    <row r="103" spans="1:50">
      <c r="B103" s="100" t="s">
        <v>278</v>
      </c>
      <c r="C103" s="105">
        <f>SUM(C$98:C$102)</f>
        <v>591549.71252619289</v>
      </c>
      <c r="D103" s="105">
        <f t="shared" ref="D103:AX103" si="5">SUM(D$98:D$102)</f>
        <v>591549.71252619289</v>
      </c>
      <c r="E103" s="105">
        <f t="shared" si="5"/>
        <v>591549.71252619289</v>
      </c>
      <c r="F103" s="105">
        <f t="shared" si="5"/>
        <v>591549.71252619289</v>
      </c>
      <c r="G103" s="105">
        <f t="shared" si="5"/>
        <v>591549.71252619289</v>
      </c>
      <c r="H103" s="105">
        <f t="shared" si="5"/>
        <v>591549.71252619289</v>
      </c>
      <c r="I103" s="105">
        <f t="shared" si="5"/>
        <v>591549.71252619289</v>
      </c>
      <c r="J103" s="105">
        <f t="shared" si="5"/>
        <v>591549.71252619289</v>
      </c>
      <c r="K103" s="105">
        <f t="shared" si="5"/>
        <v>591549.71252619289</v>
      </c>
      <c r="L103" s="105">
        <f t="shared" si="5"/>
        <v>591549.71252619289</v>
      </c>
      <c r="M103" s="105">
        <f t="shared" si="5"/>
        <v>591549.71252619289</v>
      </c>
      <c r="N103" s="105">
        <f t="shared" si="5"/>
        <v>591549.71252619289</v>
      </c>
      <c r="O103" s="105">
        <f t="shared" si="5"/>
        <v>591549.71252619289</v>
      </c>
      <c r="P103" s="105">
        <f t="shared" si="5"/>
        <v>591549.71252619289</v>
      </c>
      <c r="Q103" s="105">
        <f t="shared" si="5"/>
        <v>591549.71252619289</v>
      </c>
      <c r="R103" s="105">
        <f t="shared" si="5"/>
        <v>591549.71252619289</v>
      </c>
      <c r="S103" s="105">
        <f t="shared" si="5"/>
        <v>591549.71252619289</v>
      </c>
      <c r="T103" s="105">
        <f t="shared" si="5"/>
        <v>591549.71252619289</v>
      </c>
      <c r="U103" s="105">
        <f t="shared" si="5"/>
        <v>591549.71252619289</v>
      </c>
      <c r="V103" s="105">
        <f t="shared" si="5"/>
        <v>591549.71252619289</v>
      </c>
      <c r="W103" s="105">
        <f t="shared" si="5"/>
        <v>591549.71252619289</v>
      </c>
      <c r="X103" s="105">
        <f t="shared" si="5"/>
        <v>591549.71252619289</v>
      </c>
      <c r="Y103" s="105">
        <f t="shared" si="5"/>
        <v>591549.71252619289</v>
      </c>
      <c r="Z103" s="105">
        <f t="shared" si="5"/>
        <v>591549.71252619289</v>
      </c>
      <c r="AA103" s="105">
        <f t="shared" si="5"/>
        <v>591549.71252619289</v>
      </c>
      <c r="AB103" s="105">
        <f t="shared" si="5"/>
        <v>591549.71252619289</v>
      </c>
      <c r="AC103" s="105">
        <f t="shared" si="5"/>
        <v>591549.71252619289</v>
      </c>
      <c r="AD103" s="105">
        <f t="shared" si="5"/>
        <v>591549.71252619289</v>
      </c>
      <c r="AE103" s="105">
        <f t="shared" si="5"/>
        <v>591549.71252619289</v>
      </c>
      <c r="AF103" s="105">
        <f t="shared" si="5"/>
        <v>591549.71252619289</v>
      </c>
      <c r="AG103" s="105">
        <f t="shared" si="5"/>
        <v>591549.71252619289</v>
      </c>
      <c r="AH103" s="105">
        <f t="shared" si="5"/>
        <v>591549.71252619289</v>
      </c>
      <c r="AI103" s="105">
        <f t="shared" si="5"/>
        <v>591549.71252619289</v>
      </c>
      <c r="AJ103" s="105">
        <f t="shared" si="5"/>
        <v>591549.71252619289</v>
      </c>
      <c r="AK103" s="105">
        <f t="shared" si="5"/>
        <v>591549.71252619289</v>
      </c>
      <c r="AL103" s="105">
        <f t="shared" si="5"/>
        <v>591549.71252619289</v>
      </c>
      <c r="AM103" s="105">
        <f t="shared" si="5"/>
        <v>591549.71252619289</v>
      </c>
      <c r="AN103" s="105">
        <f t="shared" si="5"/>
        <v>591549.71252619289</v>
      </c>
      <c r="AO103" s="105">
        <f t="shared" si="5"/>
        <v>591549.71252619289</v>
      </c>
      <c r="AP103" s="105">
        <f t="shared" si="5"/>
        <v>591549.71252619289</v>
      </c>
      <c r="AQ103" s="105">
        <f t="shared" si="5"/>
        <v>591549.71252619289</v>
      </c>
      <c r="AR103" s="105">
        <f t="shared" si="5"/>
        <v>591549.71252619289</v>
      </c>
      <c r="AS103" s="105">
        <f t="shared" si="5"/>
        <v>591549.71252619289</v>
      </c>
      <c r="AT103" s="105">
        <f t="shared" si="5"/>
        <v>591549.71252619289</v>
      </c>
      <c r="AU103" s="105">
        <f t="shared" si="5"/>
        <v>11667.005671962961</v>
      </c>
      <c r="AV103" s="105">
        <f t="shared" si="5"/>
        <v>11667.005671962961</v>
      </c>
      <c r="AW103" s="105">
        <f t="shared" si="5"/>
        <v>11667.005671962961</v>
      </c>
      <c r="AX103" s="105">
        <f t="shared" si="5"/>
        <v>11667.005671962961</v>
      </c>
    </row>
    <row r="104" spans="1:50">
      <c r="A104" s="105" t="s">
        <v>105</v>
      </c>
      <c r="B104" s="105" t="s">
        <v>10</v>
      </c>
      <c r="C104" s="100">
        <v>7.1674911929324793E-20</v>
      </c>
      <c r="D104" s="100">
        <v>7.1674911929324793E-20</v>
      </c>
      <c r="E104" s="100">
        <v>7.1674911929324793E-20</v>
      </c>
      <c r="F104" s="100">
        <v>7.1674911929324793E-20</v>
      </c>
      <c r="G104" s="100">
        <v>7.1674911929324793E-20</v>
      </c>
      <c r="H104" s="100">
        <v>7.1674911929324793E-20</v>
      </c>
      <c r="I104" s="100">
        <v>7.1674911929324793E-20</v>
      </c>
      <c r="J104" s="100">
        <v>7.1674911929324793E-20</v>
      </c>
      <c r="K104" s="100">
        <v>7.1674911929324793E-20</v>
      </c>
      <c r="L104" s="100">
        <v>7.1674911929324793E-20</v>
      </c>
      <c r="M104" s="100">
        <v>7.1674911929324793E-20</v>
      </c>
      <c r="N104" s="100">
        <v>7.1674911929324793E-20</v>
      </c>
      <c r="O104" s="100">
        <v>7.1674911929324793E-20</v>
      </c>
      <c r="P104" s="100">
        <v>7.1674911929324793E-20</v>
      </c>
      <c r="Q104" s="100">
        <v>7.1674911929324793E-20</v>
      </c>
      <c r="R104" s="100">
        <v>7.1674911929324793E-20</v>
      </c>
      <c r="S104" s="100">
        <v>7.1674911929324793E-20</v>
      </c>
      <c r="T104" s="100">
        <v>7.1674911929324793E-20</v>
      </c>
      <c r="U104" s="100">
        <v>7.1674911929324793E-20</v>
      </c>
      <c r="V104" s="100">
        <v>7.1674911929324793E-20</v>
      </c>
      <c r="W104" s="100">
        <v>5.7339929543459851E-20</v>
      </c>
      <c r="X104" s="100">
        <v>5.7339929543459851E-20</v>
      </c>
      <c r="Y104" s="100">
        <v>5.7339929543459851E-20</v>
      </c>
      <c r="Z104" s="100">
        <v>5.7339929543459851E-20</v>
      </c>
      <c r="AA104" s="100">
        <v>7.1674911929324793E-20</v>
      </c>
      <c r="AB104" s="100">
        <v>7.1674911929324793E-20</v>
      </c>
      <c r="AC104" s="100">
        <v>7.1674911929324793E-20</v>
      </c>
      <c r="AD104" s="100">
        <v>7.1674911929324793E-20</v>
      </c>
      <c r="AE104" s="100">
        <v>7.1674911929324793E-20</v>
      </c>
      <c r="AF104" s="100">
        <v>7.1674911929324793E-20</v>
      </c>
      <c r="AG104" s="100">
        <v>7.1674911929324793E-20</v>
      </c>
      <c r="AH104" s="100">
        <v>7.1674911929324793E-20</v>
      </c>
      <c r="AI104" s="100">
        <v>7.1674911929324793E-20</v>
      </c>
      <c r="AJ104" s="100">
        <v>7.1674911929324793E-20</v>
      </c>
      <c r="AK104" s="100">
        <v>7.1674911929324793E-20</v>
      </c>
      <c r="AL104" s="100">
        <v>7.1674911929324793E-20</v>
      </c>
      <c r="AM104" s="100">
        <v>7.1674911929324793E-20</v>
      </c>
      <c r="AN104" s="100">
        <v>7.1674911929324793E-20</v>
      </c>
      <c r="AO104" s="100">
        <v>7.1674911929324793E-20</v>
      </c>
      <c r="AP104" s="100">
        <v>7.1674911929324793E-20</v>
      </c>
      <c r="AQ104" s="100">
        <v>5.7339929543459851E-20</v>
      </c>
      <c r="AR104" s="100">
        <v>5.7339929543459851E-20</v>
      </c>
      <c r="AS104" s="100">
        <v>5.7339929543459851E-20</v>
      </c>
      <c r="AT104" s="100">
        <v>5.7339929543459851E-20</v>
      </c>
      <c r="AU104" s="100">
        <v>7.1674911929324793E-20</v>
      </c>
      <c r="AV104" s="100">
        <v>7.1674911929324793E-20</v>
      </c>
      <c r="AW104" s="100">
        <v>7.1674911929324793E-20</v>
      </c>
      <c r="AX104" s="100">
        <v>7.1674911929324793E-20</v>
      </c>
    </row>
    <row r="105" spans="1:50">
      <c r="B105" s="105" t="s">
        <v>12</v>
      </c>
      <c r="C105" s="100">
        <v>9.9725655321497924E-20</v>
      </c>
      <c r="D105" s="100">
        <v>9.9725655321497924E-20</v>
      </c>
      <c r="E105" s="100">
        <v>9.9725655321497924E-20</v>
      </c>
      <c r="F105" s="100">
        <v>9.9725655321497924E-20</v>
      </c>
      <c r="G105" s="100">
        <v>9.9725655321497924E-20</v>
      </c>
      <c r="H105" s="100">
        <v>9.9725655321497924E-20</v>
      </c>
      <c r="I105" s="100">
        <v>9.9725655321497924E-20</v>
      </c>
      <c r="J105" s="100">
        <v>9.9725655321497924E-20</v>
      </c>
      <c r="K105" s="100">
        <v>9.9725655321497924E-20</v>
      </c>
      <c r="L105" s="100">
        <v>9.9725655321497924E-20</v>
      </c>
      <c r="M105" s="100">
        <v>9.9725655321497924E-20</v>
      </c>
      <c r="N105" s="100">
        <v>9.9725655321497924E-20</v>
      </c>
      <c r="O105" s="100">
        <v>9.9725655321497924E-20</v>
      </c>
      <c r="P105" s="100">
        <v>9.9725655321497924E-20</v>
      </c>
      <c r="Q105" s="100">
        <v>9.9725655321497924E-20</v>
      </c>
      <c r="R105" s="100">
        <v>9.9725655321497924E-20</v>
      </c>
      <c r="S105" s="100">
        <v>9.9725655321497924E-20</v>
      </c>
      <c r="T105" s="100">
        <v>9.9725655321497924E-20</v>
      </c>
      <c r="U105" s="100">
        <v>9.9725655321497924E-20</v>
      </c>
      <c r="V105" s="100">
        <v>9.9725655321497924E-20</v>
      </c>
      <c r="W105" s="100">
        <v>7.9780524257198354E-20</v>
      </c>
      <c r="X105" s="100">
        <v>7.9780524257198354E-20</v>
      </c>
      <c r="Y105" s="100">
        <v>7.9780524257198354E-20</v>
      </c>
      <c r="Z105" s="100">
        <v>7.9780524257198354E-20</v>
      </c>
      <c r="AA105" s="100">
        <v>9.9725655321497924E-20</v>
      </c>
      <c r="AB105" s="100">
        <v>9.9725655321497924E-20</v>
      </c>
      <c r="AC105" s="100">
        <v>9.9725655321497924E-20</v>
      </c>
      <c r="AD105" s="100">
        <v>9.9725655321497924E-20</v>
      </c>
      <c r="AE105" s="100">
        <v>9.9725655321497924E-20</v>
      </c>
      <c r="AF105" s="100">
        <v>9.9725655321497924E-20</v>
      </c>
      <c r="AG105" s="100">
        <v>9.9725655321497924E-20</v>
      </c>
      <c r="AH105" s="100">
        <v>9.9725655321497924E-20</v>
      </c>
      <c r="AI105" s="100">
        <v>9.9725655321497924E-20</v>
      </c>
      <c r="AJ105" s="100">
        <v>9.9725655321497924E-20</v>
      </c>
      <c r="AK105" s="100">
        <v>9.9725655321497924E-20</v>
      </c>
      <c r="AL105" s="100">
        <v>9.9725655321497924E-20</v>
      </c>
      <c r="AM105" s="100">
        <v>9.9725655321497924E-20</v>
      </c>
      <c r="AN105" s="100">
        <v>9.9725655321497924E-20</v>
      </c>
      <c r="AO105" s="100">
        <v>9.9725655321497924E-20</v>
      </c>
      <c r="AP105" s="100">
        <v>9.9725655321497924E-20</v>
      </c>
      <c r="AQ105" s="100">
        <v>7.9780524257198354E-20</v>
      </c>
      <c r="AR105" s="100">
        <v>7.9780524257198354E-20</v>
      </c>
      <c r="AS105" s="100">
        <v>7.9780524257198354E-20</v>
      </c>
      <c r="AT105" s="100">
        <v>7.9780524257198354E-20</v>
      </c>
      <c r="AU105" s="100">
        <v>9.9725655321497924E-20</v>
      </c>
      <c r="AV105" s="100">
        <v>9.9725655321497924E-20</v>
      </c>
      <c r="AW105" s="100">
        <v>9.9725655321497924E-20</v>
      </c>
      <c r="AX105" s="100">
        <v>9.9725655321497924E-20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2.7677532027402581E-20</v>
      </c>
      <c r="D108" s="100">
        <v>2.7677532027402581E-20</v>
      </c>
      <c r="E108" s="100">
        <v>2.7677532027402581E-20</v>
      </c>
      <c r="F108" s="100">
        <v>2.7677532027402581E-20</v>
      </c>
      <c r="G108" s="100">
        <v>2.7677532027402581E-20</v>
      </c>
      <c r="H108" s="100">
        <v>2.7677532027402581E-20</v>
      </c>
      <c r="I108" s="100">
        <v>2.7677532027402581E-20</v>
      </c>
      <c r="J108" s="100">
        <v>2.7677532027402581E-20</v>
      </c>
      <c r="K108" s="100">
        <v>2.7677532027402581E-20</v>
      </c>
      <c r="L108" s="100">
        <v>2.7677532027402581E-20</v>
      </c>
      <c r="M108" s="100">
        <v>2.7677532027402581E-20</v>
      </c>
      <c r="N108" s="100">
        <v>2.7677532027402581E-20</v>
      </c>
      <c r="O108" s="100">
        <v>2.7677532027402581E-20</v>
      </c>
      <c r="P108" s="100">
        <v>2.7677532027402581E-20</v>
      </c>
      <c r="Q108" s="100">
        <v>2.7677532027402581E-20</v>
      </c>
      <c r="R108" s="100">
        <v>2.7677532027402581E-20</v>
      </c>
      <c r="S108" s="100">
        <v>2.7677532027402581E-20</v>
      </c>
      <c r="T108" s="100">
        <v>2.7677532027402581E-20</v>
      </c>
      <c r="U108" s="100">
        <v>2.7677532027402581E-20</v>
      </c>
      <c r="V108" s="100">
        <v>2.7677532027402581E-20</v>
      </c>
      <c r="W108" s="100">
        <v>2.214202562192207E-20</v>
      </c>
      <c r="X108" s="100">
        <v>2.214202562192207E-20</v>
      </c>
      <c r="Y108" s="100">
        <v>2.214202562192207E-20</v>
      </c>
      <c r="Z108" s="100">
        <v>2.214202562192207E-20</v>
      </c>
      <c r="AA108" s="100">
        <v>2.7677532027402581E-20</v>
      </c>
      <c r="AB108" s="100">
        <v>2.7677532027402581E-20</v>
      </c>
      <c r="AC108" s="100">
        <v>2.7677532027402581E-20</v>
      </c>
      <c r="AD108" s="100">
        <v>2.7677532027402581E-20</v>
      </c>
      <c r="AE108" s="100">
        <v>2.7677532027402581E-20</v>
      </c>
      <c r="AF108" s="100">
        <v>2.7677532027402581E-20</v>
      </c>
      <c r="AG108" s="100">
        <v>2.7677532027402581E-20</v>
      </c>
      <c r="AH108" s="100">
        <v>2.7677532027402581E-20</v>
      </c>
      <c r="AI108" s="100">
        <v>2.7677532027402581E-20</v>
      </c>
      <c r="AJ108" s="100">
        <v>2.7677532027402581E-20</v>
      </c>
      <c r="AK108" s="100">
        <v>2.7677532027402581E-20</v>
      </c>
      <c r="AL108" s="100">
        <v>2.7677532027402581E-20</v>
      </c>
      <c r="AM108" s="100">
        <v>2.7677532027402581E-20</v>
      </c>
      <c r="AN108" s="100">
        <v>2.7677532027402581E-20</v>
      </c>
      <c r="AO108" s="100">
        <v>2.7677532027402581E-20</v>
      </c>
      <c r="AP108" s="100">
        <v>2.7677532027402581E-20</v>
      </c>
      <c r="AQ108" s="100">
        <v>2.214202562192207E-20</v>
      </c>
      <c r="AR108" s="100">
        <v>2.214202562192207E-20</v>
      </c>
      <c r="AS108" s="100">
        <v>2.214202562192207E-20</v>
      </c>
      <c r="AT108" s="100">
        <v>2.214202562192207E-20</v>
      </c>
      <c r="AU108" s="100">
        <v>2.7677532027402581E-20</v>
      </c>
      <c r="AV108" s="100">
        <v>2.7677532027402581E-20</v>
      </c>
      <c r="AW108" s="100">
        <v>2.7677532027402581E-20</v>
      </c>
      <c r="AX108" s="100">
        <v>2.7677532027402581E-20</v>
      </c>
    </row>
    <row r="109" spans="1:50">
      <c r="B109" s="101" t="s">
        <v>278</v>
      </c>
      <c r="C109" s="105">
        <f>SUM(C$104:C$108)</f>
        <v>1.990780992782253E-19</v>
      </c>
      <c r="D109" s="105">
        <f t="shared" ref="D109:AX109" si="6">SUM(D$104:D$108)</f>
        <v>1.990780992782253E-19</v>
      </c>
      <c r="E109" s="105">
        <f t="shared" si="6"/>
        <v>1.990780992782253E-19</v>
      </c>
      <c r="F109" s="105">
        <f t="shared" si="6"/>
        <v>1.990780992782253E-19</v>
      </c>
      <c r="G109" s="105">
        <f t="shared" si="6"/>
        <v>1.990780992782253E-19</v>
      </c>
      <c r="H109" s="105">
        <f t="shared" si="6"/>
        <v>1.990780992782253E-19</v>
      </c>
      <c r="I109" s="105">
        <f t="shared" si="6"/>
        <v>1.990780992782253E-19</v>
      </c>
      <c r="J109" s="105">
        <f t="shared" si="6"/>
        <v>1.990780992782253E-19</v>
      </c>
      <c r="K109" s="105">
        <f t="shared" si="6"/>
        <v>1.990780992782253E-19</v>
      </c>
      <c r="L109" s="105">
        <f t="shared" si="6"/>
        <v>1.990780992782253E-19</v>
      </c>
      <c r="M109" s="105">
        <f t="shared" si="6"/>
        <v>1.990780992782253E-19</v>
      </c>
      <c r="N109" s="105">
        <f t="shared" si="6"/>
        <v>1.990780992782253E-19</v>
      </c>
      <c r="O109" s="105">
        <f t="shared" si="6"/>
        <v>1.990780992782253E-19</v>
      </c>
      <c r="P109" s="105">
        <f t="shared" si="6"/>
        <v>1.990780992782253E-19</v>
      </c>
      <c r="Q109" s="105">
        <f t="shared" si="6"/>
        <v>1.990780992782253E-19</v>
      </c>
      <c r="R109" s="105">
        <f t="shared" si="6"/>
        <v>1.990780992782253E-19</v>
      </c>
      <c r="S109" s="105">
        <f t="shared" si="6"/>
        <v>1.990780992782253E-19</v>
      </c>
      <c r="T109" s="105">
        <f t="shared" si="6"/>
        <v>1.990780992782253E-19</v>
      </c>
      <c r="U109" s="105">
        <f t="shared" si="6"/>
        <v>1.990780992782253E-19</v>
      </c>
      <c r="V109" s="105">
        <f t="shared" si="6"/>
        <v>1.990780992782253E-19</v>
      </c>
      <c r="W109" s="105">
        <f t="shared" si="6"/>
        <v>1.5926247942258026E-19</v>
      </c>
      <c r="X109" s="105">
        <f t="shared" si="6"/>
        <v>1.5926247942258026E-19</v>
      </c>
      <c r="Y109" s="105">
        <f t="shared" si="6"/>
        <v>1.5926247942258026E-19</v>
      </c>
      <c r="Z109" s="105">
        <f t="shared" si="6"/>
        <v>1.5926247942258026E-19</v>
      </c>
      <c r="AA109" s="105">
        <f t="shared" si="6"/>
        <v>1.990780992782253E-19</v>
      </c>
      <c r="AB109" s="105">
        <f t="shared" si="6"/>
        <v>1.990780992782253E-19</v>
      </c>
      <c r="AC109" s="105">
        <f t="shared" si="6"/>
        <v>1.990780992782253E-19</v>
      </c>
      <c r="AD109" s="105">
        <f t="shared" si="6"/>
        <v>1.990780992782253E-19</v>
      </c>
      <c r="AE109" s="105">
        <f t="shared" si="6"/>
        <v>1.990780992782253E-19</v>
      </c>
      <c r="AF109" s="105">
        <f t="shared" si="6"/>
        <v>1.990780992782253E-19</v>
      </c>
      <c r="AG109" s="105">
        <f t="shared" si="6"/>
        <v>1.990780992782253E-19</v>
      </c>
      <c r="AH109" s="105">
        <f t="shared" si="6"/>
        <v>1.990780992782253E-19</v>
      </c>
      <c r="AI109" s="105">
        <f t="shared" si="6"/>
        <v>1.990780992782253E-19</v>
      </c>
      <c r="AJ109" s="105">
        <f t="shared" si="6"/>
        <v>1.990780992782253E-19</v>
      </c>
      <c r="AK109" s="105">
        <f t="shared" si="6"/>
        <v>1.990780992782253E-19</v>
      </c>
      <c r="AL109" s="105">
        <f t="shared" si="6"/>
        <v>1.990780992782253E-19</v>
      </c>
      <c r="AM109" s="105">
        <f t="shared" si="6"/>
        <v>1.990780992782253E-19</v>
      </c>
      <c r="AN109" s="105">
        <f t="shared" si="6"/>
        <v>1.990780992782253E-19</v>
      </c>
      <c r="AO109" s="105">
        <f t="shared" si="6"/>
        <v>1.990780992782253E-19</v>
      </c>
      <c r="AP109" s="105">
        <f t="shared" si="6"/>
        <v>1.990780992782253E-19</v>
      </c>
      <c r="AQ109" s="105">
        <f t="shared" si="6"/>
        <v>1.5926247942258026E-19</v>
      </c>
      <c r="AR109" s="105">
        <f t="shared" si="6"/>
        <v>1.5926247942258026E-19</v>
      </c>
      <c r="AS109" s="105">
        <f t="shared" si="6"/>
        <v>1.5926247942258026E-19</v>
      </c>
      <c r="AT109" s="105">
        <f t="shared" si="6"/>
        <v>1.5926247942258026E-19</v>
      </c>
      <c r="AU109" s="105">
        <f t="shared" si="6"/>
        <v>1.990780992782253E-19</v>
      </c>
      <c r="AV109" s="105">
        <f t="shared" si="6"/>
        <v>1.990780992782253E-19</v>
      </c>
      <c r="AW109" s="105">
        <f t="shared" si="6"/>
        <v>1.990780992782253E-19</v>
      </c>
      <c r="AX109" s="105">
        <f t="shared" si="6"/>
        <v>1.990780992782253E-19</v>
      </c>
    </row>
    <row r="110" spans="1:50">
      <c r="A110" s="105" t="s">
        <v>106</v>
      </c>
      <c r="B110" s="105" t="s">
        <v>10</v>
      </c>
      <c r="C110" s="100">
        <v>2.4027746854541473E-19</v>
      </c>
      <c r="D110" s="100">
        <v>2.4027746854541473E-19</v>
      </c>
      <c r="E110" s="100">
        <v>2.4027746854541473E-19</v>
      </c>
      <c r="F110" s="100">
        <v>2.4027746854541473E-19</v>
      </c>
      <c r="G110" s="100">
        <v>3.2036995806055289E-19</v>
      </c>
      <c r="H110" s="100">
        <v>3.2036995806055289E-19</v>
      </c>
      <c r="I110" s="100">
        <v>3.2036995806055289E-19</v>
      </c>
      <c r="J110" s="100">
        <v>3.2036995806055289E-19</v>
      </c>
      <c r="K110" s="100">
        <v>3.2036995806055289E-19</v>
      </c>
      <c r="L110" s="100">
        <v>3.2036995806055289E-19</v>
      </c>
      <c r="M110" s="100">
        <v>3.2036995806055289E-19</v>
      </c>
      <c r="N110" s="100">
        <v>3.2036995806055289E-19</v>
      </c>
      <c r="O110" s="100">
        <v>3.2036995806055289E-19</v>
      </c>
      <c r="P110" s="100">
        <v>3.2036995806055289E-19</v>
      </c>
      <c r="Q110" s="100">
        <v>3.2036995806055289E-19</v>
      </c>
      <c r="R110" s="100">
        <v>3.2036995806055289E-19</v>
      </c>
      <c r="S110" s="100">
        <v>3.2036995806055289E-19</v>
      </c>
      <c r="T110" s="100">
        <v>3.2036995806055289E-19</v>
      </c>
      <c r="U110" s="100">
        <v>3.2036995806055289E-19</v>
      </c>
      <c r="V110" s="100">
        <v>3.2036995806055289E-19</v>
      </c>
      <c r="W110" s="100">
        <v>2.5629596644844234E-19</v>
      </c>
      <c r="X110" s="100">
        <v>2.5629596644844234E-19</v>
      </c>
      <c r="Y110" s="100">
        <v>2.5629596644844234E-19</v>
      </c>
      <c r="Z110" s="100">
        <v>2.5629596644844234E-19</v>
      </c>
      <c r="AA110" s="100">
        <v>3.2036995806055289E-19</v>
      </c>
      <c r="AB110" s="100">
        <v>3.2036995806055289E-19</v>
      </c>
      <c r="AC110" s="100">
        <v>3.2036995806055289E-19</v>
      </c>
      <c r="AD110" s="100">
        <v>3.2036995806055289E-19</v>
      </c>
      <c r="AE110" s="100">
        <v>3.2036995806055289E-19</v>
      </c>
      <c r="AF110" s="100">
        <v>3.2036995806055289E-19</v>
      </c>
      <c r="AG110" s="100">
        <v>3.2036995806055289E-19</v>
      </c>
      <c r="AH110" s="100">
        <v>3.2036995806055289E-19</v>
      </c>
      <c r="AI110" s="100">
        <v>3.2036995806055289E-19</v>
      </c>
      <c r="AJ110" s="100">
        <v>3.2036995806055289E-19</v>
      </c>
      <c r="AK110" s="100">
        <v>3.2036995806055289E-19</v>
      </c>
      <c r="AL110" s="100">
        <v>3.2036995806055289E-19</v>
      </c>
      <c r="AM110" s="100">
        <v>3.2036995806055289E-19</v>
      </c>
      <c r="AN110" s="100">
        <v>3.2036995806055289E-19</v>
      </c>
      <c r="AO110" s="100">
        <v>3.2036995806055289E-19</v>
      </c>
      <c r="AP110" s="100">
        <v>3.2036995806055289E-19</v>
      </c>
      <c r="AQ110" s="100">
        <v>3.2036995806055289E-19</v>
      </c>
      <c r="AR110" s="100">
        <v>3.2036995806055289E-19</v>
      </c>
      <c r="AS110" s="100">
        <v>3.2036995806055289E-19</v>
      </c>
      <c r="AT110" s="100">
        <v>3.2036995806055289E-19</v>
      </c>
      <c r="AU110" s="100">
        <v>3.2036995806055289E-19</v>
      </c>
      <c r="AV110" s="100">
        <v>3.2036995806055289E-19</v>
      </c>
      <c r="AW110" s="100">
        <v>3.2036995806055289E-19</v>
      </c>
      <c r="AX110" s="100">
        <v>3.2036995806055289E-19</v>
      </c>
    </row>
    <row r="111" spans="1:50">
      <c r="B111" s="105" t="s">
        <v>12</v>
      </c>
      <c r="C111" s="100">
        <v>7.1719009699465623E-20</v>
      </c>
      <c r="D111" s="100">
        <v>7.1719009699465623E-20</v>
      </c>
      <c r="E111" s="100">
        <v>7.1719009699465623E-20</v>
      </c>
      <c r="F111" s="100">
        <v>7.1719009699465623E-20</v>
      </c>
      <c r="G111" s="100">
        <v>9.5625346265954144E-20</v>
      </c>
      <c r="H111" s="100">
        <v>9.5625346265954144E-20</v>
      </c>
      <c r="I111" s="100">
        <v>9.5625346265954144E-20</v>
      </c>
      <c r="J111" s="100">
        <v>9.5625346265954144E-20</v>
      </c>
      <c r="K111" s="100">
        <v>9.5625346265954144E-20</v>
      </c>
      <c r="L111" s="100">
        <v>9.5625346265954144E-20</v>
      </c>
      <c r="M111" s="100">
        <v>9.5625346265954144E-20</v>
      </c>
      <c r="N111" s="100">
        <v>9.5625346265954144E-20</v>
      </c>
      <c r="O111" s="100">
        <v>9.5625346265954144E-20</v>
      </c>
      <c r="P111" s="100">
        <v>9.5625346265954144E-20</v>
      </c>
      <c r="Q111" s="100">
        <v>9.5625346265954144E-20</v>
      </c>
      <c r="R111" s="100">
        <v>9.5625346265954144E-20</v>
      </c>
      <c r="S111" s="100">
        <v>9.5625346265954144E-20</v>
      </c>
      <c r="T111" s="100">
        <v>9.5625346265954144E-20</v>
      </c>
      <c r="U111" s="100">
        <v>9.5625346265954144E-20</v>
      </c>
      <c r="V111" s="100">
        <v>9.5625346265954144E-20</v>
      </c>
      <c r="W111" s="100">
        <v>7.650027701276333E-20</v>
      </c>
      <c r="X111" s="100">
        <v>7.650027701276333E-20</v>
      </c>
      <c r="Y111" s="100">
        <v>7.650027701276333E-20</v>
      </c>
      <c r="Z111" s="100">
        <v>7.650027701276333E-20</v>
      </c>
      <c r="AA111" s="100">
        <v>9.5625346265954144E-20</v>
      </c>
      <c r="AB111" s="100">
        <v>9.5625346265954144E-20</v>
      </c>
      <c r="AC111" s="100">
        <v>9.5625346265954144E-20</v>
      </c>
      <c r="AD111" s="100">
        <v>9.5625346265954144E-20</v>
      </c>
      <c r="AE111" s="100">
        <v>9.5625346265954144E-20</v>
      </c>
      <c r="AF111" s="100">
        <v>9.5625346265954144E-20</v>
      </c>
      <c r="AG111" s="100">
        <v>9.5625346265954144E-20</v>
      </c>
      <c r="AH111" s="100">
        <v>9.5625346265954144E-20</v>
      </c>
      <c r="AI111" s="100">
        <v>9.5625346265954144E-20</v>
      </c>
      <c r="AJ111" s="100">
        <v>9.5625346265954144E-20</v>
      </c>
      <c r="AK111" s="100">
        <v>9.5625346265954144E-20</v>
      </c>
      <c r="AL111" s="100">
        <v>9.5625346265954144E-20</v>
      </c>
      <c r="AM111" s="100">
        <v>9.5625346265954144E-20</v>
      </c>
      <c r="AN111" s="100">
        <v>9.5625346265954144E-20</v>
      </c>
      <c r="AO111" s="100">
        <v>9.5625346265954144E-20</v>
      </c>
      <c r="AP111" s="100">
        <v>9.5625346265954144E-20</v>
      </c>
      <c r="AQ111" s="100">
        <v>9.5625346265954144E-20</v>
      </c>
      <c r="AR111" s="100">
        <v>9.5625346265954144E-20</v>
      </c>
      <c r="AS111" s="100">
        <v>9.5625346265954144E-20</v>
      </c>
      <c r="AT111" s="100">
        <v>9.5625346265954144E-20</v>
      </c>
      <c r="AU111" s="100">
        <v>9.5625346265954144E-20</v>
      </c>
      <c r="AV111" s="100">
        <v>9.5625346265954144E-20</v>
      </c>
      <c r="AW111" s="100">
        <v>9.5625346265954144E-20</v>
      </c>
      <c r="AX111" s="100">
        <v>9.5625346265954144E-20</v>
      </c>
    </row>
    <row r="112" spans="1:50">
      <c r="B112" s="105" t="s">
        <v>22</v>
      </c>
      <c r="C112" s="100">
        <v>2534.400000000001</v>
      </c>
      <c r="D112" s="100">
        <v>2534.400000000001</v>
      </c>
      <c r="E112" s="100">
        <v>2534.400000000001</v>
      </c>
      <c r="F112" s="100">
        <v>2534.400000000001</v>
      </c>
      <c r="G112" s="100">
        <v>3379.2000000000007</v>
      </c>
      <c r="H112" s="100">
        <v>3379.2000000000007</v>
      </c>
      <c r="I112" s="100">
        <v>3379.2000000000007</v>
      </c>
      <c r="J112" s="100">
        <v>3379.2000000000007</v>
      </c>
      <c r="K112" s="100">
        <v>3379.2000000000007</v>
      </c>
      <c r="L112" s="100">
        <v>3379.2000000000007</v>
      </c>
      <c r="M112" s="100">
        <v>3379.2000000000007</v>
      </c>
      <c r="N112" s="100">
        <v>3379.2000000000007</v>
      </c>
      <c r="O112" s="100">
        <v>3379.2000000000007</v>
      </c>
      <c r="P112" s="100">
        <v>3379.2000000000007</v>
      </c>
      <c r="Q112" s="100">
        <v>3379.2000000000007</v>
      </c>
      <c r="R112" s="100">
        <v>3379.2000000000007</v>
      </c>
      <c r="S112" s="100">
        <v>3379.2000000000007</v>
      </c>
      <c r="T112" s="100">
        <v>3379.2000000000007</v>
      </c>
      <c r="U112" s="100">
        <v>3379.2000000000007</v>
      </c>
      <c r="V112" s="100">
        <v>3379.2000000000007</v>
      </c>
      <c r="W112" s="100">
        <v>2703.360000000001</v>
      </c>
      <c r="X112" s="100">
        <v>2703.360000000001</v>
      </c>
      <c r="Y112" s="100">
        <v>2703.360000000001</v>
      </c>
      <c r="Z112" s="100">
        <v>2703.360000000001</v>
      </c>
      <c r="AA112" s="100">
        <v>3379.2000000000007</v>
      </c>
      <c r="AB112" s="100">
        <v>3379.2000000000007</v>
      </c>
      <c r="AC112" s="100">
        <v>3379.2000000000007</v>
      </c>
      <c r="AD112" s="100">
        <v>3379.2000000000007</v>
      </c>
      <c r="AE112" s="100">
        <v>3379.2000000000007</v>
      </c>
      <c r="AF112" s="100">
        <v>3379.2000000000007</v>
      </c>
      <c r="AG112" s="100">
        <v>3379.2000000000007</v>
      </c>
      <c r="AH112" s="100">
        <v>3379.2000000000007</v>
      </c>
      <c r="AI112" s="100">
        <v>3379.2000000000007</v>
      </c>
      <c r="AJ112" s="100">
        <v>3379.2000000000007</v>
      </c>
      <c r="AK112" s="100">
        <v>3379.2000000000007</v>
      </c>
      <c r="AL112" s="100">
        <v>3379.2000000000007</v>
      </c>
      <c r="AM112" s="100">
        <v>3379.2000000000007</v>
      </c>
      <c r="AN112" s="100">
        <v>3379.2000000000007</v>
      </c>
      <c r="AO112" s="100">
        <v>3379.2000000000007</v>
      </c>
      <c r="AP112" s="100">
        <v>3379.2000000000007</v>
      </c>
      <c r="AQ112" s="100">
        <v>3379.2000000000007</v>
      </c>
      <c r="AR112" s="100">
        <v>3379.2000000000007</v>
      </c>
      <c r="AS112" s="100">
        <v>3379.2000000000007</v>
      </c>
      <c r="AT112" s="100">
        <v>3379.2000000000007</v>
      </c>
      <c r="AU112" s="100">
        <v>3379.2000000000007</v>
      </c>
      <c r="AV112" s="100">
        <v>3379.2000000000007</v>
      </c>
      <c r="AW112" s="100">
        <v>3379.2000000000007</v>
      </c>
      <c r="AX112" s="100">
        <v>3379.2000000000007</v>
      </c>
    </row>
    <row r="113" spans="1:50">
      <c r="B113" s="105" t="s">
        <v>46</v>
      </c>
      <c r="C113" s="100">
        <v>1.7103088331894953E-20</v>
      </c>
      <c r="D113" s="100">
        <v>1.7103088331894953E-20</v>
      </c>
      <c r="E113" s="100">
        <v>1.7103088331894953E-20</v>
      </c>
      <c r="F113" s="100">
        <v>1.7103088331894953E-20</v>
      </c>
      <c r="G113" s="100">
        <v>2.2804117775859939E-20</v>
      </c>
      <c r="H113" s="100">
        <v>2.2804117775859939E-20</v>
      </c>
      <c r="I113" s="100">
        <v>2.2804117775859939E-20</v>
      </c>
      <c r="J113" s="100">
        <v>2.2804117775859939E-20</v>
      </c>
      <c r="K113" s="100">
        <v>2.2804117775859939E-20</v>
      </c>
      <c r="L113" s="100">
        <v>2.2804117775859939E-20</v>
      </c>
      <c r="M113" s="100">
        <v>2.2804117775859939E-20</v>
      </c>
      <c r="N113" s="100">
        <v>2.2804117775859939E-20</v>
      </c>
      <c r="O113" s="100">
        <v>2.2804117775859939E-20</v>
      </c>
      <c r="P113" s="100">
        <v>2.2804117775859939E-20</v>
      </c>
      <c r="Q113" s="100">
        <v>2.2804117775859939E-20</v>
      </c>
      <c r="R113" s="100">
        <v>2.2804117775859939E-20</v>
      </c>
      <c r="S113" s="100">
        <v>2.2804117775859939E-20</v>
      </c>
      <c r="T113" s="100">
        <v>2.2804117775859939E-20</v>
      </c>
      <c r="U113" s="100">
        <v>2.2804117775859939E-20</v>
      </c>
      <c r="V113" s="100">
        <v>2.2804117775859939E-20</v>
      </c>
      <c r="W113" s="100">
        <v>1.8243294220687948E-20</v>
      </c>
      <c r="X113" s="100">
        <v>1.8243294220687948E-20</v>
      </c>
      <c r="Y113" s="100">
        <v>1.8243294220687948E-20</v>
      </c>
      <c r="Z113" s="100">
        <v>1.8243294220687948E-20</v>
      </c>
      <c r="AA113" s="100">
        <v>2.2804117775859939E-20</v>
      </c>
      <c r="AB113" s="100">
        <v>2.2804117775859939E-20</v>
      </c>
      <c r="AC113" s="100">
        <v>2.2804117775859939E-20</v>
      </c>
      <c r="AD113" s="100">
        <v>2.2804117775859939E-20</v>
      </c>
      <c r="AE113" s="100">
        <v>2.2804117775859939E-20</v>
      </c>
      <c r="AF113" s="100">
        <v>2.2804117775859939E-20</v>
      </c>
      <c r="AG113" s="100">
        <v>2.2804117775859939E-20</v>
      </c>
      <c r="AH113" s="100">
        <v>2.2804117775859939E-20</v>
      </c>
      <c r="AI113" s="100">
        <v>2.2804117775859939E-20</v>
      </c>
      <c r="AJ113" s="100">
        <v>2.2804117775859939E-20</v>
      </c>
      <c r="AK113" s="100">
        <v>2.2804117775859939E-20</v>
      </c>
      <c r="AL113" s="100">
        <v>2.2804117775859939E-20</v>
      </c>
      <c r="AM113" s="100">
        <v>2.2804117775859939E-20</v>
      </c>
      <c r="AN113" s="100">
        <v>2.2804117775859939E-20</v>
      </c>
      <c r="AO113" s="100">
        <v>2.2804117775859939E-20</v>
      </c>
      <c r="AP113" s="100">
        <v>2.2804117775859939E-20</v>
      </c>
      <c r="AQ113" s="100">
        <v>2.2804117775859939E-20</v>
      </c>
      <c r="AR113" s="100">
        <v>2.2804117775859939E-20</v>
      </c>
      <c r="AS113" s="100">
        <v>2.2804117775859939E-20</v>
      </c>
      <c r="AT113" s="100">
        <v>2.2804117775859939E-20</v>
      </c>
      <c r="AU113" s="100">
        <v>2.2804117775859939E-20</v>
      </c>
      <c r="AV113" s="100">
        <v>2.2804117775859939E-20</v>
      </c>
      <c r="AW113" s="100">
        <v>2.2804117775859939E-20</v>
      </c>
      <c r="AX113" s="100">
        <v>2.2804117775859939E-20</v>
      </c>
    </row>
    <row r="114" spans="1:50">
      <c r="B114" s="105" t="s">
        <v>59</v>
      </c>
      <c r="C114" s="100">
        <v>1.0095873240757213E-20</v>
      </c>
      <c r="D114" s="100">
        <v>1.0095873240757213E-20</v>
      </c>
      <c r="E114" s="100">
        <v>1.0095873240757213E-20</v>
      </c>
      <c r="F114" s="100">
        <v>1.0095873240757213E-20</v>
      </c>
      <c r="G114" s="100">
        <v>1.3461164321009619E-20</v>
      </c>
      <c r="H114" s="100">
        <v>1.3461164321009619E-20</v>
      </c>
      <c r="I114" s="100">
        <v>1.3461164321009619E-20</v>
      </c>
      <c r="J114" s="100">
        <v>1.3461164321009619E-20</v>
      </c>
      <c r="K114" s="100">
        <v>1.3461164321009619E-20</v>
      </c>
      <c r="L114" s="100">
        <v>1.3461164321009619E-20</v>
      </c>
      <c r="M114" s="100">
        <v>1.3461164321009619E-20</v>
      </c>
      <c r="N114" s="100">
        <v>1.3461164321009619E-20</v>
      </c>
      <c r="O114" s="100">
        <v>1.3461164321009619E-20</v>
      </c>
      <c r="P114" s="100">
        <v>1.3461164321009619E-20</v>
      </c>
      <c r="Q114" s="100">
        <v>1.3461164321009619E-20</v>
      </c>
      <c r="R114" s="100">
        <v>1.3461164321009619E-20</v>
      </c>
      <c r="S114" s="100">
        <v>1.3461164321009619E-20</v>
      </c>
      <c r="T114" s="100">
        <v>1.3461164321009619E-20</v>
      </c>
      <c r="U114" s="100">
        <v>1.3461164321009619E-20</v>
      </c>
      <c r="V114" s="100">
        <v>1.3461164321009619E-20</v>
      </c>
      <c r="W114" s="100">
        <v>1.0768931456807694E-20</v>
      </c>
      <c r="X114" s="100">
        <v>1.0768931456807694E-20</v>
      </c>
      <c r="Y114" s="100">
        <v>1.0768931456807694E-20</v>
      </c>
      <c r="Z114" s="100">
        <v>1.0768931456807694E-20</v>
      </c>
      <c r="AA114" s="100">
        <v>1.3461164321009619E-20</v>
      </c>
      <c r="AB114" s="100">
        <v>1.3461164321009619E-20</v>
      </c>
      <c r="AC114" s="100">
        <v>1.3461164321009619E-20</v>
      </c>
      <c r="AD114" s="100">
        <v>1.3461164321009619E-20</v>
      </c>
      <c r="AE114" s="100">
        <v>1.3461164321009619E-20</v>
      </c>
      <c r="AF114" s="100">
        <v>1.3461164321009619E-20</v>
      </c>
      <c r="AG114" s="100">
        <v>1.3461164321009619E-20</v>
      </c>
      <c r="AH114" s="100">
        <v>1.3461164321009619E-20</v>
      </c>
      <c r="AI114" s="100">
        <v>1.3461164321009619E-20</v>
      </c>
      <c r="AJ114" s="100">
        <v>1.3461164321009619E-20</v>
      </c>
      <c r="AK114" s="100">
        <v>1.3461164321009619E-20</v>
      </c>
      <c r="AL114" s="100">
        <v>1.3461164321009619E-20</v>
      </c>
      <c r="AM114" s="100">
        <v>1.3461164321009619E-20</v>
      </c>
      <c r="AN114" s="100">
        <v>1.3461164321009619E-20</v>
      </c>
      <c r="AO114" s="100">
        <v>1.3461164321009619E-20</v>
      </c>
      <c r="AP114" s="100">
        <v>1.3461164321009619E-20</v>
      </c>
      <c r="AQ114" s="100">
        <v>1.3461164321009619E-20</v>
      </c>
      <c r="AR114" s="100">
        <v>1.3461164321009619E-20</v>
      </c>
      <c r="AS114" s="100">
        <v>1.3461164321009619E-20</v>
      </c>
      <c r="AT114" s="100">
        <v>1.3461164321009619E-20</v>
      </c>
      <c r="AU114" s="100">
        <v>1.3461164321009619E-20</v>
      </c>
      <c r="AV114" s="100">
        <v>1.3461164321009619E-20</v>
      </c>
      <c r="AW114" s="100">
        <v>1.3461164321009619E-20</v>
      </c>
      <c r="AX114" s="100">
        <v>1.3461164321009619E-20</v>
      </c>
    </row>
    <row r="115" spans="1:50">
      <c r="B115" s="100" t="s">
        <v>278</v>
      </c>
      <c r="C115" s="105">
        <f>SUM(C$110:C$114)</f>
        <v>2534.400000000001</v>
      </c>
      <c r="D115" s="105">
        <f t="shared" ref="D115:AX115" si="7">SUM(D$110:D$114)</f>
        <v>2534.400000000001</v>
      </c>
      <c r="E115" s="105">
        <f t="shared" si="7"/>
        <v>2534.400000000001</v>
      </c>
      <c r="F115" s="105">
        <f t="shared" si="7"/>
        <v>2534.400000000001</v>
      </c>
      <c r="G115" s="105">
        <f t="shared" si="7"/>
        <v>3379.2000000000007</v>
      </c>
      <c r="H115" s="105">
        <f t="shared" si="7"/>
        <v>3379.2000000000007</v>
      </c>
      <c r="I115" s="105">
        <f t="shared" si="7"/>
        <v>3379.2000000000007</v>
      </c>
      <c r="J115" s="105">
        <f t="shared" si="7"/>
        <v>3379.2000000000007</v>
      </c>
      <c r="K115" s="105">
        <f t="shared" si="7"/>
        <v>3379.2000000000007</v>
      </c>
      <c r="L115" s="105">
        <f t="shared" si="7"/>
        <v>3379.2000000000007</v>
      </c>
      <c r="M115" s="105">
        <f t="shared" si="7"/>
        <v>3379.2000000000007</v>
      </c>
      <c r="N115" s="105">
        <f t="shared" si="7"/>
        <v>3379.2000000000007</v>
      </c>
      <c r="O115" s="105">
        <f t="shared" si="7"/>
        <v>3379.2000000000007</v>
      </c>
      <c r="P115" s="105">
        <f t="shared" si="7"/>
        <v>3379.2000000000007</v>
      </c>
      <c r="Q115" s="105">
        <f t="shared" si="7"/>
        <v>3379.2000000000007</v>
      </c>
      <c r="R115" s="105">
        <f t="shared" si="7"/>
        <v>3379.2000000000007</v>
      </c>
      <c r="S115" s="105">
        <f t="shared" si="7"/>
        <v>3379.2000000000007</v>
      </c>
      <c r="T115" s="105">
        <f t="shared" si="7"/>
        <v>3379.2000000000007</v>
      </c>
      <c r="U115" s="105">
        <f t="shared" si="7"/>
        <v>3379.2000000000007</v>
      </c>
      <c r="V115" s="105">
        <f t="shared" si="7"/>
        <v>3379.2000000000007</v>
      </c>
      <c r="W115" s="105">
        <f t="shared" si="7"/>
        <v>2703.360000000001</v>
      </c>
      <c r="X115" s="105">
        <f t="shared" si="7"/>
        <v>2703.360000000001</v>
      </c>
      <c r="Y115" s="105">
        <f t="shared" si="7"/>
        <v>2703.360000000001</v>
      </c>
      <c r="Z115" s="105">
        <f t="shared" si="7"/>
        <v>2703.360000000001</v>
      </c>
      <c r="AA115" s="105">
        <f t="shared" si="7"/>
        <v>3379.2000000000007</v>
      </c>
      <c r="AB115" s="105">
        <f t="shared" si="7"/>
        <v>3379.2000000000007</v>
      </c>
      <c r="AC115" s="105">
        <f t="shared" si="7"/>
        <v>3379.2000000000007</v>
      </c>
      <c r="AD115" s="105">
        <f t="shared" si="7"/>
        <v>3379.2000000000007</v>
      </c>
      <c r="AE115" s="105">
        <f t="shared" si="7"/>
        <v>3379.2000000000007</v>
      </c>
      <c r="AF115" s="105">
        <f t="shared" si="7"/>
        <v>3379.2000000000007</v>
      </c>
      <c r="AG115" s="105">
        <f t="shared" si="7"/>
        <v>3379.2000000000007</v>
      </c>
      <c r="AH115" s="105">
        <f t="shared" si="7"/>
        <v>3379.2000000000007</v>
      </c>
      <c r="AI115" s="105">
        <f t="shared" si="7"/>
        <v>3379.2000000000007</v>
      </c>
      <c r="AJ115" s="105">
        <f t="shared" si="7"/>
        <v>3379.2000000000007</v>
      </c>
      <c r="AK115" s="105">
        <f t="shared" si="7"/>
        <v>3379.2000000000007</v>
      </c>
      <c r="AL115" s="105">
        <f t="shared" si="7"/>
        <v>3379.2000000000007</v>
      </c>
      <c r="AM115" s="105">
        <f t="shared" si="7"/>
        <v>3379.2000000000007</v>
      </c>
      <c r="AN115" s="105">
        <f t="shared" si="7"/>
        <v>3379.2000000000007</v>
      </c>
      <c r="AO115" s="105">
        <f t="shared" si="7"/>
        <v>3379.2000000000007</v>
      </c>
      <c r="AP115" s="105">
        <f t="shared" si="7"/>
        <v>3379.2000000000007</v>
      </c>
      <c r="AQ115" s="105">
        <f t="shared" si="7"/>
        <v>3379.2000000000007</v>
      </c>
      <c r="AR115" s="105">
        <f t="shared" si="7"/>
        <v>3379.2000000000007</v>
      </c>
      <c r="AS115" s="105">
        <f t="shared" si="7"/>
        <v>3379.2000000000007</v>
      </c>
      <c r="AT115" s="105">
        <f t="shared" si="7"/>
        <v>3379.2000000000007</v>
      </c>
      <c r="AU115" s="105">
        <f t="shared" si="7"/>
        <v>3379.2000000000007</v>
      </c>
      <c r="AV115" s="105">
        <f t="shared" si="7"/>
        <v>3379.2000000000007</v>
      </c>
      <c r="AW115" s="105">
        <f t="shared" si="7"/>
        <v>3379.2000000000007</v>
      </c>
      <c r="AX115" s="105">
        <f t="shared" si="7"/>
        <v>3379.2000000000007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0</v>
      </c>
      <c r="P116" s="100">
        <v>0</v>
      </c>
      <c r="Q116" s="100">
        <v>0</v>
      </c>
      <c r="R116" s="100">
        <v>0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11616</v>
      </c>
      <c r="AJ116" s="100">
        <v>11616</v>
      </c>
      <c r="AK116" s="100">
        <v>11616</v>
      </c>
      <c r="AL116" s="100">
        <v>11616</v>
      </c>
      <c r="AM116" s="100">
        <v>11616</v>
      </c>
      <c r="AN116" s="100">
        <v>11616</v>
      </c>
      <c r="AO116" s="100">
        <v>11616</v>
      </c>
      <c r="AP116" s="100">
        <v>11616</v>
      </c>
      <c r="AQ116" s="100">
        <v>11616</v>
      </c>
      <c r="AR116" s="100">
        <v>11616</v>
      </c>
      <c r="AS116" s="100">
        <v>11616</v>
      </c>
      <c r="AT116" s="100">
        <v>4670.2550501803962</v>
      </c>
      <c r="AU116" s="100">
        <v>11616</v>
      </c>
      <c r="AV116" s="100">
        <v>11616</v>
      </c>
      <c r="AW116" s="100">
        <v>11616</v>
      </c>
      <c r="AX116" s="100">
        <v>11616</v>
      </c>
    </row>
    <row r="117" spans="1:50">
      <c r="B117" s="105" t="s">
        <v>12</v>
      </c>
      <c r="C117" s="100">
        <v>4.1205258098015635E-19</v>
      </c>
      <c r="D117" s="100">
        <v>4.1205258098015635E-19</v>
      </c>
      <c r="E117" s="100">
        <v>4.1205258098015635E-19</v>
      </c>
      <c r="F117" s="100">
        <v>4.1205258098015635E-19</v>
      </c>
      <c r="G117" s="100">
        <v>4.1205258098015635E-19</v>
      </c>
      <c r="H117" s="100">
        <v>4.1205258098015635E-19</v>
      </c>
      <c r="I117" s="100">
        <v>4.1205258098015635E-19</v>
      </c>
      <c r="J117" s="100">
        <v>4.1205258098015635E-19</v>
      </c>
      <c r="K117" s="100">
        <v>4.1205258098015635E-19</v>
      </c>
      <c r="L117" s="100">
        <v>4.1205258098015635E-19</v>
      </c>
      <c r="M117" s="100">
        <v>4.1205258098015635E-19</v>
      </c>
      <c r="N117" s="100">
        <v>4.1205258098015635E-19</v>
      </c>
      <c r="O117" s="100">
        <v>0</v>
      </c>
      <c r="P117" s="100">
        <v>0</v>
      </c>
      <c r="Q117" s="100">
        <v>0</v>
      </c>
      <c r="R117" s="100">
        <v>0</v>
      </c>
      <c r="S117" s="100">
        <v>4.1205258098015635E-19</v>
      </c>
      <c r="T117" s="100">
        <v>4.1205258098015635E-19</v>
      </c>
      <c r="U117" s="100">
        <v>4.1205258098015635E-19</v>
      </c>
      <c r="V117" s="100">
        <v>4.1205258098015635E-19</v>
      </c>
      <c r="W117" s="100">
        <v>4.1205258098015635E-19</v>
      </c>
      <c r="X117" s="100">
        <v>4.1205258098015635E-19</v>
      </c>
      <c r="Y117" s="100">
        <v>4.1205258098015635E-19</v>
      </c>
      <c r="Z117" s="100">
        <v>4.1205258098015635E-19</v>
      </c>
      <c r="AA117" s="100">
        <v>4.1205258098015635E-19</v>
      </c>
      <c r="AB117" s="100">
        <v>4.1205258098015635E-19</v>
      </c>
      <c r="AC117" s="100">
        <v>4.1205258098015635E-19</v>
      </c>
      <c r="AD117" s="100">
        <v>4.1205258098015635E-19</v>
      </c>
      <c r="AE117" s="100">
        <v>4.1205258098015635E-19</v>
      </c>
      <c r="AF117" s="100">
        <v>4.1205258098015635E-19</v>
      </c>
      <c r="AG117" s="100">
        <v>4.1205258098015635E-19</v>
      </c>
      <c r="AH117" s="100">
        <v>4.1205258098015635E-19</v>
      </c>
      <c r="AI117" s="100">
        <v>4.1205258098015635E-19</v>
      </c>
      <c r="AJ117" s="100">
        <v>4.1205258098015635E-19</v>
      </c>
      <c r="AK117" s="100">
        <v>4.1205258098015635E-19</v>
      </c>
      <c r="AL117" s="100">
        <v>4.1205258098015635E-19</v>
      </c>
      <c r="AM117" s="100">
        <v>4.1205258098015635E-19</v>
      </c>
      <c r="AN117" s="100">
        <v>4.1205258098015635E-19</v>
      </c>
      <c r="AO117" s="100">
        <v>4.1205258098015635E-19</v>
      </c>
      <c r="AP117" s="100">
        <v>4.1205258098015635E-19</v>
      </c>
      <c r="AQ117" s="100">
        <v>4.1205258098015635E-19</v>
      </c>
      <c r="AR117" s="100">
        <v>4.1205258098015635E-19</v>
      </c>
      <c r="AS117" s="100">
        <v>4.1205258098015635E-19</v>
      </c>
      <c r="AT117" s="100">
        <v>1.656672389172213E-19</v>
      </c>
      <c r="AU117" s="100">
        <v>4.1205258098015635E-19</v>
      </c>
      <c r="AV117" s="100">
        <v>4.1205258098015635E-19</v>
      </c>
      <c r="AW117" s="100">
        <v>4.1205258098015635E-19</v>
      </c>
      <c r="AX117" s="100">
        <v>4.1205258098015635E-19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615.33860113094818</v>
      </c>
      <c r="D119" s="100">
        <v>615.33860113094818</v>
      </c>
      <c r="E119" s="100">
        <v>615.33860113094818</v>
      </c>
      <c r="F119" s="100">
        <v>615.33860113094818</v>
      </c>
      <c r="G119" s="100">
        <v>615.33860113094818</v>
      </c>
      <c r="H119" s="100">
        <v>615.33860113094818</v>
      </c>
      <c r="I119" s="100">
        <v>615.33860113094818</v>
      </c>
      <c r="J119" s="100">
        <v>615.33860113094818</v>
      </c>
      <c r="K119" s="100">
        <v>615.33860113094818</v>
      </c>
      <c r="L119" s="100">
        <v>615.33860113094818</v>
      </c>
      <c r="M119" s="100">
        <v>615.33860113094818</v>
      </c>
      <c r="N119" s="100">
        <v>615.33860113094818</v>
      </c>
      <c r="O119" s="100">
        <v>0</v>
      </c>
      <c r="P119" s="100">
        <v>0</v>
      </c>
      <c r="Q119" s="100">
        <v>0</v>
      </c>
      <c r="R119" s="100">
        <v>0</v>
      </c>
      <c r="S119" s="100">
        <v>615.33860113094818</v>
      </c>
      <c r="T119" s="100">
        <v>615.33860113094818</v>
      </c>
      <c r="U119" s="100">
        <v>615.33860113094818</v>
      </c>
      <c r="V119" s="100">
        <v>615.33860113094818</v>
      </c>
      <c r="W119" s="100">
        <v>615.33860113094818</v>
      </c>
      <c r="X119" s="100">
        <v>615.33860113094818</v>
      </c>
      <c r="Y119" s="100">
        <v>615.33860113094818</v>
      </c>
      <c r="Z119" s="100">
        <v>615.33860113094818</v>
      </c>
      <c r="AA119" s="100">
        <v>615.33860113094818</v>
      </c>
      <c r="AB119" s="100">
        <v>615.33860113094818</v>
      </c>
      <c r="AC119" s="100">
        <v>615.33860113094818</v>
      </c>
      <c r="AD119" s="100">
        <v>615.33860113094818</v>
      </c>
      <c r="AE119" s="100">
        <v>615.33860113094818</v>
      </c>
      <c r="AF119" s="100">
        <v>615.33860113094818</v>
      </c>
      <c r="AG119" s="100">
        <v>615.33860113094818</v>
      </c>
      <c r="AH119" s="100">
        <v>615.33860113094818</v>
      </c>
      <c r="AI119" s="100">
        <v>615.33860113094818</v>
      </c>
      <c r="AJ119" s="100">
        <v>615.33860113094818</v>
      </c>
      <c r="AK119" s="100">
        <v>615.33860113094818</v>
      </c>
      <c r="AL119" s="100">
        <v>615.33860113094818</v>
      </c>
      <c r="AM119" s="100">
        <v>615.33860113094818</v>
      </c>
      <c r="AN119" s="100">
        <v>615.33860113094818</v>
      </c>
      <c r="AO119" s="100">
        <v>615.33860113094818</v>
      </c>
      <c r="AP119" s="100">
        <v>615.33860113094818</v>
      </c>
      <c r="AQ119" s="100">
        <v>615.33860113094818</v>
      </c>
      <c r="AR119" s="100">
        <v>615.33860113094818</v>
      </c>
      <c r="AS119" s="100">
        <v>615.33860113094818</v>
      </c>
      <c r="AT119" s="100">
        <v>247.3991227189008</v>
      </c>
      <c r="AU119" s="100">
        <v>615.33860113094818</v>
      </c>
      <c r="AV119" s="100">
        <v>615.33860113094818</v>
      </c>
      <c r="AW119" s="100">
        <v>615.33860113094818</v>
      </c>
      <c r="AX119" s="100">
        <v>615.33860113094818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12231.338601130949</v>
      </c>
      <c r="D121" s="105">
        <f t="shared" ref="D121:AX121" si="8">SUM(D$116:D$120)</f>
        <v>12231.338601130949</v>
      </c>
      <c r="E121" s="105">
        <f t="shared" si="8"/>
        <v>12231.338601130949</v>
      </c>
      <c r="F121" s="105">
        <f t="shared" si="8"/>
        <v>12231.338601130949</v>
      </c>
      <c r="G121" s="105">
        <f t="shared" si="8"/>
        <v>12231.338601130949</v>
      </c>
      <c r="H121" s="105">
        <f t="shared" si="8"/>
        <v>12231.338601130949</v>
      </c>
      <c r="I121" s="105">
        <f t="shared" si="8"/>
        <v>12231.338601130949</v>
      </c>
      <c r="J121" s="105">
        <f t="shared" si="8"/>
        <v>12231.338601130949</v>
      </c>
      <c r="K121" s="105">
        <f t="shared" si="8"/>
        <v>12231.338601130949</v>
      </c>
      <c r="L121" s="105">
        <f t="shared" si="8"/>
        <v>12231.338601130949</v>
      </c>
      <c r="M121" s="105">
        <f t="shared" si="8"/>
        <v>12231.338601130949</v>
      </c>
      <c r="N121" s="105">
        <f t="shared" si="8"/>
        <v>12231.338601130949</v>
      </c>
      <c r="O121" s="105">
        <f t="shared" si="8"/>
        <v>0</v>
      </c>
      <c r="P121" s="105">
        <f t="shared" si="8"/>
        <v>0</v>
      </c>
      <c r="Q121" s="105">
        <f t="shared" si="8"/>
        <v>0</v>
      </c>
      <c r="R121" s="105">
        <f t="shared" si="8"/>
        <v>0</v>
      </c>
      <c r="S121" s="105">
        <f t="shared" si="8"/>
        <v>12231.338601130949</v>
      </c>
      <c r="T121" s="105">
        <f t="shared" si="8"/>
        <v>12231.338601130949</v>
      </c>
      <c r="U121" s="105">
        <f t="shared" si="8"/>
        <v>12231.338601130949</v>
      </c>
      <c r="V121" s="105">
        <f t="shared" si="8"/>
        <v>12231.338601130949</v>
      </c>
      <c r="W121" s="105">
        <f t="shared" si="8"/>
        <v>12231.338601130949</v>
      </c>
      <c r="X121" s="105">
        <f t="shared" si="8"/>
        <v>12231.338601130949</v>
      </c>
      <c r="Y121" s="105">
        <f t="shared" si="8"/>
        <v>12231.338601130949</v>
      </c>
      <c r="Z121" s="105">
        <f t="shared" si="8"/>
        <v>12231.338601130949</v>
      </c>
      <c r="AA121" s="105">
        <f t="shared" si="8"/>
        <v>12231.338601130949</v>
      </c>
      <c r="AB121" s="105">
        <f t="shared" si="8"/>
        <v>12231.338601130949</v>
      </c>
      <c r="AC121" s="105">
        <f t="shared" si="8"/>
        <v>12231.338601130949</v>
      </c>
      <c r="AD121" s="105">
        <f t="shared" si="8"/>
        <v>12231.338601130949</v>
      </c>
      <c r="AE121" s="105">
        <f t="shared" si="8"/>
        <v>12231.338601130949</v>
      </c>
      <c r="AF121" s="105">
        <f t="shared" si="8"/>
        <v>12231.338601130949</v>
      </c>
      <c r="AG121" s="105">
        <f t="shared" si="8"/>
        <v>12231.338601130949</v>
      </c>
      <c r="AH121" s="105">
        <f t="shared" si="8"/>
        <v>12231.338601130949</v>
      </c>
      <c r="AI121" s="105">
        <f t="shared" si="8"/>
        <v>12231.338601130949</v>
      </c>
      <c r="AJ121" s="105">
        <f t="shared" si="8"/>
        <v>12231.338601130949</v>
      </c>
      <c r="AK121" s="105">
        <f t="shared" si="8"/>
        <v>12231.338601130949</v>
      </c>
      <c r="AL121" s="105">
        <f t="shared" si="8"/>
        <v>12231.338601130949</v>
      </c>
      <c r="AM121" s="105">
        <f t="shared" si="8"/>
        <v>12231.338601130949</v>
      </c>
      <c r="AN121" s="105">
        <f t="shared" si="8"/>
        <v>12231.338601130949</v>
      </c>
      <c r="AO121" s="105">
        <f t="shared" si="8"/>
        <v>12231.338601130949</v>
      </c>
      <c r="AP121" s="105">
        <f t="shared" si="8"/>
        <v>12231.338601130949</v>
      </c>
      <c r="AQ121" s="105">
        <f t="shared" si="8"/>
        <v>12231.338601130949</v>
      </c>
      <c r="AR121" s="105">
        <f t="shared" si="8"/>
        <v>12231.338601130949</v>
      </c>
      <c r="AS121" s="105">
        <f t="shared" si="8"/>
        <v>12231.338601130949</v>
      </c>
      <c r="AT121" s="105">
        <f t="shared" si="8"/>
        <v>4917.654172899297</v>
      </c>
      <c r="AU121" s="105">
        <f t="shared" si="8"/>
        <v>12231.338601130949</v>
      </c>
      <c r="AV121" s="105">
        <f t="shared" si="8"/>
        <v>12231.338601130949</v>
      </c>
      <c r="AW121" s="105">
        <f t="shared" si="8"/>
        <v>12231.338601130949</v>
      </c>
      <c r="AX121" s="105">
        <f t="shared" si="8"/>
        <v>12231.338601130949</v>
      </c>
    </row>
    <row r="122" spans="1:50">
      <c r="A122" s="105" t="s">
        <v>108</v>
      </c>
      <c r="B122" s="105" t="s">
        <v>10</v>
      </c>
      <c r="C122" s="100">
        <v>2.0778758102373806E-20</v>
      </c>
      <c r="D122" s="100">
        <v>2.0778758102373806E-20</v>
      </c>
      <c r="E122" s="100">
        <v>2.0778758102373806E-20</v>
      </c>
      <c r="F122" s="100">
        <v>2.0778758102373806E-20</v>
      </c>
      <c r="G122" s="100">
        <v>2.0778758102373806E-20</v>
      </c>
      <c r="H122" s="100">
        <v>2.0778758102373806E-20</v>
      </c>
      <c r="I122" s="100">
        <v>2.0778758102373806E-20</v>
      </c>
      <c r="J122" s="100">
        <v>2.0778758102373806E-20</v>
      </c>
      <c r="K122" s="100">
        <v>2.0778758102373806E-20</v>
      </c>
      <c r="L122" s="100">
        <v>2.0778758102373806E-20</v>
      </c>
      <c r="M122" s="100">
        <v>2.0778758102373806E-20</v>
      </c>
      <c r="N122" s="100">
        <v>2.0778758102373806E-20</v>
      </c>
      <c r="O122" s="100">
        <v>2.0778758102373806E-20</v>
      </c>
      <c r="P122" s="100">
        <v>2.0778758102373806E-20</v>
      </c>
      <c r="Q122" s="100">
        <v>2.0778758102373806E-20</v>
      </c>
      <c r="R122" s="100">
        <v>2.0778758102373806E-20</v>
      </c>
      <c r="S122" s="100">
        <v>2.0778758102373806E-20</v>
      </c>
      <c r="T122" s="100">
        <v>2.0778758102373806E-20</v>
      </c>
      <c r="U122" s="100">
        <v>2.0778758102373806E-20</v>
      </c>
      <c r="V122" s="100">
        <v>2.0778758102373806E-20</v>
      </c>
      <c r="W122" s="100">
        <v>2.0778758102373806E-20</v>
      </c>
      <c r="X122" s="100">
        <v>2.0778758102373806E-20</v>
      </c>
      <c r="Y122" s="100">
        <v>2.0778758102373806E-20</v>
      </c>
      <c r="Z122" s="100">
        <v>2.0778758102373806E-20</v>
      </c>
      <c r="AA122" s="100">
        <v>2.0778758102373806E-20</v>
      </c>
      <c r="AB122" s="100">
        <v>2.0778758102373806E-20</v>
      </c>
      <c r="AC122" s="100">
        <v>2.0778758102373806E-20</v>
      </c>
      <c r="AD122" s="100">
        <v>2.0778758102373806E-20</v>
      </c>
      <c r="AE122" s="100">
        <v>2.0778758102373806E-20</v>
      </c>
      <c r="AF122" s="100">
        <v>2.0778758102373806E-20</v>
      </c>
      <c r="AG122" s="100">
        <v>2.0778758102373806E-20</v>
      </c>
      <c r="AH122" s="100">
        <v>2.0778758102373806E-20</v>
      </c>
      <c r="AI122" s="100">
        <v>2.0778758102373806E-20</v>
      </c>
      <c r="AJ122" s="100">
        <v>2.0778758102373806E-20</v>
      </c>
      <c r="AK122" s="100">
        <v>2.0778758102373806E-20</v>
      </c>
      <c r="AL122" s="100">
        <v>2.0778758102373806E-20</v>
      </c>
      <c r="AM122" s="100">
        <v>2.0778758102373806E-20</v>
      </c>
      <c r="AN122" s="100">
        <v>2.0778758102373806E-20</v>
      </c>
      <c r="AO122" s="100">
        <v>2.0778758102373806E-20</v>
      </c>
      <c r="AP122" s="100">
        <v>2.0778758102373806E-20</v>
      </c>
      <c r="AQ122" s="100">
        <v>2.0778758102373806E-20</v>
      </c>
      <c r="AR122" s="100">
        <v>2.0778758102373806E-20</v>
      </c>
      <c r="AS122" s="100">
        <v>2.0778758102373806E-20</v>
      </c>
      <c r="AT122" s="100">
        <v>2.0778758102373806E-20</v>
      </c>
      <c r="AU122" s="100">
        <v>2.0778758102373806E-20</v>
      </c>
      <c r="AV122" s="100">
        <v>2.0778758102373806E-20</v>
      </c>
      <c r="AW122" s="100">
        <v>2.0778758102373806E-20</v>
      </c>
      <c r="AX122" s="100">
        <v>2.0778758102373806E-20</v>
      </c>
    </row>
    <row r="123" spans="1:50">
      <c r="B123" s="105" t="s">
        <v>12</v>
      </c>
      <c r="C123" s="100">
        <v>1.3962725784983146E-19</v>
      </c>
      <c r="D123" s="100">
        <v>1.3962725784983146E-19</v>
      </c>
      <c r="E123" s="100">
        <v>1.3962725784983146E-19</v>
      </c>
      <c r="F123" s="100">
        <v>1.3962725784983146E-19</v>
      </c>
      <c r="G123" s="100">
        <v>1.3962725784983146E-19</v>
      </c>
      <c r="H123" s="100">
        <v>1.3962725784983146E-19</v>
      </c>
      <c r="I123" s="100">
        <v>1.3962725784983146E-19</v>
      </c>
      <c r="J123" s="100">
        <v>1.3962725784983146E-19</v>
      </c>
      <c r="K123" s="100">
        <v>1.3962725784983146E-19</v>
      </c>
      <c r="L123" s="100">
        <v>1.3962725784983146E-19</v>
      </c>
      <c r="M123" s="100">
        <v>1.3962725784983146E-19</v>
      </c>
      <c r="N123" s="100">
        <v>1.3962725784983146E-19</v>
      </c>
      <c r="O123" s="100">
        <v>1.3962725784983146E-19</v>
      </c>
      <c r="P123" s="100">
        <v>1.3962725784983146E-19</v>
      </c>
      <c r="Q123" s="100">
        <v>1.3962725784983146E-19</v>
      </c>
      <c r="R123" s="100">
        <v>1.3962725784983146E-19</v>
      </c>
      <c r="S123" s="100">
        <v>1.3962725784983146E-19</v>
      </c>
      <c r="T123" s="100">
        <v>1.3962725784983146E-19</v>
      </c>
      <c r="U123" s="100">
        <v>1.3962725784983146E-19</v>
      </c>
      <c r="V123" s="100">
        <v>1.3962725784983146E-19</v>
      </c>
      <c r="W123" s="100">
        <v>1.3962725784983146E-19</v>
      </c>
      <c r="X123" s="100">
        <v>1.3962725784983146E-19</v>
      </c>
      <c r="Y123" s="100">
        <v>1.3962725784983146E-19</v>
      </c>
      <c r="Z123" s="100">
        <v>1.3962725784983146E-19</v>
      </c>
      <c r="AA123" s="100">
        <v>1.3962725784983146E-19</v>
      </c>
      <c r="AB123" s="100">
        <v>1.3962725784983146E-19</v>
      </c>
      <c r="AC123" s="100">
        <v>1.3962725784983146E-19</v>
      </c>
      <c r="AD123" s="100">
        <v>1.3962725784983146E-19</v>
      </c>
      <c r="AE123" s="100">
        <v>1.3962725784983146E-19</v>
      </c>
      <c r="AF123" s="100">
        <v>1.3962725784983146E-19</v>
      </c>
      <c r="AG123" s="100">
        <v>1.3962725784983146E-19</v>
      </c>
      <c r="AH123" s="100">
        <v>1.3962725784983146E-19</v>
      </c>
      <c r="AI123" s="100">
        <v>1.3962725784983146E-19</v>
      </c>
      <c r="AJ123" s="100">
        <v>1.3962725784983146E-19</v>
      </c>
      <c r="AK123" s="100">
        <v>1.3962725784983146E-19</v>
      </c>
      <c r="AL123" s="100">
        <v>1.3962725784983146E-19</v>
      </c>
      <c r="AM123" s="100">
        <v>1.3962725784983146E-19</v>
      </c>
      <c r="AN123" s="100">
        <v>1.3962725784983146E-19</v>
      </c>
      <c r="AO123" s="100">
        <v>1.3962725784983146E-19</v>
      </c>
      <c r="AP123" s="100">
        <v>1.3962725784983146E-19</v>
      </c>
      <c r="AQ123" s="100">
        <v>1.3962725784983146E-19</v>
      </c>
      <c r="AR123" s="100">
        <v>1.3962725784983146E-19</v>
      </c>
      <c r="AS123" s="100">
        <v>1.3962725784983146E-19</v>
      </c>
      <c r="AT123" s="100">
        <v>1.3962725784983146E-19</v>
      </c>
      <c r="AU123" s="100">
        <v>1.3962725784983146E-19</v>
      </c>
      <c r="AV123" s="100">
        <v>1.3962725784983146E-19</v>
      </c>
      <c r="AW123" s="100">
        <v>1.3962725784983146E-19</v>
      </c>
      <c r="AX123" s="100">
        <v>1.3962725784983146E-19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1.6040601595220527E-19</v>
      </c>
      <c r="D127" s="105">
        <f t="shared" ref="D127:AX127" si="9">SUM(D$122:D$126)</f>
        <v>1.6040601595220527E-19</v>
      </c>
      <c r="E127" s="105">
        <f t="shared" si="9"/>
        <v>1.6040601595220527E-19</v>
      </c>
      <c r="F127" s="105">
        <f t="shared" si="9"/>
        <v>1.6040601595220527E-19</v>
      </c>
      <c r="G127" s="105">
        <f t="shared" si="9"/>
        <v>1.6040601595220527E-19</v>
      </c>
      <c r="H127" s="105">
        <f t="shared" si="9"/>
        <v>1.6040601595220527E-19</v>
      </c>
      <c r="I127" s="105">
        <f t="shared" si="9"/>
        <v>1.6040601595220527E-19</v>
      </c>
      <c r="J127" s="105">
        <f t="shared" si="9"/>
        <v>1.6040601595220527E-19</v>
      </c>
      <c r="K127" s="105">
        <f t="shared" si="9"/>
        <v>1.6040601595220527E-19</v>
      </c>
      <c r="L127" s="105">
        <f t="shared" si="9"/>
        <v>1.6040601595220527E-19</v>
      </c>
      <c r="M127" s="105">
        <f t="shared" si="9"/>
        <v>1.6040601595220527E-19</v>
      </c>
      <c r="N127" s="105">
        <f t="shared" si="9"/>
        <v>1.6040601595220527E-19</v>
      </c>
      <c r="O127" s="105">
        <f t="shared" si="9"/>
        <v>1.6040601595220527E-19</v>
      </c>
      <c r="P127" s="105">
        <f t="shared" si="9"/>
        <v>1.6040601595220527E-19</v>
      </c>
      <c r="Q127" s="105">
        <f t="shared" si="9"/>
        <v>1.6040601595220527E-19</v>
      </c>
      <c r="R127" s="105">
        <f t="shared" si="9"/>
        <v>1.6040601595220527E-19</v>
      </c>
      <c r="S127" s="105">
        <f t="shared" si="9"/>
        <v>1.6040601595220527E-19</v>
      </c>
      <c r="T127" s="105">
        <f t="shared" si="9"/>
        <v>1.6040601595220527E-19</v>
      </c>
      <c r="U127" s="105">
        <f t="shared" si="9"/>
        <v>1.6040601595220527E-19</v>
      </c>
      <c r="V127" s="105">
        <f t="shared" si="9"/>
        <v>1.6040601595220527E-19</v>
      </c>
      <c r="W127" s="105">
        <f t="shared" si="9"/>
        <v>1.6040601595220527E-19</v>
      </c>
      <c r="X127" s="105">
        <f t="shared" si="9"/>
        <v>1.6040601595220527E-19</v>
      </c>
      <c r="Y127" s="105">
        <f t="shared" si="9"/>
        <v>1.6040601595220527E-19</v>
      </c>
      <c r="Z127" s="105">
        <f t="shared" si="9"/>
        <v>1.6040601595220527E-19</v>
      </c>
      <c r="AA127" s="105">
        <f t="shared" si="9"/>
        <v>1.6040601595220527E-19</v>
      </c>
      <c r="AB127" s="105">
        <f t="shared" si="9"/>
        <v>1.6040601595220527E-19</v>
      </c>
      <c r="AC127" s="105">
        <f t="shared" si="9"/>
        <v>1.6040601595220527E-19</v>
      </c>
      <c r="AD127" s="105">
        <f t="shared" si="9"/>
        <v>1.6040601595220527E-19</v>
      </c>
      <c r="AE127" s="105">
        <f t="shared" si="9"/>
        <v>1.6040601595220527E-19</v>
      </c>
      <c r="AF127" s="105">
        <f t="shared" si="9"/>
        <v>1.6040601595220527E-19</v>
      </c>
      <c r="AG127" s="105">
        <f t="shared" si="9"/>
        <v>1.6040601595220527E-19</v>
      </c>
      <c r="AH127" s="105">
        <f t="shared" si="9"/>
        <v>1.6040601595220527E-19</v>
      </c>
      <c r="AI127" s="105">
        <f t="shared" si="9"/>
        <v>1.6040601595220527E-19</v>
      </c>
      <c r="AJ127" s="105">
        <f t="shared" si="9"/>
        <v>1.6040601595220527E-19</v>
      </c>
      <c r="AK127" s="105">
        <f t="shared" si="9"/>
        <v>1.6040601595220527E-19</v>
      </c>
      <c r="AL127" s="105">
        <f t="shared" si="9"/>
        <v>1.6040601595220527E-19</v>
      </c>
      <c r="AM127" s="105">
        <f t="shared" si="9"/>
        <v>1.6040601595220527E-19</v>
      </c>
      <c r="AN127" s="105">
        <f t="shared" si="9"/>
        <v>1.6040601595220527E-19</v>
      </c>
      <c r="AO127" s="105">
        <f t="shared" si="9"/>
        <v>1.6040601595220527E-19</v>
      </c>
      <c r="AP127" s="105">
        <f t="shared" si="9"/>
        <v>1.6040601595220527E-19</v>
      </c>
      <c r="AQ127" s="105">
        <f t="shared" si="9"/>
        <v>1.6040601595220527E-19</v>
      </c>
      <c r="AR127" s="105">
        <f t="shared" si="9"/>
        <v>1.6040601595220527E-19</v>
      </c>
      <c r="AS127" s="105">
        <f t="shared" si="9"/>
        <v>1.6040601595220527E-19</v>
      </c>
      <c r="AT127" s="105">
        <f t="shared" si="9"/>
        <v>1.6040601595220527E-19</v>
      </c>
      <c r="AU127" s="105">
        <f t="shared" si="9"/>
        <v>1.6040601595220527E-19</v>
      </c>
      <c r="AV127" s="105">
        <f t="shared" si="9"/>
        <v>1.6040601595220527E-19</v>
      </c>
      <c r="AW127" s="105">
        <f t="shared" si="9"/>
        <v>1.6040601595220527E-19</v>
      </c>
      <c r="AX127" s="105">
        <f t="shared" si="9"/>
        <v>1.6040601595220527E-19</v>
      </c>
    </row>
    <row r="128" spans="1:50">
      <c r="A128" s="105" t="s">
        <v>109</v>
      </c>
      <c r="B128" s="105" t="s">
        <v>10</v>
      </c>
      <c r="C128" s="100">
        <v>3.3456617180793845E-19</v>
      </c>
      <c r="D128" s="100">
        <v>3.3456617180793845E-19</v>
      </c>
      <c r="E128" s="100">
        <v>3.3456617180793845E-19</v>
      </c>
      <c r="F128" s="100">
        <v>3.3456617180793845E-19</v>
      </c>
      <c r="G128" s="100">
        <v>2.2304411453862565E-19</v>
      </c>
      <c r="H128" s="100">
        <v>2.2304411453862565E-19</v>
      </c>
      <c r="I128" s="100">
        <v>2.2304411453862565E-19</v>
      </c>
      <c r="J128" s="100">
        <v>2.2304411453862565E-19</v>
      </c>
      <c r="K128" s="100">
        <v>2.2304411453862565E-19</v>
      </c>
      <c r="L128" s="100">
        <v>2.2304411453862565E-19</v>
      </c>
      <c r="M128" s="100">
        <v>2.2304411453862565E-19</v>
      </c>
      <c r="N128" s="100">
        <v>2.2304411453862565E-19</v>
      </c>
      <c r="O128" s="100">
        <v>2.788051431732821E-19</v>
      </c>
      <c r="P128" s="100">
        <v>2.788051431732821E-19</v>
      </c>
      <c r="Q128" s="100">
        <v>2.788051431732821E-19</v>
      </c>
      <c r="R128" s="100">
        <v>2.788051431732821E-19</v>
      </c>
      <c r="S128" s="100">
        <v>3.3456617180793845E-19</v>
      </c>
      <c r="T128" s="100">
        <v>3.3456617180793845E-19</v>
      </c>
      <c r="U128" s="100">
        <v>3.3456617180793845E-19</v>
      </c>
      <c r="V128" s="100">
        <v>3.3456617180793845E-19</v>
      </c>
      <c r="W128" s="100">
        <v>2.788051431732821E-19</v>
      </c>
      <c r="X128" s="100">
        <v>2.788051431732821E-19</v>
      </c>
      <c r="Y128" s="100">
        <v>2.788051431732821E-19</v>
      </c>
      <c r="Z128" s="100">
        <v>2.788051431732821E-19</v>
      </c>
      <c r="AA128" s="100">
        <v>2.788051431732821E-19</v>
      </c>
      <c r="AB128" s="100">
        <v>2.788051431732821E-19</v>
      </c>
      <c r="AC128" s="100">
        <v>2.788051431732821E-19</v>
      </c>
      <c r="AD128" s="100">
        <v>2.788051431732821E-19</v>
      </c>
      <c r="AE128" s="100">
        <v>2.2304411453862565E-19</v>
      </c>
      <c r="AF128" s="100">
        <v>2.2304411453862565E-19</v>
      </c>
      <c r="AG128" s="100">
        <v>2.2304411453862565E-19</v>
      </c>
      <c r="AH128" s="100">
        <v>2.2304411453862565E-19</v>
      </c>
      <c r="AI128" s="100">
        <v>2.788051431732821E-19</v>
      </c>
      <c r="AJ128" s="100">
        <v>2.788051431732821E-19</v>
      </c>
      <c r="AK128" s="100">
        <v>2.788051431732821E-19</v>
      </c>
      <c r="AL128" s="100">
        <v>2.788051431732821E-19</v>
      </c>
      <c r="AM128" s="100">
        <v>2.788051431732821E-19</v>
      </c>
      <c r="AN128" s="100">
        <v>2.788051431732821E-19</v>
      </c>
      <c r="AO128" s="100">
        <v>2.788051431732821E-19</v>
      </c>
      <c r="AP128" s="100">
        <v>2.788051431732821E-19</v>
      </c>
      <c r="AQ128" s="100">
        <v>2.788051431732821E-19</v>
      </c>
      <c r="AR128" s="100">
        <v>2.788051431732821E-19</v>
      </c>
      <c r="AS128" s="100">
        <v>2.788051431732821E-19</v>
      </c>
      <c r="AT128" s="100">
        <v>2.788051431732821E-19</v>
      </c>
      <c r="AU128" s="100">
        <v>2.788051431732821E-19</v>
      </c>
      <c r="AV128" s="100">
        <v>2.788051431732821E-19</v>
      </c>
      <c r="AW128" s="100">
        <v>2.788051431732821E-19</v>
      </c>
      <c r="AX128" s="100">
        <v>2.788051431732821E-19</v>
      </c>
    </row>
    <row r="129" spans="2:50">
      <c r="B129" s="105" t="s">
        <v>12</v>
      </c>
      <c r="C129" s="100">
        <v>3.4298341482512834E-19</v>
      </c>
      <c r="D129" s="100">
        <v>3.4298341482512834E-19</v>
      </c>
      <c r="E129" s="100">
        <v>3.4298341482512834E-19</v>
      </c>
      <c r="F129" s="100">
        <v>3.4298341482512834E-19</v>
      </c>
      <c r="G129" s="100">
        <v>2.2865560988341894E-19</v>
      </c>
      <c r="H129" s="100">
        <v>2.2865560988341894E-19</v>
      </c>
      <c r="I129" s="100">
        <v>2.2865560988341894E-19</v>
      </c>
      <c r="J129" s="100">
        <v>2.2865560988341894E-19</v>
      </c>
      <c r="K129" s="100">
        <v>2.2865560988341894E-19</v>
      </c>
      <c r="L129" s="100">
        <v>2.2865560988341894E-19</v>
      </c>
      <c r="M129" s="100">
        <v>2.2865560988341894E-19</v>
      </c>
      <c r="N129" s="100">
        <v>2.2865560988341894E-19</v>
      </c>
      <c r="O129" s="100">
        <v>2.8581951235427366E-19</v>
      </c>
      <c r="P129" s="100">
        <v>2.8581951235427366E-19</v>
      </c>
      <c r="Q129" s="100">
        <v>2.8581951235427366E-19</v>
      </c>
      <c r="R129" s="100">
        <v>2.8581951235427366E-19</v>
      </c>
      <c r="S129" s="100">
        <v>3.4298341482512834E-19</v>
      </c>
      <c r="T129" s="100">
        <v>3.4298341482512834E-19</v>
      </c>
      <c r="U129" s="100">
        <v>3.4298341482512834E-19</v>
      </c>
      <c r="V129" s="100">
        <v>3.4298341482512834E-19</v>
      </c>
      <c r="W129" s="100">
        <v>2.8581951235427366E-19</v>
      </c>
      <c r="X129" s="100">
        <v>2.8581951235427366E-19</v>
      </c>
      <c r="Y129" s="100">
        <v>2.8581951235427366E-19</v>
      </c>
      <c r="Z129" s="100">
        <v>2.8581951235427366E-19</v>
      </c>
      <c r="AA129" s="100">
        <v>2.8581951235427366E-19</v>
      </c>
      <c r="AB129" s="100">
        <v>2.8581951235427366E-19</v>
      </c>
      <c r="AC129" s="100">
        <v>2.8581951235427366E-19</v>
      </c>
      <c r="AD129" s="100">
        <v>2.8581951235427366E-19</v>
      </c>
      <c r="AE129" s="100">
        <v>2.2865560988341894E-19</v>
      </c>
      <c r="AF129" s="100">
        <v>2.2865560988341894E-19</v>
      </c>
      <c r="AG129" s="100">
        <v>2.2865560988341894E-19</v>
      </c>
      <c r="AH129" s="100">
        <v>2.2865560988341894E-19</v>
      </c>
      <c r="AI129" s="100">
        <v>2.8581951235427366E-19</v>
      </c>
      <c r="AJ129" s="100">
        <v>2.8581951235427366E-19</v>
      </c>
      <c r="AK129" s="100">
        <v>2.8581951235427366E-19</v>
      </c>
      <c r="AL129" s="100">
        <v>2.8581951235427366E-19</v>
      </c>
      <c r="AM129" s="100">
        <v>2.8581951235427366E-19</v>
      </c>
      <c r="AN129" s="100">
        <v>2.8581951235427366E-19</v>
      </c>
      <c r="AO129" s="100">
        <v>2.8581951235427366E-19</v>
      </c>
      <c r="AP129" s="100">
        <v>2.8581951235427366E-19</v>
      </c>
      <c r="AQ129" s="100">
        <v>2.8581951235427366E-19</v>
      </c>
      <c r="AR129" s="100">
        <v>2.8581951235427366E-19</v>
      </c>
      <c r="AS129" s="100">
        <v>2.8581951235427366E-19</v>
      </c>
      <c r="AT129" s="100">
        <v>2.8581951235427366E-19</v>
      </c>
      <c r="AU129" s="100">
        <v>2.8581951235427366E-19</v>
      </c>
      <c r="AV129" s="100">
        <v>2.8581951235427366E-19</v>
      </c>
      <c r="AW129" s="100">
        <v>2.8581951235427366E-19</v>
      </c>
      <c r="AX129" s="100">
        <v>2.8581951235427366E-19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1.4218158309275851E-20</v>
      </c>
      <c r="D132" s="100">
        <v>1.4218158309275851E-20</v>
      </c>
      <c r="E132" s="100">
        <v>1.4218158309275851E-20</v>
      </c>
      <c r="F132" s="100">
        <v>1.4218158309275851E-20</v>
      </c>
      <c r="G132" s="100">
        <v>9.4787722061839024E-21</v>
      </c>
      <c r="H132" s="100">
        <v>9.4787722061839024E-21</v>
      </c>
      <c r="I132" s="100">
        <v>9.4787722061839024E-21</v>
      </c>
      <c r="J132" s="100">
        <v>9.4787722061839024E-21</v>
      </c>
      <c r="K132" s="100">
        <v>9.4787722061839024E-21</v>
      </c>
      <c r="L132" s="100">
        <v>9.4787722061839024E-21</v>
      </c>
      <c r="M132" s="100">
        <v>9.4787722061839024E-21</v>
      </c>
      <c r="N132" s="100">
        <v>9.4787722061839024E-21</v>
      </c>
      <c r="O132" s="100">
        <v>1.1848465257729878E-20</v>
      </c>
      <c r="P132" s="100">
        <v>1.1848465257729878E-20</v>
      </c>
      <c r="Q132" s="100">
        <v>1.1848465257729878E-20</v>
      </c>
      <c r="R132" s="100">
        <v>1.1848465257729878E-20</v>
      </c>
      <c r="S132" s="100">
        <v>1.4218158309275851E-20</v>
      </c>
      <c r="T132" s="100">
        <v>1.4218158309275851E-20</v>
      </c>
      <c r="U132" s="100">
        <v>1.4218158309275851E-20</v>
      </c>
      <c r="V132" s="100">
        <v>1.4218158309275851E-20</v>
      </c>
      <c r="W132" s="100">
        <v>1.1848465257729878E-20</v>
      </c>
      <c r="X132" s="100">
        <v>1.1848465257729878E-20</v>
      </c>
      <c r="Y132" s="100">
        <v>1.1848465257729878E-20</v>
      </c>
      <c r="Z132" s="100">
        <v>1.1848465257729878E-20</v>
      </c>
      <c r="AA132" s="100">
        <v>1.1848465257729878E-20</v>
      </c>
      <c r="AB132" s="100">
        <v>1.1848465257729878E-20</v>
      </c>
      <c r="AC132" s="100">
        <v>1.1848465257729878E-20</v>
      </c>
      <c r="AD132" s="100">
        <v>1.1848465257729878E-20</v>
      </c>
      <c r="AE132" s="100">
        <v>9.4787722061839024E-21</v>
      </c>
      <c r="AF132" s="100">
        <v>9.4787722061839024E-21</v>
      </c>
      <c r="AG132" s="100">
        <v>9.4787722061839024E-21</v>
      </c>
      <c r="AH132" s="100">
        <v>9.4787722061839024E-21</v>
      </c>
      <c r="AI132" s="100">
        <v>1.1848465257729878E-20</v>
      </c>
      <c r="AJ132" s="100">
        <v>1.1848465257729878E-20</v>
      </c>
      <c r="AK132" s="100">
        <v>1.1848465257729878E-20</v>
      </c>
      <c r="AL132" s="100">
        <v>1.1848465257729878E-20</v>
      </c>
      <c r="AM132" s="100">
        <v>1.1848465257729878E-20</v>
      </c>
      <c r="AN132" s="100">
        <v>1.1848465257729878E-20</v>
      </c>
      <c r="AO132" s="100">
        <v>1.1848465257729878E-20</v>
      </c>
      <c r="AP132" s="100">
        <v>1.1848465257729878E-20</v>
      </c>
      <c r="AQ132" s="100">
        <v>1.1848465257729878E-20</v>
      </c>
      <c r="AR132" s="100">
        <v>1.1848465257729878E-20</v>
      </c>
      <c r="AS132" s="100">
        <v>1.1848465257729878E-20</v>
      </c>
      <c r="AT132" s="100">
        <v>1.1848465257729878E-20</v>
      </c>
      <c r="AU132" s="100">
        <v>1.1848465257729878E-20</v>
      </c>
      <c r="AV132" s="100">
        <v>1.1848465257729878E-20</v>
      </c>
      <c r="AW132" s="100">
        <v>1.1848465257729878E-20</v>
      </c>
      <c r="AX132" s="100">
        <v>1.1848465257729878E-20</v>
      </c>
    </row>
    <row r="133" spans="2:50">
      <c r="B133" s="100" t="s">
        <v>278</v>
      </c>
      <c r="C133" s="105">
        <f>SUM(C$128:C$132)</f>
        <v>6.9176774494234272E-19</v>
      </c>
      <c r="D133" s="105">
        <f t="shared" ref="D133:AX133" si="10">SUM(D$128:D$132)</f>
        <v>6.9176774494234272E-19</v>
      </c>
      <c r="E133" s="105">
        <f t="shared" si="10"/>
        <v>6.9176774494234272E-19</v>
      </c>
      <c r="F133" s="105">
        <f t="shared" si="10"/>
        <v>6.9176774494234272E-19</v>
      </c>
      <c r="G133" s="105">
        <f t="shared" si="10"/>
        <v>4.6117849662822851E-19</v>
      </c>
      <c r="H133" s="105">
        <f t="shared" si="10"/>
        <v>4.6117849662822851E-19</v>
      </c>
      <c r="I133" s="105">
        <f t="shared" si="10"/>
        <v>4.6117849662822851E-19</v>
      </c>
      <c r="J133" s="105">
        <f t="shared" si="10"/>
        <v>4.6117849662822851E-19</v>
      </c>
      <c r="K133" s="105">
        <f t="shared" si="10"/>
        <v>4.6117849662822851E-19</v>
      </c>
      <c r="L133" s="105">
        <f t="shared" si="10"/>
        <v>4.6117849662822851E-19</v>
      </c>
      <c r="M133" s="105">
        <f t="shared" si="10"/>
        <v>4.6117849662822851E-19</v>
      </c>
      <c r="N133" s="105">
        <f t="shared" si="10"/>
        <v>4.6117849662822851E-19</v>
      </c>
      <c r="O133" s="105">
        <f t="shared" si="10"/>
        <v>5.7647312078528566E-19</v>
      </c>
      <c r="P133" s="105">
        <f t="shared" si="10"/>
        <v>5.7647312078528566E-19</v>
      </c>
      <c r="Q133" s="105">
        <f t="shared" si="10"/>
        <v>5.7647312078528566E-19</v>
      </c>
      <c r="R133" s="105">
        <f t="shared" si="10"/>
        <v>5.7647312078528566E-19</v>
      </c>
      <c r="S133" s="105">
        <f t="shared" si="10"/>
        <v>6.9176774494234272E-19</v>
      </c>
      <c r="T133" s="105">
        <f t="shared" si="10"/>
        <v>6.9176774494234272E-19</v>
      </c>
      <c r="U133" s="105">
        <f t="shared" si="10"/>
        <v>6.9176774494234272E-19</v>
      </c>
      <c r="V133" s="105">
        <f t="shared" si="10"/>
        <v>6.9176774494234272E-19</v>
      </c>
      <c r="W133" s="105">
        <f t="shared" si="10"/>
        <v>5.7647312078528566E-19</v>
      </c>
      <c r="X133" s="105">
        <f t="shared" si="10"/>
        <v>5.7647312078528566E-19</v>
      </c>
      <c r="Y133" s="105">
        <f t="shared" si="10"/>
        <v>5.7647312078528566E-19</v>
      </c>
      <c r="Z133" s="105">
        <f t="shared" si="10"/>
        <v>5.7647312078528566E-19</v>
      </c>
      <c r="AA133" s="105">
        <f t="shared" si="10"/>
        <v>5.7647312078528566E-19</v>
      </c>
      <c r="AB133" s="105">
        <f t="shared" si="10"/>
        <v>5.7647312078528566E-19</v>
      </c>
      <c r="AC133" s="105">
        <f t="shared" si="10"/>
        <v>5.7647312078528566E-19</v>
      </c>
      <c r="AD133" s="105">
        <f t="shared" si="10"/>
        <v>5.7647312078528566E-19</v>
      </c>
      <c r="AE133" s="105">
        <f t="shared" si="10"/>
        <v>4.6117849662822851E-19</v>
      </c>
      <c r="AF133" s="105">
        <f t="shared" si="10"/>
        <v>4.6117849662822851E-19</v>
      </c>
      <c r="AG133" s="105">
        <f t="shared" si="10"/>
        <v>4.6117849662822851E-19</v>
      </c>
      <c r="AH133" s="105">
        <f t="shared" si="10"/>
        <v>4.6117849662822851E-19</v>
      </c>
      <c r="AI133" s="105">
        <f t="shared" si="10"/>
        <v>5.7647312078528566E-19</v>
      </c>
      <c r="AJ133" s="105">
        <f t="shared" si="10"/>
        <v>5.7647312078528566E-19</v>
      </c>
      <c r="AK133" s="105">
        <f t="shared" si="10"/>
        <v>5.7647312078528566E-19</v>
      </c>
      <c r="AL133" s="105">
        <f t="shared" si="10"/>
        <v>5.7647312078528566E-19</v>
      </c>
      <c r="AM133" s="105">
        <f t="shared" si="10"/>
        <v>5.7647312078528566E-19</v>
      </c>
      <c r="AN133" s="105">
        <f t="shared" si="10"/>
        <v>5.7647312078528566E-19</v>
      </c>
      <c r="AO133" s="105">
        <f t="shared" si="10"/>
        <v>5.7647312078528566E-19</v>
      </c>
      <c r="AP133" s="105">
        <f t="shared" si="10"/>
        <v>5.7647312078528566E-19</v>
      </c>
      <c r="AQ133" s="105">
        <f t="shared" si="10"/>
        <v>5.7647312078528566E-19</v>
      </c>
      <c r="AR133" s="105">
        <f t="shared" si="10"/>
        <v>5.7647312078528566E-19</v>
      </c>
      <c r="AS133" s="105">
        <f t="shared" si="10"/>
        <v>5.7647312078528566E-19</v>
      </c>
      <c r="AT133" s="105">
        <f t="shared" si="10"/>
        <v>5.7647312078528566E-19</v>
      </c>
      <c r="AU133" s="105">
        <f t="shared" si="10"/>
        <v>5.7647312078528566E-19</v>
      </c>
      <c r="AV133" s="105">
        <f t="shared" si="10"/>
        <v>5.7647312078528566E-19</v>
      </c>
      <c r="AW133" s="105">
        <f t="shared" si="10"/>
        <v>5.7647312078528566E-19</v>
      </c>
      <c r="AX133" s="105">
        <f t="shared" si="10"/>
        <v>5.7647312078528566E-19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3.1093398730856318E-21</v>
      </c>
      <c r="Q7" s="144">
        <v>3.1093398730856318E-21</v>
      </c>
      <c r="R7" s="144">
        <v>3.1093398730856318E-21</v>
      </c>
      <c r="S7" s="144">
        <v>3.1093398730856318E-21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600</v>
      </c>
      <c r="AK7" s="144">
        <v>600</v>
      </c>
      <c r="AL7" s="144">
        <v>600</v>
      </c>
      <c r="AM7" s="144">
        <v>600</v>
      </c>
      <c r="AN7" s="144">
        <v>600</v>
      </c>
      <c r="AO7" s="144">
        <v>600</v>
      </c>
      <c r="AP7" s="144">
        <v>600</v>
      </c>
      <c r="AQ7" s="144">
        <v>600</v>
      </c>
      <c r="AR7" s="144">
        <v>600</v>
      </c>
      <c r="AS7" s="144">
        <v>600</v>
      </c>
      <c r="AT7" s="144">
        <v>600</v>
      </c>
      <c r="AU7" s="144">
        <v>241.23218234402873</v>
      </c>
      <c r="AV7" s="144">
        <v>600</v>
      </c>
      <c r="AW7" s="144">
        <v>600</v>
      </c>
      <c r="AX7" s="144">
        <v>600</v>
      </c>
      <c r="AY7" s="144">
        <v>600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600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241.23218234402873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841.23218234402873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3.1093398730856318E-21</v>
      </c>
      <c r="Q13" s="138">
        <f t="shared" si="1"/>
        <v>3.1093398730856318E-21</v>
      </c>
      <c r="R13" s="138">
        <f t="shared" si="1"/>
        <v>3.1093398730856318E-21</v>
      </c>
      <c r="S13" s="138">
        <f t="shared" si="1"/>
        <v>3.1093398730856318E-21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600</v>
      </c>
      <c r="AK13" s="138">
        <f t="shared" si="1"/>
        <v>600</v>
      </c>
      <c r="AL13" s="138">
        <f t="shared" si="1"/>
        <v>600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600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600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 t="s">
        <v>339</v>
      </c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 t="s">
        <v>339</v>
      </c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0.49939160482043782</v>
      </c>
      <c r="C21" s="156" t="s">
        <v>293</v>
      </c>
      <c r="D21" s="106">
        <f>IF(C$20="Yes",0,SUM(C$13:C$16)*$B$21)</f>
        <v>299.63496289226271</v>
      </c>
      <c r="E21" s="106">
        <f t="shared" ref="E21:AY21" si="3">IF(D$20="Yes",0,SUM(D$13:D$16)*$B$21)</f>
        <v>299.63496289226271</v>
      </c>
      <c r="F21" s="106">
        <f t="shared" si="3"/>
        <v>299.63496289226271</v>
      </c>
      <c r="G21" s="106">
        <f t="shared" si="3"/>
        <v>299.63496289226271</v>
      </c>
      <c r="H21" s="106">
        <f t="shared" si="3"/>
        <v>299.63496289226271</v>
      </c>
      <c r="I21" s="106">
        <f t="shared" si="3"/>
        <v>299.63496289226271</v>
      </c>
      <c r="J21" s="106">
        <f t="shared" si="3"/>
        <v>299.63496289226271</v>
      </c>
      <c r="K21" s="106">
        <f t="shared" si="3"/>
        <v>299.63496289226271</v>
      </c>
      <c r="L21" s="106">
        <f t="shared" si="3"/>
        <v>299.63496289226271</v>
      </c>
      <c r="M21" s="106">
        <f t="shared" si="3"/>
        <v>299.63496289226271</v>
      </c>
      <c r="N21" s="106">
        <f t="shared" si="3"/>
        <v>299.63496289226271</v>
      </c>
      <c r="O21" s="106">
        <f t="shared" si="3"/>
        <v>299.63496289226271</v>
      </c>
      <c r="P21" s="106">
        <f t="shared" si="3"/>
        <v>299.63496289226271</v>
      </c>
      <c r="Q21" s="106">
        <f t="shared" si="3"/>
        <v>1.5527782291524102E-21</v>
      </c>
      <c r="R21" s="106">
        <f t="shared" si="3"/>
        <v>1.5527782291524102E-21</v>
      </c>
      <c r="S21" s="106">
        <f t="shared" si="3"/>
        <v>1.5527782291524102E-21</v>
      </c>
      <c r="T21" s="106">
        <f t="shared" si="3"/>
        <v>1.5527782291524102E-21</v>
      </c>
      <c r="U21" s="106">
        <f t="shared" si="3"/>
        <v>299.63496289226271</v>
      </c>
      <c r="V21" s="106">
        <f t="shared" si="3"/>
        <v>299.63496289226271</v>
      </c>
      <c r="W21" s="106">
        <f t="shared" si="3"/>
        <v>299.63496289226271</v>
      </c>
      <c r="X21" s="106">
        <f t="shared" si="3"/>
        <v>299.63496289226271</v>
      </c>
      <c r="Y21" s="106">
        <f t="shared" si="3"/>
        <v>299.63496289226271</v>
      </c>
      <c r="Z21" s="106">
        <f t="shared" si="3"/>
        <v>0</v>
      </c>
      <c r="AA21" s="106">
        <f t="shared" si="3"/>
        <v>299.63496289226271</v>
      </c>
      <c r="AB21" s="106">
        <f t="shared" si="3"/>
        <v>299.63496289226271</v>
      </c>
      <c r="AC21" s="106">
        <f t="shared" si="3"/>
        <v>299.63496289226271</v>
      </c>
      <c r="AD21" s="106">
        <f t="shared" si="3"/>
        <v>299.63496289226271</v>
      </c>
      <c r="AE21" s="106">
        <f t="shared" si="3"/>
        <v>299.63496289226271</v>
      </c>
      <c r="AF21" s="106">
        <f t="shared" si="3"/>
        <v>299.63496289226271</v>
      </c>
      <c r="AG21" s="106">
        <f t="shared" si="3"/>
        <v>299.63496289226271</v>
      </c>
      <c r="AH21" s="106">
        <f t="shared" si="3"/>
        <v>299.63496289226271</v>
      </c>
      <c r="AI21" s="106">
        <f t="shared" si="3"/>
        <v>299.63496289226271</v>
      </c>
      <c r="AJ21" s="106">
        <f t="shared" si="3"/>
        <v>299.63496289226271</v>
      </c>
      <c r="AK21" s="106">
        <f t="shared" si="3"/>
        <v>299.63496289226271</v>
      </c>
      <c r="AL21" s="106">
        <f t="shared" si="3"/>
        <v>299.63496289226271</v>
      </c>
      <c r="AM21" s="106">
        <f t="shared" si="3"/>
        <v>299.63496289226271</v>
      </c>
      <c r="AN21" s="106">
        <f t="shared" si="3"/>
        <v>299.63496289226271</v>
      </c>
      <c r="AO21" s="106">
        <f t="shared" si="3"/>
        <v>299.63496289226271</v>
      </c>
      <c r="AP21" s="106">
        <f t="shared" si="3"/>
        <v>299.63496289226271</v>
      </c>
      <c r="AQ21" s="106">
        <f t="shared" si="3"/>
        <v>299.63496289226271</v>
      </c>
      <c r="AR21" s="106">
        <f t="shared" si="3"/>
        <v>299.63496289226271</v>
      </c>
      <c r="AS21" s="106">
        <f t="shared" si="3"/>
        <v>299.63496289226271</v>
      </c>
      <c r="AT21" s="106">
        <f t="shared" si="3"/>
        <v>299.63496289226271</v>
      </c>
      <c r="AU21" s="106">
        <f t="shared" si="3"/>
        <v>0</v>
      </c>
      <c r="AV21" s="106">
        <f t="shared" si="3"/>
        <v>299.63496289226271</v>
      </c>
      <c r="AW21" s="106">
        <f t="shared" si="3"/>
        <v>299.63496289226271</v>
      </c>
      <c r="AX21" s="106">
        <f t="shared" si="3"/>
        <v>299.63496289226271</v>
      </c>
      <c r="AY21" s="106">
        <f t="shared" si="3"/>
        <v>299.63496289226271</v>
      </c>
      <c r="AZ21" s="157">
        <f>SUM($D21:$AY21)</f>
        <v>12584.668441475043</v>
      </c>
    </row>
    <row r="22" spans="1:52" s="110" customFormat="1">
      <c r="A22" s="158" t="s">
        <v>123</v>
      </c>
      <c r="B22" s="159">
        <f>1-$B$21</f>
        <v>0.50060839517956213</v>
      </c>
      <c r="C22" s="159" t="s">
        <v>293</v>
      </c>
      <c r="D22" s="114">
        <f>IF(C$20="Yes",0,SUM(C$13:C$16)*$B$22)</f>
        <v>300.36503710773729</v>
      </c>
      <c r="E22" s="114">
        <f t="shared" ref="E22:AY22" si="4">IF(D$20="Yes",0,SUM(D$13:D$16)*$B$22)</f>
        <v>300.36503710773729</v>
      </c>
      <c r="F22" s="114">
        <f t="shared" si="4"/>
        <v>300.36503710773729</v>
      </c>
      <c r="G22" s="114">
        <f t="shared" si="4"/>
        <v>300.36503710773729</v>
      </c>
      <c r="H22" s="114">
        <f t="shared" si="4"/>
        <v>300.36503710773729</v>
      </c>
      <c r="I22" s="114">
        <f t="shared" si="4"/>
        <v>300.36503710773729</v>
      </c>
      <c r="J22" s="114">
        <f t="shared" si="4"/>
        <v>300.36503710773729</v>
      </c>
      <c r="K22" s="114">
        <f t="shared" si="4"/>
        <v>300.36503710773729</v>
      </c>
      <c r="L22" s="114">
        <f t="shared" si="4"/>
        <v>300.36503710773729</v>
      </c>
      <c r="M22" s="114">
        <f t="shared" si="4"/>
        <v>300.36503710773729</v>
      </c>
      <c r="N22" s="114">
        <f t="shared" si="4"/>
        <v>300.36503710773729</v>
      </c>
      <c r="O22" s="114">
        <f t="shared" si="4"/>
        <v>300.36503710773729</v>
      </c>
      <c r="P22" s="114">
        <f t="shared" si="4"/>
        <v>300.36503710773729</v>
      </c>
      <c r="Q22" s="114">
        <f t="shared" si="4"/>
        <v>1.5565616439332214E-21</v>
      </c>
      <c r="R22" s="114">
        <f t="shared" si="4"/>
        <v>1.5565616439332214E-21</v>
      </c>
      <c r="S22" s="114">
        <f t="shared" si="4"/>
        <v>1.5565616439332214E-21</v>
      </c>
      <c r="T22" s="114">
        <f t="shared" si="4"/>
        <v>1.5565616439332214E-21</v>
      </c>
      <c r="U22" s="114">
        <f t="shared" si="4"/>
        <v>300.36503710773729</v>
      </c>
      <c r="V22" s="114">
        <f t="shared" si="4"/>
        <v>300.36503710773729</v>
      </c>
      <c r="W22" s="114">
        <f t="shared" si="4"/>
        <v>300.36503710773729</v>
      </c>
      <c r="X22" s="114">
        <f t="shared" si="4"/>
        <v>300.36503710773729</v>
      </c>
      <c r="Y22" s="114">
        <f t="shared" si="4"/>
        <v>300.36503710773729</v>
      </c>
      <c r="Z22" s="114">
        <f t="shared" si="4"/>
        <v>0</v>
      </c>
      <c r="AA22" s="114">
        <f t="shared" si="4"/>
        <v>300.36503710773729</v>
      </c>
      <c r="AB22" s="114">
        <f t="shared" si="4"/>
        <v>300.36503710773729</v>
      </c>
      <c r="AC22" s="114">
        <f t="shared" si="4"/>
        <v>300.36503710773729</v>
      </c>
      <c r="AD22" s="114">
        <f t="shared" si="4"/>
        <v>300.36503710773729</v>
      </c>
      <c r="AE22" s="114">
        <f t="shared" si="4"/>
        <v>300.36503710773729</v>
      </c>
      <c r="AF22" s="114">
        <f t="shared" si="4"/>
        <v>300.36503710773729</v>
      </c>
      <c r="AG22" s="114">
        <f t="shared" si="4"/>
        <v>300.36503710773729</v>
      </c>
      <c r="AH22" s="114">
        <f t="shared" si="4"/>
        <v>300.36503710773729</v>
      </c>
      <c r="AI22" s="114">
        <f t="shared" si="4"/>
        <v>300.36503710773729</v>
      </c>
      <c r="AJ22" s="114">
        <f t="shared" si="4"/>
        <v>300.36503710773729</v>
      </c>
      <c r="AK22" s="114">
        <f t="shared" si="4"/>
        <v>300.36503710773729</v>
      </c>
      <c r="AL22" s="114">
        <f t="shared" si="4"/>
        <v>300.36503710773729</v>
      </c>
      <c r="AM22" s="114">
        <f t="shared" si="4"/>
        <v>300.36503710773729</v>
      </c>
      <c r="AN22" s="114">
        <f t="shared" si="4"/>
        <v>300.36503710773729</v>
      </c>
      <c r="AO22" s="114">
        <f t="shared" si="4"/>
        <v>300.36503710773729</v>
      </c>
      <c r="AP22" s="114">
        <f t="shared" si="4"/>
        <v>300.36503710773729</v>
      </c>
      <c r="AQ22" s="114">
        <f t="shared" si="4"/>
        <v>300.36503710773729</v>
      </c>
      <c r="AR22" s="114">
        <f t="shared" si="4"/>
        <v>300.36503710773729</v>
      </c>
      <c r="AS22" s="114">
        <f t="shared" si="4"/>
        <v>300.36503710773729</v>
      </c>
      <c r="AT22" s="114">
        <f t="shared" si="4"/>
        <v>300.36503710773729</v>
      </c>
      <c r="AU22" s="114">
        <f t="shared" si="4"/>
        <v>0</v>
      </c>
      <c r="AV22" s="114">
        <f t="shared" si="4"/>
        <v>300.36503710773729</v>
      </c>
      <c r="AW22" s="114">
        <f t="shared" si="4"/>
        <v>300.36503710773729</v>
      </c>
      <c r="AX22" s="114">
        <f t="shared" si="4"/>
        <v>300.36503710773729</v>
      </c>
      <c r="AY22" s="114">
        <f t="shared" si="4"/>
        <v>300.36503710773729</v>
      </c>
      <c r="AZ22" s="141">
        <f t="shared" ref="AZ22:AZ30" si="5">SUM($D22:$AY22)</f>
        <v>12615.331558524957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599269.92578452546</v>
      </c>
      <c r="E23" s="100">
        <f t="shared" ref="E23:AY23" si="6">E$21*$B$23</f>
        <v>599269.92578452546</v>
      </c>
      <c r="F23" s="100">
        <f t="shared" si="6"/>
        <v>599269.92578452546</v>
      </c>
      <c r="G23" s="100">
        <f t="shared" si="6"/>
        <v>599269.92578452546</v>
      </c>
      <c r="H23" s="100">
        <f t="shared" si="6"/>
        <v>599269.92578452546</v>
      </c>
      <c r="I23" s="100">
        <f t="shared" si="6"/>
        <v>599269.92578452546</v>
      </c>
      <c r="J23" s="100">
        <f t="shared" si="6"/>
        <v>599269.92578452546</v>
      </c>
      <c r="K23" s="100">
        <f t="shared" si="6"/>
        <v>599269.92578452546</v>
      </c>
      <c r="L23" s="100">
        <f t="shared" si="6"/>
        <v>599269.92578452546</v>
      </c>
      <c r="M23" s="100">
        <f t="shared" si="6"/>
        <v>599269.92578452546</v>
      </c>
      <c r="N23" s="100">
        <f t="shared" si="6"/>
        <v>599269.92578452546</v>
      </c>
      <c r="O23" s="100">
        <f t="shared" si="6"/>
        <v>599269.92578452546</v>
      </c>
      <c r="P23" s="100">
        <f t="shared" si="6"/>
        <v>599269.92578452546</v>
      </c>
      <c r="Q23" s="100">
        <f t="shared" si="6"/>
        <v>3.1055564583048203E-18</v>
      </c>
      <c r="R23" s="100">
        <f t="shared" si="6"/>
        <v>3.1055564583048203E-18</v>
      </c>
      <c r="S23" s="100">
        <f t="shared" si="6"/>
        <v>3.1055564583048203E-18</v>
      </c>
      <c r="T23" s="100">
        <f t="shared" si="6"/>
        <v>3.1055564583048203E-18</v>
      </c>
      <c r="U23" s="100">
        <f t="shared" si="6"/>
        <v>599269.92578452546</v>
      </c>
      <c r="V23" s="100">
        <f t="shared" si="6"/>
        <v>599269.92578452546</v>
      </c>
      <c r="W23" s="100">
        <f t="shared" si="6"/>
        <v>599269.92578452546</v>
      </c>
      <c r="X23" s="100">
        <f t="shared" si="6"/>
        <v>599269.92578452546</v>
      </c>
      <c r="Y23" s="100">
        <f t="shared" si="6"/>
        <v>599269.92578452546</v>
      </c>
      <c r="Z23" s="100">
        <f t="shared" si="6"/>
        <v>0</v>
      </c>
      <c r="AA23" s="100">
        <f t="shared" si="6"/>
        <v>599269.92578452546</v>
      </c>
      <c r="AB23" s="100">
        <f t="shared" si="6"/>
        <v>599269.92578452546</v>
      </c>
      <c r="AC23" s="100">
        <f t="shared" si="6"/>
        <v>599269.92578452546</v>
      </c>
      <c r="AD23" s="100">
        <f t="shared" si="6"/>
        <v>599269.92578452546</v>
      </c>
      <c r="AE23" s="100">
        <f t="shared" si="6"/>
        <v>599269.92578452546</v>
      </c>
      <c r="AF23" s="100">
        <f t="shared" si="6"/>
        <v>599269.92578452546</v>
      </c>
      <c r="AG23" s="100">
        <f t="shared" si="6"/>
        <v>599269.92578452546</v>
      </c>
      <c r="AH23" s="100">
        <f t="shared" si="6"/>
        <v>599269.92578452546</v>
      </c>
      <c r="AI23" s="100">
        <f t="shared" si="6"/>
        <v>599269.92578452546</v>
      </c>
      <c r="AJ23" s="100">
        <f t="shared" si="6"/>
        <v>599269.92578452546</v>
      </c>
      <c r="AK23" s="100">
        <f t="shared" si="6"/>
        <v>599269.92578452546</v>
      </c>
      <c r="AL23" s="100">
        <f t="shared" si="6"/>
        <v>599269.92578452546</v>
      </c>
      <c r="AM23" s="100">
        <f t="shared" si="6"/>
        <v>599269.92578452546</v>
      </c>
      <c r="AN23" s="100">
        <f t="shared" si="6"/>
        <v>599269.92578452546</v>
      </c>
      <c r="AO23" s="100">
        <f t="shared" si="6"/>
        <v>599269.92578452546</v>
      </c>
      <c r="AP23" s="100">
        <f t="shared" si="6"/>
        <v>599269.92578452546</v>
      </c>
      <c r="AQ23" s="100">
        <f t="shared" si="6"/>
        <v>599269.92578452546</v>
      </c>
      <c r="AR23" s="100">
        <f t="shared" si="6"/>
        <v>599269.92578452546</v>
      </c>
      <c r="AS23" s="100">
        <f t="shared" si="6"/>
        <v>599269.92578452546</v>
      </c>
      <c r="AT23" s="100">
        <f t="shared" si="6"/>
        <v>599269.92578452546</v>
      </c>
      <c r="AU23" s="100">
        <f t="shared" si="6"/>
        <v>0</v>
      </c>
      <c r="AV23" s="100">
        <f t="shared" si="6"/>
        <v>599269.92578452546</v>
      </c>
      <c r="AW23" s="100">
        <f t="shared" si="6"/>
        <v>599269.92578452546</v>
      </c>
      <c r="AX23" s="100">
        <f t="shared" si="6"/>
        <v>599269.92578452546</v>
      </c>
      <c r="AY23" s="100">
        <f t="shared" si="6"/>
        <v>599269.92578452546</v>
      </c>
      <c r="AZ23" s="139">
        <f t="shared" si="5"/>
        <v>25169336.882950045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300365.03710773727</v>
      </c>
      <c r="E24" s="106">
        <f t="shared" ref="E24:AY24" si="7">E$22*$B$24</f>
        <v>300365.03710773727</v>
      </c>
      <c r="F24" s="106">
        <f t="shared" si="7"/>
        <v>300365.03710773727</v>
      </c>
      <c r="G24" s="106">
        <f t="shared" si="7"/>
        <v>300365.03710773727</v>
      </c>
      <c r="H24" s="106">
        <f t="shared" si="7"/>
        <v>300365.03710773727</v>
      </c>
      <c r="I24" s="106">
        <f t="shared" si="7"/>
        <v>300365.03710773727</v>
      </c>
      <c r="J24" s="106">
        <f t="shared" si="7"/>
        <v>300365.03710773727</v>
      </c>
      <c r="K24" s="106">
        <f t="shared" si="7"/>
        <v>300365.03710773727</v>
      </c>
      <c r="L24" s="106">
        <f t="shared" si="7"/>
        <v>300365.03710773727</v>
      </c>
      <c r="M24" s="106">
        <f t="shared" si="7"/>
        <v>300365.03710773727</v>
      </c>
      <c r="N24" s="106">
        <f t="shared" si="7"/>
        <v>300365.03710773727</v>
      </c>
      <c r="O24" s="106">
        <f t="shared" si="7"/>
        <v>300365.03710773727</v>
      </c>
      <c r="P24" s="106">
        <f t="shared" si="7"/>
        <v>300365.03710773727</v>
      </c>
      <c r="Q24" s="106">
        <f t="shared" si="7"/>
        <v>1.5565616439332213E-18</v>
      </c>
      <c r="R24" s="106">
        <f t="shared" si="7"/>
        <v>1.5565616439332213E-18</v>
      </c>
      <c r="S24" s="106">
        <f t="shared" si="7"/>
        <v>1.5565616439332213E-18</v>
      </c>
      <c r="T24" s="106">
        <f t="shared" si="7"/>
        <v>1.5565616439332213E-18</v>
      </c>
      <c r="U24" s="106">
        <f t="shared" si="7"/>
        <v>300365.03710773727</v>
      </c>
      <c r="V24" s="106">
        <f t="shared" si="7"/>
        <v>300365.03710773727</v>
      </c>
      <c r="W24" s="106">
        <f t="shared" si="7"/>
        <v>300365.03710773727</v>
      </c>
      <c r="X24" s="106">
        <f t="shared" si="7"/>
        <v>300365.03710773727</v>
      </c>
      <c r="Y24" s="106">
        <f t="shared" si="7"/>
        <v>300365.03710773727</v>
      </c>
      <c r="Z24" s="106">
        <f t="shared" si="7"/>
        <v>0</v>
      </c>
      <c r="AA24" s="106">
        <f t="shared" si="7"/>
        <v>300365.03710773727</v>
      </c>
      <c r="AB24" s="106">
        <f t="shared" si="7"/>
        <v>300365.03710773727</v>
      </c>
      <c r="AC24" s="106">
        <f t="shared" si="7"/>
        <v>300365.03710773727</v>
      </c>
      <c r="AD24" s="106">
        <f t="shared" si="7"/>
        <v>300365.03710773727</v>
      </c>
      <c r="AE24" s="106">
        <f t="shared" si="7"/>
        <v>300365.03710773727</v>
      </c>
      <c r="AF24" s="106">
        <f t="shared" si="7"/>
        <v>300365.03710773727</v>
      </c>
      <c r="AG24" s="106">
        <f t="shared" si="7"/>
        <v>300365.03710773727</v>
      </c>
      <c r="AH24" s="106">
        <f t="shared" si="7"/>
        <v>300365.03710773727</v>
      </c>
      <c r="AI24" s="106">
        <f t="shared" si="7"/>
        <v>300365.03710773727</v>
      </c>
      <c r="AJ24" s="106">
        <f t="shared" si="7"/>
        <v>300365.03710773727</v>
      </c>
      <c r="AK24" s="106">
        <f t="shared" si="7"/>
        <v>300365.03710773727</v>
      </c>
      <c r="AL24" s="106">
        <f t="shared" si="7"/>
        <v>300365.03710773727</v>
      </c>
      <c r="AM24" s="106">
        <f t="shared" si="7"/>
        <v>300365.03710773727</v>
      </c>
      <c r="AN24" s="106">
        <f t="shared" si="7"/>
        <v>300365.03710773727</v>
      </c>
      <c r="AO24" s="106">
        <f t="shared" si="7"/>
        <v>300365.03710773727</v>
      </c>
      <c r="AP24" s="106">
        <f t="shared" si="7"/>
        <v>300365.03710773727</v>
      </c>
      <c r="AQ24" s="106">
        <f t="shared" si="7"/>
        <v>300365.03710773727</v>
      </c>
      <c r="AR24" s="106">
        <f t="shared" si="7"/>
        <v>300365.03710773727</v>
      </c>
      <c r="AS24" s="106">
        <f t="shared" si="7"/>
        <v>300365.03710773727</v>
      </c>
      <c r="AT24" s="106">
        <f t="shared" si="7"/>
        <v>300365.03710773727</v>
      </c>
      <c r="AU24" s="106">
        <f t="shared" si="7"/>
        <v>0</v>
      </c>
      <c r="AV24" s="106">
        <f t="shared" si="7"/>
        <v>300365.03710773727</v>
      </c>
      <c r="AW24" s="106">
        <f t="shared" si="7"/>
        <v>300365.03710773727</v>
      </c>
      <c r="AX24" s="106">
        <f t="shared" si="7"/>
        <v>300365.03710773727</v>
      </c>
      <c r="AY24" s="106">
        <f t="shared" si="7"/>
        <v>300365.03710773727</v>
      </c>
      <c r="AZ24" s="141">
        <f t="shared" si="5"/>
        <v>12615331.558524977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9</v>
      </c>
      <c r="I27" s="124">
        <f t="shared" si="8"/>
        <v>13</v>
      </c>
      <c r="J27" s="124">
        <f t="shared" si="8"/>
        <v>9</v>
      </c>
      <c r="K27" s="124">
        <f t="shared" si="8"/>
        <v>13</v>
      </c>
      <c r="L27" s="124">
        <f t="shared" si="8"/>
        <v>9</v>
      </c>
      <c r="M27" s="124">
        <f t="shared" si="8"/>
        <v>13</v>
      </c>
      <c r="N27" s="124">
        <f t="shared" si="8"/>
        <v>9</v>
      </c>
      <c r="O27" s="124">
        <f t="shared" si="8"/>
        <v>13</v>
      </c>
      <c r="P27" s="124">
        <f t="shared" si="8"/>
        <v>9</v>
      </c>
      <c r="Q27" s="124">
        <f t="shared" si="8"/>
        <v>13</v>
      </c>
      <c r="R27" s="124">
        <f t="shared" si="8"/>
        <v>20</v>
      </c>
      <c r="S27" s="124">
        <f t="shared" si="8"/>
        <v>20</v>
      </c>
      <c r="T27" s="124">
        <f t="shared" si="8"/>
        <v>20</v>
      </c>
      <c r="U27" s="124">
        <f t="shared" si="8"/>
        <v>20</v>
      </c>
      <c r="V27" s="124">
        <f t="shared" si="8"/>
        <v>2</v>
      </c>
      <c r="W27" s="124">
        <f t="shared" si="8"/>
        <v>20</v>
      </c>
      <c r="X27" s="124">
        <f t="shared" si="8"/>
        <v>2</v>
      </c>
      <c r="Y27" s="124">
        <f t="shared" si="8"/>
        <v>20</v>
      </c>
      <c r="Z27" s="124">
        <f t="shared" si="8"/>
        <v>2</v>
      </c>
      <c r="AA27" s="124">
        <f t="shared" si="8"/>
        <v>22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22</v>
      </c>
      <c r="AW27" s="124">
        <f t="shared" si="8"/>
        <v>1</v>
      </c>
      <c r="AX27" s="124">
        <f t="shared" si="8"/>
        <v>21</v>
      </c>
      <c r="AY27" s="164">
        <f t="shared" si="8"/>
        <v>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13</v>
      </c>
      <c r="H28" s="110">
        <v>9</v>
      </c>
      <c r="I28" s="110">
        <v>13</v>
      </c>
      <c r="J28" s="110">
        <v>9</v>
      </c>
      <c r="K28" s="110">
        <v>13</v>
      </c>
      <c r="L28" s="110">
        <v>9</v>
      </c>
      <c r="M28" s="110">
        <v>13</v>
      </c>
      <c r="N28" s="110">
        <v>9</v>
      </c>
      <c r="O28" s="110">
        <v>13</v>
      </c>
      <c r="P28" s="110">
        <v>9</v>
      </c>
      <c r="Q28" s="110">
        <v>2</v>
      </c>
      <c r="R28" s="110">
        <v>2</v>
      </c>
      <c r="S28" s="110">
        <v>2</v>
      </c>
      <c r="T28" s="110">
        <v>2</v>
      </c>
      <c r="U28" s="110">
        <v>20</v>
      </c>
      <c r="V28" s="110">
        <v>2</v>
      </c>
      <c r="W28" s="110">
        <v>20</v>
      </c>
      <c r="X28" s="110">
        <v>2</v>
      </c>
      <c r="Y28" s="110">
        <v>20</v>
      </c>
      <c r="Z28" s="110">
        <v>0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0</v>
      </c>
      <c r="AV28" s="110">
        <v>21</v>
      </c>
      <c r="AW28" s="110">
        <v>1</v>
      </c>
      <c r="AX28" s="110">
        <v>21</v>
      </c>
      <c r="AY28" s="166">
        <v>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13</v>
      </c>
      <c r="I29" s="125">
        <f t="shared" si="9"/>
        <v>9</v>
      </c>
      <c r="J29" s="125">
        <f t="shared" si="9"/>
        <v>13</v>
      </c>
      <c r="K29" s="125">
        <f t="shared" si="9"/>
        <v>9</v>
      </c>
      <c r="L29" s="125">
        <f t="shared" si="9"/>
        <v>13</v>
      </c>
      <c r="M29" s="125">
        <f t="shared" si="9"/>
        <v>9</v>
      </c>
      <c r="N29" s="125">
        <f t="shared" si="9"/>
        <v>13</v>
      </c>
      <c r="O29" s="125">
        <f t="shared" si="9"/>
        <v>9</v>
      </c>
      <c r="P29" s="125">
        <f t="shared" si="9"/>
        <v>13</v>
      </c>
      <c r="Q29" s="125">
        <f t="shared" si="9"/>
        <v>9</v>
      </c>
      <c r="R29" s="125">
        <f t="shared" si="9"/>
        <v>2</v>
      </c>
      <c r="S29" s="125">
        <f t="shared" si="9"/>
        <v>2</v>
      </c>
      <c r="T29" s="125">
        <f t="shared" si="9"/>
        <v>2</v>
      </c>
      <c r="U29" s="125">
        <f t="shared" si="9"/>
        <v>2</v>
      </c>
      <c r="V29" s="125">
        <f t="shared" si="9"/>
        <v>20</v>
      </c>
      <c r="W29" s="125">
        <f t="shared" si="9"/>
        <v>2</v>
      </c>
      <c r="X29" s="125">
        <f t="shared" si="9"/>
        <v>20</v>
      </c>
      <c r="Y29" s="125">
        <f t="shared" si="9"/>
        <v>2</v>
      </c>
      <c r="Z29" s="125">
        <f t="shared" si="9"/>
        <v>20</v>
      </c>
      <c r="AA29" s="125">
        <f t="shared" si="9"/>
        <v>0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0</v>
      </c>
      <c r="AW29" s="125">
        <f t="shared" si="9"/>
        <v>21</v>
      </c>
      <c r="AX29" s="125">
        <f t="shared" si="9"/>
        <v>1</v>
      </c>
      <c r="AY29" s="167">
        <f t="shared" si="9"/>
        <v>21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90</v>
      </c>
      <c r="I30" s="117">
        <f t="shared" si="10"/>
        <v>130</v>
      </c>
      <c r="J30" s="117">
        <f t="shared" si="10"/>
        <v>90</v>
      </c>
      <c r="K30" s="117">
        <f t="shared" si="10"/>
        <v>130</v>
      </c>
      <c r="L30" s="117">
        <f t="shared" si="10"/>
        <v>90</v>
      </c>
      <c r="M30" s="117">
        <f t="shared" si="10"/>
        <v>130</v>
      </c>
      <c r="N30" s="117">
        <f t="shared" si="10"/>
        <v>90</v>
      </c>
      <c r="O30" s="117">
        <f t="shared" si="10"/>
        <v>130</v>
      </c>
      <c r="P30" s="117">
        <f t="shared" si="10"/>
        <v>90</v>
      </c>
      <c r="Q30" s="117">
        <f t="shared" si="10"/>
        <v>130</v>
      </c>
      <c r="R30" s="117">
        <f>R$27*$B$30</f>
        <v>200</v>
      </c>
      <c r="S30" s="117">
        <f t="shared" si="10"/>
        <v>200</v>
      </c>
      <c r="T30" s="117">
        <f t="shared" si="10"/>
        <v>200</v>
      </c>
      <c r="U30" s="117">
        <f t="shared" si="10"/>
        <v>200</v>
      </c>
      <c r="V30" s="117">
        <f t="shared" si="10"/>
        <v>20</v>
      </c>
      <c r="W30" s="117">
        <f t="shared" si="10"/>
        <v>200</v>
      </c>
      <c r="X30" s="117">
        <f t="shared" si="10"/>
        <v>20</v>
      </c>
      <c r="Y30" s="117">
        <f t="shared" si="10"/>
        <v>200</v>
      </c>
      <c r="Z30" s="117">
        <f t="shared" si="10"/>
        <v>20</v>
      </c>
      <c r="AA30" s="117">
        <f t="shared" si="10"/>
        <v>220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220</v>
      </c>
      <c r="AW30" s="117">
        <f t="shared" si="10"/>
        <v>10</v>
      </c>
      <c r="AX30" s="117">
        <f t="shared" si="10"/>
        <v>210</v>
      </c>
      <c r="AY30" s="117">
        <f t="shared" si="10"/>
        <v>10</v>
      </c>
      <c r="AZ30" s="141">
        <f t="shared" si="5"/>
        <v>5670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146.37632172022444</v>
      </c>
      <c r="E33" s="124">
        <f>E$21*shipping_manufacturing!$D$27/100</f>
        <v>146.37632172022444</v>
      </c>
      <c r="F33" s="124">
        <f>F$21*shipping_manufacturing!$D$27/100</f>
        <v>146.37632172022444</v>
      </c>
      <c r="G33" s="124">
        <f>G$21*shipping_manufacturing!$D$27/100</f>
        <v>146.37632172022444</v>
      </c>
      <c r="H33" s="124">
        <f>H$21*shipping_manufacturing!$D$27/100</f>
        <v>146.37632172022444</v>
      </c>
      <c r="I33" s="124">
        <f>I$21*shipping_manufacturing!$D$27/100</f>
        <v>146.37632172022444</v>
      </c>
      <c r="J33" s="124">
        <f>J$21*shipping_manufacturing!$D$27/100</f>
        <v>146.37632172022444</v>
      </c>
      <c r="K33" s="124">
        <f>K$21*shipping_manufacturing!$D$27/100</f>
        <v>146.37632172022444</v>
      </c>
      <c r="L33" s="124">
        <f>L$21*shipping_manufacturing!$D$27/100</f>
        <v>146.37632172022444</v>
      </c>
      <c r="M33" s="124">
        <f>M$21*shipping_manufacturing!$D$27/100</f>
        <v>146.37632172022444</v>
      </c>
      <c r="N33" s="124">
        <f>N$21*shipping_manufacturing!$D$27/100</f>
        <v>146.37632172022444</v>
      </c>
      <c r="O33" s="124">
        <f>O$21*shipping_manufacturing!$D$27/100</f>
        <v>146.37632172022444</v>
      </c>
      <c r="P33" s="124">
        <f>P$21*shipping_manufacturing!$D$27/100</f>
        <v>146.37632172022444</v>
      </c>
      <c r="Q33" s="124">
        <f>Q$21*shipping_manufacturing!$D$27/100</f>
        <v>7.5855622266717367E-22</v>
      </c>
      <c r="R33" s="124">
        <f>R$21*shipping_manufacturing!$D$27/100</f>
        <v>7.5855622266717367E-22</v>
      </c>
      <c r="S33" s="124">
        <f>S$21*shipping_manufacturing!$D$27/100</f>
        <v>7.5855622266717367E-22</v>
      </c>
      <c r="T33" s="124">
        <f>T$21*shipping_manufacturing!$D$27/100</f>
        <v>7.5855622266717367E-22</v>
      </c>
      <c r="U33" s="124">
        <f>U$21*shipping_manufacturing!$D$27/100</f>
        <v>146.37632172022444</v>
      </c>
      <c r="V33" s="124">
        <f>V$21*shipping_manufacturing!$D$27/100</f>
        <v>146.37632172022444</v>
      </c>
      <c r="W33" s="124">
        <f>W$21*shipping_manufacturing!$D$27/100</f>
        <v>146.37632172022444</v>
      </c>
      <c r="X33" s="124">
        <f>X$21*shipping_manufacturing!$D$27/100</f>
        <v>146.37632172022444</v>
      </c>
      <c r="Y33" s="124">
        <f>Y$21*shipping_manufacturing!$D$27/100</f>
        <v>146.37632172022444</v>
      </c>
      <c r="Z33" s="124">
        <f>Z$21*shipping_manufacturing!$D$27/100</f>
        <v>0</v>
      </c>
      <c r="AA33" s="124">
        <f>AA$21*shipping_manufacturing!$D$27/100</f>
        <v>146.37632172022444</v>
      </c>
      <c r="AB33" s="124">
        <f>AB$21*shipping_manufacturing!$D$27/100</f>
        <v>146.37632172022444</v>
      </c>
      <c r="AC33" s="124">
        <f>AC$21*shipping_manufacturing!$D$27/100</f>
        <v>146.37632172022444</v>
      </c>
      <c r="AD33" s="124">
        <f>AD$21*shipping_manufacturing!$D$27/100</f>
        <v>146.37632172022444</v>
      </c>
      <c r="AE33" s="124">
        <f>AE$21*shipping_manufacturing!$D$27/100</f>
        <v>146.37632172022444</v>
      </c>
      <c r="AF33" s="124">
        <f>AF$21*shipping_manufacturing!$D$27/100</f>
        <v>146.37632172022444</v>
      </c>
      <c r="AG33" s="124">
        <f>AG$21*shipping_manufacturing!$D$27/100</f>
        <v>146.37632172022444</v>
      </c>
      <c r="AH33" s="124">
        <f>AH$21*shipping_manufacturing!$D$27/100</f>
        <v>146.37632172022444</v>
      </c>
      <c r="AI33" s="124">
        <f>AI$21*shipping_manufacturing!$D$27/100</f>
        <v>146.37632172022444</v>
      </c>
      <c r="AJ33" s="124">
        <f>AJ$21*shipping_manufacturing!$D$27/100</f>
        <v>146.37632172022444</v>
      </c>
      <c r="AK33" s="124">
        <f>AK$21*shipping_manufacturing!$D$27/100</f>
        <v>146.37632172022444</v>
      </c>
      <c r="AL33" s="124">
        <f>AL$21*shipping_manufacturing!$D$27/100</f>
        <v>146.37632172022444</v>
      </c>
      <c r="AM33" s="124">
        <f>AM$21*shipping_manufacturing!$D$27/100</f>
        <v>146.37632172022444</v>
      </c>
      <c r="AN33" s="124">
        <f>AN$21*shipping_manufacturing!$D$27/100</f>
        <v>146.37632172022444</v>
      </c>
      <c r="AO33" s="124">
        <f>AO$21*shipping_manufacturing!$D$27/100</f>
        <v>146.37632172022444</v>
      </c>
      <c r="AP33" s="124">
        <f>AP$21*shipping_manufacturing!$D$27/100</f>
        <v>146.37632172022444</v>
      </c>
      <c r="AQ33" s="124">
        <f>AQ$21*shipping_manufacturing!$D$27/100</f>
        <v>146.37632172022444</v>
      </c>
      <c r="AR33" s="124">
        <f>AR$21*shipping_manufacturing!$D$27/100</f>
        <v>146.37632172022444</v>
      </c>
      <c r="AS33" s="124">
        <f>AS$21*shipping_manufacturing!$D$27/100</f>
        <v>146.37632172022444</v>
      </c>
      <c r="AT33" s="124">
        <f>AT$21*shipping_manufacturing!$D$27/100</f>
        <v>146.37632172022444</v>
      </c>
      <c r="AU33" s="124">
        <f>AU$21*shipping_manufacturing!$D$27/100</f>
        <v>0</v>
      </c>
      <c r="AV33" s="124">
        <f>AV$21*shipping_manufacturing!$D$27/100</f>
        <v>146.37632172022444</v>
      </c>
      <c r="AW33" s="124">
        <f>AW$21*shipping_manufacturing!$D$27/100</f>
        <v>146.37632172022444</v>
      </c>
      <c r="AX33" s="124">
        <f>AX$21*shipping_manufacturing!$D$27/100</f>
        <v>146.37632172022444</v>
      </c>
      <c r="AY33" s="124">
        <f>AY$21*shipping_manufacturing!$D$27/100</f>
        <v>146.37632172022444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131.58474841579914</v>
      </c>
      <c r="E34" s="110">
        <f>E$22*shipping_manufacturing!$E$27/100</f>
        <v>131.58474841579914</v>
      </c>
      <c r="F34" s="110">
        <f>F$22*shipping_manufacturing!$E$27/100</f>
        <v>131.58474841579914</v>
      </c>
      <c r="G34" s="110">
        <f>G$22*shipping_manufacturing!$E$27/100</f>
        <v>131.58474841579914</v>
      </c>
      <c r="H34" s="110">
        <f>H$22*shipping_manufacturing!$E$27/100</f>
        <v>131.58474841579914</v>
      </c>
      <c r="I34" s="110">
        <f>I$22*shipping_manufacturing!$E$27/100</f>
        <v>131.58474841579914</v>
      </c>
      <c r="J34" s="110">
        <f>J$22*shipping_manufacturing!$E$27/100</f>
        <v>131.58474841579914</v>
      </c>
      <c r="K34" s="110">
        <f>K$22*shipping_manufacturing!$E$27/100</f>
        <v>131.58474841579914</v>
      </c>
      <c r="L34" s="110">
        <f>L$22*shipping_manufacturing!$E$27/100</f>
        <v>131.58474841579914</v>
      </c>
      <c r="M34" s="110">
        <f>M$22*shipping_manufacturing!$E$27/100</f>
        <v>131.58474841579914</v>
      </c>
      <c r="N34" s="110">
        <f>N$22*shipping_manufacturing!$E$27/100</f>
        <v>131.58474841579914</v>
      </c>
      <c r="O34" s="110">
        <f>O$22*shipping_manufacturing!$E$27/100</f>
        <v>131.58474841579914</v>
      </c>
      <c r="P34" s="110">
        <f>P$22*shipping_manufacturing!$E$27/100</f>
        <v>131.58474841579914</v>
      </c>
      <c r="Q34" s="110">
        <f>Q$22*shipping_manufacturing!$E$27/100</f>
        <v>6.8190284156530941E-22</v>
      </c>
      <c r="R34" s="110">
        <f>R$22*shipping_manufacturing!$E$27/100</f>
        <v>6.8190284156530941E-22</v>
      </c>
      <c r="S34" s="110">
        <f>S$22*shipping_manufacturing!$E$27/100</f>
        <v>6.8190284156530941E-22</v>
      </c>
      <c r="T34" s="110">
        <f>T$22*shipping_manufacturing!$E$27/100</f>
        <v>6.8190284156530941E-22</v>
      </c>
      <c r="U34" s="110">
        <f>U$22*shipping_manufacturing!$E$27/100</f>
        <v>131.58474841579914</v>
      </c>
      <c r="V34" s="110">
        <f>V$22*shipping_manufacturing!$E$27/100</f>
        <v>131.58474841579914</v>
      </c>
      <c r="W34" s="110">
        <f>W$22*shipping_manufacturing!$E$27/100</f>
        <v>131.58474841579914</v>
      </c>
      <c r="X34" s="110">
        <f>X$22*shipping_manufacturing!$E$27/100</f>
        <v>131.58474841579914</v>
      </c>
      <c r="Y34" s="110">
        <f>Y$22*shipping_manufacturing!$E$27/100</f>
        <v>131.58474841579914</v>
      </c>
      <c r="Z34" s="110">
        <f>Z$22*shipping_manufacturing!$E$27/100</f>
        <v>0</v>
      </c>
      <c r="AA34" s="110">
        <f>AA$22*shipping_manufacturing!$E$27/100</f>
        <v>131.58474841579914</v>
      </c>
      <c r="AB34" s="110">
        <f>AB$22*shipping_manufacturing!$E$27/100</f>
        <v>131.58474841579914</v>
      </c>
      <c r="AC34" s="110">
        <f>AC$22*shipping_manufacturing!$E$27/100</f>
        <v>131.58474841579914</v>
      </c>
      <c r="AD34" s="110">
        <f>AD$22*shipping_manufacturing!$E$27/100</f>
        <v>131.58474841579914</v>
      </c>
      <c r="AE34" s="110">
        <f>AE$22*shipping_manufacturing!$E$27/100</f>
        <v>131.58474841579914</v>
      </c>
      <c r="AF34" s="110">
        <f>AF$22*shipping_manufacturing!$E$27/100</f>
        <v>131.58474841579914</v>
      </c>
      <c r="AG34" s="110">
        <f>AG$22*shipping_manufacturing!$E$27/100</f>
        <v>131.58474841579914</v>
      </c>
      <c r="AH34" s="110">
        <f>AH$22*shipping_manufacturing!$E$27/100</f>
        <v>131.58474841579914</v>
      </c>
      <c r="AI34" s="110">
        <f>AI$22*shipping_manufacturing!$E$27/100</f>
        <v>131.58474841579914</v>
      </c>
      <c r="AJ34" s="110">
        <f>AJ$22*shipping_manufacturing!$E$27/100</f>
        <v>131.58474841579914</v>
      </c>
      <c r="AK34" s="110">
        <f>AK$22*shipping_manufacturing!$E$27/100</f>
        <v>131.58474841579914</v>
      </c>
      <c r="AL34" s="110">
        <f>AL$22*shipping_manufacturing!$E$27/100</f>
        <v>131.58474841579914</v>
      </c>
      <c r="AM34" s="110">
        <f>AM$22*shipping_manufacturing!$E$27/100</f>
        <v>131.58474841579914</v>
      </c>
      <c r="AN34" s="110">
        <f>AN$22*shipping_manufacturing!$E$27/100</f>
        <v>131.58474841579914</v>
      </c>
      <c r="AO34" s="110">
        <f>AO$22*shipping_manufacturing!$E$27/100</f>
        <v>131.58474841579914</v>
      </c>
      <c r="AP34" s="110">
        <f>AP$22*shipping_manufacturing!$E$27/100</f>
        <v>131.58474841579914</v>
      </c>
      <c r="AQ34" s="110">
        <f>AQ$22*shipping_manufacturing!$E$27/100</f>
        <v>131.58474841579914</v>
      </c>
      <c r="AR34" s="110">
        <f>AR$22*shipping_manufacturing!$E$27/100</f>
        <v>131.58474841579914</v>
      </c>
      <c r="AS34" s="110">
        <f>AS$22*shipping_manufacturing!$E$27/100</f>
        <v>131.58474841579914</v>
      </c>
      <c r="AT34" s="110">
        <f>AT$22*shipping_manufacturing!$E$27/100</f>
        <v>131.58474841579914</v>
      </c>
      <c r="AU34" s="110">
        <f>AU$22*shipping_manufacturing!$E$27/100</f>
        <v>0</v>
      </c>
      <c r="AV34" s="110">
        <f>AV$22*shipping_manufacturing!$E$27/100</f>
        <v>131.58474841579914</v>
      </c>
      <c r="AW34" s="110">
        <f>AW$22*shipping_manufacturing!$E$27/100</f>
        <v>131.58474841579914</v>
      </c>
      <c r="AX34" s="110">
        <f>AX$22*shipping_manufacturing!$E$27/100</f>
        <v>131.58474841579914</v>
      </c>
      <c r="AY34" s="110">
        <f>AY$22*shipping_manufacturing!$E$27/100</f>
        <v>131.58474841579914</v>
      </c>
    </row>
    <row r="35" spans="1:52">
      <c r="A35" s="110">
        <v>1225</v>
      </c>
      <c r="B35" s="165" t="s">
        <v>343</v>
      </c>
      <c r="C35" s="110"/>
      <c r="D35" s="110">
        <f>SUM(D33:D34)</f>
        <v>277.96107013602358</v>
      </c>
      <c r="E35" s="110">
        <f t="shared" ref="E35:AY35" si="11">SUM(E33:E34)</f>
        <v>277.96107013602358</v>
      </c>
      <c r="F35" s="110">
        <f t="shared" si="11"/>
        <v>277.96107013602358</v>
      </c>
      <c r="G35" s="110">
        <f t="shared" si="11"/>
        <v>277.96107013602358</v>
      </c>
      <c r="H35" s="110">
        <f t="shared" si="11"/>
        <v>277.96107013602358</v>
      </c>
      <c r="I35" s="110">
        <f t="shared" si="11"/>
        <v>277.96107013602358</v>
      </c>
      <c r="J35" s="110">
        <f t="shared" si="11"/>
        <v>277.96107013602358</v>
      </c>
      <c r="K35" s="110">
        <f t="shared" si="11"/>
        <v>277.96107013602358</v>
      </c>
      <c r="L35" s="110">
        <f t="shared" si="11"/>
        <v>277.96107013602358</v>
      </c>
      <c r="M35" s="110">
        <f t="shared" si="11"/>
        <v>277.96107013602358</v>
      </c>
      <c r="N35" s="110">
        <f t="shared" si="11"/>
        <v>277.96107013602358</v>
      </c>
      <c r="O35" s="110">
        <f t="shared" si="11"/>
        <v>277.96107013602358</v>
      </c>
      <c r="P35" s="110">
        <f t="shared" si="11"/>
        <v>277.96107013602358</v>
      </c>
      <c r="Q35" s="110">
        <f t="shared" si="11"/>
        <v>1.4404590642324832E-21</v>
      </c>
      <c r="R35" s="110">
        <f t="shared" si="11"/>
        <v>1.4404590642324832E-21</v>
      </c>
      <c r="S35" s="110">
        <f t="shared" si="11"/>
        <v>1.4404590642324832E-21</v>
      </c>
      <c r="T35" s="110">
        <f t="shared" si="11"/>
        <v>1.4404590642324832E-21</v>
      </c>
      <c r="U35" s="110">
        <f t="shared" si="11"/>
        <v>277.96107013602358</v>
      </c>
      <c r="V35" s="110">
        <f t="shared" si="11"/>
        <v>277.96107013602358</v>
      </c>
      <c r="W35" s="110">
        <f t="shared" si="11"/>
        <v>277.96107013602358</v>
      </c>
      <c r="X35" s="110">
        <f t="shared" si="11"/>
        <v>277.96107013602358</v>
      </c>
      <c r="Y35" s="110">
        <f t="shared" si="11"/>
        <v>277.96107013602358</v>
      </c>
      <c r="Z35" s="110">
        <f t="shared" si="11"/>
        <v>0</v>
      </c>
      <c r="AA35" s="110">
        <f t="shared" si="11"/>
        <v>277.96107013602358</v>
      </c>
      <c r="AB35" s="110">
        <f t="shared" si="11"/>
        <v>277.96107013602358</v>
      </c>
      <c r="AC35" s="110">
        <f t="shared" si="11"/>
        <v>277.96107013602358</v>
      </c>
      <c r="AD35" s="110">
        <f t="shared" si="11"/>
        <v>277.96107013602358</v>
      </c>
      <c r="AE35" s="110">
        <f t="shared" si="11"/>
        <v>277.96107013602358</v>
      </c>
      <c r="AF35" s="110">
        <f t="shared" si="11"/>
        <v>277.96107013602358</v>
      </c>
      <c r="AG35" s="110">
        <f t="shared" si="11"/>
        <v>277.96107013602358</v>
      </c>
      <c r="AH35" s="110">
        <f t="shared" si="11"/>
        <v>277.96107013602358</v>
      </c>
      <c r="AI35" s="110">
        <f t="shared" si="11"/>
        <v>277.96107013602358</v>
      </c>
      <c r="AJ35" s="110">
        <f t="shared" si="11"/>
        <v>277.96107013602358</v>
      </c>
      <c r="AK35" s="110">
        <f t="shared" si="11"/>
        <v>277.96107013602358</v>
      </c>
      <c r="AL35" s="110">
        <f t="shared" si="11"/>
        <v>277.96107013602358</v>
      </c>
      <c r="AM35" s="110">
        <f t="shared" si="11"/>
        <v>277.96107013602358</v>
      </c>
      <c r="AN35" s="110">
        <f t="shared" si="11"/>
        <v>277.96107013602358</v>
      </c>
      <c r="AO35" s="110">
        <f t="shared" si="11"/>
        <v>277.96107013602358</v>
      </c>
      <c r="AP35" s="110">
        <f t="shared" si="11"/>
        <v>277.96107013602358</v>
      </c>
      <c r="AQ35" s="110">
        <f t="shared" si="11"/>
        <v>277.96107013602358</v>
      </c>
      <c r="AR35" s="110">
        <f t="shared" si="11"/>
        <v>277.96107013602358</v>
      </c>
      <c r="AS35" s="110">
        <f t="shared" si="11"/>
        <v>277.96107013602358</v>
      </c>
      <c r="AT35" s="110">
        <f t="shared" si="11"/>
        <v>277.96107013602358</v>
      </c>
      <c r="AU35" s="110">
        <f t="shared" si="11"/>
        <v>0</v>
      </c>
      <c r="AV35" s="110">
        <f t="shared" si="11"/>
        <v>277.96107013602358</v>
      </c>
      <c r="AW35" s="110">
        <f t="shared" si="11"/>
        <v>277.96107013602358</v>
      </c>
      <c r="AX35" s="110">
        <f t="shared" si="11"/>
        <v>277.96107013602358</v>
      </c>
      <c r="AY35" s="110">
        <f t="shared" si="11"/>
        <v>277.96107013602358</v>
      </c>
    </row>
    <row r="36" spans="1:52">
      <c r="A36" s="110"/>
      <c r="B36" s="165" t="s">
        <v>344</v>
      </c>
      <c r="C36" s="110"/>
      <c r="D36" s="110">
        <v>63.192873008551921</v>
      </c>
      <c r="E36" s="110">
        <v>94.789309512827884</v>
      </c>
      <c r="F36" s="110">
        <v>63.192873008551921</v>
      </c>
      <c r="G36" s="110">
        <v>94.789309512827884</v>
      </c>
      <c r="H36" s="110">
        <v>63.192873008551921</v>
      </c>
      <c r="I36" s="110">
        <v>94.789309512827884</v>
      </c>
      <c r="J36" s="110">
        <v>63.192873008551921</v>
      </c>
      <c r="K36" s="110">
        <v>94.789309512827884</v>
      </c>
      <c r="L36" s="110">
        <v>63.192873008551921</v>
      </c>
      <c r="M36" s="110">
        <v>94.789309512827884</v>
      </c>
      <c r="N36" s="110">
        <v>63.192873008551921</v>
      </c>
      <c r="O36" s="110">
        <v>94.789309512827884</v>
      </c>
      <c r="P36" s="110">
        <v>63.192873008551921</v>
      </c>
      <c r="Q36" s="110">
        <v>7.5855622266717367E-22</v>
      </c>
      <c r="R36" s="110">
        <v>7.5855622266717367E-22</v>
      </c>
      <c r="S36" s="110">
        <v>7.5855622266717367E-22</v>
      </c>
      <c r="T36" s="110">
        <v>7.5855622266717367E-22</v>
      </c>
      <c r="U36" s="110">
        <v>142.18396426924184</v>
      </c>
      <c r="V36" s="110"/>
      <c r="W36" s="110">
        <v>142.18396426924184</v>
      </c>
      <c r="X36" s="110"/>
      <c r="Y36" s="110">
        <v>142.18396426924184</v>
      </c>
      <c r="Z36" s="110"/>
      <c r="AA36" s="110">
        <v>146.37632172022444</v>
      </c>
      <c r="AB36" s="110"/>
      <c r="AC36" s="110">
        <v>146.37632172022444</v>
      </c>
      <c r="AD36" s="110"/>
      <c r="AE36" s="110">
        <v>146.37632172022444</v>
      </c>
      <c r="AF36" s="110"/>
      <c r="AG36" s="110">
        <v>146.37632172022444</v>
      </c>
      <c r="AH36" s="110"/>
      <c r="AI36" s="110">
        <v>146.37632172022444</v>
      </c>
      <c r="AJ36" s="110"/>
      <c r="AK36" s="110">
        <v>146.37632172022444</v>
      </c>
      <c r="AL36" s="110"/>
      <c r="AM36" s="110">
        <v>146.37632172022444</v>
      </c>
      <c r="AN36" s="110"/>
      <c r="AO36" s="110">
        <v>146.37632172022444</v>
      </c>
      <c r="AP36" s="110"/>
      <c r="AQ36" s="110">
        <v>146.37632172022444</v>
      </c>
      <c r="AR36" s="110"/>
      <c r="AS36" s="110">
        <v>146.37632172022444</v>
      </c>
      <c r="AT36" s="110"/>
      <c r="AU36" s="110"/>
      <c r="AV36" s="110">
        <v>146.37632172022444</v>
      </c>
      <c r="AW36" s="110"/>
      <c r="AX36" s="110">
        <v>146.37632172022444</v>
      </c>
      <c r="AY36" s="110"/>
    </row>
    <row r="37" spans="1:52">
      <c r="A37" s="110"/>
      <c r="B37" s="165" t="s">
        <v>345</v>
      </c>
      <c r="C37" s="110"/>
      <c r="D37" s="110">
        <v>56.807126991448079</v>
      </c>
      <c r="E37" s="110">
        <v>85.21069048717213</v>
      </c>
      <c r="F37" s="110">
        <v>56.807126991448079</v>
      </c>
      <c r="G37" s="110">
        <v>85.21069048717213</v>
      </c>
      <c r="H37" s="110">
        <v>56.807126991448079</v>
      </c>
      <c r="I37" s="110">
        <v>85.21069048717213</v>
      </c>
      <c r="J37" s="110">
        <v>56.807126991448079</v>
      </c>
      <c r="K37" s="110">
        <v>85.21069048717213</v>
      </c>
      <c r="L37" s="110">
        <v>56.807126991448079</v>
      </c>
      <c r="M37" s="110">
        <v>85.21069048717213</v>
      </c>
      <c r="N37" s="110">
        <v>56.807126991448079</v>
      </c>
      <c r="O37" s="110">
        <v>85.21069048717213</v>
      </c>
      <c r="P37" s="110">
        <v>56.807126991448079</v>
      </c>
      <c r="Q37" s="110">
        <v>6.8190284156530941E-22</v>
      </c>
      <c r="R37" s="110">
        <v>6.8190284156530941E-22</v>
      </c>
      <c r="S37" s="110">
        <v>6.8190284156530941E-22</v>
      </c>
      <c r="T37" s="110">
        <v>6.8190284156530941E-22</v>
      </c>
      <c r="U37" s="110">
        <v>127.81603573075822</v>
      </c>
      <c r="V37" s="110"/>
      <c r="W37" s="110">
        <v>127.81603573075822</v>
      </c>
      <c r="X37" s="110"/>
      <c r="Y37" s="110">
        <v>127.81603573075822</v>
      </c>
      <c r="Z37" s="110"/>
      <c r="AA37" s="110">
        <v>131.5847484157992</v>
      </c>
      <c r="AB37" s="110"/>
      <c r="AC37" s="110">
        <v>131.5847484157992</v>
      </c>
      <c r="AD37" s="110"/>
      <c r="AE37" s="110">
        <v>131.5847484157992</v>
      </c>
      <c r="AF37" s="110"/>
      <c r="AG37" s="110">
        <v>131.5847484157992</v>
      </c>
      <c r="AH37" s="110"/>
      <c r="AI37" s="110">
        <v>131.5847484157992</v>
      </c>
      <c r="AJ37" s="110"/>
      <c r="AK37" s="110">
        <v>131.5847484157992</v>
      </c>
      <c r="AL37" s="110"/>
      <c r="AM37" s="110">
        <v>131.5847484157992</v>
      </c>
      <c r="AN37" s="110"/>
      <c r="AO37" s="110">
        <v>131.5847484157992</v>
      </c>
      <c r="AP37" s="110"/>
      <c r="AQ37" s="110">
        <v>131.5847484157992</v>
      </c>
      <c r="AR37" s="110"/>
      <c r="AS37" s="110">
        <v>131.5847484157992</v>
      </c>
      <c r="AT37" s="110"/>
      <c r="AU37" s="110"/>
      <c r="AV37" s="110">
        <v>131.5847484157992</v>
      </c>
      <c r="AW37" s="110"/>
      <c r="AX37" s="110">
        <v>131.5847484157992</v>
      </c>
      <c r="AY37" s="110"/>
    </row>
    <row r="38" spans="1:52">
      <c r="A38" s="110"/>
      <c r="B38" s="165" t="s">
        <v>346</v>
      </c>
      <c r="C38" s="110"/>
      <c r="D38" s="110">
        <v>4</v>
      </c>
      <c r="E38" s="110">
        <v>6</v>
      </c>
      <c r="F38" s="110">
        <v>4</v>
      </c>
      <c r="G38" s="110">
        <v>6</v>
      </c>
      <c r="H38" s="110">
        <v>4</v>
      </c>
      <c r="I38" s="110">
        <v>6</v>
      </c>
      <c r="J38" s="110">
        <v>4</v>
      </c>
      <c r="K38" s="110">
        <v>6</v>
      </c>
      <c r="L38" s="110">
        <v>4</v>
      </c>
      <c r="M38" s="110">
        <v>6</v>
      </c>
      <c r="N38" s="110">
        <v>4</v>
      </c>
      <c r="O38" s="110">
        <v>6</v>
      </c>
      <c r="P38" s="110">
        <v>4</v>
      </c>
      <c r="Q38" s="110">
        <v>1</v>
      </c>
      <c r="R38" s="110">
        <v>1</v>
      </c>
      <c r="S38" s="110">
        <v>1</v>
      </c>
      <c r="T38" s="110">
        <v>1</v>
      </c>
      <c r="U38" s="110">
        <v>9</v>
      </c>
      <c r="V38" s="110"/>
      <c r="W38" s="110">
        <v>9</v>
      </c>
      <c r="X38" s="110"/>
      <c r="Y38" s="110">
        <v>9</v>
      </c>
      <c r="Z38" s="110"/>
      <c r="AA38" s="110">
        <v>10</v>
      </c>
      <c r="AB38" s="110"/>
      <c r="AC38" s="110">
        <v>10</v>
      </c>
      <c r="AD38" s="110"/>
      <c r="AE38" s="110">
        <v>10</v>
      </c>
      <c r="AF38" s="110"/>
      <c r="AG38" s="110">
        <v>10</v>
      </c>
      <c r="AH38" s="110"/>
      <c r="AI38" s="110">
        <v>10</v>
      </c>
      <c r="AJ38" s="110"/>
      <c r="AK38" s="110">
        <v>10</v>
      </c>
      <c r="AL38" s="110"/>
      <c r="AM38" s="110">
        <v>10</v>
      </c>
      <c r="AN38" s="110"/>
      <c r="AO38" s="110">
        <v>10</v>
      </c>
      <c r="AP38" s="110"/>
      <c r="AQ38" s="110">
        <v>10</v>
      </c>
      <c r="AR38" s="110"/>
      <c r="AS38" s="110">
        <v>10</v>
      </c>
      <c r="AT38" s="110"/>
      <c r="AU38" s="110"/>
      <c r="AV38" s="110">
        <v>10</v>
      </c>
      <c r="AW38" s="110"/>
      <c r="AX38" s="110">
        <v>10</v>
      </c>
      <c r="AY38" s="110"/>
    </row>
    <row r="39" spans="1:52">
      <c r="A39" s="110"/>
      <c r="B39" s="165" t="s">
        <v>347</v>
      </c>
      <c r="C39" s="110"/>
      <c r="D39" s="110">
        <f>D33-D36</f>
        <v>83.183448711672526</v>
      </c>
      <c r="E39" s="110">
        <f t="shared" ref="E39:AY39" si="12">E33-E36</f>
        <v>51.587012207396555</v>
      </c>
      <c r="F39" s="110">
        <f t="shared" si="12"/>
        <v>83.183448711672526</v>
      </c>
      <c r="G39" s="110">
        <f t="shared" si="12"/>
        <v>51.587012207396555</v>
      </c>
      <c r="H39" s="110">
        <f t="shared" si="12"/>
        <v>83.183448711672526</v>
      </c>
      <c r="I39" s="110">
        <f t="shared" si="12"/>
        <v>51.587012207396555</v>
      </c>
      <c r="J39" s="110">
        <f t="shared" si="12"/>
        <v>83.183448711672526</v>
      </c>
      <c r="K39" s="110">
        <f t="shared" si="12"/>
        <v>51.587012207396555</v>
      </c>
      <c r="L39" s="110">
        <f t="shared" si="12"/>
        <v>83.183448711672526</v>
      </c>
      <c r="M39" s="110">
        <f t="shared" si="12"/>
        <v>51.587012207396555</v>
      </c>
      <c r="N39" s="110">
        <f t="shared" si="12"/>
        <v>83.183448711672526</v>
      </c>
      <c r="O39" s="110">
        <f t="shared" si="12"/>
        <v>51.587012207396555</v>
      </c>
      <c r="P39" s="110">
        <f t="shared" si="12"/>
        <v>83.183448711672526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4.1923574509825983</v>
      </c>
      <c r="V39" s="110">
        <f t="shared" si="12"/>
        <v>146.37632172022444</v>
      </c>
      <c r="W39" s="110">
        <f t="shared" si="12"/>
        <v>4.1923574509825983</v>
      </c>
      <c r="X39" s="110">
        <f t="shared" si="12"/>
        <v>146.37632172022444</v>
      </c>
      <c r="Y39" s="110">
        <f t="shared" si="12"/>
        <v>4.1923574509825983</v>
      </c>
      <c r="Z39" s="110">
        <f t="shared" si="12"/>
        <v>0</v>
      </c>
      <c r="AA39" s="110">
        <f t="shared" si="12"/>
        <v>0</v>
      </c>
      <c r="AB39" s="110">
        <f t="shared" si="12"/>
        <v>146.37632172022444</v>
      </c>
      <c r="AC39" s="110">
        <f t="shared" si="12"/>
        <v>0</v>
      </c>
      <c r="AD39" s="110">
        <f t="shared" si="12"/>
        <v>146.37632172022444</v>
      </c>
      <c r="AE39" s="110">
        <f t="shared" si="12"/>
        <v>0</v>
      </c>
      <c r="AF39" s="110">
        <f t="shared" si="12"/>
        <v>146.37632172022444</v>
      </c>
      <c r="AG39" s="110">
        <f t="shared" si="12"/>
        <v>0</v>
      </c>
      <c r="AH39" s="110">
        <f t="shared" si="12"/>
        <v>146.37632172022444</v>
      </c>
      <c r="AI39" s="110">
        <f t="shared" si="12"/>
        <v>0</v>
      </c>
      <c r="AJ39" s="110">
        <f t="shared" si="12"/>
        <v>146.37632172022444</v>
      </c>
      <c r="AK39" s="110">
        <f t="shared" si="12"/>
        <v>0</v>
      </c>
      <c r="AL39" s="110">
        <f t="shared" si="12"/>
        <v>146.37632172022444</v>
      </c>
      <c r="AM39" s="110">
        <f t="shared" si="12"/>
        <v>0</v>
      </c>
      <c r="AN39" s="110">
        <f t="shared" si="12"/>
        <v>146.37632172022444</v>
      </c>
      <c r="AO39" s="110">
        <f t="shared" si="12"/>
        <v>0</v>
      </c>
      <c r="AP39" s="110">
        <f t="shared" si="12"/>
        <v>146.37632172022444</v>
      </c>
      <c r="AQ39" s="110">
        <f t="shared" si="12"/>
        <v>0</v>
      </c>
      <c r="AR39" s="110">
        <f t="shared" si="12"/>
        <v>146.37632172022444</v>
      </c>
      <c r="AS39" s="110">
        <f t="shared" si="12"/>
        <v>0</v>
      </c>
      <c r="AT39" s="110">
        <f t="shared" si="12"/>
        <v>146.37632172022444</v>
      </c>
      <c r="AU39" s="110">
        <f t="shared" si="12"/>
        <v>0</v>
      </c>
      <c r="AV39" s="110">
        <f t="shared" si="12"/>
        <v>0</v>
      </c>
      <c r="AW39" s="110">
        <f t="shared" si="12"/>
        <v>146.37632172022444</v>
      </c>
      <c r="AX39" s="110">
        <f t="shared" si="12"/>
        <v>0</v>
      </c>
      <c r="AY39" s="110">
        <f t="shared" si="12"/>
        <v>146.37632172022444</v>
      </c>
    </row>
    <row r="40" spans="1:52">
      <c r="A40" s="110"/>
      <c r="B40" s="165" t="s">
        <v>348</v>
      </c>
      <c r="C40" s="110"/>
      <c r="D40" s="110">
        <f>D34-D37</f>
        <v>74.777621424351054</v>
      </c>
      <c r="E40" s="110">
        <f t="shared" ref="E40:AY40" si="13">E34-E37</f>
        <v>46.37405792862701</v>
      </c>
      <c r="F40" s="110">
        <f t="shared" si="13"/>
        <v>74.777621424351054</v>
      </c>
      <c r="G40" s="110">
        <f t="shared" si="13"/>
        <v>46.37405792862701</v>
      </c>
      <c r="H40" s="110">
        <f t="shared" si="13"/>
        <v>74.777621424351054</v>
      </c>
      <c r="I40" s="110">
        <f t="shared" si="13"/>
        <v>46.37405792862701</v>
      </c>
      <c r="J40" s="110">
        <f t="shared" si="13"/>
        <v>74.777621424351054</v>
      </c>
      <c r="K40" s="110">
        <f t="shared" si="13"/>
        <v>46.37405792862701</v>
      </c>
      <c r="L40" s="110">
        <f t="shared" si="13"/>
        <v>74.777621424351054</v>
      </c>
      <c r="M40" s="110">
        <f t="shared" si="13"/>
        <v>46.37405792862701</v>
      </c>
      <c r="N40" s="110">
        <f t="shared" si="13"/>
        <v>74.777621424351054</v>
      </c>
      <c r="O40" s="110">
        <f t="shared" si="13"/>
        <v>46.37405792862701</v>
      </c>
      <c r="P40" s="110">
        <f t="shared" si="13"/>
        <v>74.777621424351054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3.7687126850409243</v>
      </c>
      <c r="V40" s="110">
        <f t="shared" si="13"/>
        <v>131.58474841579914</v>
      </c>
      <c r="W40" s="110">
        <f t="shared" si="13"/>
        <v>3.7687126850409243</v>
      </c>
      <c r="X40" s="110">
        <f t="shared" si="13"/>
        <v>131.58474841579914</v>
      </c>
      <c r="Y40" s="110">
        <f t="shared" si="13"/>
        <v>3.7687126850409243</v>
      </c>
      <c r="Z40" s="110">
        <f t="shared" si="13"/>
        <v>0</v>
      </c>
      <c r="AA40" s="110">
        <f t="shared" si="13"/>
        <v>0</v>
      </c>
      <c r="AB40" s="110">
        <f t="shared" si="13"/>
        <v>131.58474841579914</v>
      </c>
      <c r="AC40" s="110">
        <f t="shared" si="13"/>
        <v>0</v>
      </c>
      <c r="AD40" s="110">
        <f t="shared" si="13"/>
        <v>131.58474841579914</v>
      </c>
      <c r="AE40" s="110">
        <f t="shared" si="13"/>
        <v>0</v>
      </c>
      <c r="AF40" s="110">
        <f t="shared" si="13"/>
        <v>131.58474841579914</v>
      </c>
      <c r="AG40" s="110">
        <f t="shared" si="13"/>
        <v>0</v>
      </c>
      <c r="AH40" s="110">
        <f t="shared" si="13"/>
        <v>131.58474841579914</v>
      </c>
      <c r="AI40" s="110">
        <f t="shared" si="13"/>
        <v>0</v>
      </c>
      <c r="AJ40" s="110">
        <f t="shared" si="13"/>
        <v>131.58474841579914</v>
      </c>
      <c r="AK40" s="110">
        <f t="shared" si="13"/>
        <v>0</v>
      </c>
      <c r="AL40" s="110">
        <f t="shared" si="13"/>
        <v>131.58474841579914</v>
      </c>
      <c r="AM40" s="110">
        <f t="shared" si="13"/>
        <v>0</v>
      </c>
      <c r="AN40" s="110">
        <f t="shared" si="13"/>
        <v>131.58474841579914</v>
      </c>
      <c r="AO40" s="110">
        <f t="shared" si="13"/>
        <v>0</v>
      </c>
      <c r="AP40" s="110">
        <f t="shared" si="13"/>
        <v>131.58474841579914</v>
      </c>
      <c r="AQ40" s="110">
        <f t="shared" si="13"/>
        <v>0</v>
      </c>
      <c r="AR40" s="110">
        <f t="shared" si="13"/>
        <v>131.58474841579914</v>
      </c>
      <c r="AS40" s="110">
        <f t="shared" si="13"/>
        <v>0</v>
      </c>
      <c r="AT40" s="110">
        <f t="shared" si="13"/>
        <v>131.58474841579914</v>
      </c>
      <c r="AU40" s="110">
        <f t="shared" si="13"/>
        <v>0</v>
      </c>
      <c r="AV40" s="110">
        <f t="shared" si="13"/>
        <v>0</v>
      </c>
      <c r="AW40" s="110">
        <f t="shared" si="13"/>
        <v>131.58474841579914</v>
      </c>
      <c r="AX40" s="110">
        <f t="shared" si="13"/>
        <v>0</v>
      </c>
      <c r="AY40" s="110">
        <f t="shared" si="13"/>
        <v>131.58474841579914</v>
      </c>
    </row>
    <row r="41" spans="1:52">
      <c r="A41" s="110"/>
      <c r="B41" s="165" t="s">
        <v>349</v>
      </c>
      <c r="C41" s="110"/>
      <c r="D41" s="110">
        <v>1</v>
      </c>
      <c r="E41" s="110">
        <v>3</v>
      </c>
      <c r="F41" s="110">
        <v>2</v>
      </c>
      <c r="G41" s="110">
        <v>1</v>
      </c>
      <c r="H41" s="110">
        <v>1</v>
      </c>
      <c r="I41" s="110">
        <v>2</v>
      </c>
      <c r="J41" s="110">
        <v>1</v>
      </c>
      <c r="K41" s="110">
        <v>2</v>
      </c>
      <c r="L41" s="110">
        <v>1</v>
      </c>
      <c r="M41" s="110">
        <v>1</v>
      </c>
      <c r="N41" s="110">
        <v>2</v>
      </c>
      <c r="O41" s="110">
        <v>1</v>
      </c>
      <c r="P41" s="110">
        <v>1</v>
      </c>
      <c r="Q41" s="110">
        <v>1</v>
      </c>
      <c r="R41" s="110">
        <v>2</v>
      </c>
      <c r="S41" s="110">
        <v>2</v>
      </c>
      <c r="T41" s="110">
        <v>1</v>
      </c>
      <c r="U41" s="110">
        <v>1</v>
      </c>
      <c r="V41" s="110">
        <v>2</v>
      </c>
      <c r="W41" s="110">
        <v>1</v>
      </c>
      <c r="X41" s="110">
        <v>1</v>
      </c>
      <c r="Y41" s="110">
        <v>3</v>
      </c>
      <c r="Z41" s="110">
        <v>1</v>
      </c>
      <c r="AA41" s="110">
        <v>1</v>
      </c>
      <c r="AB41" s="110">
        <v>2</v>
      </c>
      <c r="AC41" s="110">
        <v>2</v>
      </c>
      <c r="AD41" s="110">
        <v>1</v>
      </c>
      <c r="AE41" s="110">
        <v>2</v>
      </c>
      <c r="AF41" s="110">
        <v>2</v>
      </c>
      <c r="AG41" s="110">
        <v>1</v>
      </c>
      <c r="AH41" s="110">
        <v>2</v>
      </c>
      <c r="AI41" s="110">
        <v>2</v>
      </c>
      <c r="AJ41" s="110">
        <v>1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176400</v>
      </c>
      <c r="E42" s="110">
        <v>264600</v>
      </c>
      <c r="F42" s="110">
        <v>176400</v>
      </c>
      <c r="G42" s="110">
        <v>264600</v>
      </c>
      <c r="H42" s="110">
        <v>176400</v>
      </c>
      <c r="I42" s="110">
        <v>264600</v>
      </c>
      <c r="J42" s="110">
        <v>176400</v>
      </c>
      <c r="K42" s="110">
        <v>264600</v>
      </c>
      <c r="L42" s="110">
        <v>176400</v>
      </c>
      <c r="M42" s="110">
        <v>264600</v>
      </c>
      <c r="N42" s="110">
        <v>176400</v>
      </c>
      <c r="O42" s="110">
        <v>264600</v>
      </c>
      <c r="P42" s="110">
        <v>176400</v>
      </c>
      <c r="Q42" s="110">
        <v>44100</v>
      </c>
      <c r="R42" s="110">
        <v>44100</v>
      </c>
      <c r="S42" s="110">
        <v>44100</v>
      </c>
      <c r="T42" s="110">
        <v>44100</v>
      </c>
      <c r="U42" s="110">
        <v>396900</v>
      </c>
      <c r="V42" s="110">
        <v>0</v>
      </c>
      <c r="W42" s="110">
        <v>396900</v>
      </c>
      <c r="X42" s="110">
        <v>0</v>
      </c>
      <c r="Y42" s="110">
        <v>396900</v>
      </c>
      <c r="Z42" s="110">
        <v>0</v>
      </c>
      <c r="AA42" s="110">
        <v>441000</v>
      </c>
      <c r="AB42" s="110">
        <v>0</v>
      </c>
      <c r="AC42" s="110">
        <v>441000</v>
      </c>
      <c r="AD42" s="110">
        <v>0</v>
      </c>
      <c r="AE42" s="110">
        <v>441000</v>
      </c>
      <c r="AF42" s="110">
        <v>0</v>
      </c>
      <c r="AG42" s="110">
        <v>441000</v>
      </c>
      <c r="AH42" s="110">
        <v>0</v>
      </c>
      <c r="AI42" s="110">
        <v>441000</v>
      </c>
      <c r="AJ42" s="110">
        <v>0</v>
      </c>
      <c r="AK42" s="110">
        <v>441000</v>
      </c>
      <c r="AL42" s="110">
        <v>0</v>
      </c>
      <c r="AM42" s="110">
        <v>441000</v>
      </c>
      <c r="AN42" s="110">
        <v>0</v>
      </c>
      <c r="AO42" s="110">
        <v>441000</v>
      </c>
      <c r="AP42" s="110">
        <v>0</v>
      </c>
      <c r="AQ42" s="110">
        <v>441000</v>
      </c>
      <c r="AR42" s="110">
        <v>0</v>
      </c>
      <c r="AS42" s="110">
        <v>441000</v>
      </c>
      <c r="AT42" s="110">
        <v>0</v>
      </c>
      <c r="AU42" s="110">
        <v>0</v>
      </c>
      <c r="AV42" s="110">
        <v>441000</v>
      </c>
      <c r="AW42" s="110">
        <v>0</v>
      </c>
      <c r="AX42" s="110">
        <v>441000</v>
      </c>
      <c r="AY42" s="110">
        <v>0</v>
      </c>
      <c r="AZ42" s="100">
        <f>SUM($D$42:$AY$42)</f>
        <v>9481500</v>
      </c>
    </row>
    <row r="43" spans="1:52">
      <c r="A43" s="110"/>
      <c r="B43" s="178" t="s">
        <v>351</v>
      </c>
      <c r="C43" s="110"/>
      <c r="D43" s="110">
        <v>125776.50209580878</v>
      </c>
      <c r="E43" s="110">
        <v>78001.50209580877</v>
      </c>
      <c r="F43" s="110">
        <v>125776.50209580878</v>
      </c>
      <c r="G43" s="110">
        <v>78001.50209580877</v>
      </c>
      <c r="H43" s="110">
        <v>125776.50209580878</v>
      </c>
      <c r="I43" s="110">
        <v>78001.50209580877</v>
      </c>
      <c r="J43" s="110">
        <v>125776.50209580878</v>
      </c>
      <c r="K43" s="110">
        <v>78001.50209580877</v>
      </c>
      <c r="L43" s="110">
        <v>125776.50209580878</v>
      </c>
      <c r="M43" s="110">
        <v>78001.50209580877</v>
      </c>
      <c r="N43" s="110">
        <v>125776.50209580878</v>
      </c>
      <c r="O43" s="110">
        <v>78001.50209580877</v>
      </c>
      <c r="P43" s="110">
        <v>125776.50209580878</v>
      </c>
      <c r="Q43" s="110">
        <v>0</v>
      </c>
      <c r="R43" s="110">
        <v>0</v>
      </c>
      <c r="S43" s="110">
        <v>0</v>
      </c>
      <c r="T43" s="110">
        <v>0</v>
      </c>
      <c r="U43" s="110">
        <v>6339.0020958087307</v>
      </c>
      <c r="V43" s="110">
        <v>221326.50209580877</v>
      </c>
      <c r="W43" s="110">
        <v>6339.0020958087307</v>
      </c>
      <c r="X43" s="110">
        <v>221326.50209580877</v>
      </c>
      <c r="Y43" s="110">
        <v>6339.0020958087307</v>
      </c>
      <c r="Z43" s="110">
        <v>0</v>
      </c>
      <c r="AA43" s="110">
        <v>0</v>
      </c>
      <c r="AB43" s="110">
        <v>221326.50209580877</v>
      </c>
      <c r="AC43" s="110">
        <v>0</v>
      </c>
      <c r="AD43" s="110">
        <v>221326.50209580877</v>
      </c>
      <c r="AE43" s="110">
        <v>0</v>
      </c>
      <c r="AF43" s="110">
        <v>221326.50209580877</v>
      </c>
      <c r="AG43" s="110">
        <v>0</v>
      </c>
      <c r="AH43" s="110">
        <v>221326.50209580877</v>
      </c>
      <c r="AI43" s="110">
        <v>0</v>
      </c>
      <c r="AJ43" s="110">
        <v>221326.50209580877</v>
      </c>
      <c r="AK43" s="110">
        <v>0</v>
      </c>
      <c r="AL43" s="110">
        <v>221326.50209580877</v>
      </c>
      <c r="AM43" s="110">
        <v>0</v>
      </c>
      <c r="AN43" s="110">
        <v>221326.50209580877</v>
      </c>
      <c r="AO43" s="110">
        <v>0</v>
      </c>
      <c r="AP43" s="110">
        <v>221326.50209580877</v>
      </c>
      <c r="AQ43" s="110">
        <v>0</v>
      </c>
      <c r="AR43" s="110">
        <v>221326.50209580877</v>
      </c>
      <c r="AS43" s="110">
        <v>0</v>
      </c>
      <c r="AT43" s="110">
        <v>221326.50209580877</v>
      </c>
      <c r="AU43" s="110">
        <v>0</v>
      </c>
      <c r="AV43" s="110">
        <v>0</v>
      </c>
      <c r="AW43" s="110">
        <v>221326.50209580877</v>
      </c>
      <c r="AX43" s="110">
        <v>0</v>
      </c>
      <c r="AY43" s="110">
        <v>221326.50209580877</v>
      </c>
      <c r="AZ43" s="100">
        <f>SUM($D$43:$AY$43)</f>
        <v>4466032.5628742632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153.2586411720383</v>
      </c>
      <c r="E44" s="124">
        <f>E$21*shipping_manufacturing!$D$28/100</f>
        <v>153.2586411720383</v>
      </c>
      <c r="F44" s="124">
        <f>F$21*shipping_manufacturing!$D$28/100</f>
        <v>153.2586411720383</v>
      </c>
      <c r="G44" s="124">
        <f>G$21*shipping_manufacturing!$D$28/100</f>
        <v>153.2586411720383</v>
      </c>
      <c r="H44" s="124">
        <f>H$21*shipping_manufacturing!$D$28/100</f>
        <v>153.2586411720383</v>
      </c>
      <c r="I44" s="124">
        <f>I$21*shipping_manufacturing!$D$28/100</f>
        <v>153.2586411720383</v>
      </c>
      <c r="J44" s="124">
        <f>J$21*shipping_manufacturing!$D$28/100</f>
        <v>153.2586411720383</v>
      </c>
      <c r="K44" s="124">
        <f>K$21*shipping_manufacturing!$D$28/100</f>
        <v>153.2586411720383</v>
      </c>
      <c r="L44" s="124">
        <f>L$21*shipping_manufacturing!$D$28/100</f>
        <v>153.2586411720383</v>
      </c>
      <c r="M44" s="124">
        <f>M$21*shipping_manufacturing!$D$28/100</f>
        <v>153.2586411720383</v>
      </c>
      <c r="N44" s="124">
        <f>N$21*shipping_manufacturing!$D$28/100</f>
        <v>153.2586411720383</v>
      </c>
      <c r="O44" s="124">
        <f>O$21*shipping_manufacturing!$D$28/100</f>
        <v>153.2586411720383</v>
      </c>
      <c r="P44" s="124">
        <f>P$21*shipping_manufacturing!$D$28/100</f>
        <v>153.2586411720383</v>
      </c>
      <c r="Q44" s="124">
        <f>Q$21*shipping_manufacturing!$D$28/100</f>
        <v>7.942220064852366E-22</v>
      </c>
      <c r="R44" s="124">
        <f>R$21*shipping_manufacturing!$D$28/100</f>
        <v>7.942220064852366E-22</v>
      </c>
      <c r="S44" s="124">
        <f>S$21*shipping_manufacturing!$D$28/100</f>
        <v>7.942220064852366E-22</v>
      </c>
      <c r="T44" s="124">
        <f>T$21*shipping_manufacturing!$D$28/100</f>
        <v>7.942220064852366E-22</v>
      </c>
      <c r="U44" s="124">
        <f>U$21*shipping_manufacturing!$D$28/100</f>
        <v>153.2586411720383</v>
      </c>
      <c r="V44" s="124">
        <f>V$21*shipping_manufacturing!$D$28/100</f>
        <v>153.2586411720383</v>
      </c>
      <c r="W44" s="124">
        <f>W$21*shipping_manufacturing!$D$28/100</f>
        <v>153.2586411720383</v>
      </c>
      <c r="X44" s="124">
        <f>X$21*shipping_manufacturing!$D$28/100</f>
        <v>153.2586411720383</v>
      </c>
      <c r="Y44" s="124">
        <f>Y$21*shipping_manufacturing!$D$28/100</f>
        <v>153.2586411720383</v>
      </c>
      <c r="Z44" s="124">
        <f>Z$21*shipping_manufacturing!$D$28/100</f>
        <v>0</v>
      </c>
      <c r="AA44" s="124">
        <f>AA$21*shipping_manufacturing!$D$28/100</f>
        <v>153.2586411720383</v>
      </c>
      <c r="AB44" s="124">
        <f>AB$21*shipping_manufacturing!$D$28/100</f>
        <v>153.2586411720383</v>
      </c>
      <c r="AC44" s="124">
        <f>AC$21*shipping_manufacturing!$D$28/100</f>
        <v>153.2586411720383</v>
      </c>
      <c r="AD44" s="124">
        <f>AD$21*shipping_manufacturing!$D$28/100</f>
        <v>153.2586411720383</v>
      </c>
      <c r="AE44" s="124">
        <f>AE$21*shipping_manufacturing!$D$28/100</f>
        <v>153.2586411720383</v>
      </c>
      <c r="AF44" s="124">
        <f>AF$21*shipping_manufacturing!$D$28/100</f>
        <v>153.2586411720383</v>
      </c>
      <c r="AG44" s="124">
        <f>AG$21*shipping_manufacturing!$D$28/100</f>
        <v>153.2586411720383</v>
      </c>
      <c r="AH44" s="124">
        <f>AH$21*shipping_manufacturing!$D$28/100</f>
        <v>153.2586411720383</v>
      </c>
      <c r="AI44" s="124">
        <f>AI$21*shipping_manufacturing!$D$28/100</f>
        <v>153.2586411720383</v>
      </c>
      <c r="AJ44" s="124">
        <f>AJ$21*shipping_manufacturing!$D$28/100</f>
        <v>153.2586411720383</v>
      </c>
      <c r="AK44" s="124">
        <f>AK$21*shipping_manufacturing!$D$28/100</f>
        <v>153.2586411720383</v>
      </c>
      <c r="AL44" s="124">
        <f>AL$21*shipping_manufacturing!$D$28/100</f>
        <v>153.2586411720383</v>
      </c>
      <c r="AM44" s="124">
        <f>AM$21*shipping_manufacturing!$D$28/100</f>
        <v>153.2586411720383</v>
      </c>
      <c r="AN44" s="124">
        <f>AN$21*shipping_manufacturing!$D$28/100</f>
        <v>153.2586411720383</v>
      </c>
      <c r="AO44" s="124">
        <f>AO$21*shipping_manufacturing!$D$28/100</f>
        <v>153.2586411720383</v>
      </c>
      <c r="AP44" s="124">
        <f>AP$21*shipping_manufacturing!$D$28/100</f>
        <v>153.2586411720383</v>
      </c>
      <c r="AQ44" s="124">
        <f>AQ$21*shipping_manufacturing!$D$28/100</f>
        <v>153.2586411720383</v>
      </c>
      <c r="AR44" s="124">
        <f>AR$21*shipping_manufacturing!$D$28/100</f>
        <v>153.2586411720383</v>
      </c>
      <c r="AS44" s="124">
        <f>AS$21*shipping_manufacturing!$D$28/100</f>
        <v>153.2586411720383</v>
      </c>
      <c r="AT44" s="124">
        <f>AT$21*shipping_manufacturing!$D$28/100</f>
        <v>153.2586411720383</v>
      </c>
      <c r="AU44" s="124">
        <f>AU$21*shipping_manufacturing!$D$28/100</f>
        <v>0</v>
      </c>
      <c r="AV44" s="124">
        <f>AV$21*shipping_manufacturing!$D$28/100</f>
        <v>153.2586411720383</v>
      </c>
      <c r="AW44" s="124">
        <f>AW$21*shipping_manufacturing!$D$28/100</f>
        <v>153.2586411720383</v>
      </c>
      <c r="AX44" s="124">
        <f>AX$21*shipping_manufacturing!$D$28/100</f>
        <v>153.2586411720383</v>
      </c>
      <c r="AY44" s="124">
        <f>AY$21*shipping_manufacturing!$D$28/100</f>
        <v>153.2586411720383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168.78028869193813</v>
      </c>
      <c r="E45" s="110">
        <f>E$22*shipping_manufacturing!$E$28/100</f>
        <v>168.78028869193813</v>
      </c>
      <c r="F45" s="110">
        <f>F$22*shipping_manufacturing!$E$28/100</f>
        <v>168.78028869193813</v>
      </c>
      <c r="G45" s="110">
        <f>G$22*shipping_manufacturing!$E$28/100</f>
        <v>168.78028869193813</v>
      </c>
      <c r="H45" s="110">
        <f>H$22*shipping_manufacturing!$E$28/100</f>
        <v>168.78028869193813</v>
      </c>
      <c r="I45" s="110">
        <f>I$22*shipping_manufacturing!$E$28/100</f>
        <v>168.78028869193813</v>
      </c>
      <c r="J45" s="110">
        <f>J$22*shipping_manufacturing!$E$28/100</f>
        <v>168.78028869193813</v>
      </c>
      <c r="K45" s="110">
        <f>K$22*shipping_manufacturing!$E$28/100</f>
        <v>168.78028869193813</v>
      </c>
      <c r="L45" s="110">
        <f>L$22*shipping_manufacturing!$E$28/100</f>
        <v>168.78028869193813</v>
      </c>
      <c r="M45" s="110">
        <f>M$22*shipping_manufacturing!$E$28/100</f>
        <v>168.78028869193813</v>
      </c>
      <c r="N45" s="110">
        <f>N$22*shipping_manufacturing!$E$28/100</f>
        <v>168.78028869193813</v>
      </c>
      <c r="O45" s="110">
        <f>O$22*shipping_manufacturing!$E$28/100</f>
        <v>168.78028869193813</v>
      </c>
      <c r="P45" s="110">
        <f>P$22*shipping_manufacturing!$E$28/100</f>
        <v>168.78028869193813</v>
      </c>
      <c r="Q45" s="110">
        <f>Q$22*shipping_manufacturing!$E$28/100</f>
        <v>8.7465880236791181E-22</v>
      </c>
      <c r="R45" s="110">
        <f>R$22*shipping_manufacturing!$E$28/100</f>
        <v>8.7465880236791181E-22</v>
      </c>
      <c r="S45" s="110">
        <f>S$22*shipping_manufacturing!$E$28/100</f>
        <v>8.7465880236791181E-22</v>
      </c>
      <c r="T45" s="110">
        <f>T$22*shipping_manufacturing!$E$28/100</f>
        <v>8.7465880236791181E-22</v>
      </c>
      <c r="U45" s="110">
        <f>U$22*shipping_manufacturing!$E$28/100</f>
        <v>168.78028869193813</v>
      </c>
      <c r="V45" s="110">
        <f>V$22*shipping_manufacturing!$E$28/100</f>
        <v>168.78028869193813</v>
      </c>
      <c r="W45" s="110">
        <f>W$22*shipping_manufacturing!$E$28/100</f>
        <v>168.78028869193813</v>
      </c>
      <c r="X45" s="110">
        <f>X$22*shipping_manufacturing!$E$28/100</f>
        <v>168.78028869193813</v>
      </c>
      <c r="Y45" s="110">
        <f>Y$22*shipping_manufacturing!$E$28/100</f>
        <v>168.78028869193813</v>
      </c>
      <c r="Z45" s="110">
        <f>Z$22*shipping_manufacturing!$E$28/100</f>
        <v>0</v>
      </c>
      <c r="AA45" s="110">
        <f>AA$22*shipping_manufacturing!$E$28/100</f>
        <v>168.78028869193813</v>
      </c>
      <c r="AB45" s="110">
        <f>AB$22*shipping_manufacturing!$E$28/100</f>
        <v>168.78028869193813</v>
      </c>
      <c r="AC45" s="110">
        <f>AC$22*shipping_manufacturing!$E$28/100</f>
        <v>168.78028869193813</v>
      </c>
      <c r="AD45" s="110">
        <f>AD$22*shipping_manufacturing!$E$28/100</f>
        <v>168.78028869193813</v>
      </c>
      <c r="AE45" s="110">
        <f>AE$22*shipping_manufacturing!$E$28/100</f>
        <v>168.78028869193813</v>
      </c>
      <c r="AF45" s="110">
        <f>AF$22*shipping_manufacturing!$E$28/100</f>
        <v>168.78028869193813</v>
      </c>
      <c r="AG45" s="110">
        <f>AG$22*shipping_manufacturing!$E$28/100</f>
        <v>168.78028869193813</v>
      </c>
      <c r="AH45" s="110">
        <f>AH$22*shipping_manufacturing!$E$28/100</f>
        <v>168.78028869193813</v>
      </c>
      <c r="AI45" s="110">
        <f>AI$22*shipping_manufacturing!$E$28/100</f>
        <v>168.78028869193813</v>
      </c>
      <c r="AJ45" s="110">
        <f>AJ$22*shipping_manufacturing!$E$28/100</f>
        <v>168.78028869193813</v>
      </c>
      <c r="AK45" s="110">
        <f>AK$22*shipping_manufacturing!$E$28/100</f>
        <v>168.78028869193813</v>
      </c>
      <c r="AL45" s="110">
        <f>AL$22*shipping_manufacturing!$E$28/100</f>
        <v>168.78028869193813</v>
      </c>
      <c r="AM45" s="110">
        <f>AM$22*shipping_manufacturing!$E$28/100</f>
        <v>168.78028869193813</v>
      </c>
      <c r="AN45" s="110">
        <f>AN$22*shipping_manufacturing!$E$28/100</f>
        <v>168.78028869193813</v>
      </c>
      <c r="AO45" s="110">
        <f>AO$22*shipping_manufacturing!$E$28/100</f>
        <v>168.78028869193813</v>
      </c>
      <c r="AP45" s="110">
        <f>AP$22*shipping_manufacturing!$E$28/100</f>
        <v>168.78028869193813</v>
      </c>
      <c r="AQ45" s="110">
        <f>AQ$22*shipping_manufacturing!$E$28/100</f>
        <v>168.78028869193813</v>
      </c>
      <c r="AR45" s="110">
        <f>AR$22*shipping_manufacturing!$E$28/100</f>
        <v>168.78028869193813</v>
      </c>
      <c r="AS45" s="110">
        <f>AS$22*shipping_manufacturing!$E$28/100</f>
        <v>168.78028869193813</v>
      </c>
      <c r="AT45" s="110">
        <f>AT$22*shipping_manufacturing!$E$28/100</f>
        <v>168.78028869193813</v>
      </c>
      <c r="AU45" s="110">
        <f>AU$22*shipping_manufacturing!$E$28/100</f>
        <v>0</v>
      </c>
      <c r="AV45" s="110">
        <f>AV$22*shipping_manufacturing!$E$28/100</f>
        <v>168.78028869193813</v>
      </c>
      <c r="AW45" s="110">
        <f>AW$22*shipping_manufacturing!$E$28/100</f>
        <v>168.78028869193813</v>
      </c>
      <c r="AX45" s="110">
        <f>AX$22*shipping_manufacturing!$E$28/100</f>
        <v>168.78028869193813</v>
      </c>
      <c r="AY45" s="110">
        <f>AY$22*shipping_manufacturing!$E$28/100</f>
        <v>168.78028869193813</v>
      </c>
    </row>
    <row r="46" spans="1:52">
      <c r="A46" s="110">
        <v>89</v>
      </c>
      <c r="B46" s="165" t="s">
        <v>343</v>
      </c>
      <c r="C46" s="110"/>
      <c r="D46" s="110">
        <f>SUM(D44:D45)</f>
        <v>322.03892986397642</v>
      </c>
      <c r="E46" s="110">
        <f t="shared" ref="E46:AY46" si="14">SUM(E44:E45)</f>
        <v>322.03892986397642</v>
      </c>
      <c r="F46" s="110">
        <f t="shared" si="14"/>
        <v>322.03892986397642</v>
      </c>
      <c r="G46" s="110">
        <f t="shared" si="14"/>
        <v>322.03892986397642</v>
      </c>
      <c r="H46" s="110">
        <f t="shared" si="14"/>
        <v>322.03892986397642</v>
      </c>
      <c r="I46" s="110">
        <f t="shared" si="14"/>
        <v>322.03892986397642</v>
      </c>
      <c r="J46" s="110">
        <f t="shared" si="14"/>
        <v>322.03892986397642</v>
      </c>
      <c r="K46" s="110">
        <f t="shared" si="14"/>
        <v>322.03892986397642</v>
      </c>
      <c r="L46" s="110">
        <f t="shared" si="14"/>
        <v>322.03892986397642</v>
      </c>
      <c r="M46" s="110">
        <f t="shared" si="14"/>
        <v>322.03892986397642</v>
      </c>
      <c r="N46" s="110">
        <f t="shared" si="14"/>
        <v>322.03892986397642</v>
      </c>
      <c r="O46" s="110">
        <f t="shared" si="14"/>
        <v>322.03892986397642</v>
      </c>
      <c r="P46" s="110">
        <f t="shared" si="14"/>
        <v>322.03892986397642</v>
      </c>
      <c r="Q46" s="110">
        <f t="shared" si="14"/>
        <v>1.6688808088531484E-21</v>
      </c>
      <c r="R46" s="110">
        <f t="shared" si="14"/>
        <v>1.6688808088531484E-21</v>
      </c>
      <c r="S46" s="110">
        <f t="shared" si="14"/>
        <v>1.6688808088531484E-21</v>
      </c>
      <c r="T46" s="110">
        <f t="shared" si="14"/>
        <v>1.6688808088531484E-21</v>
      </c>
      <c r="U46" s="110">
        <f t="shared" si="14"/>
        <v>322.03892986397642</v>
      </c>
      <c r="V46" s="110">
        <f t="shared" si="14"/>
        <v>322.03892986397642</v>
      </c>
      <c r="W46" s="110">
        <f t="shared" si="14"/>
        <v>322.03892986397642</v>
      </c>
      <c r="X46" s="110">
        <f t="shared" si="14"/>
        <v>322.03892986397642</v>
      </c>
      <c r="Y46" s="110">
        <f t="shared" si="14"/>
        <v>322.03892986397642</v>
      </c>
      <c r="Z46" s="110">
        <f t="shared" si="14"/>
        <v>0</v>
      </c>
      <c r="AA46" s="110">
        <f t="shared" si="14"/>
        <v>322.03892986397642</v>
      </c>
      <c r="AB46" s="110">
        <f t="shared" si="14"/>
        <v>322.03892986397642</v>
      </c>
      <c r="AC46" s="110">
        <f t="shared" si="14"/>
        <v>322.03892986397642</v>
      </c>
      <c r="AD46" s="110">
        <f t="shared" si="14"/>
        <v>322.03892986397642</v>
      </c>
      <c r="AE46" s="110">
        <f t="shared" si="14"/>
        <v>322.03892986397642</v>
      </c>
      <c r="AF46" s="110">
        <f t="shared" si="14"/>
        <v>322.03892986397642</v>
      </c>
      <c r="AG46" s="110">
        <f t="shared" si="14"/>
        <v>322.03892986397642</v>
      </c>
      <c r="AH46" s="110">
        <f t="shared" si="14"/>
        <v>322.03892986397642</v>
      </c>
      <c r="AI46" s="110">
        <f t="shared" si="14"/>
        <v>322.03892986397642</v>
      </c>
      <c r="AJ46" s="110">
        <f t="shared" si="14"/>
        <v>322.03892986397642</v>
      </c>
      <c r="AK46" s="110">
        <f t="shared" si="14"/>
        <v>322.03892986397642</v>
      </c>
      <c r="AL46" s="110">
        <f t="shared" si="14"/>
        <v>322.03892986397642</v>
      </c>
      <c r="AM46" s="110">
        <f t="shared" si="14"/>
        <v>322.03892986397642</v>
      </c>
      <c r="AN46" s="110">
        <f t="shared" si="14"/>
        <v>322.03892986397642</v>
      </c>
      <c r="AO46" s="110">
        <f t="shared" si="14"/>
        <v>322.03892986397642</v>
      </c>
      <c r="AP46" s="110">
        <f t="shared" si="14"/>
        <v>322.03892986397642</v>
      </c>
      <c r="AQ46" s="110">
        <f t="shared" si="14"/>
        <v>322.03892986397642</v>
      </c>
      <c r="AR46" s="110">
        <f t="shared" si="14"/>
        <v>322.03892986397642</v>
      </c>
      <c r="AS46" s="110">
        <f t="shared" si="14"/>
        <v>322.03892986397642</v>
      </c>
      <c r="AT46" s="110">
        <f t="shared" si="14"/>
        <v>322.03892986397642</v>
      </c>
      <c r="AU46" s="110">
        <f t="shared" si="14"/>
        <v>0</v>
      </c>
      <c r="AV46" s="110">
        <f t="shared" si="14"/>
        <v>322.03892986397642</v>
      </c>
      <c r="AW46" s="110">
        <f t="shared" si="14"/>
        <v>322.03892986397642</v>
      </c>
      <c r="AX46" s="110">
        <f t="shared" si="14"/>
        <v>322.03892986397642</v>
      </c>
      <c r="AY46" s="110">
        <f t="shared" si="14"/>
        <v>322.03892986397642</v>
      </c>
    </row>
    <row r="47" spans="1:52">
      <c r="A47" s="110"/>
      <c r="B47" s="165" t="s">
        <v>344</v>
      </c>
      <c r="C47" s="110"/>
      <c r="D47" s="110">
        <v>71.38514646510535</v>
      </c>
      <c r="E47" s="110">
        <v>99.939205051147496</v>
      </c>
      <c r="F47" s="110">
        <v>71.38514646510535</v>
      </c>
      <c r="G47" s="110">
        <v>99.939205051147496</v>
      </c>
      <c r="H47" s="110">
        <v>71.38514646510535</v>
      </c>
      <c r="I47" s="110">
        <v>99.939205051147496</v>
      </c>
      <c r="J47" s="110">
        <v>71.38514646510535</v>
      </c>
      <c r="K47" s="110">
        <v>99.939205051147496</v>
      </c>
      <c r="L47" s="110">
        <v>71.38514646510535</v>
      </c>
      <c r="M47" s="110">
        <v>99.939205051147496</v>
      </c>
      <c r="N47" s="110">
        <v>71.38514646510535</v>
      </c>
      <c r="O47" s="110">
        <v>99.939205051147496</v>
      </c>
      <c r="P47" s="110">
        <v>71.38514646510535</v>
      </c>
      <c r="Q47" s="110">
        <v>7.942220064852366E-22</v>
      </c>
      <c r="R47" s="110">
        <v>7.942220064852366E-22</v>
      </c>
      <c r="S47" s="110">
        <v>7.942220064852366E-22</v>
      </c>
      <c r="T47" s="110">
        <v>7.942220064852366E-22</v>
      </c>
      <c r="U47" s="110">
        <v>153.2586411720383</v>
      </c>
      <c r="V47" s="110">
        <v>28.554058586042139</v>
      </c>
      <c r="W47" s="110">
        <v>153.2586411720383</v>
      </c>
      <c r="X47" s="110">
        <v>28.554058586042139</v>
      </c>
      <c r="Y47" s="110">
        <v>153.2586411720383</v>
      </c>
      <c r="Z47" s="110"/>
      <c r="AA47" s="110">
        <v>153.2586411720383</v>
      </c>
      <c r="AB47" s="110">
        <v>14.277029293021069</v>
      </c>
      <c r="AC47" s="110">
        <v>153.2586411720383</v>
      </c>
      <c r="AD47" s="110">
        <v>14.277029293021069</v>
      </c>
      <c r="AE47" s="110">
        <v>153.2586411720383</v>
      </c>
      <c r="AF47" s="110">
        <v>14.277029293021069</v>
      </c>
      <c r="AG47" s="110">
        <v>153.2586411720383</v>
      </c>
      <c r="AH47" s="110">
        <v>14.277029293021069</v>
      </c>
      <c r="AI47" s="110">
        <v>153.2586411720383</v>
      </c>
      <c r="AJ47" s="110">
        <v>14.277029293021069</v>
      </c>
      <c r="AK47" s="110">
        <v>153.2586411720383</v>
      </c>
      <c r="AL47" s="110">
        <v>14.277029293021069</v>
      </c>
      <c r="AM47" s="110">
        <v>153.2586411720383</v>
      </c>
      <c r="AN47" s="110">
        <v>14.277029293021069</v>
      </c>
      <c r="AO47" s="110">
        <v>153.2586411720383</v>
      </c>
      <c r="AP47" s="110">
        <v>14.277029293021069</v>
      </c>
      <c r="AQ47" s="110">
        <v>153.2586411720383</v>
      </c>
      <c r="AR47" s="110">
        <v>14.277029293021069</v>
      </c>
      <c r="AS47" s="110">
        <v>153.2586411720383</v>
      </c>
      <c r="AT47" s="110">
        <v>14.277029293021069</v>
      </c>
      <c r="AU47" s="110"/>
      <c r="AV47" s="110">
        <v>153.2586411720383</v>
      </c>
      <c r="AW47" s="110">
        <v>14.277029293021069</v>
      </c>
      <c r="AX47" s="110">
        <v>153.2586411720383</v>
      </c>
      <c r="AY47" s="110">
        <v>14.277029293021069</v>
      </c>
    </row>
    <row r="48" spans="1:52">
      <c r="A48" s="110"/>
      <c r="B48" s="165" t="s">
        <v>345</v>
      </c>
      <c r="C48" s="110"/>
      <c r="D48" s="110">
        <v>78.61485353489465</v>
      </c>
      <c r="E48" s="110">
        <v>110.0607949488525</v>
      </c>
      <c r="F48" s="110">
        <v>78.61485353489465</v>
      </c>
      <c r="G48" s="110">
        <v>110.0607949488525</v>
      </c>
      <c r="H48" s="110">
        <v>78.61485353489465</v>
      </c>
      <c r="I48" s="110">
        <v>110.0607949488525</v>
      </c>
      <c r="J48" s="110">
        <v>78.61485353489465</v>
      </c>
      <c r="K48" s="110">
        <v>110.0607949488525</v>
      </c>
      <c r="L48" s="110">
        <v>78.61485353489465</v>
      </c>
      <c r="M48" s="110">
        <v>110.0607949488525</v>
      </c>
      <c r="N48" s="110">
        <v>78.61485353489465</v>
      </c>
      <c r="O48" s="110">
        <v>110.0607949488525</v>
      </c>
      <c r="P48" s="110">
        <v>78.61485353489465</v>
      </c>
      <c r="Q48" s="110">
        <v>8.7465880236791181E-22</v>
      </c>
      <c r="R48" s="110">
        <v>8.7465880236791181E-22</v>
      </c>
      <c r="S48" s="110">
        <v>8.7465880236791181E-22</v>
      </c>
      <c r="T48" s="110">
        <v>8.7465880236791181E-22</v>
      </c>
      <c r="U48" s="110">
        <v>168.78028869193813</v>
      </c>
      <c r="V48" s="110">
        <v>31.445941413957861</v>
      </c>
      <c r="W48" s="110">
        <v>168.78028869193813</v>
      </c>
      <c r="X48" s="110">
        <v>31.445941413957861</v>
      </c>
      <c r="Y48" s="110">
        <v>168.78028869193813</v>
      </c>
      <c r="Z48" s="110"/>
      <c r="AA48" s="110">
        <v>168.78028869193813</v>
      </c>
      <c r="AB48" s="110">
        <v>15.722970706978931</v>
      </c>
      <c r="AC48" s="110">
        <v>168.78028869193813</v>
      </c>
      <c r="AD48" s="110">
        <v>15.722970706978931</v>
      </c>
      <c r="AE48" s="110">
        <v>168.78028869193813</v>
      </c>
      <c r="AF48" s="110">
        <v>15.722970706978931</v>
      </c>
      <c r="AG48" s="110">
        <v>168.78028869193813</v>
      </c>
      <c r="AH48" s="110">
        <v>15.722970706978931</v>
      </c>
      <c r="AI48" s="110">
        <v>168.78028869193813</v>
      </c>
      <c r="AJ48" s="110">
        <v>15.722970706978931</v>
      </c>
      <c r="AK48" s="110">
        <v>168.78028869193813</v>
      </c>
      <c r="AL48" s="110">
        <v>15.722970706978931</v>
      </c>
      <c r="AM48" s="110">
        <v>168.78028869193813</v>
      </c>
      <c r="AN48" s="110">
        <v>15.722970706978931</v>
      </c>
      <c r="AO48" s="110">
        <v>168.78028869193813</v>
      </c>
      <c r="AP48" s="110">
        <v>15.722970706978931</v>
      </c>
      <c r="AQ48" s="110">
        <v>168.78028869193813</v>
      </c>
      <c r="AR48" s="110">
        <v>15.722970706978931</v>
      </c>
      <c r="AS48" s="110">
        <v>168.78028869193813</v>
      </c>
      <c r="AT48" s="110">
        <v>15.722970706978931</v>
      </c>
      <c r="AU48" s="110"/>
      <c r="AV48" s="110">
        <v>168.78028869193813</v>
      </c>
      <c r="AW48" s="110">
        <v>15.722970706978931</v>
      </c>
      <c r="AX48" s="110">
        <v>168.78028869193813</v>
      </c>
      <c r="AY48" s="110">
        <v>15.722970706978931</v>
      </c>
    </row>
    <row r="49" spans="1:52">
      <c r="A49" s="110"/>
      <c r="B49" s="165" t="s">
        <v>346</v>
      </c>
      <c r="C49" s="110"/>
      <c r="D49" s="110">
        <v>5</v>
      </c>
      <c r="E49" s="110">
        <v>7</v>
      </c>
      <c r="F49" s="110">
        <v>5</v>
      </c>
      <c r="G49" s="110">
        <v>7</v>
      </c>
      <c r="H49" s="110">
        <v>5</v>
      </c>
      <c r="I49" s="110">
        <v>7</v>
      </c>
      <c r="J49" s="110">
        <v>5</v>
      </c>
      <c r="K49" s="110">
        <v>7</v>
      </c>
      <c r="L49" s="110">
        <v>5</v>
      </c>
      <c r="M49" s="110">
        <v>7</v>
      </c>
      <c r="N49" s="110">
        <v>5</v>
      </c>
      <c r="O49" s="110">
        <v>7</v>
      </c>
      <c r="P49" s="110">
        <v>5</v>
      </c>
      <c r="Q49" s="110">
        <v>1</v>
      </c>
      <c r="R49" s="110">
        <v>1</v>
      </c>
      <c r="S49" s="110">
        <v>1</v>
      </c>
      <c r="T49" s="110">
        <v>1</v>
      </c>
      <c r="U49" s="110">
        <v>11</v>
      </c>
      <c r="V49" s="110">
        <v>2</v>
      </c>
      <c r="W49" s="110">
        <v>11</v>
      </c>
      <c r="X49" s="110">
        <v>2</v>
      </c>
      <c r="Y49" s="110">
        <v>11</v>
      </c>
      <c r="Z49" s="110"/>
      <c r="AA49" s="110">
        <v>11</v>
      </c>
      <c r="AB49" s="110">
        <v>1</v>
      </c>
      <c r="AC49" s="110">
        <v>11</v>
      </c>
      <c r="AD49" s="110">
        <v>1</v>
      </c>
      <c r="AE49" s="110">
        <v>11</v>
      </c>
      <c r="AF49" s="110">
        <v>1</v>
      </c>
      <c r="AG49" s="110">
        <v>11</v>
      </c>
      <c r="AH49" s="110">
        <v>1</v>
      </c>
      <c r="AI49" s="110">
        <v>11</v>
      </c>
      <c r="AJ49" s="110">
        <v>1</v>
      </c>
      <c r="AK49" s="110">
        <v>11</v>
      </c>
      <c r="AL49" s="110">
        <v>1</v>
      </c>
      <c r="AM49" s="110">
        <v>11</v>
      </c>
      <c r="AN49" s="110">
        <v>1</v>
      </c>
      <c r="AO49" s="110">
        <v>11</v>
      </c>
      <c r="AP49" s="110">
        <v>1</v>
      </c>
      <c r="AQ49" s="110">
        <v>11</v>
      </c>
      <c r="AR49" s="110">
        <v>1</v>
      </c>
      <c r="AS49" s="110">
        <v>11</v>
      </c>
      <c r="AT49" s="110">
        <v>1</v>
      </c>
      <c r="AU49" s="110"/>
      <c r="AV49" s="110">
        <v>11</v>
      </c>
      <c r="AW49" s="110">
        <v>1</v>
      </c>
      <c r="AX49" s="110">
        <v>11</v>
      </c>
      <c r="AY49" s="110">
        <v>1</v>
      </c>
    </row>
    <row r="50" spans="1:52">
      <c r="A50" s="110"/>
      <c r="B50" s="165" t="s">
        <v>347</v>
      </c>
      <c r="C50" s="110"/>
      <c r="D50" s="110">
        <f>D44-D47</f>
        <v>81.873494706932945</v>
      </c>
      <c r="E50" s="110">
        <f t="shared" ref="E50:AY50" si="15">E44-E47</f>
        <v>53.319436120890799</v>
      </c>
      <c r="F50" s="110">
        <f t="shared" si="15"/>
        <v>81.873494706932945</v>
      </c>
      <c r="G50" s="110">
        <f t="shared" si="15"/>
        <v>53.319436120890799</v>
      </c>
      <c r="H50" s="110">
        <f t="shared" si="15"/>
        <v>81.873494706932945</v>
      </c>
      <c r="I50" s="110">
        <f t="shared" si="15"/>
        <v>53.319436120890799</v>
      </c>
      <c r="J50" s="110">
        <f t="shared" si="15"/>
        <v>81.873494706932945</v>
      </c>
      <c r="K50" s="110">
        <f t="shared" si="15"/>
        <v>53.319436120890799</v>
      </c>
      <c r="L50" s="110">
        <f t="shared" si="15"/>
        <v>81.873494706932945</v>
      </c>
      <c r="M50" s="110">
        <f t="shared" si="15"/>
        <v>53.319436120890799</v>
      </c>
      <c r="N50" s="110">
        <f t="shared" si="15"/>
        <v>81.873494706932945</v>
      </c>
      <c r="O50" s="110">
        <f t="shared" si="15"/>
        <v>53.319436120890799</v>
      </c>
      <c r="P50" s="110">
        <f t="shared" si="15"/>
        <v>81.873494706932945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124.70458258599615</v>
      </c>
      <c r="W50" s="110">
        <f t="shared" si="15"/>
        <v>0</v>
      </c>
      <c r="X50" s="110">
        <f t="shared" si="15"/>
        <v>124.70458258599615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138.98161187901724</v>
      </c>
      <c r="AC50" s="110">
        <f t="shared" si="15"/>
        <v>0</v>
      </c>
      <c r="AD50" s="110">
        <f t="shared" si="15"/>
        <v>138.98161187901724</v>
      </c>
      <c r="AE50" s="110">
        <f t="shared" si="15"/>
        <v>0</v>
      </c>
      <c r="AF50" s="110">
        <f t="shared" si="15"/>
        <v>138.98161187901724</v>
      </c>
      <c r="AG50" s="110">
        <f t="shared" si="15"/>
        <v>0</v>
      </c>
      <c r="AH50" s="110">
        <f t="shared" si="15"/>
        <v>138.98161187901724</v>
      </c>
      <c r="AI50" s="110">
        <f t="shared" si="15"/>
        <v>0</v>
      </c>
      <c r="AJ50" s="110">
        <f t="shared" si="15"/>
        <v>138.98161187901724</v>
      </c>
      <c r="AK50" s="110">
        <f t="shared" si="15"/>
        <v>0</v>
      </c>
      <c r="AL50" s="110">
        <f t="shared" si="15"/>
        <v>138.98161187901724</v>
      </c>
      <c r="AM50" s="110">
        <f t="shared" si="15"/>
        <v>0</v>
      </c>
      <c r="AN50" s="110">
        <f t="shared" si="15"/>
        <v>138.98161187901724</v>
      </c>
      <c r="AO50" s="110">
        <f t="shared" si="15"/>
        <v>0</v>
      </c>
      <c r="AP50" s="110">
        <f t="shared" si="15"/>
        <v>138.98161187901724</v>
      </c>
      <c r="AQ50" s="110">
        <f t="shared" si="15"/>
        <v>0</v>
      </c>
      <c r="AR50" s="110">
        <f t="shared" si="15"/>
        <v>138.98161187901724</v>
      </c>
      <c r="AS50" s="110">
        <f t="shared" si="15"/>
        <v>0</v>
      </c>
      <c r="AT50" s="110">
        <f t="shared" si="15"/>
        <v>138.98161187901724</v>
      </c>
      <c r="AU50" s="110">
        <f t="shared" si="15"/>
        <v>0</v>
      </c>
      <c r="AV50" s="110">
        <f t="shared" si="15"/>
        <v>0</v>
      </c>
      <c r="AW50" s="110">
        <f t="shared" si="15"/>
        <v>138.98161187901724</v>
      </c>
      <c r="AX50" s="110">
        <f t="shared" si="15"/>
        <v>0</v>
      </c>
      <c r="AY50" s="110">
        <f t="shared" si="15"/>
        <v>138.98161187901724</v>
      </c>
    </row>
    <row r="51" spans="1:52">
      <c r="A51" s="110"/>
      <c r="B51" s="165" t="s">
        <v>348</v>
      </c>
      <c r="C51" s="110"/>
      <c r="D51" s="110">
        <f>D45-D48</f>
        <v>90.165435157043476</v>
      </c>
      <c r="E51" s="110">
        <f t="shared" ref="E51:AY51" si="16">E45-E48</f>
        <v>58.719493743085621</v>
      </c>
      <c r="F51" s="110">
        <f t="shared" si="16"/>
        <v>90.165435157043476</v>
      </c>
      <c r="G51" s="110">
        <f t="shared" si="16"/>
        <v>58.719493743085621</v>
      </c>
      <c r="H51" s="110">
        <f t="shared" si="16"/>
        <v>90.165435157043476</v>
      </c>
      <c r="I51" s="110">
        <f t="shared" si="16"/>
        <v>58.719493743085621</v>
      </c>
      <c r="J51" s="110">
        <f t="shared" si="16"/>
        <v>90.165435157043476</v>
      </c>
      <c r="K51" s="110">
        <f t="shared" si="16"/>
        <v>58.719493743085621</v>
      </c>
      <c r="L51" s="110">
        <f t="shared" si="16"/>
        <v>90.165435157043476</v>
      </c>
      <c r="M51" s="110">
        <f t="shared" si="16"/>
        <v>58.719493743085621</v>
      </c>
      <c r="N51" s="110">
        <f t="shared" si="16"/>
        <v>90.165435157043476</v>
      </c>
      <c r="O51" s="110">
        <f t="shared" si="16"/>
        <v>58.719493743085621</v>
      </c>
      <c r="P51" s="110">
        <f t="shared" si="16"/>
        <v>90.165435157043476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137.33434727798027</v>
      </c>
      <c r="W51" s="110">
        <f t="shared" si="16"/>
        <v>0</v>
      </c>
      <c r="X51" s="110">
        <f t="shared" si="16"/>
        <v>137.33434727798027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153.05731798495918</v>
      </c>
      <c r="AC51" s="110">
        <f t="shared" si="16"/>
        <v>0</v>
      </c>
      <c r="AD51" s="110">
        <f t="shared" si="16"/>
        <v>153.05731798495918</v>
      </c>
      <c r="AE51" s="110">
        <f t="shared" si="16"/>
        <v>0</v>
      </c>
      <c r="AF51" s="110">
        <f t="shared" si="16"/>
        <v>153.05731798495918</v>
      </c>
      <c r="AG51" s="110">
        <f t="shared" si="16"/>
        <v>0</v>
      </c>
      <c r="AH51" s="110">
        <f t="shared" si="16"/>
        <v>153.05731798495918</v>
      </c>
      <c r="AI51" s="110">
        <f t="shared" si="16"/>
        <v>0</v>
      </c>
      <c r="AJ51" s="110">
        <f t="shared" si="16"/>
        <v>153.05731798495918</v>
      </c>
      <c r="AK51" s="110">
        <f t="shared" si="16"/>
        <v>0</v>
      </c>
      <c r="AL51" s="110">
        <f t="shared" si="16"/>
        <v>153.05731798495918</v>
      </c>
      <c r="AM51" s="110">
        <f t="shared" si="16"/>
        <v>0</v>
      </c>
      <c r="AN51" s="110">
        <f t="shared" si="16"/>
        <v>153.05731798495918</v>
      </c>
      <c r="AO51" s="110">
        <f t="shared" si="16"/>
        <v>0</v>
      </c>
      <c r="AP51" s="110">
        <f t="shared" si="16"/>
        <v>153.05731798495918</v>
      </c>
      <c r="AQ51" s="110">
        <f t="shared" si="16"/>
        <v>0</v>
      </c>
      <c r="AR51" s="110">
        <f t="shared" si="16"/>
        <v>153.05731798495918</v>
      </c>
      <c r="AS51" s="110">
        <f t="shared" si="16"/>
        <v>0</v>
      </c>
      <c r="AT51" s="110">
        <f t="shared" si="16"/>
        <v>153.05731798495918</v>
      </c>
      <c r="AU51" s="110">
        <f t="shared" si="16"/>
        <v>0</v>
      </c>
      <c r="AV51" s="110">
        <f t="shared" si="16"/>
        <v>0</v>
      </c>
      <c r="AW51" s="110">
        <f t="shared" si="16"/>
        <v>153.05731798495918</v>
      </c>
      <c r="AX51" s="110">
        <f t="shared" si="16"/>
        <v>0</v>
      </c>
      <c r="AY51" s="110">
        <f t="shared" si="16"/>
        <v>153.05731798495918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2</v>
      </c>
      <c r="G52" s="110">
        <v>1</v>
      </c>
      <c r="H52" s="110">
        <v>2</v>
      </c>
      <c r="I52" s="110">
        <v>2</v>
      </c>
      <c r="J52" s="110">
        <v>2</v>
      </c>
      <c r="K52" s="110">
        <v>1</v>
      </c>
      <c r="L52" s="110">
        <v>1</v>
      </c>
      <c r="M52" s="110">
        <v>1</v>
      </c>
      <c r="N52" s="110">
        <v>3</v>
      </c>
      <c r="O52" s="110">
        <v>1</v>
      </c>
      <c r="P52" s="110">
        <v>1</v>
      </c>
      <c r="Q52" s="110">
        <v>1</v>
      </c>
      <c r="R52" s="110">
        <v>3</v>
      </c>
      <c r="S52" s="110">
        <v>1</v>
      </c>
      <c r="T52" s="110">
        <v>1</v>
      </c>
      <c r="U52" s="110">
        <v>1</v>
      </c>
      <c r="V52" s="110">
        <v>1</v>
      </c>
      <c r="W52" s="110">
        <v>2</v>
      </c>
      <c r="X52" s="110">
        <v>1</v>
      </c>
      <c r="Y52" s="110">
        <v>2</v>
      </c>
      <c r="Z52" s="110">
        <v>2</v>
      </c>
      <c r="AA52" s="110">
        <v>1</v>
      </c>
      <c r="AB52" s="110">
        <v>1</v>
      </c>
      <c r="AC52" s="110">
        <v>1</v>
      </c>
      <c r="AD52" s="110">
        <v>2</v>
      </c>
      <c r="AE52" s="110">
        <v>2</v>
      </c>
      <c r="AF52" s="110">
        <v>3</v>
      </c>
      <c r="AG52" s="110">
        <v>1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3</v>
      </c>
      <c r="AN52" s="110">
        <v>1</v>
      </c>
      <c r="AO52" s="110">
        <v>2</v>
      </c>
      <c r="AP52" s="110">
        <v>1</v>
      </c>
      <c r="AQ52" s="110">
        <v>2</v>
      </c>
      <c r="AR52" s="110">
        <v>2</v>
      </c>
      <c r="AS52" s="110">
        <v>1</v>
      </c>
      <c r="AT52" s="110">
        <v>1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16020</v>
      </c>
      <c r="E53" s="110">
        <v>22428</v>
      </c>
      <c r="F53" s="110">
        <v>16020</v>
      </c>
      <c r="G53" s="110">
        <v>22428</v>
      </c>
      <c r="H53" s="110">
        <v>16020</v>
      </c>
      <c r="I53" s="110">
        <v>22428</v>
      </c>
      <c r="J53" s="110">
        <v>16020</v>
      </c>
      <c r="K53" s="110">
        <v>22428</v>
      </c>
      <c r="L53" s="110">
        <v>16020</v>
      </c>
      <c r="M53" s="110">
        <v>22428</v>
      </c>
      <c r="N53" s="110">
        <v>16020</v>
      </c>
      <c r="O53" s="110">
        <v>22428</v>
      </c>
      <c r="P53" s="110">
        <v>16020</v>
      </c>
      <c r="Q53" s="110">
        <v>3204</v>
      </c>
      <c r="R53" s="110">
        <v>3204</v>
      </c>
      <c r="S53" s="110">
        <v>3204</v>
      </c>
      <c r="T53" s="110">
        <v>3204</v>
      </c>
      <c r="U53" s="110">
        <v>35244</v>
      </c>
      <c r="V53" s="110">
        <v>6408</v>
      </c>
      <c r="W53" s="110">
        <v>35244</v>
      </c>
      <c r="X53" s="110">
        <v>6408</v>
      </c>
      <c r="Y53" s="110">
        <v>35244</v>
      </c>
      <c r="Z53" s="110">
        <v>0</v>
      </c>
      <c r="AA53" s="110">
        <v>35244</v>
      </c>
      <c r="AB53" s="110">
        <v>3204</v>
      </c>
      <c r="AC53" s="110">
        <v>35244</v>
      </c>
      <c r="AD53" s="110">
        <v>3204</v>
      </c>
      <c r="AE53" s="110">
        <v>35244</v>
      </c>
      <c r="AF53" s="110">
        <v>3204</v>
      </c>
      <c r="AG53" s="110">
        <v>35244</v>
      </c>
      <c r="AH53" s="110">
        <v>3204</v>
      </c>
      <c r="AI53" s="110">
        <v>35244</v>
      </c>
      <c r="AJ53" s="110">
        <v>3204</v>
      </c>
      <c r="AK53" s="110">
        <v>35244</v>
      </c>
      <c r="AL53" s="110">
        <v>3204</v>
      </c>
      <c r="AM53" s="110">
        <v>35244</v>
      </c>
      <c r="AN53" s="110">
        <v>3204</v>
      </c>
      <c r="AO53" s="110">
        <v>35244</v>
      </c>
      <c r="AP53" s="110">
        <v>3204</v>
      </c>
      <c r="AQ53" s="110">
        <v>35244</v>
      </c>
      <c r="AR53" s="110">
        <v>3204</v>
      </c>
      <c r="AS53" s="110">
        <v>35244</v>
      </c>
      <c r="AT53" s="110">
        <v>3204</v>
      </c>
      <c r="AU53" s="110">
        <v>0</v>
      </c>
      <c r="AV53" s="110">
        <v>35244</v>
      </c>
      <c r="AW53" s="110">
        <v>3204</v>
      </c>
      <c r="AX53" s="110">
        <v>35244</v>
      </c>
      <c r="AY53" s="110">
        <v>3204</v>
      </c>
      <c r="AZ53" s="100">
        <f>SUM($D$53:$AY$53)</f>
        <v>839448</v>
      </c>
    </row>
    <row r="54" spans="1:52">
      <c r="A54" s="110"/>
      <c r="B54" s="178" t="s">
        <v>351</v>
      </c>
      <c r="C54" s="110"/>
      <c r="D54" s="110">
        <v>9952.4520926310361</v>
      </c>
      <c r="E54" s="110">
        <v>6481.452092631037</v>
      </c>
      <c r="F54" s="110">
        <v>9952.4520926310361</v>
      </c>
      <c r="G54" s="110">
        <v>6481.452092631037</v>
      </c>
      <c r="H54" s="110">
        <v>9952.4520926310361</v>
      </c>
      <c r="I54" s="110">
        <v>6481.452092631037</v>
      </c>
      <c r="J54" s="110">
        <v>9952.4520926310361</v>
      </c>
      <c r="K54" s="110">
        <v>6481.452092631037</v>
      </c>
      <c r="L54" s="110">
        <v>9952.4520926310361</v>
      </c>
      <c r="M54" s="110">
        <v>6481.452092631037</v>
      </c>
      <c r="N54" s="110">
        <v>9952.4520926310361</v>
      </c>
      <c r="O54" s="110">
        <v>6481.452092631037</v>
      </c>
      <c r="P54" s="110">
        <v>9952.4520926310361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15158.952092631036</v>
      </c>
      <c r="W54" s="110">
        <v>0</v>
      </c>
      <c r="X54" s="110">
        <v>15158.952092631036</v>
      </c>
      <c r="Y54" s="110">
        <v>0</v>
      </c>
      <c r="Z54" s="110">
        <v>0</v>
      </c>
      <c r="AA54" s="110">
        <v>0</v>
      </c>
      <c r="AB54" s="110">
        <v>16894.452092631036</v>
      </c>
      <c r="AC54" s="110">
        <v>0</v>
      </c>
      <c r="AD54" s="110">
        <v>16894.452092631036</v>
      </c>
      <c r="AE54" s="110">
        <v>0</v>
      </c>
      <c r="AF54" s="110">
        <v>16894.452092631036</v>
      </c>
      <c r="AG54" s="110">
        <v>0</v>
      </c>
      <c r="AH54" s="110">
        <v>16894.452092631036</v>
      </c>
      <c r="AI54" s="110">
        <v>0</v>
      </c>
      <c r="AJ54" s="110">
        <v>16894.452092631036</v>
      </c>
      <c r="AK54" s="110">
        <v>0</v>
      </c>
      <c r="AL54" s="110">
        <v>16894.452092631036</v>
      </c>
      <c r="AM54" s="110">
        <v>0</v>
      </c>
      <c r="AN54" s="110">
        <v>16894.452092631036</v>
      </c>
      <c r="AO54" s="110">
        <v>0</v>
      </c>
      <c r="AP54" s="110">
        <v>16894.452092631036</v>
      </c>
      <c r="AQ54" s="110">
        <v>0</v>
      </c>
      <c r="AR54" s="110">
        <v>16894.452092631036</v>
      </c>
      <c r="AS54" s="110">
        <v>0</v>
      </c>
      <c r="AT54" s="110">
        <v>16894.452092631036</v>
      </c>
      <c r="AU54" s="110">
        <v>0</v>
      </c>
      <c r="AV54" s="110">
        <v>0</v>
      </c>
      <c r="AW54" s="110">
        <v>16894.452092631036</v>
      </c>
      <c r="AX54" s="110">
        <v>0</v>
      </c>
      <c r="AY54" s="110">
        <v>16894.452092631036</v>
      </c>
      <c r="AZ54" s="100">
        <f>SUM($D$54:$AY$54)</f>
        <v>341607.20650103781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2</v>
      </c>
      <c r="G63" s="110">
        <v>3</v>
      </c>
      <c r="H63" s="110">
        <v>2</v>
      </c>
      <c r="I63" s="110">
        <v>2</v>
      </c>
      <c r="J63" s="110">
        <v>2</v>
      </c>
      <c r="K63" s="110">
        <v>3</v>
      </c>
      <c r="L63" s="110">
        <v>2</v>
      </c>
      <c r="M63" s="110">
        <v>3</v>
      </c>
      <c r="N63" s="110">
        <v>2</v>
      </c>
      <c r="O63" s="110">
        <v>4</v>
      </c>
      <c r="P63" s="110">
        <v>2</v>
      </c>
      <c r="Q63" s="110">
        <v>2</v>
      </c>
      <c r="R63" s="110">
        <v>2</v>
      </c>
      <c r="S63" s="110">
        <v>3</v>
      </c>
      <c r="T63" s="110">
        <v>2</v>
      </c>
      <c r="U63" s="110">
        <v>4</v>
      </c>
      <c r="V63" s="110">
        <v>3</v>
      </c>
      <c r="W63" s="110">
        <v>2</v>
      </c>
      <c r="X63" s="110">
        <v>2</v>
      </c>
      <c r="Y63" s="110">
        <v>2</v>
      </c>
      <c r="Z63" s="110">
        <v>2</v>
      </c>
      <c r="AA63" s="110">
        <v>3</v>
      </c>
      <c r="AB63" s="110">
        <v>3</v>
      </c>
      <c r="AC63" s="110">
        <v>3</v>
      </c>
      <c r="AD63" s="110">
        <v>3</v>
      </c>
      <c r="AE63" s="110">
        <v>2</v>
      </c>
      <c r="AF63" s="110">
        <v>4</v>
      </c>
      <c r="AG63" s="110">
        <v>3</v>
      </c>
      <c r="AH63" s="110">
        <v>2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4</v>
      </c>
      <c r="AO63" s="110">
        <v>3</v>
      </c>
      <c r="AP63" s="110">
        <v>4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1275.4731501555691</v>
      </c>
      <c r="E7" s="144">
        <v>1275.4731501555691</v>
      </c>
      <c r="F7" s="144">
        <v>1275.4731501555691</v>
      </c>
      <c r="G7" s="144">
        <v>1275.4731501555691</v>
      </c>
      <c r="H7" s="144">
        <v>1275.4731501555691</v>
      </c>
      <c r="I7" s="144">
        <v>1275.4731501555691</v>
      </c>
      <c r="J7" s="144">
        <v>1275.4731501555691</v>
      </c>
      <c r="K7" s="144">
        <v>1275.4731501555691</v>
      </c>
      <c r="L7" s="144">
        <v>1275.4731501555691</v>
      </c>
      <c r="M7" s="144">
        <v>1275.4731501555691</v>
      </c>
      <c r="N7" s="144">
        <v>1275.4731501555691</v>
      </c>
      <c r="O7" s="144">
        <v>1275.4731501555691</v>
      </c>
      <c r="P7" s="144">
        <v>1275.4731501555691</v>
      </c>
      <c r="Q7" s="144">
        <v>1275.4731501555691</v>
      </c>
      <c r="R7" s="144">
        <v>1275.4731501555691</v>
      </c>
      <c r="S7" s="144">
        <v>1275.4731501555691</v>
      </c>
      <c r="T7" s="144">
        <v>1275.4731501555691</v>
      </c>
      <c r="U7" s="144">
        <v>1275.4731501555691</v>
      </c>
      <c r="V7" s="144">
        <v>1275.4731501555691</v>
      </c>
      <c r="W7" s="144">
        <v>1275.4731501555691</v>
      </c>
      <c r="X7" s="144">
        <v>1275.4731501555691</v>
      </c>
      <c r="Y7" s="144">
        <v>1275.4731501555691</v>
      </c>
      <c r="Z7" s="144">
        <v>1275.4731501555691</v>
      </c>
      <c r="AA7" s="144">
        <v>1275.4731501555691</v>
      </c>
      <c r="AB7" s="144">
        <v>1275.4731501555691</v>
      </c>
      <c r="AC7" s="144">
        <v>1275.4731501555691</v>
      </c>
      <c r="AD7" s="144">
        <v>1275.4731501555691</v>
      </c>
      <c r="AE7" s="144">
        <v>1275.4731501555691</v>
      </c>
      <c r="AF7" s="144">
        <v>1275.4731501555691</v>
      </c>
      <c r="AG7" s="144">
        <v>1275.4731501555691</v>
      </c>
      <c r="AH7" s="144">
        <v>1275.4731501555691</v>
      </c>
      <c r="AI7" s="144">
        <v>1275.4731501555691</v>
      </c>
      <c r="AJ7" s="144">
        <v>1275.4731501555691</v>
      </c>
      <c r="AK7" s="144">
        <v>1275.4731501555691</v>
      </c>
      <c r="AL7" s="144">
        <v>1275.4731501555691</v>
      </c>
      <c r="AM7" s="144">
        <v>1275.4731501555691</v>
      </c>
      <c r="AN7" s="144">
        <v>1275.4731501555691</v>
      </c>
      <c r="AO7" s="144">
        <v>1275.4731501555691</v>
      </c>
      <c r="AP7" s="144">
        <v>1275.4731501555691</v>
      </c>
      <c r="AQ7" s="144">
        <v>1275.4731501555691</v>
      </c>
      <c r="AR7" s="144">
        <v>1275.4731501555691</v>
      </c>
      <c r="AS7" s="144">
        <v>1275.4731501555691</v>
      </c>
      <c r="AT7" s="144">
        <v>1275.4731501555691</v>
      </c>
      <c r="AU7" s="144">
        <v>1275.4731501555691</v>
      </c>
      <c r="AV7" s="144">
        <v>25.155878131954278</v>
      </c>
      <c r="AW7" s="144">
        <v>25.155878131954278</v>
      </c>
      <c r="AX7" s="144">
        <v>25.155878131954278</v>
      </c>
      <c r="AY7" s="144">
        <v>25.155878131954278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1616.0430519747338</v>
      </c>
      <c r="D13" s="138">
        <f t="shared" ref="D13:AY13" si="1">D$7-D$10</f>
        <v>1275.4731501555691</v>
      </c>
      <c r="E13" s="138">
        <f t="shared" si="1"/>
        <v>1275.4731501555691</v>
      </c>
      <c r="F13" s="138">
        <f t="shared" si="1"/>
        <v>1275.4731501555691</v>
      </c>
      <c r="G13" s="138">
        <f t="shared" si="1"/>
        <v>1275.4731501555691</v>
      </c>
      <c r="H13" s="138">
        <f t="shared" si="1"/>
        <v>1275.4731501555691</v>
      </c>
      <c r="I13" s="138">
        <f t="shared" si="1"/>
        <v>1275.4731501555691</v>
      </c>
      <c r="J13" s="138">
        <f t="shared" si="1"/>
        <v>1275.4731501555691</v>
      </c>
      <c r="K13" s="138">
        <f t="shared" si="1"/>
        <v>1275.4731501555691</v>
      </c>
      <c r="L13" s="138">
        <f t="shared" si="1"/>
        <v>1275.4731501555691</v>
      </c>
      <c r="M13" s="138">
        <f t="shared" si="1"/>
        <v>1275.4731501555691</v>
      </c>
      <c r="N13" s="138">
        <f t="shared" si="1"/>
        <v>1275.4731501555691</v>
      </c>
      <c r="O13" s="138">
        <f t="shared" si="1"/>
        <v>1275.4731501555691</v>
      </c>
      <c r="P13" s="138">
        <f t="shared" si="1"/>
        <v>1275.4731501555691</v>
      </c>
      <c r="Q13" s="138">
        <f t="shared" si="1"/>
        <v>1275.4731501555691</v>
      </c>
      <c r="R13" s="138">
        <f t="shared" si="1"/>
        <v>1275.4731501555691</v>
      </c>
      <c r="S13" s="138">
        <f t="shared" si="1"/>
        <v>1275.4731501555691</v>
      </c>
      <c r="T13" s="138">
        <f t="shared" si="1"/>
        <v>1275.4731501555691</v>
      </c>
      <c r="U13" s="138">
        <f t="shared" si="1"/>
        <v>1275.4731501555691</v>
      </c>
      <c r="V13" s="138">
        <f t="shared" si="1"/>
        <v>1275.4731501555691</v>
      </c>
      <c r="W13" s="138">
        <f t="shared" si="1"/>
        <v>1275.4731501555691</v>
      </c>
      <c r="X13" s="138">
        <f t="shared" si="1"/>
        <v>1275.4731501555691</v>
      </c>
      <c r="Y13" s="138">
        <f t="shared" si="1"/>
        <v>1275.4731501555691</v>
      </c>
      <c r="Z13" s="138">
        <f t="shared" si="1"/>
        <v>1275.4731501555691</v>
      </c>
      <c r="AA13" s="138">
        <f t="shared" si="1"/>
        <v>1275.4731501555691</v>
      </c>
      <c r="AB13" s="138">
        <f t="shared" si="1"/>
        <v>1275.4731501555691</v>
      </c>
      <c r="AC13" s="138">
        <f t="shared" si="1"/>
        <v>1275.4731501555691</v>
      </c>
      <c r="AD13" s="138">
        <f t="shared" si="1"/>
        <v>1275.4731501555691</v>
      </c>
      <c r="AE13" s="138">
        <f t="shared" si="1"/>
        <v>1275.4731501555691</v>
      </c>
      <c r="AF13" s="138">
        <f t="shared" si="1"/>
        <v>1275.4731501555691</v>
      </c>
      <c r="AG13" s="138">
        <f t="shared" si="1"/>
        <v>1275.4731501555691</v>
      </c>
      <c r="AH13" s="138">
        <f t="shared" si="1"/>
        <v>1275.4731501555691</v>
      </c>
      <c r="AI13" s="138">
        <f t="shared" si="1"/>
        <v>1275.4731501555691</v>
      </c>
      <c r="AJ13" s="138">
        <f t="shared" si="1"/>
        <v>1275.4731501555691</v>
      </c>
      <c r="AK13" s="138">
        <f t="shared" si="1"/>
        <v>1275.4731501555691</v>
      </c>
      <c r="AL13" s="138">
        <f t="shared" si="1"/>
        <v>1275.4731501555691</v>
      </c>
      <c r="AM13" s="138">
        <f t="shared" si="1"/>
        <v>1275.4731501555691</v>
      </c>
      <c r="AN13" s="138">
        <f t="shared" si="1"/>
        <v>1275.4731501555691</v>
      </c>
      <c r="AO13" s="138">
        <f t="shared" si="1"/>
        <v>1275.4731501555691</v>
      </c>
      <c r="AP13" s="138">
        <f t="shared" si="1"/>
        <v>1275.4731501555691</v>
      </c>
      <c r="AQ13" s="138">
        <f t="shared" si="1"/>
        <v>1275.4731501555691</v>
      </c>
      <c r="AR13" s="138">
        <f t="shared" si="1"/>
        <v>1275.4731501555691</v>
      </c>
      <c r="AS13" s="138">
        <f t="shared" si="1"/>
        <v>1275.4731501555691</v>
      </c>
      <c r="AT13" s="138">
        <f t="shared" si="1"/>
        <v>1275.4731501555691</v>
      </c>
      <c r="AU13" s="138">
        <f t="shared" si="1"/>
        <v>1275.4731501555691</v>
      </c>
      <c r="AV13" s="138">
        <f t="shared" si="1"/>
        <v>25.155878131954278</v>
      </c>
      <c r="AW13" s="138">
        <f t="shared" si="1"/>
        <v>25.155878131954278</v>
      </c>
      <c r="AX13" s="138">
        <f t="shared" si="1"/>
        <v>25.155878131954278</v>
      </c>
      <c r="AY13" s="138">
        <f t="shared" si="1"/>
        <v>25.155878131954278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1275.4731501555691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1275.4731501555691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25.155878131954278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 t="s">
        <v>339</v>
      </c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 t="s">
        <v>339</v>
      </c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0.49676454736647363</v>
      </c>
      <c r="C21" s="156" t="s">
        <v>293</v>
      </c>
      <c r="D21" s="106">
        <f>IF(C$20="Yes",0,SUM(C$13:C$16)*$B$21)</f>
        <v>802.7928952389633</v>
      </c>
      <c r="E21" s="106">
        <f t="shared" ref="E21:AY21" si="3">IF(D$20="Yes",0,SUM(D$13:D$16)*$B$21)</f>
        <v>633.60984211512152</v>
      </c>
      <c r="F21" s="106">
        <f t="shared" si="3"/>
        <v>633.60984211512152</v>
      </c>
      <c r="G21" s="106">
        <f t="shared" si="3"/>
        <v>633.60984211512152</v>
      </c>
      <c r="H21" s="106">
        <f t="shared" si="3"/>
        <v>633.60984211512152</v>
      </c>
      <c r="I21" s="106">
        <f t="shared" si="3"/>
        <v>633.60984211512152</v>
      </c>
      <c r="J21" s="106">
        <f t="shared" si="3"/>
        <v>633.60984211512152</v>
      </c>
      <c r="K21" s="106">
        <f t="shared" si="3"/>
        <v>633.60984211512152</v>
      </c>
      <c r="L21" s="106">
        <f t="shared" si="3"/>
        <v>633.60984211512152</v>
      </c>
      <c r="M21" s="106">
        <f t="shared" si="3"/>
        <v>633.60984211512152</v>
      </c>
      <c r="N21" s="106">
        <f t="shared" si="3"/>
        <v>633.60984211512152</v>
      </c>
      <c r="O21" s="106">
        <f t="shared" si="3"/>
        <v>633.60984211512152</v>
      </c>
      <c r="P21" s="106">
        <f t="shared" si="3"/>
        <v>633.60984211512152</v>
      </c>
      <c r="Q21" s="106">
        <f t="shared" si="3"/>
        <v>633.60984211512152</v>
      </c>
      <c r="R21" s="106">
        <f t="shared" si="3"/>
        <v>0</v>
      </c>
      <c r="S21" s="106">
        <f t="shared" si="3"/>
        <v>1267.219684230243</v>
      </c>
      <c r="T21" s="106">
        <f t="shared" si="3"/>
        <v>633.60984211512152</v>
      </c>
      <c r="U21" s="106">
        <f t="shared" si="3"/>
        <v>633.60984211512152</v>
      </c>
      <c r="V21" s="106">
        <f t="shared" si="3"/>
        <v>633.60984211512152</v>
      </c>
      <c r="W21" s="106">
        <f t="shared" si="3"/>
        <v>633.60984211512152</v>
      </c>
      <c r="X21" s="106">
        <f t="shared" si="3"/>
        <v>633.60984211512152</v>
      </c>
      <c r="Y21" s="106">
        <f t="shared" si="3"/>
        <v>633.60984211512152</v>
      </c>
      <c r="Z21" s="106">
        <f t="shared" si="3"/>
        <v>633.60984211512152</v>
      </c>
      <c r="AA21" s="106">
        <f t="shared" si="3"/>
        <v>633.60984211512152</v>
      </c>
      <c r="AB21" s="106">
        <f t="shared" si="3"/>
        <v>633.60984211512152</v>
      </c>
      <c r="AC21" s="106">
        <f t="shared" si="3"/>
        <v>633.60984211512152</v>
      </c>
      <c r="AD21" s="106">
        <f t="shared" si="3"/>
        <v>633.60984211512152</v>
      </c>
      <c r="AE21" s="106">
        <f t="shared" si="3"/>
        <v>633.60984211512152</v>
      </c>
      <c r="AF21" s="106">
        <f t="shared" si="3"/>
        <v>633.60984211512152</v>
      </c>
      <c r="AG21" s="106">
        <f t="shared" si="3"/>
        <v>633.60984211512152</v>
      </c>
      <c r="AH21" s="106">
        <f t="shared" si="3"/>
        <v>633.60984211512152</v>
      </c>
      <c r="AI21" s="106">
        <f t="shared" si="3"/>
        <v>633.60984211512152</v>
      </c>
      <c r="AJ21" s="106">
        <f t="shared" si="3"/>
        <v>633.60984211512152</v>
      </c>
      <c r="AK21" s="106">
        <f t="shared" si="3"/>
        <v>633.60984211512152</v>
      </c>
      <c r="AL21" s="106">
        <f t="shared" si="3"/>
        <v>0</v>
      </c>
      <c r="AM21" s="106">
        <f t="shared" si="3"/>
        <v>1267.219684230243</v>
      </c>
      <c r="AN21" s="106">
        <f t="shared" si="3"/>
        <v>633.60984211512152</v>
      </c>
      <c r="AO21" s="106">
        <f t="shared" si="3"/>
        <v>633.60984211512152</v>
      </c>
      <c r="AP21" s="106">
        <f t="shared" si="3"/>
        <v>633.60984211512152</v>
      </c>
      <c r="AQ21" s="106">
        <f t="shared" si="3"/>
        <v>633.60984211512152</v>
      </c>
      <c r="AR21" s="106">
        <f t="shared" si="3"/>
        <v>633.60984211512152</v>
      </c>
      <c r="AS21" s="106">
        <f t="shared" si="3"/>
        <v>633.60984211512152</v>
      </c>
      <c r="AT21" s="106">
        <f t="shared" si="3"/>
        <v>633.60984211512152</v>
      </c>
      <c r="AU21" s="106">
        <f t="shared" si="3"/>
        <v>633.60984211512152</v>
      </c>
      <c r="AV21" s="106">
        <f t="shared" si="3"/>
        <v>633.60984211512152</v>
      </c>
      <c r="AW21" s="106">
        <f t="shared" si="3"/>
        <v>12.496548413826439</v>
      </c>
      <c r="AX21" s="106">
        <f t="shared" si="3"/>
        <v>0</v>
      </c>
      <c r="AY21" s="106">
        <f t="shared" si="3"/>
        <v>24.993096827652877</v>
      </c>
      <c r="AZ21" s="157">
        <f>SUM($D21:$AY21)</f>
        <v>28719.115593545801</v>
      </c>
    </row>
    <row r="22" spans="1:52" s="110" customFormat="1">
      <c r="A22" s="158" t="s">
        <v>123</v>
      </c>
      <c r="B22" s="159">
        <f>1-$B$21</f>
        <v>0.50323545263352631</v>
      </c>
      <c r="C22" s="159" t="s">
        <v>293</v>
      </c>
      <c r="D22" s="114">
        <f>IF(C$20="Yes",0,SUM(C$13:C$16)*$B$22)</f>
        <v>813.25015673577047</v>
      </c>
      <c r="E22" s="114">
        <f t="shared" ref="E22:AY22" si="4">IF(D$20="Yes",0,SUM(D$13:D$16)*$B$22)</f>
        <v>641.86330804044746</v>
      </c>
      <c r="F22" s="114">
        <f t="shared" si="4"/>
        <v>641.86330804044746</v>
      </c>
      <c r="G22" s="114">
        <f t="shared" si="4"/>
        <v>641.86330804044746</v>
      </c>
      <c r="H22" s="114">
        <f t="shared" si="4"/>
        <v>641.86330804044746</v>
      </c>
      <c r="I22" s="114">
        <f t="shared" si="4"/>
        <v>641.86330804044746</v>
      </c>
      <c r="J22" s="114">
        <f t="shared" si="4"/>
        <v>641.86330804044746</v>
      </c>
      <c r="K22" s="114">
        <f t="shared" si="4"/>
        <v>641.86330804044746</v>
      </c>
      <c r="L22" s="114">
        <f t="shared" si="4"/>
        <v>641.86330804044746</v>
      </c>
      <c r="M22" s="114">
        <f t="shared" si="4"/>
        <v>641.86330804044746</v>
      </c>
      <c r="N22" s="114">
        <f t="shared" si="4"/>
        <v>641.86330804044746</v>
      </c>
      <c r="O22" s="114">
        <f t="shared" si="4"/>
        <v>641.86330804044746</v>
      </c>
      <c r="P22" s="114">
        <f t="shared" si="4"/>
        <v>641.86330804044746</v>
      </c>
      <c r="Q22" s="114">
        <f t="shared" si="4"/>
        <v>641.86330804044746</v>
      </c>
      <c r="R22" s="114">
        <f t="shared" si="4"/>
        <v>0</v>
      </c>
      <c r="S22" s="114">
        <f t="shared" si="4"/>
        <v>1283.7266160808949</v>
      </c>
      <c r="T22" s="114">
        <f t="shared" si="4"/>
        <v>641.86330804044746</v>
      </c>
      <c r="U22" s="114">
        <f t="shared" si="4"/>
        <v>641.86330804044746</v>
      </c>
      <c r="V22" s="114">
        <f t="shared" si="4"/>
        <v>641.86330804044746</v>
      </c>
      <c r="W22" s="114">
        <f t="shared" si="4"/>
        <v>641.86330804044746</v>
      </c>
      <c r="X22" s="114">
        <f t="shared" si="4"/>
        <v>641.86330804044746</v>
      </c>
      <c r="Y22" s="114">
        <f t="shared" si="4"/>
        <v>641.86330804044746</v>
      </c>
      <c r="Z22" s="114">
        <f t="shared" si="4"/>
        <v>641.86330804044746</v>
      </c>
      <c r="AA22" s="114">
        <f t="shared" si="4"/>
        <v>641.86330804044746</v>
      </c>
      <c r="AB22" s="114">
        <f t="shared" si="4"/>
        <v>641.86330804044746</v>
      </c>
      <c r="AC22" s="114">
        <f t="shared" si="4"/>
        <v>641.86330804044746</v>
      </c>
      <c r="AD22" s="114">
        <f t="shared" si="4"/>
        <v>641.86330804044746</v>
      </c>
      <c r="AE22" s="114">
        <f t="shared" si="4"/>
        <v>641.86330804044746</v>
      </c>
      <c r="AF22" s="114">
        <f t="shared" si="4"/>
        <v>641.86330804044746</v>
      </c>
      <c r="AG22" s="114">
        <f t="shared" si="4"/>
        <v>641.86330804044746</v>
      </c>
      <c r="AH22" s="114">
        <f t="shared" si="4"/>
        <v>641.86330804044746</v>
      </c>
      <c r="AI22" s="114">
        <f t="shared" si="4"/>
        <v>641.86330804044746</v>
      </c>
      <c r="AJ22" s="114">
        <f t="shared" si="4"/>
        <v>641.86330804044746</v>
      </c>
      <c r="AK22" s="114">
        <f t="shared" si="4"/>
        <v>641.86330804044746</v>
      </c>
      <c r="AL22" s="114">
        <f t="shared" si="4"/>
        <v>0</v>
      </c>
      <c r="AM22" s="114">
        <f t="shared" si="4"/>
        <v>1283.7266160808949</v>
      </c>
      <c r="AN22" s="114">
        <f t="shared" si="4"/>
        <v>641.86330804044746</v>
      </c>
      <c r="AO22" s="114">
        <f t="shared" si="4"/>
        <v>641.86330804044746</v>
      </c>
      <c r="AP22" s="114">
        <f t="shared" si="4"/>
        <v>641.86330804044746</v>
      </c>
      <c r="AQ22" s="114">
        <f t="shared" si="4"/>
        <v>641.86330804044746</v>
      </c>
      <c r="AR22" s="114">
        <f t="shared" si="4"/>
        <v>641.86330804044746</v>
      </c>
      <c r="AS22" s="114">
        <f t="shared" si="4"/>
        <v>641.86330804044746</v>
      </c>
      <c r="AT22" s="114">
        <f t="shared" si="4"/>
        <v>641.86330804044746</v>
      </c>
      <c r="AU22" s="114">
        <f t="shared" si="4"/>
        <v>641.86330804044746</v>
      </c>
      <c r="AV22" s="114">
        <f t="shared" si="4"/>
        <v>641.86330804044746</v>
      </c>
      <c r="AW22" s="114">
        <f t="shared" si="4"/>
        <v>12.659329718127838</v>
      </c>
      <c r="AX22" s="114">
        <f t="shared" si="4"/>
        <v>0</v>
      </c>
      <c r="AY22" s="114">
        <f t="shared" si="4"/>
        <v>25.318659436255675</v>
      </c>
      <c r="AZ22" s="141">
        <f t="shared" ref="AZ22:AZ30" si="5">SUM($D22:$AY22)</f>
        <v>29093.213699669828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1605585.7904779266</v>
      </c>
      <c r="E23" s="100">
        <f t="shared" ref="E23:AY23" si="6">E$21*$B$23</f>
        <v>1267219.6842302431</v>
      </c>
      <c r="F23" s="100">
        <f t="shared" si="6"/>
        <v>1267219.6842302431</v>
      </c>
      <c r="G23" s="100">
        <f t="shared" si="6"/>
        <v>1267219.6842302431</v>
      </c>
      <c r="H23" s="100">
        <f t="shared" si="6"/>
        <v>1267219.6842302431</v>
      </c>
      <c r="I23" s="100">
        <f t="shared" si="6"/>
        <v>1267219.6842302431</v>
      </c>
      <c r="J23" s="100">
        <f t="shared" si="6"/>
        <v>1267219.6842302431</v>
      </c>
      <c r="K23" s="100">
        <f t="shared" si="6"/>
        <v>1267219.6842302431</v>
      </c>
      <c r="L23" s="100">
        <f t="shared" si="6"/>
        <v>1267219.6842302431</v>
      </c>
      <c r="M23" s="100">
        <f t="shared" si="6"/>
        <v>1267219.6842302431</v>
      </c>
      <c r="N23" s="100">
        <f t="shared" si="6"/>
        <v>1267219.6842302431</v>
      </c>
      <c r="O23" s="100">
        <f t="shared" si="6"/>
        <v>1267219.6842302431</v>
      </c>
      <c r="P23" s="100">
        <f t="shared" si="6"/>
        <v>1267219.6842302431</v>
      </c>
      <c r="Q23" s="100">
        <f t="shared" si="6"/>
        <v>1267219.6842302431</v>
      </c>
      <c r="R23" s="100">
        <f t="shared" si="6"/>
        <v>0</v>
      </c>
      <c r="S23" s="100">
        <f t="shared" si="6"/>
        <v>2534439.3684604862</v>
      </c>
      <c r="T23" s="100">
        <f t="shared" si="6"/>
        <v>1267219.6842302431</v>
      </c>
      <c r="U23" s="100">
        <f t="shared" si="6"/>
        <v>1267219.6842302431</v>
      </c>
      <c r="V23" s="100">
        <f t="shared" si="6"/>
        <v>1267219.6842302431</v>
      </c>
      <c r="W23" s="100">
        <f t="shared" si="6"/>
        <v>1267219.6842302431</v>
      </c>
      <c r="X23" s="100">
        <f t="shared" si="6"/>
        <v>1267219.6842302431</v>
      </c>
      <c r="Y23" s="100">
        <f t="shared" si="6"/>
        <v>1267219.6842302431</v>
      </c>
      <c r="Z23" s="100">
        <f t="shared" si="6"/>
        <v>1267219.6842302431</v>
      </c>
      <c r="AA23" s="100">
        <f t="shared" si="6"/>
        <v>1267219.6842302431</v>
      </c>
      <c r="AB23" s="100">
        <f t="shared" si="6"/>
        <v>1267219.6842302431</v>
      </c>
      <c r="AC23" s="100">
        <f t="shared" si="6"/>
        <v>1267219.6842302431</v>
      </c>
      <c r="AD23" s="100">
        <f t="shared" si="6"/>
        <v>1267219.6842302431</v>
      </c>
      <c r="AE23" s="100">
        <f t="shared" si="6"/>
        <v>1267219.6842302431</v>
      </c>
      <c r="AF23" s="100">
        <f t="shared" si="6"/>
        <v>1267219.6842302431</v>
      </c>
      <c r="AG23" s="100">
        <f t="shared" si="6"/>
        <v>1267219.6842302431</v>
      </c>
      <c r="AH23" s="100">
        <f t="shared" si="6"/>
        <v>1267219.6842302431</v>
      </c>
      <c r="AI23" s="100">
        <f t="shared" si="6"/>
        <v>1267219.6842302431</v>
      </c>
      <c r="AJ23" s="100">
        <f t="shared" si="6"/>
        <v>1267219.6842302431</v>
      </c>
      <c r="AK23" s="100">
        <f t="shared" si="6"/>
        <v>1267219.6842302431</v>
      </c>
      <c r="AL23" s="100">
        <f t="shared" si="6"/>
        <v>0</v>
      </c>
      <c r="AM23" s="100">
        <f t="shared" si="6"/>
        <v>2534439.3684604862</v>
      </c>
      <c r="AN23" s="100">
        <f t="shared" si="6"/>
        <v>1267219.6842302431</v>
      </c>
      <c r="AO23" s="100">
        <f t="shared" si="6"/>
        <v>1267219.6842302431</v>
      </c>
      <c r="AP23" s="100">
        <f t="shared" si="6"/>
        <v>1267219.6842302431</v>
      </c>
      <c r="AQ23" s="100">
        <f t="shared" si="6"/>
        <v>1267219.6842302431</v>
      </c>
      <c r="AR23" s="100">
        <f t="shared" si="6"/>
        <v>1267219.6842302431</v>
      </c>
      <c r="AS23" s="100">
        <f t="shared" si="6"/>
        <v>1267219.6842302431</v>
      </c>
      <c r="AT23" s="100">
        <f t="shared" si="6"/>
        <v>1267219.6842302431</v>
      </c>
      <c r="AU23" s="100">
        <f t="shared" si="6"/>
        <v>1267219.6842302431</v>
      </c>
      <c r="AV23" s="100">
        <f t="shared" si="6"/>
        <v>1267219.6842302431</v>
      </c>
      <c r="AW23" s="100">
        <f t="shared" si="6"/>
        <v>24993.096827652877</v>
      </c>
      <c r="AX23" s="100">
        <f t="shared" si="6"/>
        <v>0</v>
      </c>
      <c r="AY23" s="100">
        <f t="shared" si="6"/>
        <v>49986.193655305753</v>
      </c>
      <c r="AZ23" s="139">
        <f t="shared" si="5"/>
        <v>57438231.187091611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813250.15673577052</v>
      </c>
      <c r="E24" s="106">
        <f t="shared" ref="E24:AY24" si="7">E$22*$B$24</f>
        <v>641863.30804044742</v>
      </c>
      <c r="F24" s="106">
        <f t="shared" si="7"/>
        <v>641863.30804044742</v>
      </c>
      <c r="G24" s="106">
        <f t="shared" si="7"/>
        <v>641863.30804044742</v>
      </c>
      <c r="H24" s="106">
        <f t="shared" si="7"/>
        <v>641863.30804044742</v>
      </c>
      <c r="I24" s="106">
        <f t="shared" si="7"/>
        <v>641863.30804044742</v>
      </c>
      <c r="J24" s="106">
        <f t="shared" si="7"/>
        <v>641863.30804044742</v>
      </c>
      <c r="K24" s="106">
        <f t="shared" si="7"/>
        <v>641863.30804044742</v>
      </c>
      <c r="L24" s="106">
        <f t="shared" si="7"/>
        <v>641863.30804044742</v>
      </c>
      <c r="M24" s="106">
        <f t="shared" si="7"/>
        <v>641863.30804044742</v>
      </c>
      <c r="N24" s="106">
        <f t="shared" si="7"/>
        <v>641863.30804044742</v>
      </c>
      <c r="O24" s="106">
        <f t="shared" si="7"/>
        <v>641863.30804044742</v>
      </c>
      <c r="P24" s="106">
        <f t="shared" si="7"/>
        <v>641863.30804044742</v>
      </c>
      <c r="Q24" s="106">
        <f t="shared" si="7"/>
        <v>641863.30804044742</v>
      </c>
      <c r="R24" s="106">
        <f t="shared" si="7"/>
        <v>0</v>
      </c>
      <c r="S24" s="106">
        <f t="shared" si="7"/>
        <v>1283726.6160808948</v>
      </c>
      <c r="T24" s="106">
        <f t="shared" si="7"/>
        <v>641863.30804044742</v>
      </c>
      <c r="U24" s="106">
        <f t="shared" si="7"/>
        <v>641863.30804044742</v>
      </c>
      <c r="V24" s="106">
        <f t="shared" si="7"/>
        <v>641863.30804044742</v>
      </c>
      <c r="W24" s="106">
        <f t="shared" si="7"/>
        <v>641863.30804044742</v>
      </c>
      <c r="X24" s="106">
        <f t="shared" si="7"/>
        <v>641863.30804044742</v>
      </c>
      <c r="Y24" s="106">
        <f t="shared" si="7"/>
        <v>641863.30804044742</v>
      </c>
      <c r="Z24" s="106">
        <f t="shared" si="7"/>
        <v>641863.30804044742</v>
      </c>
      <c r="AA24" s="106">
        <f t="shared" si="7"/>
        <v>641863.30804044742</v>
      </c>
      <c r="AB24" s="106">
        <f t="shared" si="7"/>
        <v>641863.30804044742</v>
      </c>
      <c r="AC24" s="106">
        <f t="shared" si="7"/>
        <v>641863.30804044742</v>
      </c>
      <c r="AD24" s="106">
        <f t="shared" si="7"/>
        <v>641863.30804044742</v>
      </c>
      <c r="AE24" s="106">
        <f t="shared" si="7"/>
        <v>641863.30804044742</v>
      </c>
      <c r="AF24" s="106">
        <f t="shared" si="7"/>
        <v>641863.30804044742</v>
      </c>
      <c r="AG24" s="106">
        <f t="shared" si="7"/>
        <v>641863.30804044742</v>
      </c>
      <c r="AH24" s="106">
        <f t="shared" si="7"/>
        <v>641863.30804044742</v>
      </c>
      <c r="AI24" s="106">
        <f t="shared" si="7"/>
        <v>641863.30804044742</v>
      </c>
      <c r="AJ24" s="106">
        <f t="shared" si="7"/>
        <v>641863.30804044742</v>
      </c>
      <c r="AK24" s="106">
        <f t="shared" si="7"/>
        <v>641863.30804044742</v>
      </c>
      <c r="AL24" s="106">
        <f t="shared" si="7"/>
        <v>0</v>
      </c>
      <c r="AM24" s="106">
        <f t="shared" si="7"/>
        <v>1283726.6160808948</v>
      </c>
      <c r="AN24" s="106">
        <f t="shared" si="7"/>
        <v>641863.30804044742</v>
      </c>
      <c r="AO24" s="106">
        <f t="shared" si="7"/>
        <v>641863.30804044742</v>
      </c>
      <c r="AP24" s="106">
        <f t="shared" si="7"/>
        <v>641863.30804044742</v>
      </c>
      <c r="AQ24" s="106">
        <f t="shared" si="7"/>
        <v>641863.30804044742</v>
      </c>
      <c r="AR24" s="106">
        <f t="shared" si="7"/>
        <v>641863.30804044742</v>
      </c>
      <c r="AS24" s="106">
        <f t="shared" si="7"/>
        <v>641863.30804044742</v>
      </c>
      <c r="AT24" s="106">
        <f t="shared" si="7"/>
        <v>641863.30804044742</v>
      </c>
      <c r="AU24" s="106">
        <f t="shared" si="7"/>
        <v>641863.30804044742</v>
      </c>
      <c r="AV24" s="106">
        <f t="shared" si="7"/>
        <v>641863.30804044742</v>
      </c>
      <c r="AW24" s="106">
        <f t="shared" si="7"/>
        <v>12659.329718127838</v>
      </c>
      <c r="AX24" s="106">
        <f t="shared" si="7"/>
        <v>0</v>
      </c>
      <c r="AY24" s="106">
        <f t="shared" si="7"/>
        <v>25318.659436255675</v>
      </c>
      <c r="AZ24" s="141">
        <f t="shared" si="5"/>
        <v>29093213.699669845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13</v>
      </c>
      <c r="AY27" s="164">
        <f t="shared" si="8"/>
        <v>15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2</v>
      </c>
      <c r="AX28" s="110">
        <v>0</v>
      </c>
      <c r="AY28" s="166">
        <v>3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2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130</v>
      </c>
      <c r="AY30" s="117">
        <f t="shared" si="10"/>
        <v>150</v>
      </c>
      <c r="AZ30" s="141">
        <f t="shared" si="5"/>
        <v>3730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28.556564075814727</v>
      </c>
      <c r="E33" s="124">
        <f>E$21*shipping_manufacturing!$F$27/100</f>
        <v>22.538465602690035</v>
      </c>
      <c r="F33" s="124">
        <f>F$21*shipping_manufacturing!$F$27/100</f>
        <v>22.538465602690035</v>
      </c>
      <c r="G33" s="124">
        <f>G$21*shipping_manufacturing!$F$27/100</f>
        <v>22.538465602690035</v>
      </c>
      <c r="H33" s="124">
        <f>H$21*shipping_manufacturing!$F$27/100</f>
        <v>22.538465602690035</v>
      </c>
      <c r="I33" s="124">
        <f>I$21*shipping_manufacturing!$F$27/100</f>
        <v>22.538465602690035</v>
      </c>
      <c r="J33" s="124">
        <f>J$21*shipping_manufacturing!$F$27/100</f>
        <v>22.538465602690035</v>
      </c>
      <c r="K33" s="124">
        <f>K$21*shipping_manufacturing!$F$27/100</f>
        <v>22.538465602690035</v>
      </c>
      <c r="L33" s="124">
        <f>L$21*shipping_manufacturing!$F$27/100</f>
        <v>22.538465602690035</v>
      </c>
      <c r="M33" s="124">
        <f>M$21*shipping_manufacturing!$F$27/100</f>
        <v>22.538465602690035</v>
      </c>
      <c r="N33" s="124">
        <f>N$21*shipping_manufacturing!$F$27/100</f>
        <v>22.538465602690035</v>
      </c>
      <c r="O33" s="124">
        <f>O$21*shipping_manufacturing!$F$27/100</f>
        <v>22.538465602690035</v>
      </c>
      <c r="P33" s="124">
        <f>P$21*shipping_manufacturing!$F$27/100</f>
        <v>22.538465602690035</v>
      </c>
      <c r="Q33" s="124">
        <f>Q$21*shipping_manufacturing!$F$27/100</f>
        <v>22.538465602690035</v>
      </c>
      <c r="R33" s="124">
        <f>R$21*shipping_manufacturing!$F$27/100</f>
        <v>0</v>
      </c>
      <c r="S33" s="124">
        <f>S$21*shipping_manufacturing!$F$27/100</f>
        <v>45.07693120538007</v>
      </c>
      <c r="T33" s="124">
        <f>T$21*shipping_manufacturing!$F$27/100</f>
        <v>22.538465602690035</v>
      </c>
      <c r="U33" s="124">
        <f>U$21*shipping_manufacturing!$F$27/100</f>
        <v>22.538465602690035</v>
      </c>
      <c r="V33" s="124">
        <f>V$21*shipping_manufacturing!$F$27/100</f>
        <v>22.538465602690035</v>
      </c>
      <c r="W33" s="124">
        <f>W$21*shipping_manufacturing!$F$27/100</f>
        <v>22.538465602690035</v>
      </c>
      <c r="X33" s="124">
        <f>X$21*shipping_manufacturing!$F$27/100</f>
        <v>22.538465602690035</v>
      </c>
      <c r="Y33" s="124">
        <f>Y$21*shipping_manufacturing!$F$27/100</f>
        <v>22.538465602690035</v>
      </c>
      <c r="Z33" s="124">
        <f>Z$21*shipping_manufacturing!$F$27/100</f>
        <v>22.538465602690035</v>
      </c>
      <c r="AA33" s="124">
        <f>AA$21*shipping_manufacturing!$F$27/100</f>
        <v>22.538465602690035</v>
      </c>
      <c r="AB33" s="124">
        <f>AB$21*shipping_manufacturing!$F$27/100</f>
        <v>22.538465602690035</v>
      </c>
      <c r="AC33" s="124">
        <f>AC$21*shipping_manufacturing!$F$27/100</f>
        <v>22.538465602690035</v>
      </c>
      <c r="AD33" s="124">
        <f>AD$21*shipping_manufacturing!$F$27/100</f>
        <v>22.538465602690035</v>
      </c>
      <c r="AE33" s="124">
        <f>AE$21*shipping_manufacturing!$F$27/100</f>
        <v>22.538465602690035</v>
      </c>
      <c r="AF33" s="124">
        <f>AF$21*shipping_manufacturing!$F$27/100</f>
        <v>22.538465602690035</v>
      </c>
      <c r="AG33" s="124">
        <f>AG$21*shipping_manufacturing!$F$27/100</f>
        <v>22.538465602690035</v>
      </c>
      <c r="AH33" s="124">
        <f>AH$21*shipping_manufacturing!$F$27/100</f>
        <v>22.538465602690035</v>
      </c>
      <c r="AI33" s="124">
        <f>AI$21*shipping_manufacturing!$F$27/100</f>
        <v>22.538465602690035</v>
      </c>
      <c r="AJ33" s="124">
        <f>AJ$21*shipping_manufacturing!$F$27/100</f>
        <v>22.538465602690035</v>
      </c>
      <c r="AK33" s="124">
        <f>AK$21*shipping_manufacturing!$F$27/100</f>
        <v>22.538465602690035</v>
      </c>
      <c r="AL33" s="124">
        <f>AL$21*shipping_manufacturing!$F$27/100</f>
        <v>0</v>
      </c>
      <c r="AM33" s="124">
        <f>AM$21*shipping_manufacturing!$F$27/100</f>
        <v>45.07693120538007</v>
      </c>
      <c r="AN33" s="124">
        <f>AN$21*shipping_manufacturing!$F$27/100</f>
        <v>22.538465602690035</v>
      </c>
      <c r="AO33" s="124">
        <f>AO$21*shipping_manufacturing!$F$27/100</f>
        <v>22.538465602690035</v>
      </c>
      <c r="AP33" s="124">
        <f>AP$21*shipping_manufacturing!$F$27/100</f>
        <v>22.538465602690035</v>
      </c>
      <c r="AQ33" s="124">
        <f>AQ$21*shipping_manufacturing!$F$27/100</f>
        <v>22.538465602690035</v>
      </c>
      <c r="AR33" s="124">
        <f>AR$21*shipping_manufacturing!$F$27/100</f>
        <v>22.538465602690035</v>
      </c>
      <c r="AS33" s="124">
        <f>AS$21*shipping_manufacturing!$F$27/100</f>
        <v>22.538465602690035</v>
      </c>
      <c r="AT33" s="124">
        <f>AT$21*shipping_manufacturing!$F$27/100</f>
        <v>22.538465602690035</v>
      </c>
      <c r="AU33" s="124">
        <f>AU$21*shipping_manufacturing!$F$27/100</f>
        <v>22.538465602690035</v>
      </c>
      <c r="AV33" s="124">
        <f>AV$21*shipping_manufacturing!$F$27/100</f>
        <v>22.538465602690035</v>
      </c>
      <c r="AW33" s="124">
        <f>AW$21*shipping_manufacturing!$F$27/100</f>
        <v>0.44452123034762453</v>
      </c>
      <c r="AX33" s="124">
        <f>AX$21*shipping_manufacturing!$F$27/100</f>
        <v>0</v>
      </c>
      <c r="AY33" s="124">
        <f>AY$21*shipping_manufacturing!$F$27/100</f>
        <v>0.88904246069524906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9.7120636227165598</v>
      </c>
      <c r="E34" s="110">
        <f>E$22*shipping_manufacturing!$G$27/100</f>
        <v>7.6653133517950804</v>
      </c>
      <c r="F34" s="110">
        <f>F$22*shipping_manufacturing!$G$27/100</f>
        <v>7.6653133517950804</v>
      </c>
      <c r="G34" s="110">
        <f>G$22*shipping_manufacturing!$G$27/100</f>
        <v>7.6653133517950804</v>
      </c>
      <c r="H34" s="110">
        <f>H$22*shipping_manufacturing!$G$27/100</f>
        <v>7.6653133517950804</v>
      </c>
      <c r="I34" s="110">
        <f>I$22*shipping_manufacturing!$G$27/100</f>
        <v>7.6653133517950804</v>
      </c>
      <c r="J34" s="110">
        <f>J$22*shipping_manufacturing!$G$27/100</f>
        <v>7.6653133517950804</v>
      </c>
      <c r="K34" s="110">
        <f>K$22*shipping_manufacturing!$G$27/100</f>
        <v>7.6653133517950804</v>
      </c>
      <c r="L34" s="110">
        <f>L$22*shipping_manufacturing!$G$27/100</f>
        <v>7.6653133517950804</v>
      </c>
      <c r="M34" s="110">
        <f>M$22*shipping_manufacturing!$G$27/100</f>
        <v>7.6653133517950804</v>
      </c>
      <c r="N34" s="110">
        <f>N$22*shipping_manufacturing!$G$27/100</f>
        <v>7.6653133517950804</v>
      </c>
      <c r="O34" s="110">
        <f>O$22*shipping_manufacturing!$G$27/100</f>
        <v>7.6653133517950804</v>
      </c>
      <c r="P34" s="110">
        <f>P$22*shipping_manufacturing!$G$27/100</f>
        <v>7.6653133517950804</v>
      </c>
      <c r="Q34" s="110">
        <f>Q$22*shipping_manufacturing!$G$27/100</f>
        <v>7.6653133517950804</v>
      </c>
      <c r="R34" s="110">
        <f>R$22*shipping_manufacturing!$G$27/100</f>
        <v>0</v>
      </c>
      <c r="S34" s="110">
        <f>S$22*shipping_manufacturing!$G$27/100</f>
        <v>15.330626703590161</v>
      </c>
      <c r="T34" s="110">
        <f>T$22*shipping_manufacturing!$G$27/100</f>
        <v>7.6653133517950804</v>
      </c>
      <c r="U34" s="110">
        <f>U$22*shipping_manufacturing!$G$27/100</f>
        <v>7.6653133517950804</v>
      </c>
      <c r="V34" s="110">
        <f>V$22*shipping_manufacturing!$G$27/100</f>
        <v>7.6653133517950804</v>
      </c>
      <c r="W34" s="110">
        <f>W$22*shipping_manufacturing!$G$27/100</f>
        <v>7.6653133517950804</v>
      </c>
      <c r="X34" s="110">
        <f>X$22*shipping_manufacturing!$G$27/100</f>
        <v>7.6653133517950804</v>
      </c>
      <c r="Y34" s="110">
        <f>Y$22*shipping_manufacturing!$G$27/100</f>
        <v>7.6653133517950804</v>
      </c>
      <c r="Z34" s="110">
        <f>Z$22*shipping_manufacturing!$G$27/100</f>
        <v>7.6653133517950804</v>
      </c>
      <c r="AA34" s="110">
        <f>AA$22*shipping_manufacturing!$G$27/100</f>
        <v>7.6653133517950804</v>
      </c>
      <c r="AB34" s="110">
        <f>AB$22*shipping_manufacturing!$G$27/100</f>
        <v>7.6653133517950804</v>
      </c>
      <c r="AC34" s="110">
        <f>AC$22*shipping_manufacturing!$G$27/100</f>
        <v>7.6653133517950804</v>
      </c>
      <c r="AD34" s="110">
        <f>AD$22*shipping_manufacturing!$G$27/100</f>
        <v>7.6653133517950804</v>
      </c>
      <c r="AE34" s="110">
        <f>AE$22*shipping_manufacturing!$G$27/100</f>
        <v>7.6653133517950804</v>
      </c>
      <c r="AF34" s="110">
        <f>AF$22*shipping_manufacturing!$G$27/100</f>
        <v>7.6653133517950804</v>
      </c>
      <c r="AG34" s="110">
        <f>AG$22*shipping_manufacturing!$G$27/100</f>
        <v>7.6653133517950804</v>
      </c>
      <c r="AH34" s="110">
        <f>AH$22*shipping_manufacturing!$G$27/100</f>
        <v>7.6653133517950804</v>
      </c>
      <c r="AI34" s="110">
        <f>AI$22*shipping_manufacturing!$G$27/100</f>
        <v>7.6653133517950804</v>
      </c>
      <c r="AJ34" s="110">
        <f>AJ$22*shipping_manufacturing!$G$27/100</f>
        <v>7.6653133517950804</v>
      </c>
      <c r="AK34" s="110">
        <f>AK$22*shipping_manufacturing!$G$27/100</f>
        <v>7.6653133517950804</v>
      </c>
      <c r="AL34" s="110">
        <f>AL$22*shipping_manufacturing!$G$27/100</f>
        <v>0</v>
      </c>
      <c r="AM34" s="110">
        <f>AM$22*shipping_manufacturing!$G$27/100</f>
        <v>15.330626703590161</v>
      </c>
      <c r="AN34" s="110">
        <f>AN$22*shipping_manufacturing!$G$27/100</f>
        <v>7.6653133517950804</v>
      </c>
      <c r="AO34" s="110">
        <f>AO$22*shipping_manufacturing!$G$27/100</f>
        <v>7.6653133517950804</v>
      </c>
      <c r="AP34" s="110">
        <f>AP$22*shipping_manufacturing!$G$27/100</f>
        <v>7.6653133517950804</v>
      </c>
      <c r="AQ34" s="110">
        <f>AQ$22*shipping_manufacturing!$G$27/100</f>
        <v>7.6653133517950804</v>
      </c>
      <c r="AR34" s="110">
        <f>AR$22*shipping_manufacturing!$G$27/100</f>
        <v>7.6653133517950804</v>
      </c>
      <c r="AS34" s="110">
        <f>AS$22*shipping_manufacturing!$G$27/100</f>
        <v>7.6653133517950804</v>
      </c>
      <c r="AT34" s="110">
        <f>AT$22*shipping_manufacturing!$G$27/100</f>
        <v>7.6653133517950804</v>
      </c>
      <c r="AU34" s="110">
        <f>AU$22*shipping_manufacturing!$G$27/100</f>
        <v>7.6653133517950804</v>
      </c>
      <c r="AV34" s="110">
        <f>AV$22*shipping_manufacturing!$G$27/100</f>
        <v>7.6653133517950804</v>
      </c>
      <c r="AW34" s="110">
        <f>AW$22*shipping_manufacturing!$G$27/100</f>
        <v>0.15118129965925184</v>
      </c>
      <c r="AX34" s="110">
        <f>AX$22*shipping_manufacturing!$G$27/100</f>
        <v>0</v>
      </c>
      <c r="AY34" s="110">
        <f>AY$22*shipping_manufacturing!$G$27/100</f>
        <v>0.30236259931850368</v>
      </c>
    </row>
    <row r="35" spans="1:52">
      <c r="A35" s="110">
        <v>1245</v>
      </c>
      <c r="B35" s="165" t="s">
        <v>343</v>
      </c>
      <c r="C35" s="110"/>
      <c r="D35" s="110">
        <f>SUM(D33:D34)</f>
        <v>38.26862769853129</v>
      </c>
      <c r="E35" s="110">
        <f t="shared" ref="E35:AY35" si="11">SUM(E33:E34)</f>
        <v>30.203778954485117</v>
      </c>
      <c r="F35" s="110">
        <f t="shared" si="11"/>
        <v>30.203778954485117</v>
      </c>
      <c r="G35" s="110">
        <f t="shared" si="11"/>
        <v>30.203778954485117</v>
      </c>
      <c r="H35" s="110">
        <f t="shared" si="11"/>
        <v>30.203778954485117</v>
      </c>
      <c r="I35" s="110">
        <f t="shared" si="11"/>
        <v>30.203778954485117</v>
      </c>
      <c r="J35" s="110">
        <f t="shared" si="11"/>
        <v>30.203778954485117</v>
      </c>
      <c r="K35" s="110">
        <f t="shared" si="11"/>
        <v>30.203778954485117</v>
      </c>
      <c r="L35" s="110">
        <f t="shared" si="11"/>
        <v>30.203778954485117</v>
      </c>
      <c r="M35" s="110">
        <f t="shared" si="11"/>
        <v>30.203778954485117</v>
      </c>
      <c r="N35" s="110">
        <f t="shared" si="11"/>
        <v>30.203778954485117</v>
      </c>
      <c r="O35" s="110">
        <f t="shared" si="11"/>
        <v>30.203778954485117</v>
      </c>
      <c r="P35" s="110">
        <f t="shared" si="11"/>
        <v>30.203778954485117</v>
      </c>
      <c r="Q35" s="110">
        <f t="shared" si="11"/>
        <v>30.203778954485117</v>
      </c>
      <c r="R35" s="110">
        <f t="shared" si="11"/>
        <v>0</v>
      </c>
      <c r="S35" s="110">
        <f t="shared" si="11"/>
        <v>60.407557908970233</v>
      </c>
      <c r="T35" s="110">
        <f t="shared" si="11"/>
        <v>30.203778954485117</v>
      </c>
      <c r="U35" s="110">
        <f t="shared" si="11"/>
        <v>30.203778954485117</v>
      </c>
      <c r="V35" s="110">
        <f t="shared" si="11"/>
        <v>30.203778954485117</v>
      </c>
      <c r="W35" s="110">
        <f t="shared" si="11"/>
        <v>30.203778954485117</v>
      </c>
      <c r="X35" s="110">
        <f t="shared" si="11"/>
        <v>30.203778954485117</v>
      </c>
      <c r="Y35" s="110">
        <f t="shared" si="11"/>
        <v>30.203778954485117</v>
      </c>
      <c r="Z35" s="110">
        <f t="shared" si="11"/>
        <v>30.203778954485117</v>
      </c>
      <c r="AA35" s="110">
        <f t="shared" si="11"/>
        <v>30.203778954485117</v>
      </c>
      <c r="AB35" s="110">
        <f t="shared" si="11"/>
        <v>30.203778954485117</v>
      </c>
      <c r="AC35" s="110">
        <f t="shared" si="11"/>
        <v>30.203778954485117</v>
      </c>
      <c r="AD35" s="110">
        <f t="shared" si="11"/>
        <v>30.203778954485117</v>
      </c>
      <c r="AE35" s="110">
        <f t="shared" si="11"/>
        <v>30.203778954485117</v>
      </c>
      <c r="AF35" s="110">
        <f t="shared" si="11"/>
        <v>30.203778954485117</v>
      </c>
      <c r="AG35" s="110">
        <f t="shared" si="11"/>
        <v>30.203778954485117</v>
      </c>
      <c r="AH35" s="110">
        <f t="shared" si="11"/>
        <v>30.203778954485117</v>
      </c>
      <c r="AI35" s="110">
        <f t="shared" si="11"/>
        <v>30.203778954485117</v>
      </c>
      <c r="AJ35" s="110">
        <f t="shared" si="11"/>
        <v>30.203778954485117</v>
      </c>
      <c r="AK35" s="110">
        <f t="shared" si="11"/>
        <v>30.203778954485117</v>
      </c>
      <c r="AL35" s="110">
        <f t="shared" si="11"/>
        <v>0</v>
      </c>
      <c r="AM35" s="110">
        <f t="shared" si="11"/>
        <v>60.407557908970233</v>
      </c>
      <c r="AN35" s="110">
        <f t="shared" si="11"/>
        <v>30.203778954485117</v>
      </c>
      <c r="AO35" s="110">
        <f t="shared" si="11"/>
        <v>30.203778954485117</v>
      </c>
      <c r="AP35" s="110">
        <f t="shared" si="11"/>
        <v>30.203778954485117</v>
      </c>
      <c r="AQ35" s="110">
        <f t="shared" si="11"/>
        <v>30.203778954485117</v>
      </c>
      <c r="AR35" s="110">
        <f t="shared" si="11"/>
        <v>30.203778954485117</v>
      </c>
      <c r="AS35" s="110">
        <f t="shared" si="11"/>
        <v>30.203778954485117</v>
      </c>
      <c r="AT35" s="110">
        <f t="shared" si="11"/>
        <v>30.203778954485117</v>
      </c>
      <c r="AU35" s="110">
        <f t="shared" si="11"/>
        <v>30.203778954485117</v>
      </c>
      <c r="AV35" s="110">
        <f t="shared" si="11"/>
        <v>30.203778954485117</v>
      </c>
      <c r="AW35" s="110">
        <f t="shared" si="11"/>
        <v>0.59570253000687634</v>
      </c>
      <c r="AX35" s="110">
        <f t="shared" si="11"/>
        <v>0</v>
      </c>
      <c r="AY35" s="110">
        <f t="shared" si="11"/>
        <v>1.1914050600137527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>
        <v>0.44452123034762453</v>
      </c>
      <c r="AX36" s="110"/>
      <c r="AY36" s="110">
        <v>0.88904246069524906</v>
      </c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>
        <v>0.15118129965925184</v>
      </c>
      <c r="AX37" s="110"/>
      <c r="AY37" s="110">
        <v>0.30236259931850368</v>
      </c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>
        <v>1</v>
      </c>
      <c r="AX38" s="110"/>
      <c r="AY38" s="110">
        <v>1</v>
      </c>
    </row>
    <row r="39" spans="1:52">
      <c r="A39" s="110"/>
      <c r="B39" s="165" t="s">
        <v>347</v>
      </c>
      <c r="C39" s="110"/>
      <c r="D39" s="110">
        <f>D33-D36</f>
        <v>28.556564075814727</v>
      </c>
      <c r="E39" s="110">
        <f t="shared" ref="E39:AY39" si="12">E33-E36</f>
        <v>22.538465602690035</v>
      </c>
      <c r="F39" s="110">
        <f t="shared" si="12"/>
        <v>22.538465602690035</v>
      </c>
      <c r="G39" s="110">
        <f t="shared" si="12"/>
        <v>22.538465602690035</v>
      </c>
      <c r="H39" s="110">
        <f t="shared" si="12"/>
        <v>22.538465602690035</v>
      </c>
      <c r="I39" s="110">
        <f t="shared" si="12"/>
        <v>22.538465602690035</v>
      </c>
      <c r="J39" s="110">
        <f t="shared" si="12"/>
        <v>22.538465602690035</v>
      </c>
      <c r="K39" s="110">
        <f t="shared" si="12"/>
        <v>22.538465602690035</v>
      </c>
      <c r="L39" s="110">
        <f t="shared" si="12"/>
        <v>22.538465602690035</v>
      </c>
      <c r="M39" s="110">
        <f t="shared" si="12"/>
        <v>22.538465602690035</v>
      </c>
      <c r="N39" s="110">
        <f t="shared" si="12"/>
        <v>22.538465602690035</v>
      </c>
      <c r="O39" s="110">
        <f t="shared" si="12"/>
        <v>22.538465602690035</v>
      </c>
      <c r="P39" s="110">
        <f t="shared" si="12"/>
        <v>22.538465602690035</v>
      </c>
      <c r="Q39" s="110">
        <f t="shared" si="12"/>
        <v>22.538465602690035</v>
      </c>
      <c r="R39" s="110">
        <f t="shared" si="12"/>
        <v>0</v>
      </c>
      <c r="S39" s="110">
        <f t="shared" si="12"/>
        <v>45.07693120538007</v>
      </c>
      <c r="T39" s="110">
        <f t="shared" si="12"/>
        <v>22.538465602690035</v>
      </c>
      <c r="U39" s="110">
        <f t="shared" si="12"/>
        <v>22.538465602690035</v>
      </c>
      <c r="V39" s="110">
        <f t="shared" si="12"/>
        <v>22.538465602690035</v>
      </c>
      <c r="W39" s="110">
        <f t="shared" si="12"/>
        <v>22.538465602690035</v>
      </c>
      <c r="X39" s="110">
        <f t="shared" si="12"/>
        <v>22.538465602690035</v>
      </c>
      <c r="Y39" s="110">
        <f t="shared" si="12"/>
        <v>22.538465602690035</v>
      </c>
      <c r="Z39" s="110">
        <f t="shared" si="12"/>
        <v>22.538465602690035</v>
      </c>
      <c r="AA39" s="110">
        <f t="shared" si="12"/>
        <v>22.538465602690035</v>
      </c>
      <c r="AB39" s="110">
        <f t="shared" si="12"/>
        <v>22.538465602690035</v>
      </c>
      <c r="AC39" s="110">
        <f t="shared" si="12"/>
        <v>22.538465602690035</v>
      </c>
      <c r="AD39" s="110">
        <f t="shared" si="12"/>
        <v>22.538465602690035</v>
      </c>
      <c r="AE39" s="110">
        <f t="shared" si="12"/>
        <v>22.538465602690035</v>
      </c>
      <c r="AF39" s="110">
        <f t="shared" si="12"/>
        <v>22.538465602690035</v>
      </c>
      <c r="AG39" s="110">
        <f t="shared" si="12"/>
        <v>22.538465602690035</v>
      </c>
      <c r="AH39" s="110">
        <f t="shared" si="12"/>
        <v>22.538465602690035</v>
      </c>
      <c r="AI39" s="110">
        <f t="shared" si="12"/>
        <v>22.538465602690035</v>
      </c>
      <c r="AJ39" s="110">
        <f t="shared" si="12"/>
        <v>22.538465602690035</v>
      </c>
      <c r="AK39" s="110">
        <f t="shared" si="12"/>
        <v>22.538465602690035</v>
      </c>
      <c r="AL39" s="110">
        <f t="shared" si="12"/>
        <v>0</v>
      </c>
      <c r="AM39" s="110">
        <f t="shared" si="12"/>
        <v>45.07693120538007</v>
      </c>
      <c r="AN39" s="110">
        <f t="shared" si="12"/>
        <v>22.538465602690035</v>
      </c>
      <c r="AO39" s="110">
        <f t="shared" si="12"/>
        <v>22.538465602690035</v>
      </c>
      <c r="AP39" s="110">
        <f t="shared" si="12"/>
        <v>22.538465602690035</v>
      </c>
      <c r="AQ39" s="110">
        <f t="shared" si="12"/>
        <v>22.538465602690035</v>
      </c>
      <c r="AR39" s="110">
        <f t="shared" si="12"/>
        <v>22.538465602690035</v>
      </c>
      <c r="AS39" s="110">
        <f t="shared" si="12"/>
        <v>22.538465602690035</v>
      </c>
      <c r="AT39" s="110">
        <f t="shared" si="12"/>
        <v>22.538465602690035</v>
      </c>
      <c r="AU39" s="110">
        <f t="shared" si="12"/>
        <v>22.538465602690035</v>
      </c>
      <c r="AV39" s="110">
        <f t="shared" si="12"/>
        <v>22.538465602690035</v>
      </c>
      <c r="AW39" s="110">
        <f t="shared" si="12"/>
        <v>0</v>
      </c>
      <c r="AX39" s="110">
        <f t="shared" si="12"/>
        <v>0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9.7120636227165598</v>
      </c>
      <c r="E40" s="110">
        <f t="shared" ref="E40:AY40" si="13">E34-E37</f>
        <v>7.6653133517950804</v>
      </c>
      <c r="F40" s="110">
        <f t="shared" si="13"/>
        <v>7.6653133517950804</v>
      </c>
      <c r="G40" s="110">
        <f t="shared" si="13"/>
        <v>7.6653133517950804</v>
      </c>
      <c r="H40" s="110">
        <f t="shared" si="13"/>
        <v>7.6653133517950804</v>
      </c>
      <c r="I40" s="110">
        <f t="shared" si="13"/>
        <v>7.6653133517950804</v>
      </c>
      <c r="J40" s="110">
        <f t="shared" si="13"/>
        <v>7.6653133517950804</v>
      </c>
      <c r="K40" s="110">
        <f t="shared" si="13"/>
        <v>7.6653133517950804</v>
      </c>
      <c r="L40" s="110">
        <f t="shared" si="13"/>
        <v>7.6653133517950804</v>
      </c>
      <c r="M40" s="110">
        <f t="shared" si="13"/>
        <v>7.6653133517950804</v>
      </c>
      <c r="N40" s="110">
        <f t="shared" si="13"/>
        <v>7.6653133517950804</v>
      </c>
      <c r="O40" s="110">
        <f t="shared" si="13"/>
        <v>7.6653133517950804</v>
      </c>
      <c r="P40" s="110">
        <f t="shared" si="13"/>
        <v>7.6653133517950804</v>
      </c>
      <c r="Q40" s="110">
        <f t="shared" si="13"/>
        <v>7.6653133517950804</v>
      </c>
      <c r="R40" s="110">
        <f t="shared" si="13"/>
        <v>0</v>
      </c>
      <c r="S40" s="110">
        <f t="shared" si="13"/>
        <v>15.330626703590161</v>
      </c>
      <c r="T40" s="110">
        <f t="shared" si="13"/>
        <v>7.6653133517950804</v>
      </c>
      <c r="U40" s="110">
        <f t="shared" si="13"/>
        <v>7.6653133517950804</v>
      </c>
      <c r="V40" s="110">
        <f t="shared" si="13"/>
        <v>7.6653133517950804</v>
      </c>
      <c r="W40" s="110">
        <f t="shared" si="13"/>
        <v>7.6653133517950804</v>
      </c>
      <c r="X40" s="110">
        <f t="shared" si="13"/>
        <v>7.6653133517950804</v>
      </c>
      <c r="Y40" s="110">
        <f t="shared" si="13"/>
        <v>7.6653133517950804</v>
      </c>
      <c r="Z40" s="110">
        <f t="shared" si="13"/>
        <v>7.6653133517950804</v>
      </c>
      <c r="AA40" s="110">
        <f t="shared" si="13"/>
        <v>7.6653133517950804</v>
      </c>
      <c r="AB40" s="110">
        <f t="shared" si="13"/>
        <v>7.6653133517950804</v>
      </c>
      <c r="AC40" s="110">
        <f t="shared" si="13"/>
        <v>7.6653133517950804</v>
      </c>
      <c r="AD40" s="110">
        <f t="shared" si="13"/>
        <v>7.6653133517950804</v>
      </c>
      <c r="AE40" s="110">
        <f t="shared" si="13"/>
        <v>7.6653133517950804</v>
      </c>
      <c r="AF40" s="110">
        <f t="shared" si="13"/>
        <v>7.6653133517950804</v>
      </c>
      <c r="AG40" s="110">
        <f t="shared" si="13"/>
        <v>7.6653133517950804</v>
      </c>
      <c r="AH40" s="110">
        <f t="shared" si="13"/>
        <v>7.6653133517950804</v>
      </c>
      <c r="AI40" s="110">
        <f t="shared" si="13"/>
        <v>7.6653133517950804</v>
      </c>
      <c r="AJ40" s="110">
        <f t="shared" si="13"/>
        <v>7.6653133517950804</v>
      </c>
      <c r="AK40" s="110">
        <f t="shared" si="13"/>
        <v>7.6653133517950804</v>
      </c>
      <c r="AL40" s="110">
        <f t="shared" si="13"/>
        <v>0</v>
      </c>
      <c r="AM40" s="110">
        <f t="shared" si="13"/>
        <v>15.330626703590161</v>
      </c>
      <c r="AN40" s="110">
        <f t="shared" si="13"/>
        <v>7.6653133517950804</v>
      </c>
      <c r="AO40" s="110">
        <f t="shared" si="13"/>
        <v>7.6653133517950804</v>
      </c>
      <c r="AP40" s="110">
        <f t="shared" si="13"/>
        <v>7.6653133517950804</v>
      </c>
      <c r="AQ40" s="110">
        <f t="shared" si="13"/>
        <v>7.6653133517950804</v>
      </c>
      <c r="AR40" s="110">
        <f t="shared" si="13"/>
        <v>7.6653133517950804</v>
      </c>
      <c r="AS40" s="110">
        <f t="shared" si="13"/>
        <v>7.6653133517950804</v>
      </c>
      <c r="AT40" s="110">
        <f t="shared" si="13"/>
        <v>7.6653133517950804</v>
      </c>
      <c r="AU40" s="110">
        <f t="shared" si="13"/>
        <v>7.6653133517950804</v>
      </c>
      <c r="AV40" s="110">
        <f t="shared" si="13"/>
        <v>7.6653133517950804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2</v>
      </c>
      <c r="G41" s="110">
        <v>2</v>
      </c>
      <c r="H41" s="110">
        <v>2</v>
      </c>
      <c r="I41" s="110">
        <v>1</v>
      </c>
      <c r="J41" s="110">
        <v>2</v>
      </c>
      <c r="K41" s="110">
        <v>3</v>
      </c>
      <c r="L41" s="110">
        <v>2</v>
      </c>
      <c r="M41" s="110">
        <v>1</v>
      </c>
      <c r="N41" s="110">
        <v>2</v>
      </c>
      <c r="O41" s="110">
        <v>1</v>
      </c>
      <c r="P41" s="110">
        <v>3</v>
      </c>
      <c r="Q41" s="110">
        <v>2</v>
      </c>
      <c r="R41" s="110">
        <v>2</v>
      </c>
      <c r="S41" s="110">
        <v>1</v>
      </c>
      <c r="T41" s="110">
        <v>1</v>
      </c>
      <c r="U41" s="110">
        <v>2</v>
      </c>
      <c r="V41" s="110">
        <v>2</v>
      </c>
      <c r="W41" s="110">
        <v>3</v>
      </c>
      <c r="X41" s="110">
        <v>1</v>
      </c>
      <c r="Y41" s="110">
        <v>2</v>
      </c>
      <c r="Z41" s="110">
        <v>1</v>
      </c>
      <c r="AA41" s="110">
        <v>1</v>
      </c>
      <c r="AB41" s="110">
        <v>1</v>
      </c>
      <c r="AC41" s="110">
        <v>3</v>
      </c>
      <c r="AD41" s="110">
        <v>1</v>
      </c>
      <c r="AE41" s="110">
        <v>1</v>
      </c>
      <c r="AF41" s="110">
        <v>3</v>
      </c>
      <c r="AG41" s="110">
        <v>1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2</v>
      </c>
      <c r="AQ41" s="110">
        <v>3</v>
      </c>
      <c r="AR41" s="110">
        <v>1</v>
      </c>
      <c r="AS41" s="110">
        <v>1</v>
      </c>
      <c r="AT41" s="110">
        <v>2</v>
      </c>
      <c r="AU41" s="110">
        <v>1</v>
      </c>
      <c r="AV41" s="110">
        <v>2</v>
      </c>
      <c r="AW41" s="110">
        <v>3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44820</v>
      </c>
      <c r="AX42" s="110">
        <v>0</v>
      </c>
      <c r="AY42" s="110">
        <v>44820</v>
      </c>
      <c r="AZ42" s="100">
        <f>SUM($D$42:$AY$42)</f>
        <v>89640</v>
      </c>
    </row>
    <row r="43" spans="1:52">
      <c r="A43" s="110"/>
      <c r="B43" s="178" t="s">
        <v>351</v>
      </c>
      <c r="C43" s="110"/>
      <c r="D43" s="110">
        <v>30968.886965036447</v>
      </c>
      <c r="E43" s="110">
        <v>24442.408118917083</v>
      </c>
      <c r="F43" s="110">
        <v>24442.408118917083</v>
      </c>
      <c r="G43" s="110">
        <v>24442.408118917083</v>
      </c>
      <c r="H43" s="110">
        <v>24442.408118917083</v>
      </c>
      <c r="I43" s="110">
        <v>24442.408118917083</v>
      </c>
      <c r="J43" s="110">
        <v>24442.408118917083</v>
      </c>
      <c r="K43" s="110">
        <v>24442.408118917083</v>
      </c>
      <c r="L43" s="110">
        <v>24442.408118917083</v>
      </c>
      <c r="M43" s="110">
        <v>24442.408118917083</v>
      </c>
      <c r="N43" s="110">
        <v>24442.408118917083</v>
      </c>
      <c r="O43" s="110">
        <v>24442.408118917083</v>
      </c>
      <c r="P43" s="110">
        <v>24442.408118917083</v>
      </c>
      <c r="Q43" s="110">
        <v>24442.408118917083</v>
      </c>
      <c r="R43" s="110">
        <v>0</v>
      </c>
      <c r="S43" s="110">
        <v>48884.816237834166</v>
      </c>
      <c r="T43" s="110">
        <v>24442.408118917083</v>
      </c>
      <c r="U43" s="110">
        <v>24442.408118917083</v>
      </c>
      <c r="V43" s="110">
        <v>24442.408118917083</v>
      </c>
      <c r="W43" s="110">
        <v>24442.408118917083</v>
      </c>
      <c r="X43" s="110">
        <v>24442.408118917083</v>
      </c>
      <c r="Y43" s="110">
        <v>24442.408118917083</v>
      </c>
      <c r="Z43" s="110">
        <v>24442.408118917083</v>
      </c>
      <c r="AA43" s="110">
        <v>24442.408118917083</v>
      </c>
      <c r="AB43" s="110">
        <v>24442.408118917083</v>
      </c>
      <c r="AC43" s="110">
        <v>24442.408118917083</v>
      </c>
      <c r="AD43" s="110">
        <v>24442.408118917083</v>
      </c>
      <c r="AE43" s="110">
        <v>24442.408118917083</v>
      </c>
      <c r="AF43" s="110">
        <v>24442.408118917083</v>
      </c>
      <c r="AG43" s="110">
        <v>24442.408118917083</v>
      </c>
      <c r="AH43" s="110">
        <v>24442.408118917083</v>
      </c>
      <c r="AI43" s="110">
        <v>24442.408118917083</v>
      </c>
      <c r="AJ43" s="110">
        <v>24442.408118917083</v>
      </c>
      <c r="AK43" s="110">
        <v>24442.408118917083</v>
      </c>
      <c r="AL43" s="110">
        <v>0</v>
      </c>
      <c r="AM43" s="110">
        <v>48884.816237834166</v>
      </c>
      <c r="AN43" s="110">
        <v>24442.408118917083</v>
      </c>
      <c r="AO43" s="110">
        <v>24442.408118917083</v>
      </c>
      <c r="AP43" s="110">
        <v>24442.408118917083</v>
      </c>
      <c r="AQ43" s="110">
        <v>24442.408118917083</v>
      </c>
      <c r="AR43" s="110">
        <v>24442.408118917083</v>
      </c>
      <c r="AS43" s="110">
        <v>24442.408118917083</v>
      </c>
      <c r="AT43" s="110">
        <v>24442.408118917083</v>
      </c>
      <c r="AU43" s="110">
        <v>24442.408118917083</v>
      </c>
      <c r="AV43" s="110">
        <v>24442.408118917083</v>
      </c>
      <c r="AW43" s="110">
        <v>0</v>
      </c>
      <c r="AX43" s="110">
        <v>0</v>
      </c>
      <c r="AY43" s="110">
        <v>0</v>
      </c>
      <c r="AZ43" s="100">
        <f>SUM($D$43:$AY$43)</f>
        <v>1106434.8441973892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2</v>
      </c>
      <c r="G52" s="110">
        <v>1</v>
      </c>
      <c r="H52" s="110">
        <v>2</v>
      </c>
      <c r="I52" s="110">
        <v>1</v>
      </c>
      <c r="J52" s="110">
        <v>2</v>
      </c>
      <c r="K52" s="110">
        <v>3</v>
      </c>
      <c r="L52" s="110">
        <v>1</v>
      </c>
      <c r="M52" s="110">
        <v>3</v>
      </c>
      <c r="N52" s="110">
        <v>2</v>
      </c>
      <c r="O52" s="110">
        <v>3</v>
      </c>
      <c r="P52" s="110">
        <v>1</v>
      </c>
      <c r="Q52" s="110">
        <v>2</v>
      </c>
      <c r="R52" s="110">
        <v>1</v>
      </c>
      <c r="S52" s="110">
        <v>2</v>
      </c>
      <c r="T52" s="110">
        <v>2</v>
      </c>
      <c r="U52" s="110">
        <v>3</v>
      </c>
      <c r="V52" s="110">
        <v>1</v>
      </c>
      <c r="W52" s="110">
        <v>1</v>
      </c>
      <c r="X52" s="110">
        <v>1</v>
      </c>
      <c r="Y52" s="110">
        <v>3</v>
      </c>
      <c r="Z52" s="110">
        <v>1</v>
      </c>
      <c r="AA52" s="110">
        <v>1</v>
      </c>
      <c r="AB52" s="110">
        <v>1</v>
      </c>
      <c r="AC52" s="110">
        <v>2</v>
      </c>
      <c r="AD52" s="110">
        <v>1</v>
      </c>
      <c r="AE52" s="110">
        <v>1</v>
      </c>
      <c r="AF52" s="110">
        <v>2</v>
      </c>
      <c r="AG52" s="110">
        <v>1</v>
      </c>
      <c r="AH52" s="110">
        <v>2</v>
      </c>
      <c r="AI52" s="110">
        <v>3</v>
      </c>
      <c r="AJ52" s="110">
        <v>2</v>
      </c>
      <c r="AK52" s="110">
        <v>1</v>
      </c>
      <c r="AL52" s="110">
        <v>1</v>
      </c>
      <c r="AM52" s="110">
        <v>3</v>
      </c>
      <c r="AN52" s="110">
        <v>1</v>
      </c>
      <c r="AO52" s="110">
        <v>1</v>
      </c>
      <c r="AP52" s="110">
        <v>3</v>
      </c>
      <c r="AQ52" s="110">
        <v>2</v>
      </c>
      <c r="AR52" s="110">
        <v>1</v>
      </c>
      <c r="AS52" s="110">
        <v>2</v>
      </c>
      <c r="AT52" s="110">
        <v>2</v>
      </c>
      <c r="AU52" s="110">
        <v>1</v>
      </c>
      <c r="AV52" s="110">
        <v>1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774.23633116314852</v>
      </c>
      <c r="E55" s="124">
        <f>E$21*shipping_manufacturing!$F$29/100</f>
        <v>611.07137651243147</v>
      </c>
      <c r="F55" s="124">
        <f>F$21*shipping_manufacturing!$F$29/100</f>
        <v>611.07137651243147</v>
      </c>
      <c r="G55" s="124">
        <f>G$21*shipping_manufacturing!$F$29/100</f>
        <v>611.07137651243147</v>
      </c>
      <c r="H55" s="124">
        <f>H$21*shipping_manufacturing!$F$29/100</f>
        <v>611.07137651243147</v>
      </c>
      <c r="I55" s="124">
        <f>I$21*shipping_manufacturing!$F$29/100</f>
        <v>611.07137651243147</v>
      </c>
      <c r="J55" s="124">
        <f>J$21*shipping_manufacturing!$F$29/100</f>
        <v>611.07137651243147</v>
      </c>
      <c r="K55" s="124">
        <f>K$21*shipping_manufacturing!$F$29/100</f>
        <v>611.07137651243147</v>
      </c>
      <c r="L55" s="124">
        <f>L$21*shipping_manufacturing!$F$29/100</f>
        <v>611.07137651243147</v>
      </c>
      <c r="M55" s="124">
        <f>M$21*shipping_manufacturing!$F$29/100</f>
        <v>611.07137651243147</v>
      </c>
      <c r="N55" s="124">
        <f>N$21*shipping_manufacturing!$F$29/100</f>
        <v>611.07137651243147</v>
      </c>
      <c r="O55" s="124">
        <f>O$21*shipping_manufacturing!$F$29/100</f>
        <v>611.07137651243147</v>
      </c>
      <c r="P55" s="124">
        <f>P$21*shipping_manufacturing!$F$29/100</f>
        <v>611.07137651243147</v>
      </c>
      <c r="Q55" s="124">
        <f>Q$21*shipping_manufacturing!$F$29/100</f>
        <v>611.07137651243147</v>
      </c>
      <c r="R55" s="124">
        <f>R$21*shipping_manufacturing!$F$29/100</f>
        <v>0</v>
      </c>
      <c r="S55" s="124">
        <f>S$21*shipping_manufacturing!$F$29/100</f>
        <v>1222.1427530248629</v>
      </c>
      <c r="T55" s="124">
        <f>T$21*shipping_manufacturing!$F$29/100</f>
        <v>611.07137651243147</v>
      </c>
      <c r="U55" s="124">
        <f>U$21*shipping_manufacturing!$F$29/100</f>
        <v>611.07137651243147</v>
      </c>
      <c r="V55" s="124">
        <f>V$21*shipping_manufacturing!$F$29/100</f>
        <v>611.07137651243147</v>
      </c>
      <c r="W55" s="124">
        <f>W$21*shipping_manufacturing!$F$29/100</f>
        <v>611.07137651243147</v>
      </c>
      <c r="X55" s="124">
        <f>X$21*shipping_manufacturing!$F$29/100</f>
        <v>611.07137651243147</v>
      </c>
      <c r="Y55" s="124">
        <f>Y$21*shipping_manufacturing!$F$29/100</f>
        <v>611.07137651243147</v>
      </c>
      <c r="Z55" s="124">
        <f>Z$21*shipping_manufacturing!$F$29/100</f>
        <v>611.07137651243147</v>
      </c>
      <c r="AA55" s="124">
        <f>AA$21*shipping_manufacturing!$F$29/100</f>
        <v>611.07137651243147</v>
      </c>
      <c r="AB55" s="124">
        <f>AB$21*shipping_manufacturing!$F$29/100</f>
        <v>611.07137651243147</v>
      </c>
      <c r="AC55" s="124">
        <f>AC$21*shipping_manufacturing!$F$29/100</f>
        <v>611.07137651243147</v>
      </c>
      <c r="AD55" s="124">
        <f>AD$21*shipping_manufacturing!$F$29/100</f>
        <v>611.07137651243147</v>
      </c>
      <c r="AE55" s="124">
        <f>AE$21*shipping_manufacturing!$F$29/100</f>
        <v>611.07137651243147</v>
      </c>
      <c r="AF55" s="124">
        <f>AF$21*shipping_manufacturing!$F$29/100</f>
        <v>611.07137651243147</v>
      </c>
      <c r="AG55" s="124">
        <f>AG$21*shipping_manufacturing!$F$29/100</f>
        <v>611.07137651243147</v>
      </c>
      <c r="AH55" s="124">
        <f>AH$21*shipping_manufacturing!$F$29/100</f>
        <v>611.07137651243147</v>
      </c>
      <c r="AI55" s="124">
        <f>AI$21*shipping_manufacturing!$F$29/100</f>
        <v>611.07137651243147</v>
      </c>
      <c r="AJ55" s="124">
        <f>AJ$21*shipping_manufacturing!$F$29/100</f>
        <v>611.07137651243147</v>
      </c>
      <c r="AK55" s="124">
        <f>AK$21*shipping_manufacturing!$F$29/100</f>
        <v>611.07137651243147</v>
      </c>
      <c r="AL55" s="124">
        <f>AL$21*shipping_manufacturing!$F$29/100</f>
        <v>0</v>
      </c>
      <c r="AM55" s="124">
        <f>AM$21*shipping_manufacturing!$F$29/100</f>
        <v>1222.1427530248629</v>
      </c>
      <c r="AN55" s="124">
        <f>AN$21*shipping_manufacturing!$F$29/100</f>
        <v>611.07137651243147</v>
      </c>
      <c r="AO55" s="124">
        <f>AO$21*shipping_manufacturing!$F$29/100</f>
        <v>611.07137651243147</v>
      </c>
      <c r="AP55" s="124">
        <f>AP$21*shipping_manufacturing!$F$29/100</f>
        <v>611.07137651243147</v>
      </c>
      <c r="AQ55" s="124">
        <f>AQ$21*shipping_manufacturing!$F$29/100</f>
        <v>611.07137651243147</v>
      </c>
      <c r="AR55" s="124">
        <f>AR$21*shipping_manufacturing!$F$29/100</f>
        <v>611.07137651243147</v>
      </c>
      <c r="AS55" s="124">
        <f>AS$21*shipping_manufacturing!$F$29/100</f>
        <v>611.07137651243147</v>
      </c>
      <c r="AT55" s="124">
        <f>AT$21*shipping_manufacturing!$F$29/100</f>
        <v>611.07137651243147</v>
      </c>
      <c r="AU55" s="124">
        <f>AU$21*shipping_manufacturing!$F$29/100</f>
        <v>611.07137651243147</v>
      </c>
      <c r="AV55" s="124">
        <f>AV$21*shipping_manufacturing!$F$29/100</f>
        <v>611.07137651243147</v>
      </c>
      <c r="AW55" s="124">
        <f>AW$21*shipping_manufacturing!$F$29/100</f>
        <v>12.052027183478813</v>
      </c>
      <c r="AX55" s="124">
        <f>AX$21*shipping_manufacturing!$F$29/100</f>
        <v>0</v>
      </c>
      <c r="AY55" s="124">
        <f>AY$21*shipping_manufacturing!$F$29/100</f>
        <v>24.104054366957627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803.53809311305372</v>
      </c>
      <c r="E56" s="110">
        <f>E$22*shipping_manufacturing!$G$29/100</f>
        <v>634.19799468865233</v>
      </c>
      <c r="F56" s="110">
        <f>F$22*shipping_manufacturing!$G$29/100</f>
        <v>634.19799468865233</v>
      </c>
      <c r="G56" s="110">
        <f>G$22*shipping_manufacturing!$G$29/100</f>
        <v>634.19799468865233</v>
      </c>
      <c r="H56" s="110">
        <f>H$22*shipping_manufacturing!$G$29/100</f>
        <v>634.19799468865233</v>
      </c>
      <c r="I56" s="110">
        <f>I$22*shipping_manufacturing!$G$29/100</f>
        <v>634.19799468865233</v>
      </c>
      <c r="J56" s="110">
        <f>J$22*shipping_manufacturing!$G$29/100</f>
        <v>634.19799468865233</v>
      </c>
      <c r="K56" s="110">
        <f>K$22*shipping_manufacturing!$G$29/100</f>
        <v>634.19799468865233</v>
      </c>
      <c r="L56" s="110">
        <f>L$22*shipping_manufacturing!$G$29/100</f>
        <v>634.19799468865233</v>
      </c>
      <c r="M56" s="110">
        <f>M$22*shipping_manufacturing!$G$29/100</f>
        <v>634.19799468865233</v>
      </c>
      <c r="N56" s="110">
        <f>N$22*shipping_manufacturing!$G$29/100</f>
        <v>634.19799468865233</v>
      </c>
      <c r="O56" s="110">
        <f>O$22*shipping_manufacturing!$G$29/100</f>
        <v>634.19799468865233</v>
      </c>
      <c r="P56" s="110">
        <f>P$22*shipping_manufacturing!$G$29/100</f>
        <v>634.19799468865233</v>
      </c>
      <c r="Q56" s="110">
        <f>Q$22*shipping_manufacturing!$G$29/100</f>
        <v>634.19799468865233</v>
      </c>
      <c r="R56" s="110">
        <f>R$22*shipping_manufacturing!$G$29/100</f>
        <v>0</v>
      </c>
      <c r="S56" s="110">
        <f>S$22*shipping_manufacturing!$G$29/100</f>
        <v>1268.3959893773047</v>
      </c>
      <c r="T56" s="110">
        <f>T$22*shipping_manufacturing!$G$29/100</f>
        <v>634.19799468865233</v>
      </c>
      <c r="U56" s="110">
        <f>U$22*shipping_manufacturing!$G$29/100</f>
        <v>634.19799468865233</v>
      </c>
      <c r="V56" s="110">
        <f>V$22*shipping_manufacturing!$G$29/100</f>
        <v>634.19799468865233</v>
      </c>
      <c r="W56" s="110">
        <f>W$22*shipping_manufacturing!$G$29/100</f>
        <v>634.19799468865233</v>
      </c>
      <c r="X56" s="110">
        <f>X$22*shipping_manufacturing!$G$29/100</f>
        <v>634.19799468865233</v>
      </c>
      <c r="Y56" s="110">
        <f>Y$22*shipping_manufacturing!$G$29/100</f>
        <v>634.19799468865233</v>
      </c>
      <c r="Z56" s="110">
        <f>Z$22*shipping_manufacturing!$G$29/100</f>
        <v>634.19799468865233</v>
      </c>
      <c r="AA56" s="110">
        <f>AA$22*shipping_manufacturing!$G$29/100</f>
        <v>634.19799468865233</v>
      </c>
      <c r="AB56" s="110">
        <f>AB$22*shipping_manufacturing!$G$29/100</f>
        <v>634.19799468865233</v>
      </c>
      <c r="AC56" s="110">
        <f>AC$22*shipping_manufacturing!$G$29/100</f>
        <v>634.19799468865233</v>
      </c>
      <c r="AD56" s="110">
        <f>AD$22*shipping_manufacturing!$G$29/100</f>
        <v>634.19799468865233</v>
      </c>
      <c r="AE56" s="110">
        <f>AE$22*shipping_manufacturing!$G$29/100</f>
        <v>634.19799468865233</v>
      </c>
      <c r="AF56" s="110">
        <f>AF$22*shipping_manufacturing!$G$29/100</f>
        <v>634.19799468865233</v>
      </c>
      <c r="AG56" s="110">
        <f>AG$22*shipping_manufacturing!$G$29/100</f>
        <v>634.19799468865233</v>
      </c>
      <c r="AH56" s="110">
        <f>AH$22*shipping_manufacturing!$G$29/100</f>
        <v>634.19799468865233</v>
      </c>
      <c r="AI56" s="110">
        <f>AI$22*shipping_manufacturing!$G$29/100</f>
        <v>634.19799468865233</v>
      </c>
      <c r="AJ56" s="110">
        <f>AJ$22*shipping_manufacturing!$G$29/100</f>
        <v>634.19799468865233</v>
      </c>
      <c r="AK56" s="110">
        <f>AK$22*shipping_manufacturing!$G$29/100</f>
        <v>634.19799468865233</v>
      </c>
      <c r="AL56" s="110">
        <f>AL$22*shipping_manufacturing!$G$29/100</f>
        <v>0</v>
      </c>
      <c r="AM56" s="110">
        <f>AM$22*shipping_manufacturing!$G$29/100</f>
        <v>1268.3959893773047</v>
      </c>
      <c r="AN56" s="110">
        <f>AN$22*shipping_manufacturing!$G$29/100</f>
        <v>634.19799468865233</v>
      </c>
      <c r="AO56" s="110">
        <f>AO$22*shipping_manufacturing!$G$29/100</f>
        <v>634.19799468865233</v>
      </c>
      <c r="AP56" s="110">
        <f>AP$22*shipping_manufacturing!$G$29/100</f>
        <v>634.19799468865233</v>
      </c>
      <c r="AQ56" s="110">
        <f>AQ$22*shipping_manufacturing!$G$29/100</f>
        <v>634.19799468865233</v>
      </c>
      <c r="AR56" s="110">
        <f>AR$22*shipping_manufacturing!$G$29/100</f>
        <v>634.19799468865233</v>
      </c>
      <c r="AS56" s="110">
        <f>AS$22*shipping_manufacturing!$G$29/100</f>
        <v>634.19799468865233</v>
      </c>
      <c r="AT56" s="110">
        <f>AT$22*shipping_manufacturing!$G$29/100</f>
        <v>634.19799468865233</v>
      </c>
      <c r="AU56" s="110">
        <f>AU$22*shipping_manufacturing!$G$29/100</f>
        <v>634.19799468865233</v>
      </c>
      <c r="AV56" s="110">
        <f>AV$22*shipping_manufacturing!$G$29/100</f>
        <v>634.19799468865233</v>
      </c>
      <c r="AW56" s="110">
        <f>AW$22*shipping_manufacturing!$G$29/100</f>
        <v>12.508148418468584</v>
      </c>
      <c r="AX56" s="110">
        <f>AX$22*shipping_manufacturing!$G$29/100</f>
        <v>0</v>
      </c>
      <c r="AY56" s="110">
        <f>AY$22*shipping_manufacturing!$G$29/100</f>
        <v>25.016296836937169</v>
      </c>
    </row>
    <row r="57" spans="1:52">
      <c r="A57" s="110">
        <v>495</v>
      </c>
      <c r="B57" s="165" t="s">
        <v>343</v>
      </c>
      <c r="C57" s="110"/>
      <c r="D57" s="110">
        <f>SUM(D55:D56)</f>
        <v>1577.7744242762024</v>
      </c>
      <c r="E57" s="110">
        <f t="shared" ref="E57:AY57" si="17">SUM(E55:E56)</f>
        <v>1245.2693712010837</v>
      </c>
      <c r="F57" s="110">
        <f t="shared" si="17"/>
        <v>1245.2693712010837</v>
      </c>
      <c r="G57" s="110">
        <f t="shared" si="17"/>
        <v>1245.2693712010837</v>
      </c>
      <c r="H57" s="110">
        <f t="shared" si="17"/>
        <v>1245.2693712010837</v>
      </c>
      <c r="I57" s="110">
        <f t="shared" si="17"/>
        <v>1245.2693712010837</v>
      </c>
      <c r="J57" s="110">
        <f t="shared" si="17"/>
        <v>1245.2693712010837</v>
      </c>
      <c r="K57" s="110">
        <f t="shared" si="17"/>
        <v>1245.2693712010837</v>
      </c>
      <c r="L57" s="110">
        <f t="shared" si="17"/>
        <v>1245.2693712010837</v>
      </c>
      <c r="M57" s="110">
        <f t="shared" si="17"/>
        <v>1245.2693712010837</v>
      </c>
      <c r="N57" s="110">
        <f t="shared" si="17"/>
        <v>1245.2693712010837</v>
      </c>
      <c r="O57" s="110">
        <f t="shared" si="17"/>
        <v>1245.2693712010837</v>
      </c>
      <c r="P57" s="110">
        <f t="shared" si="17"/>
        <v>1245.2693712010837</v>
      </c>
      <c r="Q57" s="110">
        <f t="shared" si="17"/>
        <v>1245.2693712010837</v>
      </c>
      <c r="R57" s="110">
        <f t="shared" si="17"/>
        <v>0</v>
      </c>
      <c r="S57" s="110">
        <f t="shared" si="17"/>
        <v>2490.5387424021674</v>
      </c>
      <c r="T57" s="110">
        <f t="shared" si="17"/>
        <v>1245.2693712010837</v>
      </c>
      <c r="U57" s="110">
        <f t="shared" si="17"/>
        <v>1245.2693712010837</v>
      </c>
      <c r="V57" s="110">
        <f t="shared" si="17"/>
        <v>1245.2693712010837</v>
      </c>
      <c r="W57" s="110">
        <f t="shared" si="17"/>
        <v>1245.2693712010837</v>
      </c>
      <c r="X57" s="110">
        <f t="shared" si="17"/>
        <v>1245.2693712010837</v>
      </c>
      <c r="Y57" s="110">
        <f t="shared" si="17"/>
        <v>1245.2693712010837</v>
      </c>
      <c r="Z57" s="110">
        <f t="shared" si="17"/>
        <v>1245.2693712010837</v>
      </c>
      <c r="AA57" s="110">
        <f t="shared" si="17"/>
        <v>1245.2693712010837</v>
      </c>
      <c r="AB57" s="110">
        <f t="shared" si="17"/>
        <v>1245.2693712010837</v>
      </c>
      <c r="AC57" s="110">
        <f t="shared" si="17"/>
        <v>1245.2693712010837</v>
      </c>
      <c r="AD57" s="110">
        <f t="shared" si="17"/>
        <v>1245.2693712010837</v>
      </c>
      <c r="AE57" s="110">
        <f t="shared" si="17"/>
        <v>1245.2693712010837</v>
      </c>
      <c r="AF57" s="110">
        <f t="shared" si="17"/>
        <v>1245.2693712010837</v>
      </c>
      <c r="AG57" s="110">
        <f t="shared" si="17"/>
        <v>1245.2693712010837</v>
      </c>
      <c r="AH57" s="110">
        <f t="shared" si="17"/>
        <v>1245.2693712010837</v>
      </c>
      <c r="AI57" s="110">
        <f t="shared" si="17"/>
        <v>1245.2693712010837</v>
      </c>
      <c r="AJ57" s="110">
        <f t="shared" si="17"/>
        <v>1245.2693712010837</v>
      </c>
      <c r="AK57" s="110">
        <f t="shared" si="17"/>
        <v>1245.2693712010837</v>
      </c>
      <c r="AL57" s="110">
        <f t="shared" si="17"/>
        <v>0</v>
      </c>
      <c r="AM57" s="110">
        <f t="shared" si="17"/>
        <v>2490.5387424021674</v>
      </c>
      <c r="AN57" s="110">
        <f t="shared" si="17"/>
        <v>1245.2693712010837</v>
      </c>
      <c r="AO57" s="110">
        <f t="shared" si="17"/>
        <v>1245.2693712010837</v>
      </c>
      <c r="AP57" s="110">
        <f t="shared" si="17"/>
        <v>1245.2693712010837</v>
      </c>
      <c r="AQ57" s="110">
        <f t="shared" si="17"/>
        <v>1245.2693712010837</v>
      </c>
      <c r="AR57" s="110">
        <f t="shared" si="17"/>
        <v>1245.2693712010837</v>
      </c>
      <c r="AS57" s="110">
        <f t="shared" si="17"/>
        <v>1245.2693712010837</v>
      </c>
      <c r="AT57" s="110">
        <f t="shared" si="17"/>
        <v>1245.2693712010837</v>
      </c>
      <c r="AU57" s="110">
        <f t="shared" si="17"/>
        <v>1245.2693712010837</v>
      </c>
      <c r="AV57" s="110">
        <f t="shared" si="17"/>
        <v>1245.2693712010837</v>
      </c>
      <c r="AW57" s="110">
        <f t="shared" si="17"/>
        <v>24.5601756019474</v>
      </c>
      <c r="AX57" s="110">
        <f t="shared" si="17"/>
        <v>0</v>
      </c>
      <c r="AY57" s="110">
        <f t="shared" si="17"/>
        <v>49.120351203894799</v>
      </c>
    </row>
    <row r="58" spans="1:52">
      <c r="A58" s="110"/>
      <c r="B58" s="165" t="s">
        <v>344</v>
      </c>
      <c r="C58" s="110"/>
      <c r="D58" s="110"/>
      <c r="E58" s="110">
        <v>220.82139478414152</v>
      </c>
      <c r="F58" s="110"/>
      <c r="G58" s="110">
        <v>220.82139478414152</v>
      </c>
      <c r="H58" s="110"/>
      <c r="I58" s="110">
        <v>220.82139478414152</v>
      </c>
      <c r="J58" s="110"/>
      <c r="K58" s="110">
        <v>220.82139478414152</v>
      </c>
      <c r="L58" s="110"/>
      <c r="M58" s="110">
        <v>220.82139478414152</v>
      </c>
      <c r="N58" s="110"/>
      <c r="O58" s="110">
        <v>220.82139478414152</v>
      </c>
      <c r="P58" s="110"/>
      <c r="Q58" s="110">
        <v>220.82139478414152</v>
      </c>
      <c r="R58" s="110"/>
      <c r="S58" s="110">
        <v>220.82139478414143</v>
      </c>
      <c r="T58" s="110"/>
      <c r="U58" s="110">
        <v>220.82139478414152</v>
      </c>
      <c r="V58" s="110"/>
      <c r="W58" s="110">
        <v>220.82139478414152</v>
      </c>
      <c r="X58" s="110"/>
      <c r="Y58" s="110">
        <v>220.82139478414152</v>
      </c>
      <c r="Z58" s="110"/>
      <c r="AA58" s="110">
        <v>220.82139478414152</v>
      </c>
      <c r="AB58" s="110"/>
      <c r="AC58" s="110">
        <v>220.82139478414152</v>
      </c>
      <c r="AD58" s="110"/>
      <c r="AE58" s="110">
        <v>220.82139478414152</v>
      </c>
      <c r="AF58" s="110"/>
      <c r="AG58" s="110">
        <v>220.82139478414152</v>
      </c>
      <c r="AH58" s="110"/>
      <c r="AI58" s="110">
        <v>220.82139478414152</v>
      </c>
      <c r="AJ58" s="110"/>
      <c r="AK58" s="110">
        <v>220.82139478414152</v>
      </c>
      <c r="AL58" s="110"/>
      <c r="AM58" s="110">
        <v>220.82139478414143</v>
      </c>
      <c r="AN58" s="110"/>
      <c r="AO58" s="110">
        <v>220.82139478414152</v>
      </c>
      <c r="AP58" s="110"/>
      <c r="AQ58" s="110">
        <v>220.82139478414152</v>
      </c>
      <c r="AR58" s="110"/>
      <c r="AS58" s="110">
        <v>220.82139478414152</v>
      </c>
      <c r="AT58" s="110"/>
      <c r="AU58" s="110">
        <v>220.82139478414152</v>
      </c>
      <c r="AV58" s="110"/>
      <c r="AW58" s="110">
        <v>12.052027183478813</v>
      </c>
      <c r="AX58" s="110"/>
      <c r="AY58" s="110">
        <v>24.104054366957627</v>
      </c>
    </row>
    <row r="59" spans="1:52">
      <c r="A59" s="110"/>
      <c r="B59" s="165" t="s">
        <v>345</v>
      </c>
      <c r="C59" s="110"/>
      <c r="D59" s="110"/>
      <c r="E59" s="110">
        <v>229.17860521585865</v>
      </c>
      <c r="F59" s="110"/>
      <c r="G59" s="110">
        <v>229.17860521585865</v>
      </c>
      <c r="H59" s="110"/>
      <c r="I59" s="110">
        <v>229.17860521585865</v>
      </c>
      <c r="J59" s="110"/>
      <c r="K59" s="110">
        <v>229.17860521585865</v>
      </c>
      <c r="L59" s="110"/>
      <c r="M59" s="110">
        <v>229.17860521585865</v>
      </c>
      <c r="N59" s="110"/>
      <c r="O59" s="110">
        <v>229.17860521585865</v>
      </c>
      <c r="P59" s="110"/>
      <c r="Q59" s="110">
        <v>229.17860521585865</v>
      </c>
      <c r="R59" s="110"/>
      <c r="S59" s="110">
        <v>229.17860521585865</v>
      </c>
      <c r="T59" s="110"/>
      <c r="U59" s="110">
        <v>229.17860521585865</v>
      </c>
      <c r="V59" s="110"/>
      <c r="W59" s="110">
        <v>229.17860521585865</v>
      </c>
      <c r="X59" s="110"/>
      <c r="Y59" s="110">
        <v>229.17860521585865</v>
      </c>
      <c r="Z59" s="110"/>
      <c r="AA59" s="110">
        <v>229.17860521585865</v>
      </c>
      <c r="AB59" s="110"/>
      <c r="AC59" s="110">
        <v>229.17860521585865</v>
      </c>
      <c r="AD59" s="110"/>
      <c r="AE59" s="110">
        <v>229.17860521585865</v>
      </c>
      <c r="AF59" s="110"/>
      <c r="AG59" s="110">
        <v>229.17860521585865</v>
      </c>
      <c r="AH59" s="110"/>
      <c r="AI59" s="110">
        <v>229.17860521585865</v>
      </c>
      <c r="AJ59" s="110"/>
      <c r="AK59" s="110">
        <v>229.17860521585865</v>
      </c>
      <c r="AL59" s="110"/>
      <c r="AM59" s="110">
        <v>229.17860521585865</v>
      </c>
      <c r="AN59" s="110"/>
      <c r="AO59" s="110">
        <v>229.17860521585865</v>
      </c>
      <c r="AP59" s="110"/>
      <c r="AQ59" s="110">
        <v>229.17860521585865</v>
      </c>
      <c r="AR59" s="110"/>
      <c r="AS59" s="110">
        <v>229.17860521585865</v>
      </c>
      <c r="AT59" s="110"/>
      <c r="AU59" s="110">
        <v>229.17860521585865</v>
      </c>
      <c r="AV59" s="110"/>
      <c r="AW59" s="110">
        <v>12.508148418468584</v>
      </c>
      <c r="AX59" s="110"/>
      <c r="AY59" s="110">
        <v>25.016296836937169</v>
      </c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</v>
      </c>
      <c r="AX60" s="110"/>
      <c r="AY60" s="110">
        <v>2</v>
      </c>
    </row>
    <row r="61" spans="1:52">
      <c r="A61" s="110"/>
      <c r="B61" s="165" t="s">
        <v>347</v>
      </c>
      <c r="C61" s="110"/>
      <c r="D61" s="110">
        <f>D55-D58</f>
        <v>774.23633116314852</v>
      </c>
      <c r="E61" s="110">
        <f t="shared" ref="E61:AY61" si="18">E55-E58</f>
        <v>390.24998172828998</v>
      </c>
      <c r="F61" s="110">
        <f t="shared" si="18"/>
        <v>611.07137651243147</v>
      </c>
      <c r="G61" s="110">
        <f t="shared" si="18"/>
        <v>390.24998172828998</v>
      </c>
      <c r="H61" s="110">
        <f t="shared" si="18"/>
        <v>611.07137651243147</v>
      </c>
      <c r="I61" s="110">
        <f t="shared" si="18"/>
        <v>390.24998172828998</v>
      </c>
      <c r="J61" s="110">
        <f t="shared" si="18"/>
        <v>611.07137651243147</v>
      </c>
      <c r="K61" s="110">
        <f t="shared" si="18"/>
        <v>390.24998172828998</v>
      </c>
      <c r="L61" s="110">
        <f t="shared" si="18"/>
        <v>611.07137651243147</v>
      </c>
      <c r="M61" s="110">
        <f t="shared" si="18"/>
        <v>390.24998172828998</v>
      </c>
      <c r="N61" s="110">
        <f t="shared" si="18"/>
        <v>611.07137651243147</v>
      </c>
      <c r="O61" s="110">
        <f t="shared" si="18"/>
        <v>390.24998172828998</v>
      </c>
      <c r="P61" s="110">
        <f t="shared" si="18"/>
        <v>611.07137651243147</v>
      </c>
      <c r="Q61" s="110">
        <f t="shared" si="18"/>
        <v>390.24998172828998</v>
      </c>
      <c r="R61" s="110">
        <f t="shared" si="18"/>
        <v>0</v>
      </c>
      <c r="S61" s="110">
        <f t="shared" si="18"/>
        <v>1001.3213582407216</v>
      </c>
      <c r="T61" s="110">
        <f t="shared" si="18"/>
        <v>611.07137651243147</v>
      </c>
      <c r="U61" s="110">
        <f t="shared" si="18"/>
        <v>390.24998172828998</v>
      </c>
      <c r="V61" s="110">
        <f t="shared" si="18"/>
        <v>611.07137651243147</v>
      </c>
      <c r="W61" s="110">
        <f t="shared" si="18"/>
        <v>390.24998172828998</v>
      </c>
      <c r="X61" s="110">
        <f t="shared" si="18"/>
        <v>611.07137651243147</v>
      </c>
      <c r="Y61" s="110">
        <f t="shared" si="18"/>
        <v>390.24998172828998</v>
      </c>
      <c r="Z61" s="110">
        <f t="shared" si="18"/>
        <v>611.07137651243147</v>
      </c>
      <c r="AA61" s="110">
        <f t="shared" si="18"/>
        <v>390.24998172828998</v>
      </c>
      <c r="AB61" s="110">
        <f t="shared" si="18"/>
        <v>611.07137651243147</v>
      </c>
      <c r="AC61" s="110">
        <f t="shared" si="18"/>
        <v>390.24998172828998</v>
      </c>
      <c r="AD61" s="110">
        <f t="shared" si="18"/>
        <v>611.07137651243147</v>
      </c>
      <c r="AE61" s="110">
        <f t="shared" si="18"/>
        <v>390.24998172828998</v>
      </c>
      <c r="AF61" s="110">
        <f t="shared" si="18"/>
        <v>611.07137651243147</v>
      </c>
      <c r="AG61" s="110">
        <f t="shared" si="18"/>
        <v>390.24998172828998</v>
      </c>
      <c r="AH61" s="110">
        <f t="shared" si="18"/>
        <v>611.07137651243147</v>
      </c>
      <c r="AI61" s="110">
        <f t="shared" si="18"/>
        <v>390.24998172828998</v>
      </c>
      <c r="AJ61" s="110">
        <f t="shared" si="18"/>
        <v>611.07137651243147</v>
      </c>
      <c r="AK61" s="110">
        <f t="shared" si="18"/>
        <v>390.24998172828998</v>
      </c>
      <c r="AL61" s="110">
        <f t="shared" si="18"/>
        <v>0</v>
      </c>
      <c r="AM61" s="110">
        <f t="shared" si="18"/>
        <v>1001.3213582407216</v>
      </c>
      <c r="AN61" s="110">
        <f t="shared" si="18"/>
        <v>611.07137651243147</v>
      </c>
      <c r="AO61" s="110">
        <f t="shared" si="18"/>
        <v>390.24998172828998</v>
      </c>
      <c r="AP61" s="110">
        <f t="shared" si="18"/>
        <v>611.07137651243147</v>
      </c>
      <c r="AQ61" s="110">
        <f t="shared" si="18"/>
        <v>390.24998172828998</v>
      </c>
      <c r="AR61" s="110">
        <f t="shared" si="18"/>
        <v>611.07137651243147</v>
      </c>
      <c r="AS61" s="110">
        <f t="shared" si="18"/>
        <v>390.24998172828998</v>
      </c>
      <c r="AT61" s="110">
        <f t="shared" si="18"/>
        <v>611.07137651243147</v>
      </c>
      <c r="AU61" s="110">
        <f t="shared" si="18"/>
        <v>390.24998172828998</v>
      </c>
      <c r="AV61" s="110">
        <f t="shared" si="18"/>
        <v>611.07137651243147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803.53809311305372</v>
      </c>
      <c r="E62" s="110">
        <f t="shared" ref="E62:AY62" si="19">E56-E59</f>
        <v>405.0193894727937</v>
      </c>
      <c r="F62" s="110">
        <f t="shared" si="19"/>
        <v>634.19799468865233</v>
      </c>
      <c r="G62" s="110">
        <f t="shared" si="19"/>
        <v>405.0193894727937</v>
      </c>
      <c r="H62" s="110">
        <f t="shared" si="19"/>
        <v>634.19799468865233</v>
      </c>
      <c r="I62" s="110">
        <f t="shared" si="19"/>
        <v>405.0193894727937</v>
      </c>
      <c r="J62" s="110">
        <f t="shared" si="19"/>
        <v>634.19799468865233</v>
      </c>
      <c r="K62" s="110">
        <f t="shared" si="19"/>
        <v>405.0193894727937</v>
      </c>
      <c r="L62" s="110">
        <f t="shared" si="19"/>
        <v>634.19799468865233</v>
      </c>
      <c r="M62" s="110">
        <f t="shared" si="19"/>
        <v>405.0193894727937</v>
      </c>
      <c r="N62" s="110">
        <f t="shared" si="19"/>
        <v>634.19799468865233</v>
      </c>
      <c r="O62" s="110">
        <f t="shared" si="19"/>
        <v>405.0193894727937</v>
      </c>
      <c r="P62" s="110">
        <f t="shared" si="19"/>
        <v>634.19799468865233</v>
      </c>
      <c r="Q62" s="110">
        <f t="shared" si="19"/>
        <v>405.0193894727937</v>
      </c>
      <c r="R62" s="110">
        <f t="shared" si="19"/>
        <v>0</v>
      </c>
      <c r="S62" s="110">
        <f t="shared" si="19"/>
        <v>1039.217384161446</v>
      </c>
      <c r="T62" s="110">
        <f t="shared" si="19"/>
        <v>634.19799468865233</v>
      </c>
      <c r="U62" s="110">
        <f t="shared" si="19"/>
        <v>405.0193894727937</v>
      </c>
      <c r="V62" s="110">
        <f t="shared" si="19"/>
        <v>634.19799468865233</v>
      </c>
      <c r="W62" s="110">
        <f t="shared" si="19"/>
        <v>405.0193894727937</v>
      </c>
      <c r="X62" s="110">
        <f t="shared" si="19"/>
        <v>634.19799468865233</v>
      </c>
      <c r="Y62" s="110">
        <f t="shared" si="19"/>
        <v>405.0193894727937</v>
      </c>
      <c r="Z62" s="110">
        <f t="shared" si="19"/>
        <v>634.19799468865233</v>
      </c>
      <c r="AA62" s="110">
        <f t="shared" si="19"/>
        <v>405.0193894727937</v>
      </c>
      <c r="AB62" s="110">
        <f t="shared" si="19"/>
        <v>634.19799468865233</v>
      </c>
      <c r="AC62" s="110">
        <f t="shared" si="19"/>
        <v>405.0193894727937</v>
      </c>
      <c r="AD62" s="110">
        <f t="shared" si="19"/>
        <v>634.19799468865233</v>
      </c>
      <c r="AE62" s="110">
        <f t="shared" si="19"/>
        <v>405.0193894727937</v>
      </c>
      <c r="AF62" s="110">
        <f t="shared" si="19"/>
        <v>634.19799468865233</v>
      </c>
      <c r="AG62" s="110">
        <f t="shared" si="19"/>
        <v>405.0193894727937</v>
      </c>
      <c r="AH62" s="110">
        <f t="shared" si="19"/>
        <v>634.19799468865233</v>
      </c>
      <c r="AI62" s="110">
        <f t="shared" si="19"/>
        <v>405.0193894727937</v>
      </c>
      <c r="AJ62" s="110">
        <f t="shared" si="19"/>
        <v>634.19799468865233</v>
      </c>
      <c r="AK62" s="110">
        <f t="shared" si="19"/>
        <v>405.0193894727937</v>
      </c>
      <c r="AL62" s="110">
        <f t="shared" si="19"/>
        <v>0</v>
      </c>
      <c r="AM62" s="110">
        <f t="shared" si="19"/>
        <v>1039.217384161446</v>
      </c>
      <c r="AN62" s="110">
        <f t="shared" si="19"/>
        <v>634.19799468865233</v>
      </c>
      <c r="AO62" s="110">
        <f t="shared" si="19"/>
        <v>405.0193894727937</v>
      </c>
      <c r="AP62" s="110">
        <f t="shared" si="19"/>
        <v>634.19799468865233</v>
      </c>
      <c r="AQ62" s="110">
        <f t="shared" si="19"/>
        <v>405.0193894727937</v>
      </c>
      <c r="AR62" s="110">
        <f t="shared" si="19"/>
        <v>634.19799468865233</v>
      </c>
      <c r="AS62" s="110">
        <f t="shared" si="19"/>
        <v>405.0193894727937</v>
      </c>
      <c r="AT62" s="110">
        <f t="shared" si="19"/>
        <v>634.19799468865233</v>
      </c>
      <c r="AU62" s="110">
        <f t="shared" si="19"/>
        <v>405.0193894727937</v>
      </c>
      <c r="AV62" s="110">
        <f t="shared" si="19"/>
        <v>634.19799468865233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1</v>
      </c>
      <c r="E63" s="110">
        <v>3</v>
      </c>
      <c r="F63" s="110">
        <v>1</v>
      </c>
      <c r="G63" s="110">
        <v>1</v>
      </c>
      <c r="H63" s="110">
        <v>1</v>
      </c>
      <c r="I63" s="110">
        <v>1</v>
      </c>
      <c r="J63" s="110">
        <v>1</v>
      </c>
      <c r="K63" s="110">
        <v>2</v>
      </c>
      <c r="L63" s="110">
        <v>1</v>
      </c>
      <c r="M63" s="110">
        <v>2</v>
      </c>
      <c r="N63" s="110">
        <v>1</v>
      </c>
      <c r="O63" s="110">
        <v>2</v>
      </c>
      <c r="P63" s="110">
        <v>2</v>
      </c>
      <c r="Q63" s="110">
        <v>1</v>
      </c>
      <c r="R63" s="110">
        <v>2</v>
      </c>
      <c r="S63" s="110">
        <v>2</v>
      </c>
      <c r="T63" s="110">
        <v>2</v>
      </c>
      <c r="U63" s="110">
        <v>1</v>
      </c>
      <c r="V63" s="110">
        <v>1</v>
      </c>
      <c r="W63" s="110">
        <v>1</v>
      </c>
      <c r="X63" s="110">
        <v>1</v>
      </c>
      <c r="Y63" s="110">
        <v>2</v>
      </c>
      <c r="Z63" s="110">
        <v>1</v>
      </c>
      <c r="AA63" s="110">
        <v>1</v>
      </c>
      <c r="AB63" s="110">
        <v>1</v>
      </c>
      <c r="AC63" s="110">
        <v>1</v>
      </c>
      <c r="AD63" s="110">
        <v>1</v>
      </c>
      <c r="AE63" s="110">
        <v>2</v>
      </c>
      <c r="AF63" s="110">
        <v>1</v>
      </c>
      <c r="AG63" s="110">
        <v>1</v>
      </c>
      <c r="AH63" s="110">
        <v>2</v>
      </c>
      <c r="AI63" s="110">
        <v>1</v>
      </c>
      <c r="AJ63" s="110">
        <v>2</v>
      </c>
      <c r="AK63" s="110">
        <v>2</v>
      </c>
      <c r="AL63" s="110">
        <v>2</v>
      </c>
      <c r="AM63" s="110">
        <v>2</v>
      </c>
      <c r="AN63" s="110">
        <v>1</v>
      </c>
      <c r="AO63" s="110">
        <v>2</v>
      </c>
      <c r="AP63" s="110">
        <v>1</v>
      </c>
      <c r="AQ63" s="110">
        <v>1</v>
      </c>
      <c r="AR63" s="110">
        <v>1</v>
      </c>
      <c r="AS63" s="110">
        <v>1</v>
      </c>
      <c r="AT63" s="110">
        <v>1</v>
      </c>
      <c r="AU63" s="110">
        <v>1</v>
      </c>
      <c r="AV63" s="110">
        <v>2</v>
      </c>
      <c r="AW63" s="110">
        <v>1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17820</v>
      </c>
      <c r="AX64" s="110">
        <v>0</v>
      </c>
      <c r="AY64" s="110">
        <v>35640</v>
      </c>
      <c r="AZ64" s="100">
        <f>SUM($D$64:$AY$64)</f>
        <v>5934060</v>
      </c>
    </row>
    <row r="65" spans="1:52">
      <c r="A65" s="125"/>
      <c r="B65" s="140" t="s">
        <v>351</v>
      </c>
      <c r="C65" s="125"/>
      <c r="D65" s="125">
        <v>507648.9210108681</v>
      </c>
      <c r="E65" s="125">
        <v>255877.92018394871</v>
      </c>
      <c r="F65" s="125">
        <v>400665.42018394865</v>
      </c>
      <c r="G65" s="125">
        <v>255877.92018394871</v>
      </c>
      <c r="H65" s="125">
        <v>400665.42018394865</v>
      </c>
      <c r="I65" s="125">
        <v>255877.92018394871</v>
      </c>
      <c r="J65" s="125">
        <v>400665.42018394865</v>
      </c>
      <c r="K65" s="125">
        <v>255877.92018394871</v>
      </c>
      <c r="L65" s="125">
        <v>400665.42018394865</v>
      </c>
      <c r="M65" s="125">
        <v>255877.92018394871</v>
      </c>
      <c r="N65" s="125">
        <v>400665.42018394865</v>
      </c>
      <c r="O65" s="125">
        <v>255877.92018394871</v>
      </c>
      <c r="P65" s="125">
        <v>400665.42018394865</v>
      </c>
      <c r="Q65" s="125">
        <v>255877.92018394871</v>
      </c>
      <c r="R65" s="125">
        <v>0</v>
      </c>
      <c r="S65" s="125">
        <v>656543.34036789753</v>
      </c>
      <c r="T65" s="125">
        <v>400665.42018394865</v>
      </c>
      <c r="U65" s="125">
        <v>255877.92018394871</v>
      </c>
      <c r="V65" s="125">
        <v>400665.42018394865</v>
      </c>
      <c r="W65" s="125">
        <v>255877.92018394871</v>
      </c>
      <c r="X65" s="125">
        <v>400665.42018394865</v>
      </c>
      <c r="Y65" s="125">
        <v>255877.92018394871</v>
      </c>
      <c r="Z65" s="125">
        <v>400665.42018394865</v>
      </c>
      <c r="AA65" s="125">
        <v>255877.92018394871</v>
      </c>
      <c r="AB65" s="125">
        <v>400665.42018394865</v>
      </c>
      <c r="AC65" s="125">
        <v>255877.92018394871</v>
      </c>
      <c r="AD65" s="125">
        <v>400665.42018394865</v>
      </c>
      <c r="AE65" s="125">
        <v>255877.92018394871</v>
      </c>
      <c r="AF65" s="125">
        <v>400665.42018394865</v>
      </c>
      <c r="AG65" s="125">
        <v>255877.92018394871</v>
      </c>
      <c r="AH65" s="125">
        <v>400665.42018394865</v>
      </c>
      <c r="AI65" s="125">
        <v>255877.92018394871</v>
      </c>
      <c r="AJ65" s="125">
        <v>400665.42018394865</v>
      </c>
      <c r="AK65" s="125">
        <v>255877.92018394871</v>
      </c>
      <c r="AL65" s="125">
        <v>0</v>
      </c>
      <c r="AM65" s="125">
        <v>656543.34036789753</v>
      </c>
      <c r="AN65" s="125">
        <v>400665.42018394865</v>
      </c>
      <c r="AO65" s="125">
        <v>255877.92018394871</v>
      </c>
      <c r="AP65" s="125">
        <v>400665.42018394865</v>
      </c>
      <c r="AQ65" s="125">
        <v>255877.92018394871</v>
      </c>
      <c r="AR65" s="125">
        <v>400665.42018394865</v>
      </c>
      <c r="AS65" s="125">
        <v>255877.92018394871</v>
      </c>
      <c r="AT65" s="125">
        <v>400665.42018394865</v>
      </c>
      <c r="AU65" s="125">
        <v>255877.92018394871</v>
      </c>
      <c r="AV65" s="125">
        <v>400665.42018394865</v>
      </c>
      <c r="AW65" s="125">
        <v>0</v>
      </c>
      <c r="AX65" s="125">
        <v>0</v>
      </c>
      <c r="AY65" s="125">
        <v>0</v>
      </c>
      <c r="AZ65" s="100">
        <f>SUM($D$65:$AY$65)</f>
        <v>14951602.409104615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3500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120.00000000000003</v>
      </c>
      <c r="E9" s="117">
        <v>120.00000000000003</v>
      </c>
      <c r="F9" s="117">
        <v>120.00000000000003</v>
      </c>
      <c r="G9" s="117">
        <v>120.00000000000003</v>
      </c>
      <c r="H9" s="117">
        <v>160.00000000000003</v>
      </c>
      <c r="I9" s="117">
        <v>160.00000000000003</v>
      </c>
      <c r="J9" s="117">
        <v>160.00000000000003</v>
      </c>
      <c r="K9" s="117">
        <v>160.00000000000003</v>
      </c>
      <c r="L9" s="117">
        <v>160.00000000000003</v>
      </c>
      <c r="M9" s="117">
        <v>160.00000000000003</v>
      </c>
      <c r="N9" s="117">
        <v>160.00000000000003</v>
      </c>
      <c r="O9" s="117">
        <v>160.00000000000003</v>
      </c>
      <c r="P9" s="117">
        <v>160.00000000000003</v>
      </c>
      <c r="Q9" s="117">
        <v>160.00000000000003</v>
      </c>
      <c r="R9" s="117">
        <v>160.00000000000003</v>
      </c>
      <c r="S9" s="117">
        <v>160.00000000000003</v>
      </c>
      <c r="T9" s="117">
        <v>160.00000000000003</v>
      </c>
      <c r="U9" s="117">
        <v>160.00000000000003</v>
      </c>
      <c r="V9" s="117">
        <v>160.00000000000003</v>
      </c>
      <c r="W9" s="117">
        <v>160.00000000000003</v>
      </c>
      <c r="X9" s="117">
        <v>128.00000000000003</v>
      </c>
      <c r="Y9" s="117">
        <v>128.00000000000003</v>
      </c>
      <c r="Z9" s="117">
        <v>128.00000000000003</v>
      </c>
      <c r="AA9" s="117">
        <v>128.00000000000003</v>
      </c>
      <c r="AB9" s="117">
        <v>160.00000000000003</v>
      </c>
      <c r="AC9" s="117">
        <v>160.00000000000003</v>
      </c>
      <c r="AD9" s="117">
        <v>160.00000000000003</v>
      </c>
      <c r="AE9" s="117">
        <v>160.00000000000003</v>
      </c>
      <c r="AF9" s="117">
        <v>160.00000000000003</v>
      </c>
      <c r="AG9" s="117">
        <v>160.00000000000003</v>
      </c>
      <c r="AH9" s="117">
        <v>160.00000000000003</v>
      </c>
      <c r="AI9" s="117">
        <v>160.00000000000003</v>
      </c>
      <c r="AJ9" s="117">
        <v>160.00000000000003</v>
      </c>
      <c r="AK9" s="117">
        <v>160.00000000000003</v>
      </c>
      <c r="AL9" s="117">
        <v>160.00000000000003</v>
      </c>
      <c r="AM9" s="117">
        <v>160.00000000000003</v>
      </c>
      <c r="AN9" s="117">
        <v>160.00000000000003</v>
      </c>
      <c r="AO9" s="117">
        <v>160.00000000000003</v>
      </c>
      <c r="AP9" s="117">
        <v>160.00000000000003</v>
      </c>
      <c r="AQ9" s="117">
        <v>160.00000000000003</v>
      </c>
      <c r="AR9" s="117">
        <v>160.00000000000003</v>
      </c>
      <c r="AS9" s="117">
        <v>160.00000000000003</v>
      </c>
      <c r="AT9" s="117">
        <v>160.00000000000003</v>
      </c>
      <c r="AU9" s="117">
        <v>160.00000000000003</v>
      </c>
      <c r="AV9" s="117">
        <v>160.00000000000003</v>
      </c>
      <c r="AW9" s="117">
        <v>160.00000000000003</v>
      </c>
      <c r="AX9" s="117">
        <v>160.00000000000003</v>
      </c>
      <c r="AY9" s="117">
        <v>160.00000000000003</v>
      </c>
    </row>
    <row r="10" spans="1:53">
      <c r="A10" s="118" t="s">
        <v>133</v>
      </c>
      <c r="B10" s="119">
        <v>1</v>
      </c>
      <c r="C10" s="106" t="s">
        <v>293</v>
      </c>
      <c r="D10" s="100">
        <v>134.66650307373067</v>
      </c>
      <c r="E10" s="100">
        <v>174.93288579603916</v>
      </c>
      <c r="F10" s="100">
        <v>94.789309512827884</v>
      </c>
      <c r="G10" s="100">
        <v>63.192873008551921</v>
      </c>
      <c r="H10" s="100">
        <v>146.37632172022444</v>
      </c>
      <c r="I10" s="100">
        <v>146.37632172022444</v>
      </c>
      <c r="J10" s="100">
        <v>117.32777511551792</v>
      </c>
      <c r="K10" s="100">
        <v>146.37632172022444</v>
      </c>
      <c r="L10" s="100">
        <v>94.789309512827884</v>
      </c>
      <c r="M10" s="100">
        <v>146.37632172022444</v>
      </c>
      <c r="N10" s="100">
        <v>168.91478732291446</v>
      </c>
      <c r="O10" s="100">
        <v>63.192873008551921</v>
      </c>
      <c r="P10" s="100">
        <v>168.91478732291446</v>
      </c>
      <c r="Q10" s="100">
        <v>146.37632172022444</v>
      </c>
      <c r="R10" s="100">
        <v>7.5855622266717367E-22</v>
      </c>
      <c r="S10" s="100">
        <v>7.5855622266717367E-22</v>
      </c>
      <c r="T10" s="100">
        <v>45.07693120538007</v>
      </c>
      <c r="U10" s="100">
        <v>22.538465602690035</v>
      </c>
      <c r="V10" s="100">
        <v>146.37632172022444</v>
      </c>
      <c r="W10" s="100">
        <v>0</v>
      </c>
      <c r="X10" s="100">
        <v>146.37632172022444</v>
      </c>
      <c r="Y10" s="100">
        <v>168.91478732291446</v>
      </c>
      <c r="Z10" s="100">
        <v>142.18396426924184</v>
      </c>
      <c r="AA10" s="100">
        <v>22.538465602690035</v>
      </c>
      <c r="AB10" s="100">
        <v>168.91478732291446</v>
      </c>
      <c r="AC10" s="100">
        <v>22.538465602690035</v>
      </c>
      <c r="AD10" s="100">
        <v>146.37632172022444</v>
      </c>
      <c r="AE10" s="100">
        <v>168.91478732291446</v>
      </c>
      <c r="AF10" s="100">
        <v>168.91478732291446</v>
      </c>
      <c r="AG10" s="100">
        <v>0</v>
      </c>
      <c r="AH10" s="100">
        <v>168.91478732291446</v>
      </c>
      <c r="AI10" s="100">
        <v>22.538465602690035</v>
      </c>
      <c r="AJ10" s="100">
        <v>146.37632172022444</v>
      </c>
      <c r="AK10" s="100">
        <v>168.91478732291446</v>
      </c>
      <c r="AL10" s="100">
        <v>168.91478732291446</v>
      </c>
      <c r="AM10" s="100">
        <v>0</v>
      </c>
      <c r="AN10" s="100">
        <v>146.37632172022444</v>
      </c>
      <c r="AO10" s="100">
        <v>22.538465602690035</v>
      </c>
      <c r="AP10" s="100">
        <v>168.91478732291446</v>
      </c>
      <c r="AQ10" s="100">
        <v>146.37632172022444</v>
      </c>
      <c r="AR10" s="100">
        <v>146.37632172022444</v>
      </c>
      <c r="AS10" s="100">
        <v>168.91478732291446</v>
      </c>
      <c r="AT10" s="100">
        <v>168.91478732291446</v>
      </c>
      <c r="AU10" s="100">
        <v>146.37632172022444</v>
      </c>
      <c r="AV10" s="100">
        <v>22.538465602690035</v>
      </c>
      <c r="AW10" s="100">
        <v>146.37632172022444</v>
      </c>
      <c r="AX10" s="100">
        <v>146.82084295057206</v>
      </c>
      <c r="AY10" s="100">
        <v>146.37632172022444</v>
      </c>
      <c r="AZ10" s="100">
        <v>147.26536418091968</v>
      </c>
    </row>
    <row r="11" spans="1:53">
      <c r="B11" s="119">
        <v>2</v>
      </c>
      <c r="C11" s="106" t="s">
        <v>293</v>
      </c>
      <c r="D11" s="100">
        <v>0</v>
      </c>
      <c r="G11" s="100">
        <v>22.538465602690035</v>
      </c>
      <c r="H11" s="100">
        <v>105.72191431436256</v>
      </c>
      <c r="I11" s="100">
        <v>22.538465602690035</v>
      </c>
      <c r="J11" s="100">
        <v>22.538465602690035</v>
      </c>
      <c r="K11" s="100">
        <v>51.587012207396555</v>
      </c>
      <c r="L11" s="100">
        <v>22.538465602690035</v>
      </c>
      <c r="M11" s="100">
        <v>51.587012207396555</v>
      </c>
      <c r="N11" s="100">
        <v>22.538465602690035</v>
      </c>
      <c r="P11" s="100">
        <v>105.72191431436256</v>
      </c>
      <c r="S11" s="100">
        <v>22.538465602690035</v>
      </c>
      <c r="T11" s="100">
        <v>0</v>
      </c>
      <c r="U11" s="100">
        <v>0</v>
      </c>
      <c r="W11" s="100">
        <v>22.538465602690035</v>
      </c>
      <c r="X11" s="100">
        <v>168.91478732291446</v>
      </c>
      <c r="AA11" s="100">
        <v>22.538465602690035</v>
      </c>
      <c r="AD11" s="100">
        <v>146.37632172022444</v>
      </c>
      <c r="AE11" s="100">
        <v>0</v>
      </c>
      <c r="AG11" s="100">
        <v>0</v>
      </c>
      <c r="AH11" s="100">
        <v>146.37632172022444</v>
      </c>
      <c r="AJ11" s="100">
        <v>146.37632172022444</v>
      </c>
      <c r="AK11" s="100">
        <v>22.538465602690035</v>
      </c>
      <c r="AN11" s="100">
        <v>146.37632172022444</v>
      </c>
      <c r="AO11" s="100">
        <v>45.07693120538007</v>
      </c>
      <c r="AP11" s="100">
        <v>146.37632172022444</v>
      </c>
      <c r="AR11" s="100">
        <v>22.538465602690035</v>
      </c>
      <c r="AV11" s="100">
        <v>22.538465602690035</v>
      </c>
      <c r="AX11" s="100">
        <v>22.538465602690035</v>
      </c>
    </row>
    <row r="12" spans="1:53">
      <c r="B12" s="120">
        <v>3</v>
      </c>
      <c r="C12" s="106" t="s">
        <v>293</v>
      </c>
      <c r="F12" s="100">
        <v>38.995185723166827</v>
      </c>
      <c r="H12" s="100">
        <v>51.587012207396555</v>
      </c>
      <c r="N12" s="100">
        <v>22.538465602690035</v>
      </c>
      <c r="S12" s="100">
        <v>22.538465602690035</v>
      </c>
      <c r="Z12" s="100">
        <v>22.538465602690035</v>
      </c>
      <c r="AB12" s="100">
        <v>4.1923574509825983</v>
      </c>
      <c r="AF12" s="100">
        <v>22.538465602690035</v>
      </c>
      <c r="AI12" s="100">
        <v>22.538465602690035</v>
      </c>
      <c r="AT12" s="100">
        <v>22.538465602690035</v>
      </c>
      <c r="AZ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94.98585084668305</v>
      </c>
      <c r="E14" s="117">
        <f t="shared" ref="E14:AZ14" si="0">D$172*SUM(D$122:D$169)</f>
        <v>68.773827718479993</v>
      </c>
      <c r="F14" s="117">
        <f t="shared" si="0"/>
        <v>74.012948397804109</v>
      </c>
      <c r="G14" s="117">
        <f t="shared" si="0"/>
        <v>63.697423416993885</v>
      </c>
      <c r="H14" s="117">
        <f t="shared" si="0"/>
        <v>43.833348664692174</v>
      </c>
      <c r="I14" s="117">
        <f t="shared" si="0"/>
        <v>120.80199472017505</v>
      </c>
      <c r="J14" s="117">
        <f t="shared" si="0"/>
        <v>101.37736181510198</v>
      </c>
      <c r="K14" s="117">
        <f t="shared" si="0"/>
        <v>81.842466751275339</v>
      </c>
      <c r="L14" s="117">
        <f t="shared" si="0"/>
        <v>94.108815214901966</v>
      </c>
      <c r="M14" s="117">
        <f t="shared" si="0"/>
        <v>54.991372588338926</v>
      </c>
      <c r="N14" s="117">
        <f t="shared" si="0"/>
        <v>88.415204988443961</v>
      </c>
      <c r="O14" s="117">
        <f t="shared" si="0"/>
        <v>97.558148084050927</v>
      </c>
      <c r="P14" s="117">
        <f t="shared" si="0"/>
        <v>54.486321081446427</v>
      </c>
      <c r="Q14" s="117">
        <f t="shared" si="0"/>
        <v>105.59569505613312</v>
      </c>
      <c r="R14" s="117">
        <f t="shared" si="0"/>
        <v>92.277513677762599</v>
      </c>
      <c r="S14" s="117">
        <f t="shared" si="0"/>
        <v>26.999882932257879</v>
      </c>
      <c r="T14" s="117">
        <f t="shared" si="0"/>
        <v>24.528533889419883</v>
      </c>
      <c r="U14" s="117">
        <f t="shared" si="0"/>
        <v>24.528533889419887</v>
      </c>
      <c r="V14" s="117">
        <f t="shared" si="0"/>
        <v>21.517300817398684</v>
      </c>
      <c r="W14" s="117">
        <f t="shared" si="0"/>
        <v>70.197672252380855</v>
      </c>
      <c r="X14" s="117">
        <f t="shared" si="0"/>
        <v>21.517300817398684</v>
      </c>
      <c r="Y14" s="117">
        <f t="shared" si="0"/>
        <v>124.90050983140542</v>
      </c>
      <c r="Z14" s="117">
        <f t="shared" si="0"/>
        <v>107.4821939215956</v>
      </c>
      <c r="AA14" s="117">
        <f t="shared" si="0"/>
        <v>96.917853046998033</v>
      </c>
      <c r="AB14" s="117">
        <f t="shared" si="0"/>
        <v>39.768171496974013</v>
      </c>
      <c r="AC14" s="117">
        <f t="shared" si="0"/>
        <v>74.689402174995067</v>
      </c>
      <c r="AD14" s="117">
        <f t="shared" si="0"/>
        <v>21.517300817398684</v>
      </c>
      <c r="AE14" s="117">
        <f t="shared" si="0"/>
        <v>121.88927675938423</v>
      </c>
      <c r="AF14" s="117">
        <f t="shared" si="0"/>
        <v>99.505134781005523</v>
      </c>
      <c r="AG14" s="117">
        <f t="shared" si="0"/>
        <v>82.031184398755528</v>
      </c>
      <c r="AH14" s="117">
        <f t="shared" si="0"/>
        <v>18.506067745377486</v>
      </c>
      <c r="AI14" s="117">
        <f t="shared" si="0"/>
        <v>124.90050983140543</v>
      </c>
      <c r="AJ14" s="117">
        <f t="shared" si="0"/>
        <v>46.967287277162029</v>
      </c>
      <c r="AK14" s="117">
        <f t="shared" si="0"/>
        <v>121.88927675938423</v>
      </c>
      <c r="AL14" s="117">
        <f t="shared" si="0"/>
        <v>78.858355111604084</v>
      </c>
      <c r="AM14" s="117">
        <f t="shared" si="0"/>
        <v>73.208905324402068</v>
      </c>
      <c r="AN14" s="117">
        <f t="shared" si="0"/>
        <v>22.100426099622151</v>
      </c>
      <c r="AO14" s="117">
        <f t="shared" si="0"/>
        <v>121.88927675938423</v>
      </c>
      <c r="AP14" s="117">
        <f t="shared" si="0"/>
        <v>41.349295252230561</v>
      </c>
      <c r="AQ14" s="117">
        <f t="shared" si="0"/>
        <v>124.90050983140543</v>
      </c>
      <c r="AR14" s="117">
        <f t="shared" si="0"/>
        <v>109.07125777140332</v>
      </c>
      <c r="AS14" s="117">
        <f t="shared" si="0"/>
        <v>77.364190704511543</v>
      </c>
      <c r="AT14" s="117">
        <f t="shared" si="0"/>
        <v>73.208905324402053</v>
      </c>
      <c r="AU14" s="117">
        <f t="shared" si="0"/>
        <v>76.220138396423266</v>
      </c>
      <c r="AV14" s="117">
        <f t="shared" si="0"/>
        <v>70.197672252380855</v>
      </c>
      <c r="AW14" s="117">
        <f t="shared" si="0"/>
        <v>24.528533889419883</v>
      </c>
      <c r="AX14" s="117">
        <f t="shared" si="0"/>
        <v>70.197672252380869</v>
      </c>
      <c r="AY14" s="117">
        <f t="shared" si="0"/>
        <v>73.268295216049268</v>
      </c>
      <c r="AZ14" s="110">
        <f t="shared" si="0"/>
        <v>70.197672252380869</v>
      </c>
      <c r="BA14" s="107">
        <f>SUM($E14:$AZ14)</f>
        <v>3518.5869420537197</v>
      </c>
    </row>
    <row r="15" spans="1:53">
      <c r="A15" s="122" t="s">
        <v>123</v>
      </c>
      <c r="B15" s="123">
        <v>1</v>
      </c>
      <c r="C15" s="124" t="s">
        <v>293</v>
      </c>
      <c r="D15" s="124">
        <v>174.0353912770546</v>
      </c>
      <c r="E15" s="124">
        <v>188.40535687216104</v>
      </c>
      <c r="F15" s="124">
        <v>132.31923532081748</v>
      </c>
      <c r="G15" s="124">
        <v>103.91567182509343</v>
      </c>
      <c r="H15" s="124">
        <v>178.69329324944448</v>
      </c>
      <c r="I15" s="124">
        <v>178.69329324944448</v>
      </c>
      <c r="J15" s="124">
        <v>139.98454867261256</v>
      </c>
      <c r="K15" s="124">
        <v>178.69329324944448</v>
      </c>
      <c r="L15" s="124">
        <v>132.31923532081748</v>
      </c>
      <c r="M15" s="124">
        <v>178.69329324944448</v>
      </c>
      <c r="N15" s="124">
        <v>186.35860660123956</v>
      </c>
      <c r="O15" s="124">
        <v>103.91567182509343</v>
      </c>
      <c r="P15" s="124">
        <v>186.35860660123956</v>
      </c>
      <c r="Q15" s="124">
        <v>178.69329324944448</v>
      </c>
      <c r="R15" s="124">
        <v>47.10854483364534</v>
      </c>
      <c r="S15" s="124">
        <v>47.10854483364534</v>
      </c>
      <c r="T15" s="124">
        <v>62.439171537235502</v>
      </c>
      <c r="U15" s="124">
        <v>54.773858185440417</v>
      </c>
      <c r="V15" s="124">
        <v>178.69329324944448</v>
      </c>
      <c r="W15" s="124">
        <v>47.10854483364534</v>
      </c>
      <c r="X15" s="124">
        <v>178.69329324944448</v>
      </c>
      <c r="Y15" s="124">
        <v>186.35860660123956</v>
      </c>
      <c r="Z15" s="124">
        <v>174.92458056440356</v>
      </c>
      <c r="AA15" s="124">
        <v>54.773858185440417</v>
      </c>
      <c r="AB15" s="124">
        <v>186.35860660123961</v>
      </c>
      <c r="AC15" s="124">
        <v>54.773858185440417</v>
      </c>
      <c r="AD15" s="124">
        <v>178.69329324944454</v>
      </c>
      <c r="AE15" s="124">
        <v>186.35860660123956</v>
      </c>
      <c r="AF15" s="124">
        <v>186.35860660123961</v>
      </c>
      <c r="AG15" s="124">
        <v>47.10854483364534</v>
      </c>
      <c r="AH15" s="124">
        <v>186.35860660123961</v>
      </c>
      <c r="AI15" s="124">
        <v>54.773858185440417</v>
      </c>
      <c r="AJ15" s="124">
        <v>178.69329324944454</v>
      </c>
      <c r="AK15" s="124">
        <v>186.35860660123956</v>
      </c>
      <c r="AL15" s="124">
        <v>186.35860660123961</v>
      </c>
      <c r="AM15" s="124">
        <v>47.10854483364534</v>
      </c>
      <c r="AN15" s="124">
        <v>178.69329324944454</v>
      </c>
      <c r="AO15" s="124">
        <v>54.773858185440417</v>
      </c>
      <c r="AP15" s="124">
        <v>186.35860660123961</v>
      </c>
      <c r="AQ15" s="124">
        <v>178.69329324944448</v>
      </c>
      <c r="AR15" s="124">
        <v>178.69329324944454</v>
      </c>
      <c r="AS15" s="124">
        <v>186.35860660123956</v>
      </c>
      <c r="AT15" s="124">
        <v>186.35860660123961</v>
      </c>
      <c r="AU15" s="124">
        <v>178.69329324944448</v>
      </c>
      <c r="AV15" s="124">
        <v>54.773858185440417</v>
      </c>
      <c r="AW15" s="124">
        <v>178.69329324944454</v>
      </c>
      <c r="AX15" s="124">
        <v>178.84447454910372</v>
      </c>
      <c r="AY15" s="124">
        <v>178.69329324944454</v>
      </c>
      <c r="AZ15" s="100">
        <v>131.88711101511765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/>
      <c r="G16" s="110">
        <v>7.6653133517950804</v>
      </c>
      <c r="H16" s="110">
        <v>82.442934776146132</v>
      </c>
      <c r="I16" s="110">
        <v>7.6653133517950804</v>
      </c>
      <c r="J16" s="110">
        <v>7.6653133517950804</v>
      </c>
      <c r="K16" s="110">
        <v>46.37405792862701</v>
      </c>
      <c r="L16" s="110">
        <v>7.6653133517950804</v>
      </c>
      <c r="M16" s="110">
        <v>46.37405792862701</v>
      </c>
      <c r="N16" s="110">
        <v>7.6653133517950804</v>
      </c>
      <c r="O16" s="110"/>
      <c r="P16" s="110">
        <v>82.442934776146132</v>
      </c>
      <c r="Q16" s="110"/>
      <c r="R16" s="110"/>
      <c r="S16" s="110">
        <v>7.6653133517950804</v>
      </c>
      <c r="T16" s="110">
        <v>0</v>
      </c>
      <c r="U16" s="110">
        <v>0</v>
      </c>
      <c r="V16" s="110"/>
      <c r="W16" s="110">
        <v>7.6653133517950804</v>
      </c>
      <c r="X16" s="110">
        <v>139.25006176759422</v>
      </c>
      <c r="Y16" s="110"/>
      <c r="Z16" s="110"/>
      <c r="AA16" s="110">
        <v>7.6653133517950804</v>
      </c>
      <c r="AB16" s="110"/>
      <c r="AC16" s="110"/>
      <c r="AD16" s="110">
        <v>131.58474841579914</v>
      </c>
      <c r="AE16" s="110">
        <v>0</v>
      </c>
      <c r="AF16" s="110"/>
      <c r="AG16" s="110">
        <v>0</v>
      </c>
      <c r="AH16" s="110">
        <v>131.58474841579914</v>
      </c>
      <c r="AI16" s="110"/>
      <c r="AJ16" s="110">
        <v>131.58474841579914</v>
      </c>
      <c r="AK16" s="110">
        <v>7.6653133517950804</v>
      </c>
      <c r="AL16" s="110"/>
      <c r="AM16" s="110"/>
      <c r="AN16" s="110">
        <v>131.58474841579914</v>
      </c>
      <c r="AO16" s="110">
        <v>15.330626703590161</v>
      </c>
      <c r="AP16" s="110">
        <v>131.58474841579914</v>
      </c>
      <c r="AQ16" s="110"/>
      <c r="AR16" s="110">
        <v>7.6653133517950804</v>
      </c>
      <c r="AS16" s="110"/>
      <c r="AT16" s="110"/>
      <c r="AU16" s="110"/>
      <c r="AV16" s="110">
        <v>7.6653133517950804</v>
      </c>
      <c r="AW16" s="110"/>
      <c r="AX16" s="110">
        <v>7.6653133517950804</v>
      </c>
      <c r="AY16" s="110"/>
    </row>
    <row r="17" spans="1:52">
      <c r="A17" s="110"/>
      <c r="B17" s="119">
        <v>3</v>
      </c>
      <c r="C17" s="109" t="s">
        <v>293</v>
      </c>
      <c r="D17" s="106"/>
      <c r="E17" s="110"/>
      <c r="F17" s="110">
        <v>29.827200546233293</v>
      </c>
      <c r="G17" s="110"/>
      <c r="H17" s="110">
        <v>46.37405792862701</v>
      </c>
      <c r="I17" s="110"/>
      <c r="J17" s="110"/>
      <c r="K17" s="110"/>
      <c r="L17" s="110"/>
      <c r="M17" s="110"/>
      <c r="N17" s="110">
        <v>7.6653133517950804</v>
      </c>
      <c r="O17" s="110"/>
      <c r="P17" s="110"/>
      <c r="Q17" s="110"/>
      <c r="R17" s="110"/>
      <c r="S17" s="110">
        <v>7.6653133517950804</v>
      </c>
      <c r="T17" s="110"/>
      <c r="U17" s="110"/>
      <c r="V17" s="110"/>
      <c r="W17" s="110"/>
      <c r="X17" s="110"/>
      <c r="Y17" s="110"/>
      <c r="Z17" s="110">
        <v>7.6653133517950804</v>
      </c>
      <c r="AA17" s="110"/>
      <c r="AB17" s="110">
        <v>3.7687126850409243</v>
      </c>
      <c r="AC17" s="110"/>
      <c r="AD17" s="110"/>
      <c r="AE17" s="110"/>
      <c r="AF17" s="110">
        <v>7.6653133517950804</v>
      </c>
      <c r="AG17" s="110"/>
      <c r="AH17" s="110"/>
      <c r="AI17" s="110">
        <v>7.6653133517950804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>
        <v>7.6653133517950804</v>
      </c>
      <c r="AU17" s="110"/>
      <c r="AV17" s="110"/>
      <c r="AW17" s="110"/>
      <c r="AX17" s="110"/>
      <c r="AY17" s="110"/>
      <c r="AZ17" s="100">
        <v>0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198.53169090873666</v>
      </c>
      <c r="D95" s="110">
        <v>120.00000000000003</v>
      </c>
      <c r="E95" s="110">
        <v>120.00000000000003</v>
      </c>
      <c r="F95" s="110">
        <v>120.00000000000003</v>
      </c>
      <c r="G95" s="110">
        <v>120.00000000000003</v>
      </c>
      <c r="H95" s="110">
        <v>160.00000000000003</v>
      </c>
      <c r="I95" s="110">
        <v>160.00000000000003</v>
      </c>
      <c r="J95" s="110">
        <v>160.00000000000003</v>
      </c>
      <c r="K95" s="110">
        <v>160.00000000000003</v>
      </c>
      <c r="L95" s="110">
        <v>160.00000000000003</v>
      </c>
      <c r="M95" s="110">
        <v>160.00000000000003</v>
      </c>
      <c r="N95" s="110">
        <v>160.00000000000003</v>
      </c>
      <c r="O95" s="110">
        <v>160.00000000000003</v>
      </c>
      <c r="P95" s="110">
        <v>160.00000000000003</v>
      </c>
      <c r="Q95" s="110">
        <v>160.00000000000003</v>
      </c>
      <c r="R95" s="110">
        <v>160.00000000000003</v>
      </c>
      <c r="S95" s="110">
        <v>160.00000000000003</v>
      </c>
      <c r="T95" s="110">
        <v>160.00000000000003</v>
      </c>
      <c r="U95" s="110">
        <v>160.00000000000003</v>
      </c>
      <c r="V95" s="110">
        <v>160.00000000000003</v>
      </c>
      <c r="W95" s="110">
        <v>160.00000000000003</v>
      </c>
      <c r="X95" s="110">
        <v>128.00000000000003</v>
      </c>
      <c r="Y95" s="110">
        <v>128.00000000000003</v>
      </c>
      <c r="Z95" s="110">
        <v>128.00000000000003</v>
      </c>
      <c r="AA95" s="110">
        <v>128.00000000000003</v>
      </c>
      <c r="AB95" s="110">
        <v>160.00000000000003</v>
      </c>
      <c r="AC95" s="110">
        <v>160.00000000000003</v>
      </c>
      <c r="AD95" s="110">
        <v>160.00000000000003</v>
      </c>
      <c r="AE95" s="110">
        <v>160.00000000000003</v>
      </c>
      <c r="AF95" s="110">
        <v>160.00000000000003</v>
      </c>
      <c r="AG95" s="110">
        <v>160.00000000000003</v>
      </c>
      <c r="AH95" s="110">
        <v>160.00000000000003</v>
      </c>
      <c r="AI95" s="110">
        <v>160.00000000000003</v>
      </c>
      <c r="AJ95" s="110">
        <v>160.00000000000003</v>
      </c>
      <c r="AK95" s="110">
        <v>160.00000000000003</v>
      </c>
      <c r="AL95" s="110">
        <v>160.00000000000003</v>
      </c>
      <c r="AM95" s="110">
        <v>160.00000000000003</v>
      </c>
      <c r="AN95" s="110">
        <v>160.00000000000003</v>
      </c>
      <c r="AO95" s="110">
        <v>160.00000000000003</v>
      </c>
      <c r="AP95" s="110">
        <v>160.00000000000003</v>
      </c>
      <c r="AQ95" s="110">
        <v>160.00000000000003</v>
      </c>
      <c r="AR95" s="110">
        <v>160.00000000000003</v>
      </c>
      <c r="AS95" s="110">
        <v>160.00000000000003</v>
      </c>
      <c r="AT95" s="110">
        <v>160.00000000000003</v>
      </c>
      <c r="AU95" s="110">
        <v>160.00000000000003</v>
      </c>
      <c r="AV95" s="110">
        <v>160.00000000000003</v>
      </c>
      <c r="AW95" s="110">
        <v>160.00000000000003</v>
      </c>
      <c r="AX95" s="110">
        <v>160.00000000000003</v>
      </c>
      <c r="AY95" s="110">
        <v>160.00000000000003</v>
      </c>
    </row>
    <row r="96" spans="1:52">
      <c r="A96" s="109"/>
      <c r="B96" s="120">
        <v>2</v>
      </c>
      <c r="C96" s="110">
        <v>198.53169090873666</v>
      </c>
      <c r="D96" s="110">
        <v>198.53169090873666</v>
      </c>
      <c r="E96" s="110">
        <v>120.00000000000003</v>
      </c>
      <c r="F96" s="110">
        <v>120.00000000000003</v>
      </c>
      <c r="G96" s="110">
        <v>120.00000000000003</v>
      </c>
      <c r="H96" s="110">
        <v>120.00000000000003</v>
      </c>
      <c r="I96" s="110">
        <v>160.00000000000003</v>
      </c>
      <c r="J96" s="110">
        <v>160.00000000000003</v>
      </c>
      <c r="K96" s="110">
        <v>160.00000000000003</v>
      </c>
      <c r="L96" s="110">
        <v>160.00000000000003</v>
      </c>
      <c r="M96" s="110">
        <v>160.00000000000003</v>
      </c>
      <c r="N96" s="110">
        <v>160.00000000000003</v>
      </c>
      <c r="O96" s="110">
        <v>160.00000000000003</v>
      </c>
      <c r="P96" s="110">
        <v>160.00000000000003</v>
      </c>
      <c r="Q96" s="110">
        <v>160.00000000000003</v>
      </c>
      <c r="R96" s="110">
        <v>160.00000000000003</v>
      </c>
      <c r="S96" s="110">
        <v>160.00000000000003</v>
      </c>
      <c r="T96" s="110">
        <v>160.00000000000003</v>
      </c>
      <c r="U96" s="110">
        <v>160.00000000000003</v>
      </c>
      <c r="V96" s="110">
        <v>160.00000000000003</v>
      </c>
      <c r="W96" s="110">
        <v>160.00000000000003</v>
      </c>
      <c r="X96" s="110">
        <v>160.00000000000003</v>
      </c>
      <c r="Y96" s="110">
        <v>128.00000000000003</v>
      </c>
      <c r="Z96" s="110">
        <v>128.00000000000003</v>
      </c>
      <c r="AA96" s="110">
        <v>128.00000000000003</v>
      </c>
      <c r="AB96" s="110">
        <v>128.00000000000003</v>
      </c>
      <c r="AC96" s="110">
        <v>160.00000000000003</v>
      </c>
      <c r="AD96" s="110">
        <v>160.00000000000003</v>
      </c>
      <c r="AE96" s="110">
        <v>160.00000000000003</v>
      </c>
      <c r="AF96" s="110">
        <v>160.00000000000003</v>
      </c>
      <c r="AG96" s="110">
        <v>160.00000000000003</v>
      </c>
      <c r="AH96" s="110">
        <v>160.00000000000003</v>
      </c>
      <c r="AI96" s="110">
        <v>160.00000000000003</v>
      </c>
      <c r="AJ96" s="110">
        <v>160.00000000000003</v>
      </c>
      <c r="AK96" s="110">
        <v>160.00000000000003</v>
      </c>
      <c r="AL96" s="110">
        <v>160.00000000000003</v>
      </c>
      <c r="AM96" s="110">
        <v>160.00000000000003</v>
      </c>
      <c r="AN96" s="110">
        <v>160.00000000000003</v>
      </c>
      <c r="AO96" s="110">
        <v>160.00000000000003</v>
      </c>
      <c r="AP96" s="110">
        <v>160.00000000000003</v>
      </c>
      <c r="AQ96" s="110">
        <v>160.00000000000003</v>
      </c>
      <c r="AR96" s="110">
        <v>160.00000000000003</v>
      </c>
      <c r="AS96" s="110">
        <v>160.00000000000003</v>
      </c>
      <c r="AT96" s="110">
        <v>160.00000000000003</v>
      </c>
      <c r="AU96" s="110">
        <v>160.00000000000003</v>
      </c>
      <c r="AV96" s="110">
        <v>160.00000000000003</v>
      </c>
      <c r="AW96" s="110">
        <v>160.00000000000003</v>
      </c>
      <c r="AX96" s="110">
        <v>160.00000000000003</v>
      </c>
      <c r="AY96" s="110">
        <v>160.00000000000003</v>
      </c>
    </row>
    <row r="97" spans="1:52">
      <c r="A97" s="109"/>
      <c r="B97" s="127">
        <v>3</v>
      </c>
      <c r="C97" s="110">
        <v>198.53169090873666</v>
      </c>
      <c r="D97" s="110">
        <v>198.53169090873666</v>
      </c>
      <c r="E97" s="110">
        <v>198.53169090873666</v>
      </c>
      <c r="F97" s="110">
        <v>120.00000000000003</v>
      </c>
      <c r="G97" s="110">
        <v>120.00000000000003</v>
      </c>
      <c r="H97" s="110">
        <v>120.00000000000003</v>
      </c>
      <c r="I97" s="110">
        <v>120.00000000000003</v>
      </c>
      <c r="J97" s="110">
        <v>160.00000000000003</v>
      </c>
      <c r="K97" s="110">
        <v>160.00000000000003</v>
      </c>
      <c r="L97" s="110">
        <v>160.00000000000003</v>
      </c>
      <c r="M97" s="110">
        <v>160.00000000000003</v>
      </c>
      <c r="N97" s="110">
        <v>160.00000000000003</v>
      </c>
      <c r="O97" s="110">
        <v>160.00000000000003</v>
      </c>
      <c r="P97" s="110">
        <v>160.00000000000003</v>
      </c>
      <c r="Q97" s="110">
        <v>160.00000000000003</v>
      </c>
      <c r="R97" s="110">
        <v>160.00000000000003</v>
      </c>
      <c r="S97" s="110">
        <v>160.00000000000003</v>
      </c>
      <c r="T97" s="110">
        <v>160.00000000000003</v>
      </c>
      <c r="U97" s="110">
        <v>160.00000000000003</v>
      </c>
      <c r="V97" s="110">
        <v>160.00000000000003</v>
      </c>
      <c r="W97" s="110">
        <v>160.00000000000003</v>
      </c>
      <c r="X97" s="110">
        <v>160.00000000000003</v>
      </c>
      <c r="Y97" s="110">
        <v>160.00000000000003</v>
      </c>
      <c r="Z97" s="110">
        <v>128.00000000000003</v>
      </c>
      <c r="AA97" s="110">
        <v>128.00000000000003</v>
      </c>
      <c r="AB97" s="110">
        <v>128.00000000000003</v>
      </c>
      <c r="AC97" s="110">
        <v>128.00000000000003</v>
      </c>
      <c r="AD97" s="110">
        <v>160.00000000000003</v>
      </c>
      <c r="AE97" s="110">
        <v>160.00000000000003</v>
      </c>
      <c r="AF97" s="110">
        <v>160.00000000000003</v>
      </c>
      <c r="AG97" s="110">
        <v>160.00000000000003</v>
      </c>
      <c r="AH97" s="110">
        <v>160.00000000000003</v>
      </c>
      <c r="AI97" s="110">
        <v>160.00000000000003</v>
      </c>
      <c r="AJ97" s="110">
        <v>160.00000000000003</v>
      </c>
      <c r="AK97" s="110">
        <v>160.00000000000003</v>
      </c>
      <c r="AL97" s="110">
        <v>160.00000000000003</v>
      </c>
      <c r="AM97" s="110">
        <v>160.00000000000003</v>
      </c>
      <c r="AN97" s="110">
        <v>160.00000000000003</v>
      </c>
      <c r="AO97" s="110">
        <v>160.00000000000003</v>
      </c>
      <c r="AP97" s="110">
        <v>160.00000000000003</v>
      </c>
      <c r="AQ97" s="110">
        <v>160.00000000000003</v>
      </c>
      <c r="AR97" s="110">
        <v>160.00000000000003</v>
      </c>
      <c r="AS97" s="110">
        <v>160.00000000000003</v>
      </c>
      <c r="AT97" s="110">
        <v>160.00000000000003</v>
      </c>
      <c r="AU97" s="110">
        <v>160.00000000000003</v>
      </c>
      <c r="AV97" s="110">
        <v>159.00000000000077</v>
      </c>
      <c r="AW97" s="110">
        <v>156.0000000000008</v>
      </c>
      <c r="AX97" s="110">
        <v>160.00000000000003</v>
      </c>
      <c r="AY97" s="110">
        <v>160.00000000000003</v>
      </c>
    </row>
    <row r="98" spans="1:52">
      <c r="A98" s="109"/>
      <c r="B98" s="130">
        <v>4</v>
      </c>
      <c r="C98" s="106">
        <v>198.53169090873666</v>
      </c>
      <c r="D98" s="110">
        <v>198.53169090873666</v>
      </c>
      <c r="E98" s="110">
        <v>198.53169090873666</v>
      </c>
      <c r="F98" s="110">
        <v>198.53169090873666</v>
      </c>
      <c r="G98" s="110">
        <v>120.00000000000003</v>
      </c>
      <c r="H98" s="110">
        <v>88.000000000000057</v>
      </c>
      <c r="I98" s="110">
        <v>77.000000000000085</v>
      </c>
      <c r="J98" s="110">
        <v>26.000000000000114</v>
      </c>
      <c r="K98" s="110">
        <v>12.000000000000142</v>
      </c>
      <c r="L98" s="110">
        <v>31.000000000000171</v>
      </c>
      <c r="M98" s="110">
        <v>34.000000000000199</v>
      </c>
      <c r="N98" s="110">
        <v>29.000000000000227</v>
      </c>
      <c r="O98" s="110">
        <v>13.000000000000256</v>
      </c>
      <c r="P98" s="110">
        <v>30.000000000000284</v>
      </c>
      <c r="Q98" s="110">
        <v>41.000000000000313</v>
      </c>
      <c r="R98" s="110">
        <v>92.000000000000341</v>
      </c>
      <c r="S98" s="110">
        <v>105.00000000000037</v>
      </c>
      <c r="T98" s="110">
        <v>140.0000000000004</v>
      </c>
      <c r="U98" s="110">
        <v>160.00000000000003</v>
      </c>
      <c r="V98" s="110">
        <v>148.00000000000006</v>
      </c>
      <c r="W98" s="110">
        <v>160.00000000000003</v>
      </c>
      <c r="X98" s="110">
        <v>158.00000000000006</v>
      </c>
      <c r="Y98" s="110">
        <v>151.00000000000009</v>
      </c>
      <c r="Z98" s="110">
        <v>138.00000000000011</v>
      </c>
      <c r="AA98" s="110">
        <v>113.00000000000014</v>
      </c>
      <c r="AB98" s="110">
        <v>87.000000000000171</v>
      </c>
      <c r="AC98" s="110">
        <v>79.000000000000199</v>
      </c>
      <c r="AD98" s="110">
        <v>74.000000000000227</v>
      </c>
      <c r="AE98" s="110">
        <v>117.00000000000026</v>
      </c>
      <c r="AF98" s="110">
        <v>91.000000000000284</v>
      </c>
      <c r="AG98" s="110">
        <v>94.000000000000313</v>
      </c>
      <c r="AH98" s="110">
        <v>61.000000000000341</v>
      </c>
      <c r="AI98" s="110">
        <v>115.00000000000037</v>
      </c>
      <c r="AJ98" s="110">
        <v>82.000000000000398</v>
      </c>
      <c r="AK98" s="110">
        <v>55.000000000000426</v>
      </c>
      <c r="AL98" s="110">
        <v>22.000000000000455</v>
      </c>
      <c r="AM98" s="110">
        <v>58.000000000000483</v>
      </c>
      <c r="AN98" s="110">
        <v>43.000000000000512</v>
      </c>
      <c r="AO98" s="110">
        <v>76.00000000000054</v>
      </c>
      <c r="AP98" s="110">
        <v>71.000000000000568</v>
      </c>
      <c r="AQ98" s="110">
        <v>115.0000000000006</v>
      </c>
      <c r="AR98" s="110">
        <v>94.000000000000625</v>
      </c>
      <c r="AS98" s="110">
        <v>55.000000000000654</v>
      </c>
      <c r="AT98" s="110">
        <v>34.000000000000682</v>
      </c>
      <c r="AU98" s="110">
        <v>28.000000000000711</v>
      </c>
      <c r="AV98" s="110">
        <v>0</v>
      </c>
      <c r="AW98" s="110">
        <v>0</v>
      </c>
      <c r="AX98" s="110">
        <v>38.000000000000796</v>
      </c>
      <c r="AY98" s="110">
        <v>79.000000000000824</v>
      </c>
    </row>
    <row r="99" spans="1:52">
      <c r="A99" s="128"/>
      <c r="B99" s="132" t="s">
        <v>296</v>
      </c>
      <c r="C99" s="125">
        <v>1.5316909087366639</v>
      </c>
      <c r="D99" s="125">
        <v>50.531690908736664</v>
      </c>
      <c r="E99" s="125">
        <v>100.53169090873666</v>
      </c>
      <c r="F99" s="125">
        <v>35.531690908736664</v>
      </c>
      <c r="G99" s="125">
        <v>47.531690908736664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33.000000000000398</v>
      </c>
      <c r="V99" s="125">
        <v>0</v>
      </c>
      <c r="W99" s="125">
        <v>23.000000000000057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290.12676363494711</v>
      </c>
    </row>
    <row r="100" spans="1:52">
      <c r="A100" s="131" t="s">
        <v>133</v>
      </c>
      <c r="B100" s="119">
        <v>1</v>
      </c>
      <c r="C100" s="106">
        <v>93.339688384422459</v>
      </c>
      <c r="D100" s="106">
        <v>134.66650307373067</v>
      </c>
      <c r="E100" s="106">
        <v>174.93288579603916</v>
      </c>
      <c r="F100" s="106">
        <v>94.789309512827884</v>
      </c>
      <c r="G100" s="106">
        <v>63.192873008551921</v>
      </c>
      <c r="H100" s="106">
        <v>146.37632172022444</v>
      </c>
      <c r="I100" s="106">
        <v>146.37632172022444</v>
      </c>
      <c r="J100" s="106">
        <v>117.32777511551792</v>
      </c>
      <c r="K100" s="106">
        <v>146.37632172022444</v>
      </c>
      <c r="L100" s="106">
        <v>94.789309512827884</v>
      </c>
      <c r="M100" s="106">
        <v>146.37632172022444</v>
      </c>
      <c r="N100" s="106">
        <v>168.91478732291446</v>
      </c>
      <c r="O100" s="106">
        <v>63.192873008551921</v>
      </c>
      <c r="P100" s="106">
        <v>168.91478732291446</v>
      </c>
      <c r="Q100" s="106">
        <v>146.37632172022444</v>
      </c>
      <c r="R100" s="106">
        <v>7.5855622266717367E-22</v>
      </c>
      <c r="S100" s="106">
        <v>7.5855622266717367E-22</v>
      </c>
      <c r="T100" s="106">
        <v>45.07693120538007</v>
      </c>
      <c r="U100" s="106">
        <v>22.538465602690035</v>
      </c>
      <c r="V100" s="106">
        <v>146.37632172022444</v>
      </c>
      <c r="W100" s="106">
        <v>0</v>
      </c>
      <c r="X100" s="106">
        <v>146.37632172022444</v>
      </c>
      <c r="Y100" s="106">
        <v>168.91478732291446</v>
      </c>
      <c r="Z100" s="106">
        <v>142.18396426924184</v>
      </c>
      <c r="AA100" s="106">
        <v>22.538465602690035</v>
      </c>
      <c r="AB100" s="106">
        <v>168.91478732291446</v>
      </c>
      <c r="AC100" s="106">
        <v>22.538465602690035</v>
      </c>
      <c r="AD100" s="106">
        <v>146.37632172022444</v>
      </c>
      <c r="AE100" s="106">
        <v>168.91478732291446</v>
      </c>
      <c r="AF100" s="106">
        <v>168.91478732291446</v>
      </c>
      <c r="AG100" s="106">
        <v>0</v>
      </c>
      <c r="AH100" s="106">
        <v>168.91478732291446</v>
      </c>
      <c r="AI100" s="106">
        <v>22.538465602690035</v>
      </c>
      <c r="AJ100" s="106">
        <v>146.37632172022444</v>
      </c>
      <c r="AK100" s="106">
        <v>168.91478732291446</v>
      </c>
      <c r="AL100" s="106">
        <v>168.91478732291446</v>
      </c>
      <c r="AM100" s="106">
        <v>0</v>
      </c>
      <c r="AN100" s="106">
        <v>146.37632172022444</v>
      </c>
      <c r="AO100" s="106">
        <v>22.538465602690035</v>
      </c>
      <c r="AP100" s="106">
        <v>168.91478732291446</v>
      </c>
      <c r="AQ100" s="106">
        <v>146.37632172022444</v>
      </c>
      <c r="AR100" s="106">
        <v>146.37632172022444</v>
      </c>
      <c r="AS100" s="106">
        <v>168.91478732291446</v>
      </c>
      <c r="AT100" s="106">
        <v>168.91478732291446</v>
      </c>
      <c r="AU100" s="106">
        <v>146.37632172022444</v>
      </c>
      <c r="AV100" s="106">
        <v>22.538465602690035</v>
      </c>
      <c r="AW100" s="106">
        <v>146.37632172022444</v>
      </c>
      <c r="AX100" s="106">
        <v>146.82084295057206</v>
      </c>
      <c r="AY100" s="106">
        <v>146.37632172022444</v>
      </c>
    </row>
    <row r="101" spans="1:52">
      <c r="A101" s="109"/>
      <c r="B101" s="119">
        <v>2</v>
      </c>
      <c r="C101" s="106">
        <v>134.66650307373067</v>
      </c>
      <c r="D101" s="106">
        <v>71.006191458153125</v>
      </c>
      <c r="E101" s="106">
        <v>0</v>
      </c>
      <c r="F101" s="106">
        <v>15.932885796039159</v>
      </c>
      <c r="G101" s="106">
        <v>22.538465602690039</v>
      </c>
      <c r="H101" s="106">
        <v>105.72191431436258</v>
      </c>
      <c r="I101" s="106">
        <v>135.2237138446736</v>
      </c>
      <c r="J101" s="106">
        <v>167.13850116758806</v>
      </c>
      <c r="K101" s="106">
        <v>160.05328849050255</v>
      </c>
      <c r="L101" s="106">
        <v>141.96807581341702</v>
      </c>
      <c r="M101" s="106">
        <v>146.34439753364146</v>
      </c>
      <c r="N101" s="106">
        <v>116.25918485655592</v>
      </c>
      <c r="O101" s="106">
        <v>147.71243778216041</v>
      </c>
      <c r="P101" s="106">
        <v>136.6272251050749</v>
      </c>
      <c r="Q101" s="106">
        <v>61.542012427989363</v>
      </c>
      <c r="R101" s="106">
        <v>30.918334148213802</v>
      </c>
      <c r="S101" s="106">
        <v>22.538465602690035</v>
      </c>
      <c r="T101" s="106">
        <v>0</v>
      </c>
      <c r="U101" s="106">
        <v>0</v>
      </c>
      <c r="V101" s="106">
        <v>0</v>
      </c>
      <c r="W101" s="106">
        <v>22.538465602690025</v>
      </c>
      <c r="X101" s="106">
        <v>168.91478732291446</v>
      </c>
      <c r="Y101" s="106">
        <v>146.37632172022444</v>
      </c>
      <c r="Z101" s="106">
        <v>153.20589636605337</v>
      </c>
      <c r="AA101" s="106">
        <v>164.72242987193187</v>
      </c>
      <c r="AB101" s="106">
        <v>4.0052574433652914</v>
      </c>
      <c r="AC101" s="106">
        <v>0</v>
      </c>
      <c r="AD101" s="106">
        <v>146.37632172022444</v>
      </c>
      <c r="AE101" s="106">
        <v>57.752643440448878</v>
      </c>
      <c r="AF101" s="106">
        <v>57.667430763363342</v>
      </c>
      <c r="AG101" s="106">
        <v>38.120683688967858</v>
      </c>
      <c r="AH101" s="106">
        <v>146.37632172022444</v>
      </c>
      <c r="AI101" s="106">
        <v>116.2911090431389</v>
      </c>
      <c r="AJ101" s="106">
        <v>146.37632172022444</v>
      </c>
      <c r="AK101" s="106">
        <v>117.2911090431389</v>
      </c>
      <c r="AL101" s="106">
        <v>74.205896366053366</v>
      </c>
      <c r="AM101" s="106">
        <v>45.12068368896783</v>
      </c>
      <c r="AN101" s="106">
        <v>146.37632172022444</v>
      </c>
      <c r="AO101" s="106">
        <v>143.82957464582896</v>
      </c>
      <c r="AP101" s="106">
        <v>146.37632172022444</v>
      </c>
      <c r="AQ101" s="106">
        <v>160.2911090431389</v>
      </c>
      <c r="AR101" s="106">
        <v>168.91478732291446</v>
      </c>
      <c r="AS101" s="106">
        <v>140.58221808627781</v>
      </c>
      <c r="AT101" s="106">
        <v>167.49700540919227</v>
      </c>
      <c r="AU101" s="106">
        <v>109.95025833479676</v>
      </c>
      <c r="AV101" s="106">
        <v>82.865045657711221</v>
      </c>
      <c r="AW101" s="106">
        <v>0</v>
      </c>
      <c r="AX101" s="106">
        <v>22.538465602690025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38.995185723166827</v>
      </c>
      <c r="G102" s="106">
        <v>0</v>
      </c>
      <c r="H102" s="106">
        <v>51.587012207396555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22.538465602690025</v>
      </c>
      <c r="O102" s="106">
        <v>0</v>
      </c>
      <c r="P102" s="106">
        <v>0</v>
      </c>
      <c r="Q102" s="106">
        <v>0</v>
      </c>
      <c r="R102" s="106">
        <v>0</v>
      </c>
      <c r="S102" s="106">
        <v>22.538465602690039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10.914787322914464</v>
      </c>
      <c r="Z102" s="106">
        <v>22.538465602690025</v>
      </c>
      <c r="AA102" s="106">
        <v>36.744361968743391</v>
      </c>
      <c r="AB102" s="106">
        <v>4.1923574509825983</v>
      </c>
      <c r="AC102" s="106">
        <v>0</v>
      </c>
      <c r="AD102" s="106">
        <v>0</v>
      </c>
      <c r="AE102" s="106">
        <v>0</v>
      </c>
      <c r="AF102" s="106">
        <v>22.538465602690039</v>
      </c>
      <c r="AG102" s="106">
        <v>0</v>
      </c>
      <c r="AH102" s="106">
        <v>0</v>
      </c>
      <c r="AI102" s="106">
        <v>22.538465602690025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14.291109043138903</v>
      </c>
      <c r="AS102" s="106">
        <v>0</v>
      </c>
      <c r="AT102" s="106">
        <v>22.538465602690025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33.864805544165513</v>
      </c>
      <c r="D109" s="106">
        <v>94.98585084668305</v>
      </c>
      <c r="E109" s="106">
        <v>68.773827718479993</v>
      </c>
      <c r="F109" s="106">
        <v>74.012948397804109</v>
      </c>
      <c r="G109" s="106">
        <v>63.697423416993885</v>
      </c>
      <c r="H109" s="106">
        <v>43.833348664692174</v>
      </c>
      <c r="I109" s="106">
        <v>120.80199472017505</v>
      </c>
      <c r="J109" s="106">
        <v>101.37736181510198</v>
      </c>
      <c r="K109" s="106">
        <v>81.842466751275339</v>
      </c>
      <c r="L109" s="106">
        <v>94.108815214901966</v>
      </c>
      <c r="M109" s="106">
        <v>54.991372588338926</v>
      </c>
      <c r="N109" s="106">
        <v>88.415204988443961</v>
      </c>
      <c r="O109" s="106">
        <v>97.558148084050927</v>
      </c>
      <c r="P109" s="106">
        <v>54.486321081446427</v>
      </c>
      <c r="Q109" s="106">
        <v>105.59569505613312</v>
      </c>
      <c r="R109" s="106">
        <v>92.277513677762599</v>
      </c>
      <c r="S109" s="106">
        <v>26.999882932257879</v>
      </c>
      <c r="T109" s="106">
        <v>24.528533889419883</v>
      </c>
      <c r="U109" s="106">
        <v>24.528533889419887</v>
      </c>
      <c r="V109" s="106">
        <v>21.517300817398684</v>
      </c>
      <c r="W109" s="106">
        <v>70.197672252380855</v>
      </c>
      <c r="X109" s="106">
        <v>21.517300817398684</v>
      </c>
      <c r="Y109" s="106">
        <v>124.90050983140542</v>
      </c>
      <c r="Z109" s="106">
        <v>107.4821939215956</v>
      </c>
      <c r="AA109" s="106">
        <v>96.917853046998033</v>
      </c>
      <c r="AB109" s="106">
        <v>39.768171496974013</v>
      </c>
      <c r="AC109" s="106">
        <v>74.689402174995067</v>
      </c>
      <c r="AD109" s="106">
        <v>21.517300817398684</v>
      </c>
      <c r="AE109" s="106">
        <v>121.88927675938423</v>
      </c>
      <c r="AF109" s="106">
        <v>99.505134781005523</v>
      </c>
      <c r="AG109" s="106">
        <v>82.031184398755528</v>
      </c>
      <c r="AH109" s="106">
        <v>18.506067745377486</v>
      </c>
      <c r="AI109" s="106">
        <v>124.90050983140543</v>
      </c>
      <c r="AJ109" s="106">
        <v>46.967287277162029</v>
      </c>
      <c r="AK109" s="106">
        <v>121.88927675938423</v>
      </c>
      <c r="AL109" s="106">
        <v>78.858355111604084</v>
      </c>
      <c r="AM109" s="106">
        <v>73.208905324402068</v>
      </c>
      <c r="AN109" s="106">
        <v>22.100426099622151</v>
      </c>
      <c r="AO109" s="106">
        <v>121.88927675938423</v>
      </c>
      <c r="AP109" s="106">
        <v>41.349295252230561</v>
      </c>
      <c r="AQ109" s="106">
        <v>124.90050983140543</v>
      </c>
      <c r="AR109" s="106">
        <v>109.07125777140332</v>
      </c>
      <c r="AS109" s="106">
        <v>77.364190704511543</v>
      </c>
      <c r="AT109" s="106">
        <v>73.208905324402053</v>
      </c>
      <c r="AU109" s="106">
        <v>76.220138396423266</v>
      </c>
      <c r="AV109" s="106">
        <v>70.197672252380855</v>
      </c>
      <c r="AW109" s="106">
        <v>24.528533889419883</v>
      </c>
      <c r="AX109" s="106">
        <v>70.197672252380869</v>
      </c>
      <c r="AY109" s="106">
        <v>73.268295216049268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26.801994720175045</v>
      </c>
      <c r="K110" s="106">
        <v>29.179356535277023</v>
      </c>
      <c r="L110" s="106">
        <v>27.021823286552362</v>
      </c>
      <c r="M110" s="106">
        <v>45.130638501454328</v>
      </c>
      <c r="N110" s="106">
        <v>39.122011089793254</v>
      </c>
      <c r="O110" s="106">
        <v>24.537216078237215</v>
      </c>
      <c r="P110" s="106">
        <v>46.095364162288142</v>
      </c>
      <c r="Q110" s="106">
        <v>11.581685243734569</v>
      </c>
      <c r="R110" s="106">
        <v>43.177380299867693</v>
      </c>
      <c r="S110" s="106">
        <v>45.148239429180748</v>
      </c>
      <c r="T110" s="106">
        <v>3.5527136788005009E-15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39.900509831405415</v>
      </c>
      <c r="AA110" s="106">
        <v>57.38270375300101</v>
      </c>
      <c r="AB110" s="106">
        <v>90.300556799999043</v>
      </c>
      <c r="AC110" s="106">
        <v>35.412348696854615</v>
      </c>
      <c r="AD110" s="106">
        <v>15.198798741458866</v>
      </c>
      <c r="AE110" s="106">
        <v>0</v>
      </c>
      <c r="AF110" s="106">
        <v>31.889276759384231</v>
      </c>
      <c r="AG110" s="106">
        <v>20.394411540389754</v>
      </c>
      <c r="AH110" s="106">
        <v>21.5628974133691</v>
      </c>
      <c r="AI110" s="106">
        <v>0</v>
      </c>
      <c r="AJ110" s="106">
        <v>24.095829807808684</v>
      </c>
      <c r="AK110" s="106">
        <v>0</v>
      </c>
      <c r="AL110" s="106">
        <v>49.889276759384231</v>
      </c>
      <c r="AM110" s="106">
        <v>48.747631870988315</v>
      </c>
      <c r="AN110" s="106">
        <v>41.541788676221231</v>
      </c>
      <c r="AO110" s="106">
        <v>0</v>
      </c>
      <c r="AP110" s="106">
        <v>47.565379489624249</v>
      </c>
      <c r="AQ110" s="106">
        <v>0</v>
      </c>
      <c r="AR110" s="106">
        <v>64.900509831405429</v>
      </c>
      <c r="AS110" s="106">
        <v>99.971767602808754</v>
      </c>
      <c r="AT110" s="106">
        <v>77.364190704511543</v>
      </c>
      <c r="AU110" s="106">
        <v>68.54486363172235</v>
      </c>
      <c r="AV110" s="106">
        <v>71.765002028145616</v>
      </c>
      <c r="AW110" s="106">
        <v>41.218022604934902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4.9717676028087538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118.00381349316885</v>
      </c>
      <c r="D122" s="106">
        <v>174.0353912770546</v>
      </c>
      <c r="E122" s="106">
        <v>188.40535687216104</v>
      </c>
      <c r="F122" s="106">
        <v>132.31923532081748</v>
      </c>
      <c r="G122" s="106">
        <v>103.91567182509343</v>
      </c>
      <c r="H122" s="106">
        <v>178.69329324944448</v>
      </c>
      <c r="I122" s="106">
        <v>178.69329324944448</v>
      </c>
      <c r="J122" s="106">
        <v>139.98454867261256</v>
      </c>
      <c r="K122" s="106">
        <v>178.69329324944448</v>
      </c>
      <c r="L122" s="106">
        <v>132.31923532081748</v>
      </c>
      <c r="M122" s="106">
        <v>178.69329324944448</v>
      </c>
      <c r="N122" s="106">
        <v>186.35860660123956</v>
      </c>
      <c r="O122" s="106">
        <v>103.91567182509343</v>
      </c>
      <c r="P122" s="106">
        <v>186.35860660123956</v>
      </c>
      <c r="Q122" s="106">
        <v>178.69329324944448</v>
      </c>
      <c r="R122" s="106">
        <v>47.10854483364534</v>
      </c>
      <c r="S122" s="106">
        <v>47.10854483364534</v>
      </c>
      <c r="T122" s="106">
        <v>62.439171537235502</v>
      </c>
      <c r="U122" s="106">
        <v>54.773858185440417</v>
      </c>
      <c r="V122" s="106">
        <v>178.69329324944448</v>
      </c>
      <c r="W122" s="106">
        <v>47.10854483364534</v>
      </c>
      <c r="X122" s="106">
        <v>178.69329324944448</v>
      </c>
      <c r="Y122" s="106">
        <v>186.35860660123956</v>
      </c>
      <c r="Z122" s="106">
        <v>174.92458056440356</v>
      </c>
      <c r="AA122" s="106">
        <v>54.773858185440417</v>
      </c>
      <c r="AB122" s="106">
        <v>186.35860660123961</v>
      </c>
      <c r="AC122" s="106">
        <v>54.773858185440417</v>
      </c>
      <c r="AD122" s="106">
        <v>178.69329324944454</v>
      </c>
      <c r="AE122" s="106">
        <v>186.35860660123956</v>
      </c>
      <c r="AF122" s="106">
        <v>186.35860660123961</v>
      </c>
      <c r="AG122" s="106">
        <v>47.10854483364534</v>
      </c>
      <c r="AH122" s="106">
        <v>186.35860660123961</v>
      </c>
      <c r="AI122" s="106">
        <v>54.773858185440417</v>
      </c>
      <c r="AJ122" s="106">
        <v>178.69329324944454</v>
      </c>
      <c r="AK122" s="106">
        <v>186.35860660123956</v>
      </c>
      <c r="AL122" s="106">
        <v>186.35860660123961</v>
      </c>
      <c r="AM122" s="106">
        <v>47.10854483364534</v>
      </c>
      <c r="AN122" s="106">
        <v>178.69329324944454</v>
      </c>
      <c r="AO122" s="106">
        <v>54.773858185440417</v>
      </c>
      <c r="AP122" s="106">
        <v>186.35860660123961</v>
      </c>
      <c r="AQ122" s="106">
        <v>178.69329324944448</v>
      </c>
      <c r="AR122" s="106">
        <v>178.69329324944454</v>
      </c>
      <c r="AS122" s="106">
        <v>186.35860660123956</v>
      </c>
      <c r="AT122" s="106">
        <v>186.35860660123961</v>
      </c>
      <c r="AU122" s="106">
        <v>178.69329324944448</v>
      </c>
      <c r="AV122" s="106">
        <v>54.773858185440417</v>
      </c>
      <c r="AW122" s="106">
        <v>178.69329324944454</v>
      </c>
      <c r="AX122" s="106">
        <v>178.84447454910372</v>
      </c>
      <c r="AY122" s="106">
        <v>178.69329324944454</v>
      </c>
    </row>
    <row r="123" spans="1:52">
      <c r="A123" s="109"/>
      <c r="B123" s="119">
        <v>2</v>
      </c>
      <c r="C123" s="106">
        <v>126.92684644340923</v>
      </c>
      <c r="D123" s="106">
        <v>1.0334018903471502</v>
      </c>
      <c r="E123" s="106">
        <v>1.4210854715202004E-14</v>
      </c>
      <c r="F123" s="106">
        <v>0</v>
      </c>
      <c r="G123" s="106">
        <v>7.6653133517950778</v>
      </c>
      <c r="H123" s="106">
        <v>82.442934776146146</v>
      </c>
      <c r="I123" s="106">
        <v>79.370173279057724</v>
      </c>
      <c r="J123" s="106">
        <v>68.351418065195304</v>
      </c>
      <c r="K123" s="106">
        <v>60.867557915159523</v>
      </c>
      <c r="L123" s="106">
        <v>7.6653133517950778</v>
      </c>
      <c r="M123" s="106">
        <v>46.37405792862701</v>
      </c>
      <c r="N123" s="106">
        <v>54.317459541422593</v>
      </c>
      <c r="O123" s="106">
        <v>34.783231410406302</v>
      </c>
      <c r="P123" s="106">
        <v>82.442934776146146</v>
      </c>
      <c r="Q123" s="106">
        <v>56.205846321252572</v>
      </c>
      <c r="R123" s="106">
        <v>21.621625892934446</v>
      </c>
      <c r="S123" s="106">
        <v>7.6653133517950778</v>
      </c>
      <c r="T123" s="106">
        <v>0</v>
      </c>
      <c r="U123" s="106">
        <v>0</v>
      </c>
      <c r="V123" s="106">
        <v>0</v>
      </c>
      <c r="W123" s="106">
        <v>7.6653133517950778</v>
      </c>
      <c r="X123" s="106">
        <v>139.25006176759422</v>
      </c>
      <c r="Y123" s="106">
        <v>87.245155194066029</v>
      </c>
      <c r="Z123" s="106">
        <v>64.121567873709978</v>
      </c>
      <c r="AA123" s="106">
        <v>46.458922094705656</v>
      </c>
      <c r="AB123" s="106">
        <v>0</v>
      </c>
      <c r="AC123" s="106">
        <v>0</v>
      </c>
      <c r="AD123" s="106">
        <v>131.58474841579914</v>
      </c>
      <c r="AE123" s="106">
        <v>66.938969496729342</v>
      </c>
      <c r="AF123" s="106">
        <v>14.792441316963362</v>
      </c>
      <c r="AG123" s="106">
        <v>0</v>
      </c>
      <c r="AH123" s="106">
        <v>131.58474841579914</v>
      </c>
      <c r="AI123" s="106">
        <v>57.119482891853011</v>
      </c>
      <c r="AJ123" s="106">
        <v>131.58474841579914</v>
      </c>
      <c r="AK123" s="106">
        <v>14.381086368405434</v>
      </c>
      <c r="AL123" s="106">
        <v>0</v>
      </c>
      <c r="AM123" s="106">
        <v>9.149701276837547</v>
      </c>
      <c r="AN123" s="106">
        <v>131.58474841579914</v>
      </c>
      <c r="AO123" s="106">
        <v>50.483787902875505</v>
      </c>
      <c r="AP123" s="106">
        <v>131.58474841579914</v>
      </c>
      <c r="AQ123" s="106">
        <v>98.955546443670656</v>
      </c>
      <c r="AR123" s="106">
        <v>18.242895273506875</v>
      </c>
      <c r="AS123" s="106">
        <v>0</v>
      </c>
      <c r="AT123" s="106">
        <v>0</v>
      </c>
      <c r="AU123" s="106">
        <v>0</v>
      </c>
      <c r="AV123" s="106">
        <v>7.6653133517950778</v>
      </c>
      <c r="AW123" s="106">
        <v>0</v>
      </c>
      <c r="AX123" s="106">
        <v>7.6653133517950778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29.827200546233293</v>
      </c>
      <c r="G124" s="106">
        <v>0</v>
      </c>
      <c r="H124" s="106">
        <v>46.37405792862701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7.6653133517950813</v>
      </c>
      <c r="O124" s="106">
        <v>0</v>
      </c>
      <c r="P124" s="106">
        <v>0</v>
      </c>
      <c r="Q124" s="106">
        <v>0</v>
      </c>
      <c r="R124" s="106">
        <v>0</v>
      </c>
      <c r="S124" s="106">
        <v>7.6653133517950796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7.6653133517950778</v>
      </c>
      <c r="AA124" s="106">
        <v>0</v>
      </c>
      <c r="AB124" s="106">
        <v>3.7687126850409243</v>
      </c>
      <c r="AC124" s="106">
        <v>0</v>
      </c>
      <c r="AD124" s="106">
        <v>0</v>
      </c>
      <c r="AE124" s="106">
        <v>0</v>
      </c>
      <c r="AF124" s="106">
        <v>7.6653133517950778</v>
      </c>
      <c r="AG124" s="106">
        <v>0</v>
      </c>
      <c r="AH124" s="106">
        <v>0</v>
      </c>
      <c r="AI124" s="106">
        <v>7.6653133517950778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7.6653133517950804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0.38780710782095845</v>
      </c>
      <c r="D172" s="134">
        <v>0.39283887478859858</v>
      </c>
      <c r="E172" s="134">
        <v>0.39283887478859858</v>
      </c>
      <c r="F172" s="134">
        <v>0.39283887478859858</v>
      </c>
      <c r="G172" s="134">
        <v>0.39283887478859858</v>
      </c>
      <c r="H172" s="134">
        <v>0.39283887478859858</v>
      </c>
      <c r="I172" s="134">
        <v>0.39283887478859858</v>
      </c>
      <c r="J172" s="134">
        <v>0.39283887478859858</v>
      </c>
      <c r="K172" s="134">
        <v>0.39283887478859858</v>
      </c>
      <c r="L172" s="134">
        <v>0.39283887478859858</v>
      </c>
      <c r="M172" s="134">
        <v>0.39283887478859858</v>
      </c>
      <c r="N172" s="134">
        <v>0.39283887478859858</v>
      </c>
      <c r="O172" s="134">
        <v>0.39283887478859858</v>
      </c>
      <c r="P172" s="134">
        <v>0.39283887478859858</v>
      </c>
      <c r="Q172" s="134">
        <v>0.39283887478859858</v>
      </c>
      <c r="R172" s="134">
        <v>0.39283887478859858</v>
      </c>
      <c r="S172" s="134">
        <v>0.39283887478859858</v>
      </c>
      <c r="T172" s="134">
        <v>0.39283887478859858</v>
      </c>
      <c r="U172" s="134">
        <v>0.39283887478859858</v>
      </c>
      <c r="V172" s="134">
        <v>0.39283887478859858</v>
      </c>
      <c r="W172" s="134">
        <v>0.39283887478859858</v>
      </c>
      <c r="X172" s="134">
        <v>0.39283887478859858</v>
      </c>
      <c r="Y172" s="134">
        <v>0.39283887478859858</v>
      </c>
      <c r="Z172" s="134">
        <v>0.39283887478859858</v>
      </c>
      <c r="AA172" s="134">
        <v>0.39283887478859858</v>
      </c>
      <c r="AB172" s="134">
        <v>0.39283887478859858</v>
      </c>
      <c r="AC172" s="134">
        <v>0.39283887478859858</v>
      </c>
      <c r="AD172" s="134">
        <v>0.39283887478859858</v>
      </c>
      <c r="AE172" s="134">
        <v>0.39283887478859858</v>
      </c>
      <c r="AF172" s="134">
        <v>0.39283887478859858</v>
      </c>
      <c r="AG172" s="134">
        <v>0.39283887478859858</v>
      </c>
      <c r="AH172" s="134">
        <v>0.39283887478859858</v>
      </c>
      <c r="AI172" s="134">
        <v>0.39283887478859858</v>
      </c>
      <c r="AJ172" s="134">
        <v>0.39283887478859858</v>
      </c>
      <c r="AK172" s="134">
        <v>0.39283887478859858</v>
      </c>
      <c r="AL172" s="134">
        <v>0.39283887478859858</v>
      </c>
      <c r="AM172" s="134">
        <v>0.39283887478859858</v>
      </c>
      <c r="AN172" s="134">
        <v>0.39283887478859858</v>
      </c>
      <c r="AO172" s="134">
        <v>0.39283887478859858</v>
      </c>
      <c r="AP172" s="134">
        <v>0.39283887478859858</v>
      </c>
      <c r="AQ172" s="134">
        <v>0.39283887478859858</v>
      </c>
      <c r="AR172" s="134">
        <v>0.39283887478859858</v>
      </c>
      <c r="AS172" s="134">
        <v>0.39283887478859858</v>
      </c>
      <c r="AT172" s="134">
        <v>0.39283887478859858</v>
      </c>
      <c r="AU172" s="134">
        <v>0.39283887478859858</v>
      </c>
      <c r="AV172" s="134">
        <v>0.39283887478859858</v>
      </c>
      <c r="AW172" s="134">
        <v>0.39283887478859858</v>
      </c>
      <c r="AX172" s="134">
        <v>0.39283887478859858</v>
      </c>
      <c r="AY172" s="134">
        <v>0.39283887478859858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715.59507272620999</v>
      </c>
      <c r="E175" s="124">
        <f t="shared" si="1"/>
        <v>637.06338181747333</v>
      </c>
      <c r="F175" s="124">
        <f t="shared" si="1"/>
        <v>558.53169090873678</v>
      </c>
      <c r="G175" s="124">
        <f t="shared" si="1"/>
        <v>480.00000000000011</v>
      </c>
      <c r="H175" s="124">
        <f t="shared" si="1"/>
        <v>488.00000000000017</v>
      </c>
      <c r="I175" s="124">
        <f t="shared" si="1"/>
        <v>517.00000000000023</v>
      </c>
      <c r="J175" s="124">
        <f t="shared" si="1"/>
        <v>506.00000000000023</v>
      </c>
      <c r="K175" s="124">
        <f t="shared" si="1"/>
        <v>492.00000000000023</v>
      </c>
      <c r="L175" s="124">
        <f t="shared" si="1"/>
        <v>511.00000000000028</v>
      </c>
      <c r="M175" s="124">
        <f t="shared" si="1"/>
        <v>514.00000000000034</v>
      </c>
      <c r="N175" s="124">
        <f t="shared" si="1"/>
        <v>509.00000000000034</v>
      </c>
      <c r="O175" s="124">
        <f t="shared" si="1"/>
        <v>493.00000000000034</v>
      </c>
      <c r="P175" s="124">
        <f t="shared" si="1"/>
        <v>510.0000000000004</v>
      </c>
      <c r="Q175" s="124">
        <f t="shared" si="1"/>
        <v>521.00000000000045</v>
      </c>
      <c r="R175" s="124">
        <f t="shared" si="1"/>
        <v>572.00000000000045</v>
      </c>
      <c r="S175" s="124">
        <f t="shared" si="1"/>
        <v>585.00000000000045</v>
      </c>
      <c r="T175" s="124">
        <f t="shared" si="1"/>
        <v>620.00000000000045</v>
      </c>
      <c r="U175" s="124">
        <f t="shared" si="1"/>
        <v>640.00000000000011</v>
      </c>
      <c r="V175" s="124">
        <f t="shared" si="1"/>
        <v>628.00000000000023</v>
      </c>
      <c r="W175" s="124">
        <f t="shared" si="1"/>
        <v>640.00000000000011</v>
      </c>
      <c r="X175" s="124">
        <f t="shared" si="1"/>
        <v>606.00000000000023</v>
      </c>
      <c r="Y175" s="124">
        <f t="shared" si="1"/>
        <v>567.00000000000023</v>
      </c>
      <c r="Z175" s="124">
        <f t="shared" si="1"/>
        <v>522.00000000000023</v>
      </c>
      <c r="AA175" s="124">
        <f t="shared" si="1"/>
        <v>497.00000000000023</v>
      </c>
      <c r="AB175" s="124">
        <f t="shared" si="1"/>
        <v>503.00000000000028</v>
      </c>
      <c r="AC175" s="124">
        <f t="shared" si="1"/>
        <v>527.00000000000034</v>
      </c>
      <c r="AD175" s="124">
        <f t="shared" si="1"/>
        <v>554.00000000000034</v>
      </c>
      <c r="AE175" s="124">
        <f t="shared" si="1"/>
        <v>597.00000000000034</v>
      </c>
      <c r="AF175" s="124">
        <f t="shared" si="1"/>
        <v>571.00000000000045</v>
      </c>
      <c r="AG175" s="124">
        <f t="shared" si="1"/>
        <v>574.00000000000045</v>
      </c>
      <c r="AH175" s="124">
        <f t="shared" si="1"/>
        <v>541.00000000000045</v>
      </c>
      <c r="AI175" s="124">
        <f t="shared" si="1"/>
        <v>595.00000000000045</v>
      </c>
      <c r="AJ175" s="124">
        <f t="shared" si="1"/>
        <v>562.00000000000045</v>
      </c>
      <c r="AK175" s="124">
        <f t="shared" si="1"/>
        <v>535.00000000000057</v>
      </c>
      <c r="AL175" s="124">
        <f t="shared" si="1"/>
        <v>502.00000000000057</v>
      </c>
      <c r="AM175" s="124">
        <f t="shared" si="1"/>
        <v>538.00000000000057</v>
      </c>
      <c r="AN175" s="124">
        <f t="shared" si="1"/>
        <v>523.00000000000068</v>
      </c>
      <c r="AO175" s="124">
        <f t="shared" si="1"/>
        <v>556.00000000000068</v>
      </c>
      <c r="AP175" s="124">
        <f t="shared" si="1"/>
        <v>551.00000000000068</v>
      </c>
      <c r="AQ175" s="124">
        <f t="shared" si="1"/>
        <v>595.00000000000068</v>
      </c>
      <c r="AR175" s="124">
        <f t="shared" si="1"/>
        <v>574.00000000000068</v>
      </c>
      <c r="AS175" s="124">
        <f t="shared" si="1"/>
        <v>535.0000000000008</v>
      </c>
      <c r="AT175" s="124">
        <f t="shared" si="1"/>
        <v>514.0000000000008</v>
      </c>
      <c r="AU175" s="124">
        <f t="shared" si="1"/>
        <v>508.0000000000008</v>
      </c>
      <c r="AV175" s="124">
        <f t="shared" si="1"/>
        <v>479.0000000000008</v>
      </c>
      <c r="AW175" s="124">
        <f t="shared" si="1"/>
        <v>476.00000000000085</v>
      </c>
      <c r="AX175" s="124">
        <f t="shared" si="1"/>
        <v>518.00000000000091</v>
      </c>
      <c r="AY175" s="124">
        <f t="shared" si="1"/>
        <v>559.00000000000091</v>
      </c>
    </row>
    <row r="176" spans="1:52">
      <c r="A176" s="125"/>
      <c r="B176" s="136" t="s">
        <v>299</v>
      </c>
      <c r="C176" s="125" t="s">
        <v>293</v>
      </c>
      <c r="D176" s="125">
        <v>98</v>
      </c>
      <c r="E176" s="125">
        <v>163</v>
      </c>
      <c r="F176" s="125">
        <v>151</v>
      </c>
      <c r="G176" s="125">
        <v>152</v>
      </c>
      <c r="H176" s="125">
        <v>131</v>
      </c>
      <c r="I176" s="125">
        <v>171</v>
      </c>
      <c r="J176" s="125">
        <v>174</v>
      </c>
      <c r="K176" s="125">
        <v>141</v>
      </c>
      <c r="L176" s="125">
        <v>157</v>
      </c>
      <c r="M176" s="125">
        <v>165</v>
      </c>
      <c r="N176" s="125">
        <v>176</v>
      </c>
      <c r="O176" s="125">
        <v>143</v>
      </c>
      <c r="P176" s="125">
        <v>149</v>
      </c>
      <c r="Q176" s="125">
        <v>109</v>
      </c>
      <c r="R176" s="125">
        <v>147</v>
      </c>
      <c r="S176" s="125">
        <v>125</v>
      </c>
      <c r="T176" s="125">
        <v>107</v>
      </c>
      <c r="U176" s="125">
        <v>172</v>
      </c>
      <c r="V176" s="125">
        <v>125</v>
      </c>
      <c r="W176" s="125">
        <v>162</v>
      </c>
      <c r="X176" s="125">
        <v>167</v>
      </c>
      <c r="Y176" s="125">
        <v>173</v>
      </c>
      <c r="Z176" s="125">
        <v>153</v>
      </c>
      <c r="AA176" s="125">
        <v>154</v>
      </c>
      <c r="AB176" s="125">
        <v>136</v>
      </c>
      <c r="AC176" s="125">
        <v>133</v>
      </c>
      <c r="AD176" s="125">
        <v>117</v>
      </c>
      <c r="AE176" s="125">
        <v>186</v>
      </c>
      <c r="AF176" s="125">
        <v>157</v>
      </c>
      <c r="AG176" s="125">
        <v>193</v>
      </c>
      <c r="AH176" s="125">
        <v>106</v>
      </c>
      <c r="AI176" s="125">
        <v>193</v>
      </c>
      <c r="AJ176" s="125">
        <v>187</v>
      </c>
      <c r="AK176" s="125">
        <v>193</v>
      </c>
      <c r="AL176" s="125">
        <v>124</v>
      </c>
      <c r="AM176" s="125">
        <v>175</v>
      </c>
      <c r="AN176" s="125">
        <v>127</v>
      </c>
      <c r="AO176" s="125">
        <v>165</v>
      </c>
      <c r="AP176" s="125">
        <v>116</v>
      </c>
      <c r="AQ176" s="125">
        <v>181</v>
      </c>
      <c r="AR176" s="125">
        <v>199</v>
      </c>
      <c r="AS176" s="125">
        <v>181</v>
      </c>
      <c r="AT176" s="125">
        <v>166</v>
      </c>
      <c r="AU176" s="125">
        <v>189</v>
      </c>
      <c r="AV176" s="125">
        <v>163</v>
      </c>
      <c r="AW176" s="125">
        <v>118</v>
      </c>
      <c r="AX176" s="125">
        <v>119</v>
      </c>
      <c r="AY176" s="125">
        <v>183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205.67269453188379</v>
      </c>
      <c r="E177" s="124">
        <f t="shared" si="2"/>
        <v>174.93288579603916</v>
      </c>
      <c r="F177" s="124">
        <f t="shared" si="2"/>
        <v>149.71738103203387</v>
      </c>
      <c r="G177" s="124">
        <f t="shared" si="2"/>
        <v>85.731338611241966</v>
      </c>
      <c r="H177" s="124">
        <f t="shared" si="2"/>
        <v>303.68524824198357</v>
      </c>
      <c r="I177" s="124">
        <f t="shared" si="2"/>
        <v>281.60003556489801</v>
      </c>
      <c r="J177" s="124">
        <f t="shared" si="2"/>
        <v>284.46627628310597</v>
      </c>
      <c r="K177" s="124">
        <f t="shared" si="2"/>
        <v>306.42961021072699</v>
      </c>
      <c r="L177" s="124">
        <f t="shared" si="2"/>
        <v>236.7573853262449</v>
      </c>
      <c r="M177" s="124">
        <f t="shared" si="2"/>
        <v>292.72071925386592</v>
      </c>
      <c r="N177" s="124">
        <f t="shared" si="2"/>
        <v>307.71243778216046</v>
      </c>
      <c r="O177" s="124">
        <f t="shared" si="2"/>
        <v>210.90531079071232</v>
      </c>
      <c r="P177" s="124">
        <f t="shared" si="2"/>
        <v>305.54201242798933</v>
      </c>
      <c r="Q177" s="124">
        <f t="shared" si="2"/>
        <v>207.9183341482138</v>
      </c>
      <c r="R177" s="124">
        <f t="shared" si="2"/>
        <v>30.918334148213802</v>
      </c>
      <c r="S177" s="124">
        <f t="shared" si="2"/>
        <v>45.076931205380077</v>
      </c>
      <c r="T177" s="124">
        <f t="shared" si="2"/>
        <v>45.07693120538007</v>
      </c>
      <c r="U177" s="124">
        <f t="shared" si="2"/>
        <v>22.538465602690035</v>
      </c>
      <c r="V177" s="124">
        <f t="shared" si="2"/>
        <v>146.37632172022444</v>
      </c>
      <c r="W177" s="124">
        <f t="shared" si="2"/>
        <v>22.538465602690025</v>
      </c>
      <c r="X177" s="124">
        <f t="shared" si="2"/>
        <v>315.29110904313893</v>
      </c>
      <c r="Y177" s="124">
        <f t="shared" si="2"/>
        <v>326.20589636605337</v>
      </c>
      <c r="Z177" s="124">
        <f t="shared" si="2"/>
        <v>317.92832623798529</v>
      </c>
      <c r="AA177" s="124">
        <f t="shared" si="2"/>
        <v>224.00525744336528</v>
      </c>
      <c r="AB177" s="124">
        <f t="shared" si="2"/>
        <v>177.11240221726234</v>
      </c>
      <c r="AC177" s="124">
        <f t="shared" si="2"/>
        <v>22.538465602690035</v>
      </c>
      <c r="AD177" s="124">
        <f t="shared" si="2"/>
        <v>292.75264344044888</v>
      </c>
      <c r="AE177" s="124">
        <f t="shared" si="2"/>
        <v>226.66743076336334</v>
      </c>
      <c r="AF177" s="124">
        <f t="shared" si="2"/>
        <v>249.12068368896786</v>
      </c>
      <c r="AG177" s="124">
        <f t="shared" si="2"/>
        <v>38.120683688967858</v>
      </c>
      <c r="AH177" s="124">
        <f t="shared" si="2"/>
        <v>315.29110904313893</v>
      </c>
      <c r="AI177" s="124">
        <f t="shared" si="2"/>
        <v>161.36804024851895</v>
      </c>
      <c r="AJ177" s="124">
        <f t="shared" si="2"/>
        <v>292.75264344044888</v>
      </c>
      <c r="AK177" s="124">
        <f t="shared" si="2"/>
        <v>286.20589636605337</v>
      </c>
      <c r="AL177" s="124">
        <f t="shared" si="2"/>
        <v>243.12068368896783</v>
      </c>
      <c r="AM177" s="124">
        <f t="shared" si="2"/>
        <v>45.12068368896783</v>
      </c>
      <c r="AN177" s="124">
        <f t="shared" si="2"/>
        <v>292.75264344044888</v>
      </c>
      <c r="AO177" s="124">
        <f t="shared" si="2"/>
        <v>166.36804024851898</v>
      </c>
      <c r="AP177" s="124">
        <f t="shared" si="2"/>
        <v>315.29110904313893</v>
      </c>
      <c r="AQ177" s="124">
        <f t="shared" si="2"/>
        <v>306.66743076336331</v>
      </c>
      <c r="AR177" s="124">
        <f t="shared" si="2"/>
        <v>329.58221808627786</v>
      </c>
      <c r="AS177" s="124">
        <f t="shared" si="2"/>
        <v>309.4970054091923</v>
      </c>
      <c r="AT177" s="124">
        <f t="shared" si="2"/>
        <v>358.95025833479679</v>
      </c>
      <c r="AU177" s="124">
        <f t="shared" si="2"/>
        <v>256.32658005502117</v>
      </c>
      <c r="AV177" s="124">
        <f t="shared" si="2"/>
        <v>105.40351126040126</v>
      </c>
      <c r="AW177" s="124">
        <f t="shared" si="2"/>
        <v>146.37632172022444</v>
      </c>
      <c r="AX177" s="124">
        <f t="shared" si="2"/>
        <v>169.35930855326208</v>
      </c>
      <c r="AY177" s="124">
        <f t="shared" si="2"/>
        <v>146.37632172022444</v>
      </c>
    </row>
    <row r="178" spans="1:51">
      <c r="A178" s="125"/>
      <c r="B178" s="136" t="s">
        <v>299</v>
      </c>
      <c r="C178" s="125" t="s">
        <v>293</v>
      </c>
      <c r="D178" s="125">
        <v>205.67269453188379</v>
      </c>
      <c r="E178" s="125">
        <v>159</v>
      </c>
      <c r="F178" s="125">
        <v>149.71738103203387</v>
      </c>
      <c r="G178" s="125">
        <v>85.731338611241966</v>
      </c>
      <c r="H178" s="125">
        <v>191</v>
      </c>
      <c r="I178" s="125">
        <v>137</v>
      </c>
      <c r="J178" s="125">
        <v>176</v>
      </c>
      <c r="K178" s="125">
        <v>187</v>
      </c>
      <c r="L178" s="125">
        <v>142</v>
      </c>
      <c r="M178" s="125">
        <v>199</v>
      </c>
      <c r="N178" s="125">
        <v>160</v>
      </c>
      <c r="O178" s="125">
        <v>180</v>
      </c>
      <c r="P178" s="125">
        <v>244</v>
      </c>
      <c r="Q178" s="125">
        <v>177</v>
      </c>
      <c r="R178" s="125">
        <v>30.918334148213802</v>
      </c>
      <c r="S178" s="125">
        <v>45.076931205380077</v>
      </c>
      <c r="T178" s="125">
        <v>45.07693120538007</v>
      </c>
      <c r="U178" s="125">
        <v>22.538465602690035</v>
      </c>
      <c r="V178" s="125">
        <v>146.37632172022444</v>
      </c>
      <c r="W178" s="125">
        <v>22.538465602690025</v>
      </c>
      <c r="X178" s="125">
        <v>158</v>
      </c>
      <c r="Y178" s="125">
        <v>173</v>
      </c>
      <c r="Z178" s="125">
        <v>139</v>
      </c>
      <c r="AA178" s="125">
        <v>220</v>
      </c>
      <c r="AB178" s="125">
        <v>177.11240221726234</v>
      </c>
      <c r="AC178" s="125">
        <v>22.538465602690035</v>
      </c>
      <c r="AD178" s="125">
        <v>235</v>
      </c>
      <c r="AE178" s="125">
        <v>169</v>
      </c>
      <c r="AF178" s="125">
        <v>211</v>
      </c>
      <c r="AG178" s="125">
        <v>38.120683688967858</v>
      </c>
      <c r="AH178" s="125">
        <v>199</v>
      </c>
      <c r="AI178" s="125">
        <v>161.36804024851895</v>
      </c>
      <c r="AJ178" s="125">
        <v>198</v>
      </c>
      <c r="AK178" s="125">
        <v>212</v>
      </c>
      <c r="AL178" s="125">
        <v>198</v>
      </c>
      <c r="AM178" s="125">
        <v>45.12068368896783</v>
      </c>
      <c r="AN178" s="125">
        <v>194</v>
      </c>
      <c r="AO178" s="125">
        <v>166.36804024851898</v>
      </c>
      <c r="AP178" s="125">
        <v>155</v>
      </c>
      <c r="AQ178" s="125">
        <v>146</v>
      </c>
      <c r="AR178" s="125">
        <v>189</v>
      </c>
      <c r="AS178" s="125">
        <v>142</v>
      </c>
      <c r="AT178" s="125">
        <v>249</v>
      </c>
      <c r="AU178" s="125">
        <v>196</v>
      </c>
      <c r="AV178" s="125">
        <v>105.40351126040126</v>
      </c>
      <c r="AW178" s="125">
        <v>146.37632172022444</v>
      </c>
      <c r="AX178" s="125">
        <v>169.35930855326208</v>
      </c>
      <c r="AY178" s="125">
        <v>146.37632172022444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94.98585084668305</v>
      </c>
      <c r="E179" s="124">
        <f t="shared" si="3"/>
        <v>68.773827718479993</v>
      </c>
      <c r="F179" s="124">
        <f t="shared" si="3"/>
        <v>74.012948397804109</v>
      </c>
      <c r="G179" s="124">
        <f t="shared" si="3"/>
        <v>63.697423416993885</v>
      </c>
      <c r="H179" s="124">
        <f t="shared" si="3"/>
        <v>43.833348664692174</v>
      </c>
      <c r="I179" s="124">
        <f t="shared" si="3"/>
        <v>120.80199472017505</v>
      </c>
      <c r="J179" s="124">
        <f t="shared" si="3"/>
        <v>128.17935653527701</v>
      </c>
      <c r="K179" s="124">
        <f t="shared" si="3"/>
        <v>111.02182328655236</v>
      </c>
      <c r="L179" s="124">
        <f t="shared" si="3"/>
        <v>121.13063850145433</v>
      </c>
      <c r="M179" s="124">
        <f t="shared" si="3"/>
        <v>100.12201108979326</v>
      </c>
      <c r="N179" s="124">
        <f t="shared" si="3"/>
        <v>127.53721607823721</v>
      </c>
      <c r="O179" s="124">
        <f t="shared" si="3"/>
        <v>122.09536416228815</v>
      </c>
      <c r="P179" s="124">
        <f t="shared" si="3"/>
        <v>100.58168524373457</v>
      </c>
      <c r="Q179" s="124">
        <f t="shared" si="3"/>
        <v>117.17738029986769</v>
      </c>
      <c r="R179" s="124">
        <f t="shared" si="3"/>
        <v>135.45489397763029</v>
      </c>
      <c r="S179" s="124">
        <f t="shared" si="3"/>
        <v>72.148122361438624</v>
      </c>
      <c r="T179" s="124">
        <f t="shared" si="3"/>
        <v>24.528533889419887</v>
      </c>
      <c r="U179" s="124">
        <f t="shared" si="3"/>
        <v>24.528533889419887</v>
      </c>
      <c r="V179" s="124">
        <f t="shared" si="3"/>
        <v>21.517300817398684</v>
      </c>
      <c r="W179" s="124">
        <f t="shared" si="3"/>
        <v>70.197672252380855</v>
      </c>
      <c r="X179" s="124">
        <f t="shared" si="3"/>
        <v>21.517300817398684</v>
      </c>
      <c r="Y179" s="124">
        <f t="shared" si="3"/>
        <v>124.90050983140542</v>
      </c>
      <c r="Z179" s="124">
        <f t="shared" si="3"/>
        <v>147.38270375300101</v>
      </c>
      <c r="AA179" s="124">
        <f t="shared" si="3"/>
        <v>154.30055679999904</v>
      </c>
      <c r="AB179" s="124">
        <f t="shared" si="3"/>
        <v>130.06872829697306</v>
      </c>
      <c r="AC179" s="124">
        <f t="shared" si="3"/>
        <v>110.10175087184967</v>
      </c>
      <c r="AD179" s="124">
        <f t="shared" si="3"/>
        <v>36.71609955885755</v>
      </c>
      <c r="AE179" s="124">
        <f t="shared" si="3"/>
        <v>121.88927675938423</v>
      </c>
      <c r="AF179" s="124">
        <f t="shared" si="3"/>
        <v>131.39441154038974</v>
      </c>
      <c r="AG179" s="124">
        <f t="shared" si="3"/>
        <v>102.42559593914528</v>
      </c>
      <c r="AH179" s="124">
        <f t="shared" si="3"/>
        <v>40.068965158746586</v>
      </c>
      <c r="AI179" s="124">
        <f t="shared" si="3"/>
        <v>124.90050983140543</v>
      </c>
      <c r="AJ179" s="124">
        <f t="shared" si="3"/>
        <v>71.063117084970713</v>
      </c>
      <c r="AK179" s="124">
        <f t="shared" si="3"/>
        <v>121.88927675938423</v>
      </c>
      <c r="AL179" s="124">
        <f t="shared" si="3"/>
        <v>128.7476318709883</v>
      </c>
      <c r="AM179" s="124">
        <f t="shared" si="3"/>
        <v>121.95653719539038</v>
      </c>
      <c r="AN179" s="124">
        <f t="shared" si="3"/>
        <v>63.642214775843385</v>
      </c>
      <c r="AO179" s="124">
        <f t="shared" si="3"/>
        <v>121.88927675938423</v>
      </c>
      <c r="AP179" s="124">
        <f t="shared" si="3"/>
        <v>88.91467474185481</v>
      </c>
      <c r="AQ179" s="124">
        <f t="shared" si="3"/>
        <v>124.90050983140543</v>
      </c>
      <c r="AR179" s="124">
        <f t="shared" si="3"/>
        <v>173.97176760280877</v>
      </c>
      <c r="AS179" s="124">
        <f t="shared" si="3"/>
        <v>177.33595830732031</v>
      </c>
      <c r="AT179" s="124">
        <f t="shared" si="3"/>
        <v>155.54486363172236</v>
      </c>
      <c r="AU179" s="124">
        <f t="shared" si="3"/>
        <v>144.7650020281456</v>
      </c>
      <c r="AV179" s="124">
        <f t="shared" si="3"/>
        <v>141.96267428052647</v>
      </c>
      <c r="AW179" s="124">
        <f t="shared" si="3"/>
        <v>65.746556494354792</v>
      </c>
      <c r="AX179" s="124">
        <f t="shared" si="3"/>
        <v>70.197672252380869</v>
      </c>
      <c r="AY179" s="124">
        <f t="shared" si="3"/>
        <v>73.268295216049268</v>
      </c>
    </row>
    <row r="180" spans="1:51">
      <c r="A180" s="125"/>
      <c r="B180" s="136" t="s">
        <v>299</v>
      </c>
      <c r="C180" s="125" t="s">
        <v>293</v>
      </c>
      <c r="D180" s="125">
        <v>94.98585084668305</v>
      </c>
      <c r="E180" s="125">
        <v>68.773827718479993</v>
      </c>
      <c r="F180" s="125">
        <v>74.012948397804109</v>
      </c>
      <c r="G180" s="125">
        <v>63.697423416993885</v>
      </c>
      <c r="H180" s="125">
        <v>43.833348664692174</v>
      </c>
      <c r="I180" s="125">
        <v>94</v>
      </c>
      <c r="J180" s="125">
        <v>99</v>
      </c>
      <c r="K180" s="125">
        <v>84</v>
      </c>
      <c r="L180" s="125">
        <v>76</v>
      </c>
      <c r="M180" s="125">
        <v>61</v>
      </c>
      <c r="N180" s="125">
        <v>103</v>
      </c>
      <c r="O180" s="125">
        <v>76</v>
      </c>
      <c r="P180" s="125">
        <v>89</v>
      </c>
      <c r="Q180" s="125">
        <v>74</v>
      </c>
      <c r="R180" s="125">
        <v>90.306654548449544</v>
      </c>
      <c r="S180" s="125">
        <v>72.148122361438624</v>
      </c>
      <c r="T180" s="125">
        <v>24.528533889419887</v>
      </c>
      <c r="U180" s="125">
        <v>24.528533889419887</v>
      </c>
      <c r="V180" s="125">
        <v>21.517300817398684</v>
      </c>
      <c r="W180" s="125">
        <v>70.197672252380855</v>
      </c>
      <c r="X180" s="125">
        <v>21.517300817398684</v>
      </c>
      <c r="Y180" s="125">
        <v>85</v>
      </c>
      <c r="Z180" s="125">
        <v>90</v>
      </c>
      <c r="AA180" s="125">
        <v>64</v>
      </c>
      <c r="AB180" s="125">
        <v>94.656379600118441</v>
      </c>
      <c r="AC180" s="125">
        <v>94.902952130390815</v>
      </c>
      <c r="AD180" s="125">
        <v>36.71609955885755</v>
      </c>
      <c r="AE180" s="125">
        <v>90</v>
      </c>
      <c r="AF180" s="125">
        <v>111</v>
      </c>
      <c r="AG180" s="125">
        <v>80.862698525776182</v>
      </c>
      <c r="AH180" s="125">
        <v>40.068965158746586</v>
      </c>
      <c r="AI180" s="125">
        <v>100.80468002359675</v>
      </c>
      <c r="AJ180" s="125">
        <v>71.063117084970713</v>
      </c>
      <c r="AK180" s="125">
        <v>72</v>
      </c>
      <c r="AL180" s="125">
        <v>80</v>
      </c>
      <c r="AM180" s="125">
        <v>80.414748519169152</v>
      </c>
      <c r="AN180" s="125">
        <v>63.642214775843385</v>
      </c>
      <c r="AO180" s="125">
        <v>74.323897269759982</v>
      </c>
      <c r="AP180" s="125">
        <v>88.91467474185481</v>
      </c>
      <c r="AQ180" s="125">
        <v>60</v>
      </c>
      <c r="AR180" s="125">
        <v>74</v>
      </c>
      <c r="AS180" s="125">
        <v>95</v>
      </c>
      <c r="AT180" s="125">
        <v>87</v>
      </c>
      <c r="AU180" s="125">
        <v>73</v>
      </c>
      <c r="AV180" s="125">
        <v>100.74465167559157</v>
      </c>
      <c r="AW180" s="125">
        <v>65.746556494354792</v>
      </c>
      <c r="AX180" s="125">
        <v>70.197672252380869</v>
      </c>
      <c r="AY180" s="125">
        <v>73.268295216049268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106.29496544892174</v>
      </c>
      <c r="E181" s="124">
        <f t="shared" si="4"/>
        <v>114.39240847435696</v>
      </c>
      <c r="F181" s="124">
        <f t="shared" si="4"/>
        <v>98.449012450056884</v>
      </c>
      <c r="G181" s="124">
        <f t="shared" si="4"/>
        <v>67.747636512196323</v>
      </c>
      <c r="H181" s="124">
        <f t="shared" si="4"/>
        <v>186.70829123404258</v>
      </c>
      <c r="I181" s="124">
        <f t="shared" si="4"/>
        <v>156.68610471340023</v>
      </c>
      <c r="J181" s="124">
        <f t="shared" si="4"/>
        <v>126.49349998653253</v>
      </c>
      <c r="K181" s="124">
        <f t="shared" si="4"/>
        <v>145.45203594970204</v>
      </c>
      <c r="L181" s="124">
        <f t="shared" si="4"/>
        <v>84.993176084273628</v>
      </c>
      <c r="M181" s="124">
        <f t="shared" si="4"/>
        <v>136.6521461896275</v>
      </c>
      <c r="N181" s="124">
        <f t="shared" si="4"/>
        <v>150.7832314104063</v>
      </c>
      <c r="O181" s="124">
        <f t="shared" si="4"/>
        <v>84.212582154053294</v>
      </c>
      <c r="P181" s="124">
        <f t="shared" si="4"/>
        <v>163.20584632125258</v>
      </c>
      <c r="Q181" s="124">
        <f t="shared" si="4"/>
        <v>142.62162589293445</v>
      </c>
      <c r="R181" s="124">
        <f t="shared" si="4"/>
        <v>41.730287794321903</v>
      </c>
      <c r="S181" s="124">
        <f t="shared" si="4"/>
        <v>37.910637647815612</v>
      </c>
      <c r="T181" s="124">
        <f t="shared" si="4"/>
        <v>37.910637647815619</v>
      </c>
      <c r="U181" s="124">
        <f t="shared" si="4"/>
        <v>33.256557368041733</v>
      </c>
      <c r="V181" s="124">
        <f t="shared" si="4"/>
        <v>108.49562099706363</v>
      </c>
      <c r="W181" s="124">
        <f t="shared" si="4"/>
        <v>33.256557368041733</v>
      </c>
      <c r="X181" s="124">
        <f t="shared" si="4"/>
        <v>193.0428451856333</v>
      </c>
      <c r="Y181" s="124">
        <f t="shared" si="4"/>
        <v>166.12156787370998</v>
      </c>
      <c r="Z181" s="124">
        <f t="shared" si="4"/>
        <v>149.79360874291058</v>
      </c>
      <c r="AA181" s="124">
        <f t="shared" si="4"/>
        <v>61.464608783172061</v>
      </c>
      <c r="AB181" s="124">
        <f t="shared" si="4"/>
        <v>115.43791711128547</v>
      </c>
      <c r="AC181" s="124">
        <f t="shared" si="4"/>
        <v>33.256557368041733</v>
      </c>
      <c r="AD181" s="124">
        <f t="shared" si="4"/>
        <v>188.38876490585943</v>
      </c>
      <c r="AE181" s="124">
        <f t="shared" si="4"/>
        <v>153.79244131696336</v>
      </c>
      <c r="AF181" s="124">
        <f t="shared" si="4"/>
        <v>126.78517687124253</v>
      </c>
      <c r="AG181" s="124">
        <f t="shared" si="4"/>
        <v>28.602477088267854</v>
      </c>
      <c r="AH181" s="124">
        <f t="shared" si="4"/>
        <v>193.04284518563333</v>
      </c>
      <c r="AI181" s="124">
        <f t="shared" si="4"/>
        <v>72.591367151926477</v>
      </c>
      <c r="AJ181" s="124">
        <f t="shared" si="4"/>
        <v>188.38876490585943</v>
      </c>
      <c r="AK181" s="124">
        <f t="shared" si="4"/>
        <v>121.88133785804089</v>
      </c>
      <c r="AL181" s="124">
        <f t="shared" si="4"/>
        <v>113.14970127683755</v>
      </c>
      <c r="AM181" s="124">
        <f t="shared" si="4"/>
        <v>34.157820010860739</v>
      </c>
      <c r="AN181" s="124">
        <f t="shared" si="4"/>
        <v>188.38876490585943</v>
      </c>
      <c r="AO181" s="124">
        <f t="shared" si="4"/>
        <v>63.908350836085361</v>
      </c>
      <c r="AP181" s="124">
        <f t="shared" si="4"/>
        <v>193.04284518563333</v>
      </c>
      <c r="AQ181" s="124">
        <f t="shared" si="4"/>
        <v>168.57758192171178</v>
      </c>
      <c r="AR181" s="124">
        <f t="shared" si="4"/>
        <v>119.57199781843985</v>
      </c>
      <c r="AS181" s="124">
        <f t="shared" si="4"/>
        <v>113.1497012768375</v>
      </c>
      <c r="AT181" s="124">
        <f t="shared" si="4"/>
        <v>117.80378155661143</v>
      </c>
      <c r="AU181" s="124">
        <f t="shared" si="4"/>
        <v>108.49562099706363</v>
      </c>
      <c r="AV181" s="124">
        <f t="shared" si="4"/>
        <v>37.910637647815612</v>
      </c>
      <c r="AW181" s="124">
        <f t="shared" si="4"/>
        <v>108.49562099706367</v>
      </c>
      <c r="AX181" s="124">
        <f t="shared" si="4"/>
        <v>113.24149268484953</v>
      </c>
      <c r="AY181" s="124">
        <f t="shared" si="4"/>
        <v>108.49562099706367</v>
      </c>
    </row>
    <row r="182" spans="1:51">
      <c r="A182" s="125"/>
      <c r="B182" s="136" t="s">
        <v>299</v>
      </c>
      <c r="C182" s="125" t="s">
        <v>293</v>
      </c>
      <c r="D182" s="125">
        <v>106.29496544892174</v>
      </c>
      <c r="E182" s="125">
        <v>114.39240847435696</v>
      </c>
      <c r="F182" s="125">
        <v>98.449012450056884</v>
      </c>
      <c r="G182" s="125">
        <v>67.747636512196323</v>
      </c>
      <c r="H182" s="125">
        <v>115.00343130677994</v>
      </c>
      <c r="I182" s="125">
        <v>96</v>
      </c>
      <c r="J182" s="125">
        <v>112</v>
      </c>
      <c r="K182" s="125">
        <v>145.45203594970204</v>
      </c>
      <c r="L182" s="125">
        <v>84.993176084273628</v>
      </c>
      <c r="M182" s="125">
        <v>90</v>
      </c>
      <c r="N182" s="125">
        <v>116</v>
      </c>
      <c r="O182" s="125">
        <v>84.212582154053294</v>
      </c>
      <c r="P182" s="125">
        <v>107</v>
      </c>
      <c r="Q182" s="125">
        <v>121</v>
      </c>
      <c r="R182" s="125">
        <v>41.730287794321903</v>
      </c>
      <c r="S182" s="125">
        <v>37.910637647815612</v>
      </c>
      <c r="T182" s="125">
        <v>37.910637647815619</v>
      </c>
      <c r="U182" s="125">
        <v>33.256557368041733</v>
      </c>
      <c r="V182" s="125">
        <v>108.49562099706363</v>
      </c>
      <c r="W182" s="125">
        <v>33.256557368041733</v>
      </c>
      <c r="X182" s="125">
        <v>105.79768999156725</v>
      </c>
      <c r="Y182" s="125">
        <v>102</v>
      </c>
      <c r="Z182" s="125">
        <v>111</v>
      </c>
      <c r="AA182" s="125">
        <v>61.464608783172061</v>
      </c>
      <c r="AB182" s="125">
        <v>115.43791711128547</v>
      </c>
      <c r="AC182" s="125">
        <v>33.256557368041733</v>
      </c>
      <c r="AD182" s="125">
        <v>121.4497954091301</v>
      </c>
      <c r="AE182" s="125">
        <v>139</v>
      </c>
      <c r="AF182" s="125">
        <v>126.78517687124253</v>
      </c>
      <c r="AG182" s="125">
        <v>28.602477088267854</v>
      </c>
      <c r="AH182" s="125">
        <v>135.92336229378031</v>
      </c>
      <c r="AI182" s="125">
        <v>72.591367151926477</v>
      </c>
      <c r="AJ182" s="125">
        <v>181.67299188924909</v>
      </c>
      <c r="AK182" s="125">
        <v>121.88133785804089</v>
      </c>
      <c r="AL182" s="125">
        <v>104</v>
      </c>
      <c r="AM182" s="125">
        <v>34.157820010860739</v>
      </c>
      <c r="AN182" s="125">
        <v>153.2356037065741</v>
      </c>
      <c r="AO182" s="125">
        <v>63.908350836085361</v>
      </c>
      <c r="AP182" s="125">
        <v>94.08729874196267</v>
      </c>
      <c r="AQ182" s="125">
        <v>158</v>
      </c>
      <c r="AR182" s="125">
        <v>119.57199781843985</v>
      </c>
      <c r="AS182" s="125">
        <v>113.1497012768375</v>
      </c>
      <c r="AT182" s="125">
        <v>117.80378155661143</v>
      </c>
      <c r="AU182" s="125">
        <v>108.49562099706363</v>
      </c>
      <c r="AV182" s="125">
        <v>37.910637647815612</v>
      </c>
      <c r="AW182" s="125">
        <v>108.49562099706367</v>
      </c>
      <c r="AX182" s="125">
        <v>113.24149268484953</v>
      </c>
      <c r="AY182" s="125">
        <v>108.49562099706367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0.99999999999926104</v>
      </c>
      <c r="AV186" s="106">
        <v>3.9999999999992326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31.999999999999972</v>
      </c>
      <c r="H187" s="106">
        <v>42.999999999999943</v>
      </c>
      <c r="I187" s="106">
        <v>93.999999999999915</v>
      </c>
      <c r="J187" s="106">
        <v>147.99999999999989</v>
      </c>
      <c r="K187" s="106">
        <v>128.99999999999986</v>
      </c>
      <c r="L187" s="106">
        <v>125.99999999999983</v>
      </c>
      <c r="M187" s="106">
        <v>130.9999999999998</v>
      </c>
      <c r="N187" s="106">
        <v>146.99999999999977</v>
      </c>
      <c r="O187" s="106">
        <v>129.99999999999974</v>
      </c>
      <c r="P187" s="106">
        <v>118.99999999999972</v>
      </c>
      <c r="Q187" s="106">
        <v>67.999999999999687</v>
      </c>
      <c r="R187" s="106">
        <v>54.999999999999659</v>
      </c>
      <c r="S187" s="106">
        <v>19.999999999999631</v>
      </c>
      <c r="T187" s="106">
        <v>0</v>
      </c>
      <c r="U187" s="106">
        <v>11.999999999999972</v>
      </c>
      <c r="V187" s="106">
        <v>0</v>
      </c>
      <c r="W187" s="106">
        <v>1.9999999999999716</v>
      </c>
      <c r="X187" s="106">
        <v>8.9999999999999432</v>
      </c>
      <c r="Y187" s="106">
        <v>21.999999999999915</v>
      </c>
      <c r="Z187" s="106">
        <v>14.999999999999886</v>
      </c>
      <c r="AA187" s="106">
        <v>40.999999999999858</v>
      </c>
      <c r="AB187" s="106">
        <v>48.999999999999829</v>
      </c>
      <c r="AC187" s="106">
        <v>53.999999999999801</v>
      </c>
      <c r="AD187" s="106">
        <v>42.999999999999773</v>
      </c>
      <c r="AE187" s="106">
        <v>68.999999999999744</v>
      </c>
      <c r="AF187" s="106">
        <v>65.999999999999716</v>
      </c>
      <c r="AG187" s="106">
        <v>98.999999999999687</v>
      </c>
      <c r="AH187" s="106">
        <v>44.999999999999659</v>
      </c>
      <c r="AI187" s="106">
        <v>77.999999999999631</v>
      </c>
      <c r="AJ187" s="106">
        <v>104.9999999999996</v>
      </c>
      <c r="AK187" s="106">
        <v>137.99999999999957</v>
      </c>
      <c r="AL187" s="106">
        <v>101.99999999999955</v>
      </c>
      <c r="AM187" s="106">
        <v>116.99999999999952</v>
      </c>
      <c r="AN187" s="106">
        <v>83.999999999999488</v>
      </c>
      <c r="AO187" s="106">
        <v>88.99999999999946</v>
      </c>
      <c r="AP187" s="106">
        <v>44.999999999999432</v>
      </c>
      <c r="AQ187" s="106">
        <v>65.999999999999403</v>
      </c>
      <c r="AR187" s="106">
        <v>104.99999999999937</v>
      </c>
      <c r="AS187" s="106">
        <v>125.99999999999935</v>
      </c>
      <c r="AT187" s="106">
        <v>131.99999999999932</v>
      </c>
      <c r="AU187" s="106">
        <v>160.00000000000003</v>
      </c>
      <c r="AV187" s="106">
        <v>159.00000000000077</v>
      </c>
      <c r="AW187" s="106">
        <v>118</v>
      </c>
      <c r="AX187" s="106">
        <v>80.999999999999204</v>
      </c>
      <c r="AY187" s="106">
        <v>103.99999999999918</v>
      </c>
    </row>
    <row r="188" spans="1:51">
      <c r="A188" s="128"/>
      <c r="B188" s="129">
        <v>4</v>
      </c>
      <c r="C188" s="106">
        <v>148</v>
      </c>
      <c r="D188" s="106">
        <v>98</v>
      </c>
      <c r="E188" s="106">
        <v>163</v>
      </c>
      <c r="F188" s="106">
        <v>151</v>
      </c>
      <c r="G188" s="106">
        <v>120.00000000000003</v>
      </c>
      <c r="H188" s="106">
        <v>88.000000000000057</v>
      </c>
      <c r="I188" s="106">
        <v>77.000000000000085</v>
      </c>
      <c r="J188" s="106">
        <v>26.000000000000114</v>
      </c>
      <c r="K188" s="106">
        <v>12.000000000000142</v>
      </c>
      <c r="L188" s="106">
        <v>31.000000000000171</v>
      </c>
      <c r="M188" s="106">
        <v>34.000000000000199</v>
      </c>
      <c r="N188" s="106">
        <v>29.000000000000227</v>
      </c>
      <c r="O188" s="106">
        <v>13.000000000000256</v>
      </c>
      <c r="P188" s="106">
        <v>30.000000000000284</v>
      </c>
      <c r="Q188" s="106">
        <v>41.000000000000313</v>
      </c>
      <c r="R188" s="106">
        <v>92.000000000000341</v>
      </c>
      <c r="S188" s="106">
        <v>105.00000000000037</v>
      </c>
      <c r="T188" s="106">
        <v>107</v>
      </c>
      <c r="U188" s="106">
        <v>160.00000000000003</v>
      </c>
      <c r="V188" s="106">
        <v>125</v>
      </c>
      <c r="W188" s="106">
        <v>160.00000000000003</v>
      </c>
      <c r="X188" s="106">
        <v>158.00000000000006</v>
      </c>
      <c r="Y188" s="106">
        <v>151.00000000000009</v>
      </c>
      <c r="Z188" s="106">
        <v>138.00000000000011</v>
      </c>
      <c r="AA188" s="106">
        <v>113.00000000000014</v>
      </c>
      <c r="AB188" s="106">
        <v>87.000000000000171</v>
      </c>
      <c r="AC188" s="106">
        <v>79.000000000000199</v>
      </c>
      <c r="AD188" s="106">
        <v>74.000000000000227</v>
      </c>
      <c r="AE188" s="106">
        <v>117.00000000000026</v>
      </c>
      <c r="AF188" s="106">
        <v>91.000000000000284</v>
      </c>
      <c r="AG188" s="106">
        <v>94.000000000000313</v>
      </c>
      <c r="AH188" s="106">
        <v>61.000000000000341</v>
      </c>
      <c r="AI188" s="106">
        <v>115.00000000000037</v>
      </c>
      <c r="AJ188" s="106">
        <v>82.000000000000398</v>
      </c>
      <c r="AK188" s="106">
        <v>55.000000000000426</v>
      </c>
      <c r="AL188" s="106">
        <v>22.000000000000455</v>
      </c>
      <c r="AM188" s="106">
        <v>58.000000000000483</v>
      </c>
      <c r="AN188" s="106">
        <v>43.000000000000512</v>
      </c>
      <c r="AO188" s="106">
        <v>76.00000000000054</v>
      </c>
      <c r="AP188" s="106">
        <v>71.000000000000568</v>
      </c>
      <c r="AQ188" s="106">
        <v>115.0000000000006</v>
      </c>
      <c r="AR188" s="106">
        <v>94.000000000000625</v>
      </c>
      <c r="AS188" s="106">
        <v>55.000000000000654</v>
      </c>
      <c r="AT188" s="106">
        <v>34.000000000000682</v>
      </c>
      <c r="AU188" s="106">
        <v>28.000000000000711</v>
      </c>
      <c r="AV188" s="106">
        <v>0</v>
      </c>
      <c r="AW188" s="106">
        <v>0</v>
      </c>
      <c r="AX188" s="106">
        <v>38.000000000000796</v>
      </c>
      <c r="AY188" s="106">
        <v>79.000000000000824</v>
      </c>
    </row>
    <row r="189" spans="1:51">
      <c r="A189" s="126" t="s">
        <v>133</v>
      </c>
      <c r="B189" s="123">
        <v>1</v>
      </c>
      <c r="C189" s="124">
        <v>22.333496926269333</v>
      </c>
      <c r="D189" s="124">
        <v>134.66650307373067</v>
      </c>
      <c r="E189" s="124">
        <v>159</v>
      </c>
      <c r="F189" s="124">
        <v>94.789309512827884</v>
      </c>
      <c r="G189" s="124">
        <v>63.192873008551921</v>
      </c>
      <c r="H189" s="124">
        <v>33.691073478240867</v>
      </c>
      <c r="I189" s="124">
        <v>1.7762861553264031</v>
      </c>
      <c r="J189" s="124">
        <v>8.8614988324119395</v>
      </c>
      <c r="K189" s="124">
        <v>26.946711509497447</v>
      </c>
      <c r="L189" s="124">
        <v>3.1924186582983793E-2</v>
      </c>
      <c r="M189" s="124">
        <v>52.655602466358545</v>
      </c>
      <c r="N189" s="124">
        <v>21.202349540754057</v>
      </c>
      <c r="O189" s="124">
        <v>32.287562217839593</v>
      </c>
      <c r="P189" s="124">
        <v>107.3727748949251</v>
      </c>
      <c r="Q189" s="124">
        <v>115.45798757201064</v>
      </c>
      <c r="R189" s="124">
        <v>0</v>
      </c>
      <c r="S189" s="124">
        <v>7.5855622266717367E-22</v>
      </c>
      <c r="T189" s="124">
        <v>45.07693120538007</v>
      </c>
      <c r="U189" s="124">
        <v>22.538465602690035</v>
      </c>
      <c r="V189" s="124">
        <v>146.37632172022444</v>
      </c>
      <c r="W189" s="124">
        <v>0</v>
      </c>
      <c r="X189" s="124">
        <v>0</v>
      </c>
      <c r="Y189" s="124">
        <v>15.708890956861097</v>
      </c>
      <c r="Z189" s="124">
        <v>0</v>
      </c>
      <c r="AA189" s="124">
        <v>18.533208159324744</v>
      </c>
      <c r="AB189" s="124">
        <v>168.91478732291446</v>
      </c>
      <c r="AC189" s="124">
        <v>22.538465602690035</v>
      </c>
      <c r="AD189" s="124">
        <v>88.623678279775561</v>
      </c>
      <c r="AE189" s="124">
        <v>111.24735655955112</v>
      </c>
      <c r="AF189" s="124">
        <v>130.79410363394661</v>
      </c>
      <c r="AG189" s="124">
        <v>0</v>
      </c>
      <c r="AH189" s="124">
        <v>52.623678279775561</v>
      </c>
      <c r="AI189" s="124">
        <v>22.538465602690025</v>
      </c>
      <c r="AJ189" s="124">
        <v>51.623678279775561</v>
      </c>
      <c r="AK189" s="124">
        <v>94.708890956861097</v>
      </c>
      <c r="AL189" s="124">
        <v>123.79410363394663</v>
      </c>
      <c r="AM189" s="124">
        <v>0</v>
      </c>
      <c r="AN189" s="124">
        <v>47.623678279775561</v>
      </c>
      <c r="AO189" s="124">
        <v>22.538465602690025</v>
      </c>
      <c r="AP189" s="124">
        <v>8.6236782797755609</v>
      </c>
      <c r="AQ189" s="124">
        <v>0</v>
      </c>
      <c r="AR189" s="124">
        <v>5.7941036339466336</v>
      </c>
      <c r="AS189" s="124">
        <v>1.4177819137221945</v>
      </c>
      <c r="AT189" s="124">
        <v>58.964528988117706</v>
      </c>
      <c r="AU189" s="124">
        <v>86.049741665203243</v>
      </c>
      <c r="AV189" s="124">
        <v>22.538465602690035</v>
      </c>
      <c r="AW189" s="124">
        <v>146.37632172022444</v>
      </c>
      <c r="AX189" s="124">
        <v>146.82084295057206</v>
      </c>
      <c r="AY189" s="124">
        <v>146.37632172022444</v>
      </c>
    </row>
    <row r="190" spans="1:51">
      <c r="A190" s="109"/>
      <c r="B190" s="119">
        <v>2</v>
      </c>
      <c r="C190" s="106">
        <v>134.66650307373067</v>
      </c>
      <c r="D190" s="106">
        <v>71.006191458153125</v>
      </c>
      <c r="E190" s="106">
        <v>0</v>
      </c>
      <c r="F190" s="106">
        <v>15.932885796039159</v>
      </c>
      <c r="G190" s="106">
        <v>22.538465602690039</v>
      </c>
      <c r="H190" s="106">
        <v>105.72191431436258</v>
      </c>
      <c r="I190" s="106">
        <v>135.2237138446736</v>
      </c>
      <c r="J190" s="106">
        <v>167.13850116758806</v>
      </c>
      <c r="K190" s="106">
        <v>160.05328849050255</v>
      </c>
      <c r="L190" s="106">
        <v>141.96807581341702</v>
      </c>
      <c r="M190" s="106">
        <v>146.34439753364146</v>
      </c>
      <c r="N190" s="106">
        <v>116.25918485655592</v>
      </c>
      <c r="O190" s="106">
        <v>147.71243778216041</v>
      </c>
      <c r="P190" s="106">
        <v>136.6272251050749</v>
      </c>
      <c r="Q190" s="106">
        <v>61.542012427989363</v>
      </c>
      <c r="R190" s="106">
        <v>30.918334148213802</v>
      </c>
      <c r="S190" s="106">
        <v>22.538465602690035</v>
      </c>
      <c r="T190" s="106">
        <v>0</v>
      </c>
      <c r="U190" s="106">
        <v>0</v>
      </c>
      <c r="V190" s="106">
        <v>0</v>
      </c>
      <c r="W190" s="106">
        <v>22.538465602690025</v>
      </c>
      <c r="X190" s="106">
        <v>158</v>
      </c>
      <c r="Y190" s="106">
        <v>146.37632172022444</v>
      </c>
      <c r="Z190" s="106">
        <v>116.46153439730998</v>
      </c>
      <c r="AA190" s="106">
        <v>164.72242987193187</v>
      </c>
      <c r="AB190" s="106">
        <v>4.0052574433652914</v>
      </c>
      <c r="AC190" s="106">
        <v>0</v>
      </c>
      <c r="AD190" s="106">
        <v>146.37632172022444</v>
      </c>
      <c r="AE190" s="106">
        <v>57.752643440448878</v>
      </c>
      <c r="AF190" s="106">
        <v>57.667430763363342</v>
      </c>
      <c r="AG190" s="106">
        <v>38.120683688967858</v>
      </c>
      <c r="AH190" s="106">
        <v>146.37632172022444</v>
      </c>
      <c r="AI190" s="106">
        <v>116.2911090431389</v>
      </c>
      <c r="AJ190" s="106">
        <v>146.37632172022444</v>
      </c>
      <c r="AK190" s="106">
        <v>117.2911090431389</v>
      </c>
      <c r="AL190" s="106">
        <v>74.205896366053366</v>
      </c>
      <c r="AM190" s="106">
        <v>45.12068368896783</v>
      </c>
      <c r="AN190" s="106">
        <v>146.37632172022444</v>
      </c>
      <c r="AO190" s="106">
        <v>143.82957464582896</v>
      </c>
      <c r="AP190" s="106">
        <v>146.37632172022444</v>
      </c>
      <c r="AQ190" s="106">
        <v>146</v>
      </c>
      <c r="AR190" s="106">
        <v>168.91478732291446</v>
      </c>
      <c r="AS190" s="106">
        <v>140.58221808627781</v>
      </c>
      <c r="AT190" s="106">
        <v>167.49700540919227</v>
      </c>
      <c r="AU190" s="106">
        <v>109.95025833479676</v>
      </c>
      <c r="AV190" s="106">
        <v>82.865045657711221</v>
      </c>
      <c r="AW190" s="106">
        <v>0</v>
      </c>
      <c r="AX190" s="106">
        <v>22.538465602690025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38.995185723166827</v>
      </c>
      <c r="G191" s="106">
        <v>0</v>
      </c>
      <c r="H191" s="106">
        <v>51.587012207396555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22.538465602690025</v>
      </c>
      <c r="O191" s="106">
        <v>0</v>
      </c>
      <c r="P191" s="106">
        <v>0</v>
      </c>
      <c r="Q191" s="106">
        <v>0</v>
      </c>
      <c r="R191" s="106">
        <v>0</v>
      </c>
      <c r="S191" s="106">
        <v>22.538465602690039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10.914787322914464</v>
      </c>
      <c r="Z191" s="106">
        <v>22.538465602690025</v>
      </c>
      <c r="AA191" s="106">
        <v>36.744361968743391</v>
      </c>
      <c r="AB191" s="106">
        <v>4.1923574509825983</v>
      </c>
      <c r="AC191" s="106">
        <v>0</v>
      </c>
      <c r="AD191" s="106">
        <v>0</v>
      </c>
      <c r="AE191" s="106">
        <v>0</v>
      </c>
      <c r="AF191" s="106">
        <v>22.538465602690039</v>
      </c>
      <c r="AG191" s="106">
        <v>0</v>
      </c>
      <c r="AH191" s="106">
        <v>0</v>
      </c>
      <c r="AI191" s="106">
        <v>22.538465602690025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14.291109043138903</v>
      </c>
      <c r="AS191" s="106">
        <v>0</v>
      </c>
      <c r="AT191" s="106">
        <v>22.538465602690025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33.864805544165513</v>
      </c>
      <c r="D197" s="106">
        <v>94.98585084668305</v>
      </c>
      <c r="E197" s="106">
        <v>68.773827718479993</v>
      </c>
      <c r="F197" s="106">
        <v>74.012948397804109</v>
      </c>
      <c r="G197" s="106">
        <v>63.697423416993885</v>
      </c>
      <c r="H197" s="106">
        <v>43.833348664692174</v>
      </c>
      <c r="I197" s="106">
        <v>94</v>
      </c>
      <c r="J197" s="106">
        <v>72.198005279824955</v>
      </c>
      <c r="K197" s="106">
        <v>54.820643464722977</v>
      </c>
      <c r="L197" s="106">
        <v>48.978176713447638</v>
      </c>
      <c r="M197" s="106">
        <v>15.869361498545672</v>
      </c>
      <c r="N197" s="106">
        <v>63.877988910206746</v>
      </c>
      <c r="O197" s="106">
        <v>51.462783921762785</v>
      </c>
      <c r="P197" s="106">
        <v>42.904635837711858</v>
      </c>
      <c r="Q197" s="106">
        <v>62.418314756265431</v>
      </c>
      <c r="R197" s="106">
        <v>47.129274248581851</v>
      </c>
      <c r="S197" s="106">
        <v>26.999882932257876</v>
      </c>
      <c r="T197" s="106">
        <v>24.528533889419883</v>
      </c>
      <c r="U197" s="106">
        <v>24.528533889419887</v>
      </c>
      <c r="V197" s="106">
        <v>21.517300817398684</v>
      </c>
      <c r="W197" s="106">
        <v>70.197672252380855</v>
      </c>
      <c r="X197" s="106">
        <v>21.517300817398684</v>
      </c>
      <c r="Y197" s="106">
        <v>85</v>
      </c>
      <c r="Z197" s="106">
        <v>50.099490168594585</v>
      </c>
      <c r="AA197" s="106">
        <v>6.6172962469989898</v>
      </c>
      <c r="AB197" s="106">
        <v>4.3558228001193982</v>
      </c>
      <c r="AC197" s="106">
        <v>59.490603433536201</v>
      </c>
      <c r="AD197" s="106">
        <v>21.517300817398684</v>
      </c>
      <c r="AE197" s="106">
        <v>90</v>
      </c>
      <c r="AF197" s="106">
        <v>79.110723240615769</v>
      </c>
      <c r="AG197" s="106">
        <v>60.468286985386428</v>
      </c>
      <c r="AH197" s="106">
        <v>18.506067745377486</v>
      </c>
      <c r="AI197" s="106">
        <v>100.80468002359675</v>
      </c>
      <c r="AJ197" s="106">
        <v>46.967287277162029</v>
      </c>
      <c r="AK197" s="106">
        <v>72</v>
      </c>
      <c r="AL197" s="106">
        <v>30.110723240615769</v>
      </c>
      <c r="AM197" s="106">
        <v>31.667116648180837</v>
      </c>
      <c r="AN197" s="106">
        <v>22.100426099622151</v>
      </c>
      <c r="AO197" s="106">
        <v>74.323897269759982</v>
      </c>
      <c r="AP197" s="106">
        <v>41.349295252230561</v>
      </c>
      <c r="AQ197" s="106">
        <v>60</v>
      </c>
      <c r="AR197" s="106">
        <v>9.0994901685945706</v>
      </c>
      <c r="AS197" s="106">
        <v>0</v>
      </c>
      <c r="AT197" s="106">
        <v>4.664041692679703</v>
      </c>
      <c r="AU197" s="106">
        <v>4.4551363682776497</v>
      </c>
      <c r="AV197" s="106">
        <v>28.979649647445953</v>
      </c>
      <c r="AW197" s="106">
        <v>24.528533889419883</v>
      </c>
      <c r="AX197" s="106">
        <v>70.197672252380869</v>
      </c>
      <c r="AY197" s="106">
        <v>73.268295216049268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26.801994720175045</v>
      </c>
      <c r="K198" s="106">
        <v>29.179356535277023</v>
      </c>
      <c r="L198" s="106">
        <v>27.021823286552362</v>
      </c>
      <c r="M198" s="106">
        <v>45.130638501454328</v>
      </c>
      <c r="N198" s="106">
        <v>39.122011089793254</v>
      </c>
      <c r="O198" s="106">
        <v>24.537216078237215</v>
      </c>
      <c r="P198" s="106">
        <v>46.095364162288142</v>
      </c>
      <c r="Q198" s="106">
        <v>11.581685243734569</v>
      </c>
      <c r="R198" s="106">
        <v>43.177380299867693</v>
      </c>
      <c r="S198" s="106">
        <v>45.148239429180748</v>
      </c>
      <c r="T198" s="106">
        <v>3.5527136788005009E-15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39.900509831405415</v>
      </c>
      <c r="AA198" s="106">
        <v>57.38270375300101</v>
      </c>
      <c r="AB198" s="106">
        <v>90.300556799999043</v>
      </c>
      <c r="AC198" s="106">
        <v>35.412348696854615</v>
      </c>
      <c r="AD198" s="106">
        <v>15.198798741458866</v>
      </c>
      <c r="AE198" s="106">
        <v>0</v>
      </c>
      <c r="AF198" s="106">
        <v>31.889276759384231</v>
      </c>
      <c r="AG198" s="106">
        <v>20.394411540389754</v>
      </c>
      <c r="AH198" s="106">
        <v>21.5628974133691</v>
      </c>
      <c r="AI198" s="106">
        <v>0</v>
      </c>
      <c r="AJ198" s="106">
        <v>24.095829807808684</v>
      </c>
      <c r="AK198" s="106">
        <v>0</v>
      </c>
      <c r="AL198" s="106">
        <v>49.889276759384231</v>
      </c>
      <c r="AM198" s="106">
        <v>48.747631870988315</v>
      </c>
      <c r="AN198" s="106">
        <v>41.541788676221231</v>
      </c>
      <c r="AO198" s="106">
        <v>0</v>
      </c>
      <c r="AP198" s="106">
        <v>47.565379489624249</v>
      </c>
      <c r="AQ198" s="106">
        <v>0</v>
      </c>
      <c r="AR198" s="106">
        <v>64.900509831405429</v>
      </c>
      <c r="AS198" s="106">
        <v>95</v>
      </c>
      <c r="AT198" s="106">
        <v>77.364190704511543</v>
      </c>
      <c r="AU198" s="106">
        <v>68.54486363172235</v>
      </c>
      <c r="AV198" s="106">
        <v>71.765002028145616</v>
      </c>
      <c r="AW198" s="106">
        <v>41.218022604934902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4.9717676028087538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71.207693980192104</v>
      </c>
      <c r="D209" s="124">
        <v>105.66752399438298</v>
      </c>
      <c r="E209" s="124">
        <v>114.39240847435694</v>
      </c>
      <c r="F209" s="124">
        <v>80.339095804499749</v>
      </c>
      <c r="G209" s="124">
        <v>63.093556232422443</v>
      </c>
      <c r="H209" s="124">
        <v>36.790761069800986</v>
      </c>
      <c r="I209" s="124">
        <v>47.809516283663406</v>
      </c>
      <c r="J209" s="124">
        <v>70.499676097741116</v>
      </c>
      <c r="K209" s="124">
        <v>108.49562099706363</v>
      </c>
      <c r="L209" s="124">
        <v>80.339095804499749</v>
      </c>
      <c r="M209" s="124">
        <v>61.84347480743611</v>
      </c>
      <c r="N209" s="124">
        <v>78.366469866431203</v>
      </c>
      <c r="O209" s="124">
        <v>63.093556232422443</v>
      </c>
      <c r="P209" s="124">
        <v>56.943854955584932</v>
      </c>
      <c r="Q209" s="124">
        <v>86.873995104129179</v>
      </c>
      <c r="R209" s="124">
        <v>28.602477088267854</v>
      </c>
      <c r="S209" s="124">
        <v>28.602477088267854</v>
      </c>
      <c r="T209" s="124">
        <v>37.910637647815619</v>
      </c>
      <c r="U209" s="124">
        <v>33.256557368041733</v>
      </c>
      <c r="V209" s="124">
        <v>108.49562099706363</v>
      </c>
      <c r="W209" s="124">
        <v>28.602477088267854</v>
      </c>
      <c r="X209" s="124">
        <v>21.250465802997596</v>
      </c>
      <c r="Y209" s="124">
        <v>49.028133403127526</v>
      </c>
      <c r="Z209" s="124">
        <v>67.413796419705122</v>
      </c>
      <c r="AA209" s="124">
        <v>33.256557368041733</v>
      </c>
      <c r="AB209" s="124">
        <v>113.14970127683755</v>
      </c>
      <c r="AC209" s="124">
        <v>33.256557368041733</v>
      </c>
      <c r="AD209" s="124">
        <v>41.556651500334326</v>
      </c>
      <c r="AE209" s="124">
        <v>98.357259959874142</v>
      </c>
      <c r="AF209" s="124">
        <v>113.14970127683755</v>
      </c>
      <c r="AG209" s="124">
        <v>28.602477088267854</v>
      </c>
      <c r="AH209" s="124">
        <v>56.030218384984536</v>
      </c>
      <c r="AI209" s="124">
        <v>33.256557368041733</v>
      </c>
      <c r="AJ209" s="124">
        <v>101.77984798045331</v>
      </c>
      <c r="AK209" s="124">
        <v>113.1497012768375</v>
      </c>
      <c r="AL209" s="124">
        <v>104</v>
      </c>
      <c r="AM209" s="124">
        <v>28.602477088267854</v>
      </c>
      <c r="AN209" s="124">
        <v>73.342459797778318</v>
      </c>
      <c r="AO209" s="124">
        <v>33.256557368041733</v>
      </c>
      <c r="AP209" s="124">
        <v>14.194154833166891</v>
      </c>
      <c r="AQ209" s="124">
        <v>97.918039075351828</v>
      </c>
      <c r="AR209" s="124">
        <v>108.49562099706367</v>
      </c>
      <c r="AS209" s="124">
        <v>113.1497012768375</v>
      </c>
      <c r="AT209" s="124">
        <v>113.14970127683755</v>
      </c>
      <c r="AU209" s="124">
        <v>108.49562099706363</v>
      </c>
      <c r="AV209" s="124">
        <v>33.256557368041733</v>
      </c>
      <c r="AW209" s="124">
        <v>108.49562099706367</v>
      </c>
      <c r="AX209" s="124">
        <v>108.58741240507565</v>
      </c>
      <c r="AY209" s="124">
        <v>108.49562099706367</v>
      </c>
    </row>
    <row r="210" spans="1:51">
      <c r="A210" s="109"/>
      <c r="B210" s="119">
        <v>2</v>
      </c>
      <c r="C210" s="106">
        <v>77.703713219355805</v>
      </c>
      <c r="D210" s="110">
        <v>0.62744145453876499</v>
      </c>
      <c r="E210" s="110">
        <v>8.628278539097798E-15</v>
      </c>
      <c r="F210" s="110">
        <v>0</v>
      </c>
      <c r="G210" s="110">
        <v>4.6540802797738783</v>
      </c>
      <c r="H210" s="110">
        <v>50.056145044415068</v>
      </c>
      <c r="I210" s="110">
        <v>48.190483716336594</v>
      </c>
      <c r="J210" s="110">
        <v>41.500323902258891</v>
      </c>
      <c r="K210" s="110">
        <v>36.956414952638397</v>
      </c>
      <c r="L210" s="110">
        <v>4.6540802797738783</v>
      </c>
      <c r="M210" s="110">
        <v>28.156525192563887</v>
      </c>
      <c r="N210" s="110">
        <v>32.979449853794911</v>
      </c>
      <c r="O210" s="110">
        <v>21.11902592163085</v>
      </c>
      <c r="P210" s="110">
        <v>50.056145044415068</v>
      </c>
      <c r="Q210" s="110">
        <v>34.126004895870821</v>
      </c>
      <c r="R210" s="110">
        <v>13.127810706054051</v>
      </c>
      <c r="S210" s="110">
        <v>4.6540802797738783</v>
      </c>
      <c r="T210" s="110">
        <v>0</v>
      </c>
      <c r="U210" s="110">
        <v>0</v>
      </c>
      <c r="V210" s="110">
        <v>0</v>
      </c>
      <c r="W210" s="110">
        <v>4.6540802797738783</v>
      </c>
      <c r="X210" s="110">
        <v>84.547224188569658</v>
      </c>
      <c r="Y210" s="110">
        <v>52.971866596872474</v>
      </c>
      <c r="Z210" s="110">
        <v>38.932123300520999</v>
      </c>
      <c r="AA210" s="110">
        <v>28.208051415130324</v>
      </c>
      <c r="AB210" s="110">
        <v>0</v>
      </c>
      <c r="AC210" s="110">
        <v>0</v>
      </c>
      <c r="AD210" s="110">
        <v>79.893143908795778</v>
      </c>
      <c r="AE210" s="110">
        <v>40.642740040125865</v>
      </c>
      <c r="AF210" s="110">
        <v>8.981395314631099</v>
      </c>
      <c r="AG210" s="110">
        <v>0</v>
      </c>
      <c r="AH210" s="110">
        <v>79.893143908795778</v>
      </c>
      <c r="AI210" s="110">
        <v>34.680729504110865</v>
      </c>
      <c r="AJ210" s="110">
        <v>79.893143908795778</v>
      </c>
      <c r="AK210" s="110">
        <v>8.7316365812033894</v>
      </c>
      <c r="AL210" s="110">
        <v>0</v>
      </c>
      <c r="AM210" s="110">
        <v>5.5553429225928816</v>
      </c>
      <c r="AN210" s="110">
        <v>79.893143908795778</v>
      </c>
      <c r="AO210" s="110">
        <v>30.651793468043628</v>
      </c>
      <c r="AP210" s="110">
        <v>79.893143908795778</v>
      </c>
      <c r="AQ210" s="110">
        <v>60.081960924648165</v>
      </c>
      <c r="AR210" s="110">
        <v>11.07637682137619</v>
      </c>
      <c r="AS210" s="110">
        <v>0</v>
      </c>
      <c r="AT210" s="110">
        <v>0</v>
      </c>
      <c r="AU210" s="110">
        <v>0</v>
      </c>
      <c r="AV210" s="110">
        <v>4.6540802797738783</v>
      </c>
      <c r="AW210" s="110">
        <v>0</v>
      </c>
      <c r="AX210" s="110">
        <v>4.6540802797738783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18.109916645557131</v>
      </c>
      <c r="G211" s="110">
        <v>0</v>
      </c>
      <c r="H211" s="110">
        <v>28.156525192563887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4.6540802797738801</v>
      </c>
      <c r="O211" s="110">
        <v>0</v>
      </c>
      <c r="P211" s="110">
        <v>0</v>
      </c>
      <c r="Q211" s="110">
        <v>0</v>
      </c>
      <c r="R211" s="110">
        <v>0</v>
      </c>
      <c r="S211" s="110">
        <v>4.6540802797738792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4.6540802797738783</v>
      </c>
      <c r="AA211" s="110">
        <v>0</v>
      </c>
      <c r="AB211" s="110">
        <v>2.2882158344479295</v>
      </c>
      <c r="AC211" s="110">
        <v>0</v>
      </c>
      <c r="AD211" s="110">
        <v>0</v>
      </c>
      <c r="AE211" s="110">
        <v>0</v>
      </c>
      <c r="AF211" s="110">
        <v>4.6540802797738783</v>
      </c>
      <c r="AG211" s="110">
        <v>0</v>
      </c>
      <c r="AH211" s="110">
        <v>0</v>
      </c>
      <c r="AI211" s="110">
        <v>4.6540802797738783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4.6540802797738801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44702.988017011994</v>
      </c>
      <c r="E259" s="124">
        <f t="shared" ref="E259:AX259" si="5">F$14*$B$259</f>
        <v>48108.416458572668</v>
      </c>
      <c r="F259" s="124">
        <f t="shared" si="5"/>
        <v>41403.325221046027</v>
      </c>
      <c r="G259" s="124">
        <f t="shared" si="5"/>
        <v>28491.676632049912</v>
      </c>
      <c r="H259" s="124">
        <f t="shared" si="5"/>
        <v>78521.296568113787</v>
      </c>
      <c r="I259" s="124">
        <f t="shared" si="5"/>
        <v>65895.285179816288</v>
      </c>
      <c r="J259" s="124">
        <f t="shared" si="5"/>
        <v>53197.603388328971</v>
      </c>
      <c r="K259" s="124">
        <f t="shared" si="5"/>
        <v>61170.729889686278</v>
      </c>
      <c r="L259" s="124">
        <f t="shared" si="5"/>
        <v>35744.392182420299</v>
      </c>
      <c r="M259" s="124">
        <f t="shared" si="5"/>
        <v>57469.883242488577</v>
      </c>
      <c r="N259" s="124">
        <f t="shared" si="5"/>
        <v>63412.796254633104</v>
      </c>
      <c r="O259" s="124">
        <f t="shared" si="5"/>
        <v>35416.108702940175</v>
      </c>
      <c r="P259" s="124">
        <f t="shared" si="5"/>
        <v>68637.201786486534</v>
      </c>
      <c r="Q259" s="124">
        <f t="shared" si="5"/>
        <v>59980.383890545687</v>
      </c>
      <c r="R259" s="124">
        <f t="shared" si="5"/>
        <v>17549.923905967622</v>
      </c>
      <c r="S259" s="124">
        <f t="shared" si="5"/>
        <v>15943.547028122925</v>
      </c>
      <c r="T259" s="124">
        <f t="shared" si="5"/>
        <v>15943.547028122926</v>
      </c>
      <c r="U259" s="124">
        <f t="shared" si="5"/>
        <v>13986.245531309145</v>
      </c>
      <c r="V259" s="124">
        <f t="shared" si="5"/>
        <v>45628.486964047559</v>
      </c>
      <c r="W259" s="124">
        <f t="shared" si="5"/>
        <v>13986.245531309145</v>
      </c>
      <c r="X259" s="124">
        <f t="shared" si="5"/>
        <v>81185.331390413514</v>
      </c>
      <c r="Y259" s="124">
        <f t="shared" si="5"/>
        <v>69863.426049037138</v>
      </c>
      <c r="Z259" s="124">
        <f t="shared" si="5"/>
        <v>62996.604480548718</v>
      </c>
      <c r="AA259" s="124">
        <f t="shared" si="5"/>
        <v>25849.311473033107</v>
      </c>
      <c r="AB259" s="124">
        <f t="shared" si="5"/>
        <v>48548.111413746796</v>
      </c>
      <c r="AC259" s="124">
        <f t="shared" si="5"/>
        <v>13986.245531309145</v>
      </c>
      <c r="AD259" s="124">
        <f t="shared" si="5"/>
        <v>79228.029893599756</v>
      </c>
      <c r="AE259" s="124">
        <f t="shared" si="5"/>
        <v>64678.337607653593</v>
      </c>
      <c r="AF259" s="124">
        <f t="shared" si="5"/>
        <v>53320.269859191096</v>
      </c>
      <c r="AG259" s="124">
        <f t="shared" si="5"/>
        <v>12028.944034495365</v>
      </c>
      <c r="AH259" s="124">
        <f t="shared" si="5"/>
        <v>81185.331390413528</v>
      </c>
      <c r="AI259" s="124">
        <f t="shared" si="5"/>
        <v>30528.73673015532</v>
      </c>
      <c r="AJ259" s="124">
        <f t="shared" si="5"/>
        <v>79228.029893599756</v>
      </c>
      <c r="AK259" s="124">
        <f t="shared" si="5"/>
        <v>51257.930822542658</v>
      </c>
      <c r="AL259" s="124">
        <f t="shared" si="5"/>
        <v>47585.788460861346</v>
      </c>
      <c r="AM259" s="124">
        <f t="shared" si="5"/>
        <v>14365.276964754397</v>
      </c>
      <c r="AN259" s="124">
        <f t="shared" si="5"/>
        <v>79228.029893599756</v>
      </c>
      <c r="AO259" s="124">
        <f t="shared" si="5"/>
        <v>26877.041913949866</v>
      </c>
      <c r="AP259" s="124">
        <f t="shared" si="5"/>
        <v>81185.331390413528</v>
      </c>
      <c r="AQ259" s="124">
        <f t="shared" si="5"/>
        <v>70896.317551412154</v>
      </c>
      <c r="AR259" s="124">
        <f t="shared" si="5"/>
        <v>50286.723957932503</v>
      </c>
      <c r="AS259" s="124">
        <f t="shared" si="5"/>
        <v>47585.788460861331</v>
      </c>
      <c r="AT259" s="124">
        <f t="shared" si="5"/>
        <v>49543.089957675125</v>
      </c>
      <c r="AU259" s="124">
        <f t="shared" si="5"/>
        <v>45628.486964047559</v>
      </c>
      <c r="AV259" s="124">
        <f t="shared" si="5"/>
        <v>15943.547028122925</v>
      </c>
      <c r="AW259" s="124">
        <f t="shared" si="5"/>
        <v>45628.486964047566</v>
      </c>
      <c r="AX259" s="124">
        <f t="shared" si="5"/>
        <v>47624.391890432024</v>
      </c>
      <c r="AY259" s="124">
        <f>AZ$14*$B$259</f>
        <v>45628.486964047566</v>
      </c>
      <c r="AZ259" s="139">
        <f>SUM($D259:$AY259)</f>
        <v>2287081.5123349167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37055.7043635726</v>
      </c>
      <c r="E260" s="125">
        <f t="shared" ref="E260:AY260" si="6">(E$175-E$176+E$177-E$178+E$179-E$180+E$181-E$182)*$B$260</f>
        <v>29399.776056810751</v>
      </c>
      <c r="F260" s="125">
        <f t="shared" si="6"/>
        <v>24451.901454524203</v>
      </c>
      <c r="G260" s="125">
        <f t="shared" si="6"/>
        <v>19680.000000000007</v>
      </c>
      <c r="H260" s="125">
        <f t="shared" si="6"/>
        <v>32483.406490154786</v>
      </c>
      <c r="I260" s="125">
        <f t="shared" si="6"/>
        <v>34685.288099908408</v>
      </c>
      <c r="J260" s="125">
        <f t="shared" si="6"/>
        <v>29048.347968294947</v>
      </c>
      <c r="K260" s="125">
        <f t="shared" si="6"/>
        <v>29847.086009836778</v>
      </c>
      <c r="L260" s="125">
        <f t="shared" si="6"/>
        <v>29633.281429661969</v>
      </c>
      <c r="M260" s="125">
        <f t="shared" si="6"/>
        <v>31709.69259199722</v>
      </c>
      <c r="N260" s="125">
        <f t="shared" si="6"/>
        <v>32401.973116248257</v>
      </c>
      <c r="O260" s="125">
        <f t="shared" si="6"/>
        <v>25620.040497180045</v>
      </c>
      <c r="P260" s="125">
        <f t="shared" si="6"/>
        <v>29419.772639578609</v>
      </c>
      <c r="Q260" s="125">
        <f t="shared" si="6"/>
        <v>30463.04042046098</v>
      </c>
      <c r="R260" s="125">
        <f t="shared" si="6"/>
        <v>28208.894365750868</v>
      </c>
      <c r="S260" s="125">
        <f t="shared" si="6"/>
        <v>27600.000000000029</v>
      </c>
      <c r="T260" s="125">
        <f t="shared" si="6"/>
        <v>30780.000000000029</v>
      </c>
      <c r="U260" s="125">
        <f t="shared" si="6"/>
        <v>28080.000000000007</v>
      </c>
      <c r="V260" s="125">
        <f t="shared" si="6"/>
        <v>30180.000000000022</v>
      </c>
      <c r="W260" s="125">
        <f t="shared" si="6"/>
        <v>28680.000000000004</v>
      </c>
      <c r="X260" s="125">
        <f t="shared" si="6"/>
        <v>41012.175854232308</v>
      </c>
      <c r="Y260" s="125">
        <f t="shared" si="6"/>
        <v>39073.678444270139</v>
      </c>
      <c r="Z260" s="125">
        <f t="shared" si="6"/>
        <v>38646.278324033825</v>
      </c>
      <c r="AA260" s="125">
        <f t="shared" si="6"/>
        <v>26238.348854601874</v>
      </c>
      <c r="AB260" s="125">
        <f t="shared" si="6"/>
        <v>24144.740921811292</v>
      </c>
      <c r="AC260" s="125">
        <f t="shared" si="6"/>
        <v>24551.927924487551</v>
      </c>
      <c r="AD260" s="125">
        <f t="shared" si="6"/>
        <v>33701.496776230721</v>
      </c>
      <c r="AE260" s="125">
        <f t="shared" si="6"/>
        <v>30920.948930382674</v>
      </c>
      <c r="AF260" s="125">
        <f t="shared" si="6"/>
        <v>28350.90571376148</v>
      </c>
      <c r="AG260" s="125">
        <f t="shared" si="6"/>
        <v>24153.773844802174</v>
      </c>
      <c r="AH260" s="125">
        <f t="shared" si="6"/>
        <v>36504.635516099537</v>
      </c>
      <c r="AI260" s="125">
        <f t="shared" si="6"/>
        <v>25565.749788468547</v>
      </c>
      <c r="AJ260" s="125">
        <f t="shared" si="6"/>
        <v>28588.104987423576</v>
      </c>
      <c r="AK260" s="125">
        <f t="shared" si="6"/>
        <v>27965.710387526287</v>
      </c>
      <c r="AL260" s="125">
        <f t="shared" si="6"/>
        <v>28861.081010207654</v>
      </c>
      <c r="AM260" s="125">
        <f t="shared" si="6"/>
        <v>24272.50732057331</v>
      </c>
      <c r="AN260" s="125">
        <f t="shared" si="6"/>
        <v>31794.348278384088</v>
      </c>
      <c r="AO260" s="125">
        <f t="shared" si="6"/>
        <v>26313.922769377499</v>
      </c>
      <c r="AP260" s="125">
        <f t="shared" si="6"/>
        <v>41654.799329208618</v>
      </c>
      <c r="AQ260" s="125">
        <f t="shared" si="6"/>
        <v>39008.73135098887</v>
      </c>
      <c r="AR260" s="125">
        <f t="shared" si="6"/>
        <v>36933.239141345242</v>
      </c>
      <c r="AS260" s="125">
        <f t="shared" si="6"/>
        <v>36229.977822990804</v>
      </c>
      <c r="AT260" s="125">
        <f t="shared" si="6"/>
        <v>31589.707317991197</v>
      </c>
      <c r="AU260" s="125">
        <f t="shared" si="6"/>
        <v>27065.494924990056</v>
      </c>
      <c r="AV260" s="125">
        <f t="shared" si="6"/>
        <v>21433.081356296141</v>
      </c>
      <c r="AW260" s="125">
        <f t="shared" si="6"/>
        <v>21480.000000000055</v>
      </c>
      <c r="AX260" s="125">
        <f t="shared" si="6"/>
        <v>23940.000000000055</v>
      </c>
      <c r="AY260" s="125">
        <f t="shared" si="6"/>
        <v>22560.000000000055</v>
      </c>
      <c r="AZ260" s="141">
        <f>SUM($D260:$AY260)</f>
        <v>1431983.572394466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215.15335703879308</v>
      </c>
      <c r="E9" s="117">
        <v>215.15335703879308</v>
      </c>
      <c r="F9" s="117">
        <v>215.15335703879308</v>
      </c>
      <c r="G9" s="117">
        <v>215.15335703879308</v>
      </c>
      <c r="H9" s="117">
        <v>215.15335703879308</v>
      </c>
      <c r="I9" s="117">
        <v>215.15335703879308</v>
      </c>
      <c r="J9" s="117">
        <v>215.15335703879308</v>
      </c>
      <c r="K9" s="117">
        <v>215.15335703879308</v>
      </c>
      <c r="L9" s="117">
        <v>215.15335703879308</v>
      </c>
      <c r="M9" s="117">
        <v>215.15335703879308</v>
      </c>
      <c r="N9" s="117">
        <v>215.15335703879308</v>
      </c>
      <c r="O9" s="117">
        <v>215.15335703879308</v>
      </c>
      <c r="P9" s="117">
        <v>5.1761278176858977E-22</v>
      </c>
      <c r="Q9" s="117">
        <v>5.1761278176858977E-22</v>
      </c>
      <c r="R9" s="117">
        <v>5.1761278176858977E-22</v>
      </c>
      <c r="S9" s="117">
        <v>5.1761278176858977E-22</v>
      </c>
      <c r="T9" s="117">
        <v>215.15335703879308</v>
      </c>
      <c r="U9" s="117">
        <v>215.15335703879308</v>
      </c>
      <c r="V9" s="117">
        <v>215.15335703879308</v>
      </c>
      <c r="W9" s="117">
        <v>215.15335703879308</v>
      </c>
      <c r="X9" s="117">
        <v>215.15335703879308</v>
      </c>
      <c r="Y9" s="117">
        <v>215.15335703879308</v>
      </c>
      <c r="Z9" s="117">
        <v>215.15335703879308</v>
      </c>
      <c r="AA9" s="117">
        <v>215.15335703879308</v>
      </c>
      <c r="AB9" s="117">
        <v>215.15335703879308</v>
      </c>
      <c r="AC9" s="117">
        <v>215.15335703879308</v>
      </c>
      <c r="AD9" s="117">
        <v>215.15335703879308</v>
      </c>
      <c r="AE9" s="117">
        <v>215.15335703879308</v>
      </c>
      <c r="AF9" s="117">
        <v>215.15335703879308</v>
      </c>
      <c r="AG9" s="117">
        <v>215.15335703879308</v>
      </c>
      <c r="AH9" s="117">
        <v>215.15335703879308</v>
      </c>
      <c r="AI9" s="117">
        <v>215.15335703879308</v>
      </c>
      <c r="AJ9" s="117">
        <v>215.15335703879308</v>
      </c>
      <c r="AK9" s="117">
        <v>215.15335703879308</v>
      </c>
      <c r="AL9" s="117">
        <v>215.15335703879308</v>
      </c>
      <c r="AM9" s="117">
        <v>215.15335703879308</v>
      </c>
      <c r="AN9" s="117">
        <v>215.15335703879308</v>
      </c>
      <c r="AO9" s="117">
        <v>215.15335703879308</v>
      </c>
      <c r="AP9" s="117">
        <v>215.15335703879308</v>
      </c>
      <c r="AQ9" s="117">
        <v>215.15335703879308</v>
      </c>
      <c r="AR9" s="117">
        <v>215.15335703879308</v>
      </c>
      <c r="AS9" s="117">
        <v>215.15335703879308</v>
      </c>
      <c r="AT9" s="117">
        <v>215.15335703879308</v>
      </c>
      <c r="AU9" s="117">
        <v>86.50318976185342</v>
      </c>
      <c r="AV9" s="117">
        <v>215.15335703879308</v>
      </c>
      <c r="AW9" s="117">
        <v>215.15335703879308</v>
      </c>
      <c r="AX9" s="117">
        <v>215.15335703879308</v>
      </c>
      <c r="AY9" s="117">
        <v>215.15335703879308</v>
      </c>
    </row>
    <row r="10" spans="1:53">
      <c r="A10" s="118" t="s">
        <v>133</v>
      </c>
      <c r="B10" s="119">
        <v>1</v>
      </c>
      <c r="C10" s="106" t="s">
        <v>293</v>
      </c>
      <c r="D10" s="100">
        <v>154.07451359522716</v>
      </c>
      <c r="E10" s="100">
        <v>153.2586411720383</v>
      </c>
      <c r="F10" s="100">
        <v>99.939205051147496</v>
      </c>
      <c r="G10" s="100">
        <v>71.38514646510535</v>
      </c>
      <c r="H10" s="100">
        <v>153.2586411720383</v>
      </c>
      <c r="I10" s="100">
        <v>71.38514646510535</v>
      </c>
      <c r="J10" s="100">
        <v>99.939205051147496</v>
      </c>
      <c r="K10" s="100">
        <v>71.38514646510535</v>
      </c>
      <c r="L10" s="100">
        <v>153.2586411720383</v>
      </c>
      <c r="M10" s="100">
        <v>153.2586411720383</v>
      </c>
      <c r="N10" s="100">
        <v>153.2586411720383</v>
      </c>
      <c r="O10" s="100">
        <v>71.38514646510535</v>
      </c>
      <c r="P10" s="100">
        <v>153.2586411720383</v>
      </c>
      <c r="Q10" s="100">
        <v>153.2586411720383</v>
      </c>
      <c r="R10" s="100">
        <v>7.942220064852366E-22</v>
      </c>
      <c r="S10" s="100">
        <v>7.942220064852366E-22</v>
      </c>
      <c r="T10" s="100">
        <v>7.942220064852366E-22</v>
      </c>
      <c r="U10" s="100">
        <v>7.942220064852366E-22</v>
      </c>
      <c r="V10" s="100">
        <v>153.2586411720383</v>
      </c>
      <c r="W10" s="100">
        <v>153.2586411720383</v>
      </c>
      <c r="X10" s="100">
        <v>153.2586411720383</v>
      </c>
      <c r="Y10" s="100">
        <v>153.2586411720383</v>
      </c>
      <c r="Z10" s="100">
        <v>153.2586411720383</v>
      </c>
      <c r="AA10" s="100">
        <v>0</v>
      </c>
      <c r="AB10" s="100">
        <v>153.2586411720383</v>
      </c>
      <c r="AC10" s="100">
        <v>153.2586411720383</v>
      </c>
      <c r="AD10" s="100">
        <v>153.2586411720383</v>
      </c>
      <c r="AE10" s="100">
        <v>14.277029293021069</v>
      </c>
      <c r="AF10" s="100">
        <v>153.2586411720383</v>
      </c>
      <c r="AG10" s="100">
        <v>14.277029293021069</v>
      </c>
      <c r="AH10" s="100">
        <v>153.2586411720383</v>
      </c>
      <c r="AI10" s="100">
        <v>153.2586411720383</v>
      </c>
      <c r="AJ10" s="100">
        <v>153.2586411720383</v>
      </c>
      <c r="AK10" s="100">
        <v>153.2586411720383</v>
      </c>
      <c r="AL10" s="100">
        <v>153.2586411720383</v>
      </c>
      <c r="AM10" s="100">
        <v>153.2586411720383</v>
      </c>
      <c r="AN10" s="100">
        <v>153.2586411720383</v>
      </c>
      <c r="AO10" s="100">
        <v>153.2586411720383</v>
      </c>
      <c r="AP10" s="100">
        <v>153.2586411720383</v>
      </c>
      <c r="AQ10" s="100">
        <v>153.2586411720383</v>
      </c>
      <c r="AR10" s="100">
        <v>153.2586411720383</v>
      </c>
      <c r="AS10" s="100">
        <v>14.277029293021069</v>
      </c>
      <c r="AT10" s="100">
        <v>153.2586411720383</v>
      </c>
      <c r="AU10" s="100">
        <v>153.2586411720383</v>
      </c>
      <c r="AV10" s="100">
        <v>0</v>
      </c>
      <c r="AW10" s="100">
        <v>153.2586411720383</v>
      </c>
      <c r="AX10" s="100">
        <v>14.277029293021069</v>
      </c>
      <c r="AY10" s="100">
        <v>153.2586411720383</v>
      </c>
      <c r="AZ10" s="100">
        <v>153.2586411720383</v>
      </c>
    </row>
    <row r="11" spans="1:53">
      <c r="B11" s="119">
        <v>2</v>
      </c>
      <c r="C11" s="106" t="s">
        <v>293</v>
      </c>
      <c r="D11" s="100">
        <v>0</v>
      </c>
      <c r="G11" s="100">
        <v>53.319436120890799</v>
      </c>
      <c r="H11" s="100">
        <v>81.873494706932945</v>
      </c>
      <c r="J11" s="100">
        <v>81.873494706932945</v>
      </c>
      <c r="K11" s="100">
        <v>53.319436120890799</v>
      </c>
      <c r="L11" s="100">
        <v>81.873494706932945</v>
      </c>
      <c r="P11" s="100">
        <v>0</v>
      </c>
      <c r="S11" s="100">
        <v>0</v>
      </c>
      <c r="U11" s="100">
        <v>0</v>
      </c>
      <c r="V11" s="100">
        <v>0</v>
      </c>
      <c r="Y11" s="100">
        <v>0</v>
      </c>
      <c r="AA11" s="100">
        <v>0</v>
      </c>
      <c r="AB11" s="100">
        <v>0</v>
      </c>
      <c r="AE11" s="100">
        <v>0</v>
      </c>
      <c r="AF11" s="100">
        <v>138.98161187901724</v>
      </c>
      <c r="AG11" s="100">
        <v>0</v>
      </c>
      <c r="AH11" s="100">
        <v>0</v>
      </c>
      <c r="AJ11" s="100">
        <v>0</v>
      </c>
      <c r="AL11" s="100">
        <v>0</v>
      </c>
      <c r="AQ11" s="100">
        <v>0</v>
      </c>
      <c r="AS11" s="100">
        <v>0</v>
      </c>
      <c r="AT11" s="100">
        <v>138.98161187901724</v>
      </c>
      <c r="AU11" s="100">
        <v>0</v>
      </c>
      <c r="AV11" s="100">
        <v>0</v>
      </c>
      <c r="AY11" s="100">
        <v>138.98161187901724</v>
      </c>
    </row>
    <row r="12" spans="1:53">
      <c r="B12" s="120">
        <v>3</v>
      </c>
      <c r="C12" s="106" t="s">
        <v>293</v>
      </c>
      <c r="H12" s="100">
        <v>0</v>
      </c>
      <c r="N12" s="100">
        <v>0</v>
      </c>
      <c r="P12" s="100">
        <v>0</v>
      </c>
      <c r="Q12" s="100">
        <v>81.873494706932945</v>
      </c>
      <c r="R12" s="100">
        <v>0</v>
      </c>
      <c r="U12" s="100">
        <v>0</v>
      </c>
      <c r="X12" s="100">
        <v>0</v>
      </c>
      <c r="AB12" s="100">
        <v>0</v>
      </c>
      <c r="AI12" s="100">
        <v>138.98161187901724</v>
      </c>
      <c r="AL12" s="100">
        <v>0</v>
      </c>
      <c r="AP12" s="100">
        <v>0</v>
      </c>
      <c r="AS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48.721656214613368</v>
      </c>
      <c r="E14" s="117">
        <f t="shared" ref="E14:AZ14" si="0">D$172*SUM(D$122:D$169)</f>
        <v>99.422001738427511</v>
      </c>
      <c r="F14" s="117">
        <f t="shared" si="0"/>
        <v>93.017699501491578</v>
      </c>
      <c r="G14" s="117">
        <f t="shared" si="0"/>
        <v>68.836818849975643</v>
      </c>
      <c r="H14" s="117">
        <f t="shared" si="0"/>
        <v>80.068157401683976</v>
      </c>
      <c r="I14" s="117">
        <f t="shared" si="0"/>
        <v>130.14812225281511</v>
      </c>
      <c r="J14" s="117">
        <f t="shared" si="0"/>
        <v>55.887276750168034</v>
      </c>
      <c r="K14" s="117">
        <f t="shared" si="0"/>
        <v>105.96724160129918</v>
      </c>
      <c r="L14" s="117">
        <f t="shared" si="0"/>
        <v>80.068157401683976</v>
      </c>
      <c r="M14" s="117">
        <f t="shared" si="0"/>
        <v>130.14812225281511</v>
      </c>
      <c r="N14" s="117">
        <f t="shared" si="0"/>
        <v>98.838012799138639</v>
      </c>
      <c r="O14" s="117">
        <f t="shared" si="0"/>
        <v>98.857585127608104</v>
      </c>
      <c r="P14" s="117">
        <f t="shared" si="0"/>
        <v>55.887276750168034</v>
      </c>
      <c r="Q14" s="117">
        <f t="shared" si="0"/>
        <v>93.017699501491563</v>
      </c>
      <c r="R14" s="117">
        <f t="shared" si="0"/>
        <v>130.14812225281511</v>
      </c>
      <c r="S14" s="117">
        <f t="shared" si="0"/>
        <v>24.812958289499583</v>
      </c>
      <c r="T14" s="117">
        <f t="shared" si="0"/>
        <v>23.513421500648995</v>
      </c>
      <c r="U14" s="117">
        <f t="shared" si="0"/>
        <v>23.513421500648995</v>
      </c>
      <c r="V14" s="117">
        <f t="shared" si="0"/>
        <v>23.513421500648995</v>
      </c>
      <c r="W14" s="117">
        <f t="shared" si="0"/>
        <v>93.017699501491578</v>
      </c>
      <c r="X14" s="117">
        <f t="shared" si="0"/>
        <v>93.017699501491578</v>
      </c>
      <c r="Y14" s="117">
        <f t="shared" si="0"/>
        <v>93.017699501491578</v>
      </c>
      <c r="Z14" s="117">
        <f t="shared" si="0"/>
        <v>93.017699501491578</v>
      </c>
      <c r="AA14" s="117">
        <f t="shared" si="0"/>
        <v>93.017699501491578</v>
      </c>
      <c r="AB14" s="117">
        <f t="shared" si="0"/>
        <v>23.513421500648995</v>
      </c>
      <c r="AC14" s="117">
        <f t="shared" si="0"/>
        <v>93.017699501491578</v>
      </c>
      <c r="AD14" s="117">
        <f t="shared" si="0"/>
        <v>93.017699501491563</v>
      </c>
      <c r="AE14" s="117">
        <f t="shared" si="0"/>
        <v>93.017699501491578</v>
      </c>
      <c r="AF14" s="117">
        <f t="shared" si="0"/>
        <v>29.9881925505528</v>
      </c>
      <c r="AG14" s="117">
        <f t="shared" si="0"/>
        <v>156.04720645243034</v>
      </c>
      <c r="AH14" s="117">
        <f t="shared" si="0"/>
        <v>44.675908380586094</v>
      </c>
      <c r="AI14" s="117">
        <f t="shared" si="0"/>
        <v>93.017699501491578</v>
      </c>
      <c r="AJ14" s="117">
        <f t="shared" si="0"/>
        <v>156.04720645243032</v>
      </c>
      <c r="AK14" s="117">
        <f t="shared" si="0"/>
        <v>94.105034148166141</v>
      </c>
      <c r="AL14" s="117">
        <f t="shared" si="0"/>
        <v>93.017699501491563</v>
      </c>
      <c r="AM14" s="117">
        <f t="shared" si="0"/>
        <v>93.017699501491578</v>
      </c>
      <c r="AN14" s="117">
        <f t="shared" si="0"/>
        <v>93.017699501491563</v>
      </c>
      <c r="AO14" s="117">
        <f t="shared" si="0"/>
        <v>93.017699501491578</v>
      </c>
      <c r="AP14" s="117">
        <f t="shared" si="0"/>
        <v>93.017699501491563</v>
      </c>
      <c r="AQ14" s="117">
        <f t="shared" si="0"/>
        <v>93.017699501491578</v>
      </c>
      <c r="AR14" s="117">
        <f t="shared" si="0"/>
        <v>93.017699501491563</v>
      </c>
      <c r="AS14" s="117">
        <f t="shared" si="0"/>
        <v>93.017699501491578</v>
      </c>
      <c r="AT14" s="117">
        <f t="shared" si="0"/>
        <v>29.9881925505528</v>
      </c>
      <c r="AU14" s="117">
        <f t="shared" si="0"/>
        <v>156.04720645243034</v>
      </c>
      <c r="AV14" s="117">
        <f t="shared" si="0"/>
        <v>106.40755714545742</v>
      </c>
      <c r="AW14" s="117">
        <f t="shared" si="0"/>
        <v>23.513421500648995</v>
      </c>
      <c r="AX14" s="117">
        <f t="shared" si="0"/>
        <v>93.017699501491578</v>
      </c>
      <c r="AY14" s="117">
        <f t="shared" si="0"/>
        <v>29.9881925505528</v>
      </c>
      <c r="AZ14" s="110">
        <f t="shared" si="0"/>
        <v>156.04720645243034</v>
      </c>
      <c r="BA14" s="107">
        <f>SUM($E14:$AZ14)</f>
        <v>4096.3528541367641</v>
      </c>
    </row>
    <row r="15" spans="1:53">
      <c r="A15" s="122" t="s">
        <v>123</v>
      </c>
      <c r="B15" s="123">
        <v>1</v>
      </c>
      <c r="C15" s="124" t="s">
        <v>293</v>
      </c>
      <c r="D15" s="124">
        <v>241.4308102810412</v>
      </c>
      <c r="E15" s="124">
        <v>225.87896208534642</v>
      </c>
      <c r="F15" s="124">
        <v>167.15946834226077</v>
      </c>
      <c r="G15" s="124">
        <v>135.71352692830294</v>
      </c>
      <c r="H15" s="124">
        <v>225.87896208534639</v>
      </c>
      <c r="I15" s="124">
        <v>135.71352692830294</v>
      </c>
      <c r="J15" s="124">
        <v>167.15946834226077</v>
      </c>
      <c r="K15" s="124">
        <v>135.71352692830294</v>
      </c>
      <c r="L15" s="124">
        <v>225.87896208534639</v>
      </c>
      <c r="M15" s="124">
        <v>225.87896208534642</v>
      </c>
      <c r="N15" s="124">
        <v>225.87896208534639</v>
      </c>
      <c r="O15" s="124">
        <v>135.71352692830294</v>
      </c>
      <c r="P15" s="124">
        <v>225.87896208534639</v>
      </c>
      <c r="Q15" s="124">
        <v>225.87896208534642</v>
      </c>
      <c r="R15" s="124">
        <v>57.098673393408276</v>
      </c>
      <c r="S15" s="124">
        <v>57.098673393408276</v>
      </c>
      <c r="T15" s="124">
        <v>57.098673393408276</v>
      </c>
      <c r="U15" s="124">
        <v>57.098673393408276</v>
      </c>
      <c r="V15" s="124">
        <v>225.87896208534642</v>
      </c>
      <c r="W15" s="124">
        <v>225.87896208534642</v>
      </c>
      <c r="X15" s="124">
        <v>225.87896208534642</v>
      </c>
      <c r="Y15" s="124">
        <v>225.87896208534642</v>
      </c>
      <c r="Z15" s="124">
        <v>225.87896208534642</v>
      </c>
      <c r="AA15" s="124">
        <v>57.098673393408276</v>
      </c>
      <c r="AB15" s="124">
        <v>225.87896208534642</v>
      </c>
      <c r="AC15" s="124">
        <v>225.87896208534639</v>
      </c>
      <c r="AD15" s="124">
        <v>225.87896208534642</v>
      </c>
      <c r="AE15" s="124">
        <v>72.821644100387203</v>
      </c>
      <c r="AF15" s="124">
        <v>225.87896208534642</v>
      </c>
      <c r="AG15" s="124">
        <v>72.821644100387203</v>
      </c>
      <c r="AH15" s="124">
        <v>225.87896208534642</v>
      </c>
      <c r="AI15" s="124">
        <v>225.87896208534639</v>
      </c>
      <c r="AJ15" s="124">
        <v>225.87896208534642</v>
      </c>
      <c r="AK15" s="124">
        <v>225.87896208534639</v>
      </c>
      <c r="AL15" s="124">
        <v>225.87896208534642</v>
      </c>
      <c r="AM15" s="124">
        <v>225.87896208534639</v>
      </c>
      <c r="AN15" s="124">
        <v>225.87896208534642</v>
      </c>
      <c r="AO15" s="124">
        <v>225.87896208534639</v>
      </c>
      <c r="AP15" s="124">
        <v>225.87896208534642</v>
      </c>
      <c r="AQ15" s="124">
        <v>225.87896208534639</v>
      </c>
      <c r="AR15" s="124">
        <v>225.87896208534642</v>
      </c>
      <c r="AS15" s="124">
        <v>72.821644100387203</v>
      </c>
      <c r="AT15" s="124">
        <v>225.87896208534642</v>
      </c>
      <c r="AU15" s="124">
        <v>225.87896208534639</v>
      </c>
      <c r="AV15" s="124">
        <v>57.098673393408276</v>
      </c>
      <c r="AW15" s="124">
        <v>225.87896208534642</v>
      </c>
      <c r="AX15" s="124">
        <v>72.821644100387203</v>
      </c>
      <c r="AY15" s="124">
        <v>225.87896208534642</v>
      </c>
      <c r="AZ15" s="100">
        <v>168.78028869193813</v>
      </c>
    </row>
    <row r="16" spans="1:53">
      <c r="A16" s="110"/>
      <c r="B16" s="119">
        <v>2</v>
      </c>
      <c r="C16" s="109" t="s">
        <v>293</v>
      </c>
      <c r="D16" s="106">
        <v>0</v>
      </c>
      <c r="E16" s="110"/>
      <c r="F16" s="110"/>
      <c r="G16" s="110">
        <v>58.719493743085621</v>
      </c>
      <c r="H16" s="110">
        <v>90.165435157043476</v>
      </c>
      <c r="I16" s="110"/>
      <c r="J16" s="110">
        <v>90.165435157043476</v>
      </c>
      <c r="K16" s="110">
        <v>58.719493743085621</v>
      </c>
      <c r="L16" s="110">
        <v>90.165435157043476</v>
      </c>
      <c r="M16" s="110"/>
      <c r="N16" s="110"/>
      <c r="O16" s="110"/>
      <c r="P16" s="110">
        <v>0</v>
      </c>
      <c r="Q16" s="110"/>
      <c r="R16" s="110"/>
      <c r="S16" s="110">
        <v>0</v>
      </c>
      <c r="T16" s="110"/>
      <c r="U16" s="110">
        <v>0</v>
      </c>
      <c r="V16" s="110">
        <v>0</v>
      </c>
      <c r="W16" s="110"/>
      <c r="X16" s="110"/>
      <c r="Y16" s="110">
        <v>0</v>
      </c>
      <c r="Z16" s="110"/>
      <c r="AA16" s="110">
        <v>0</v>
      </c>
      <c r="AB16" s="110">
        <v>0</v>
      </c>
      <c r="AC16" s="110"/>
      <c r="AD16" s="110"/>
      <c r="AE16" s="110">
        <v>0</v>
      </c>
      <c r="AF16" s="110">
        <v>153.05731798495918</v>
      </c>
      <c r="AG16" s="110">
        <v>0</v>
      </c>
      <c r="AH16" s="110">
        <v>0</v>
      </c>
      <c r="AI16" s="110"/>
      <c r="AJ16" s="110">
        <v>0</v>
      </c>
      <c r="AK16" s="110"/>
      <c r="AL16" s="110">
        <v>0</v>
      </c>
      <c r="AM16" s="110"/>
      <c r="AN16" s="110"/>
      <c r="AO16" s="110"/>
      <c r="AP16" s="110"/>
      <c r="AQ16" s="110">
        <v>0</v>
      </c>
      <c r="AR16" s="110"/>
      <c r="AS16" s="110">
        <v>0</v>
      </c>
      <c r="AT16" s="110">
        <v>153.05731798495918</v>
      </c>
      <c r="AU16" s="110">
        <v>0</v>
      </c>
      <c r="AV16" s="110">
        <v>0</v>
      </c>
      <c r="AW16" s="110"/>
      <c r="AX16" s="110"/>
      <c r="AY16" s="110">
        <v>153.05731798495918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/>
      <c r="K17" s="110"/>
      <c r="L17" s="110"/>
      <c r="M17" s="110"/>
      <c r="N17" s="110">
        <v>0</v>
      </c>
      <c r="O17" s="110"/>
      <c r="P17" s="110">
        <v>0</v>
      </c>
      <c r="Q17" s="110">
        <v>90.165435157043476</v>
      </c>
      <c r="R17" s="110">
        <v>0</v>
      </c>
      <c r="S17" s="110"/>
      <c r="T17" s="110"/>
      <c r="U17" s="110">
        <v>0</v>
      </c>
      <c r="V17" s="110"/>
      <c r="W17" s="110"/>
      <c r="X17" s="110">
        <v>0</v>
      </c>
      <c r="Y17" s="110"/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>
        <v>153.05731798495918</v>
      </c>
      <c r="AJ17" s="110"/>
      <c r="AK17" s="110"/>
      <c r="AL17" s="110">
        <v>0</v>
      </c>
      <c r="AM17" s="110"/>
      <c r="AN17" s="110"/>
      <c r="AO17" s="110"/>
      <c r="AP17" s="110">
        <v>0</v>
      </c>
      <c r="AQ17" s="110"/>
      <c r="AR17" s="110"/>
      <c r="AS17" s="110">
        <v>0</v>
      </c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214.93203885649555</v>
      </c>
      <c r="D95" s="110">
        <v>215.15335703879308</v>
      </c>
      <c r="E95" s="110">
        <v>215.15335703879308</v>
      </c>
      <c r="F95" s="110">
        <v>215.15335703879308</v>
      </c>
      <c r="G95" s="110">
        <v>215.15335703879308</v>
      </c>
      <c r="H95" s="110">
        <v>215.15335703879308</v>
      </c>
      <c r="I95" s="110">
        <v>215.15335703879308</v>
      </c>
      <c r="J95" s="110">
        <v>215.15335703879308</v>
      </c>
      <c r="K95" s="110">
        <v>215.15335703879308</v>
      </c>
      <c r="L95" s="110">
        <v>215.15335703879308</v>
      </c>
      <c r="M95" s="110">
        <v>215.15335703879308</v>
      </c>
      <c r="N95" s="110">
        <v>215.15335703879308</v>
      </c>
      <c r="O95" s="110">
        <v>215.15335703879308</v>
      </c>
      <c r="P95" s="110">
        <v>5.1761278176858977E-22</v>
      </c>
      <c r="Q95" s="110">
        <v>5.1761278176858977E-22</v>
      </c>
      <c r="R95" s="110">
        <v>5.1761278176858977E-22</v>
      </c>
      <c r="S95" s="110">
        <v>5.1761278176858977E-22</v>
      </c>
      <c r="T95" s="110">
        <v>215.15335703879308</v>
      </c>
      <c r="U95" s="110">
        <v>215.15335703879308</v>
      </c>
      <c r="V95" s="110">
        <v>215.15335703879308</v>
      </c>
      <c r="W95" s="110">
        <v>215.15335703879308</v>
      </c>
      <c r="X95" s="110">
        <v>215.15335703879308</v>
      </c>
      <c r="Y95" s="110">
        <v>215.15335703879308</v>
      </c>
      <c r="Z95" s="110">
        <v>215.15335703879308</v>
      </c>
      <c r="AA95" s="110">
        <v>215.15335703879308</v>
      </c>
      <c r="AB95" s="110">
        <v>215.15335703879308</v>
      </c>
      <c r="AC95" s="110">
        <v>215.15335703879308</v>
      </c>
      <c r="AD95" s="110">
        <v>215.15335703879308</v>
      </c>
      <c r="AE95" s="110">
        <v>215.15335703879308</v>
      </c>
      <c r="AF95" s="110">
        <v>215.15335703879308</v>
      </c>
      <c r="AG95" s="110">
        <v>215.15335703879308</v>
      </c>
      <c r="AH95" s="110">
        <v>215.15335703879308</v>
      </c>
      <c r="AI95" s="110">
        <v>215.15335703879308</v>
      </c>
      <c r="AJ95" s="110">
        <v>215.15335703879308</v>
      </c>
      <c r="AK95" s="110">
        <v>215.15335703879308</v>
      </c>
      <c r="AL95" s="110">
        <v>215.15335703879308</v>
      </c>
      <c r="AM95" s="110">
        <v>215.15335703879308</v>
      </c>
      <c r="AN95" s="110">
        <v>215.15335703879308</v>
      </c>
      <c r="AO95" s="110">
        <v>215.15335703879308</v>
      </c>
      <c r="AP95" s="110">
        <v>215.15335703879308</v>
      </c>
      <c r="AQ95" s="110">
        <v>215.15335703879308</v>
      </c>
      <c r="AR95" s="110">
        <v>215.15335703879308</v>
      </c>
      <c r="AS95" s="110">
        <v>215.15335703879308</v>
      </c>
      <c r="AT95" s="110">
        <v>215.15335703879308</v>
      </c>
      <c r="AU95" s="110">
        <v>86.50318976185342</v>
      </c>
      <c r="AV95" s="110">
        <v>215.15335703879308</v>
      </c>
      <c r="AW95" s="110">
        <v>215.15335703879308</v>
      </c>
      <c r="AX95" s="110">
        <v>215.15335703879308</v>
      </c>
      <c r="AY95" s="110">
        <v>215.15335703879308</v>
      </c>
    </row>
    <row r="96" spans="1:52">
      <c r="A96" s="109"/>
      <c r="B96" s="120">
        <v>2</v>
      </c>
      <c r="C96" s="110">
        <v>214.93203885649555</v>
      </c>
      <c r="D96" s="110">
        <v>214.93203885649555</v>
      </c>
      <c r="E96" s="110">
        <v>215.15335703879308</v>
      </c>
      <c r="F96" s="110">
        <v>215.15335703879308</v>
      </c>
      <c r="G96" s="110">
        <v>215.15335703879308</v>
      </c>
      <c r="H96" s="110">
        <v>215.15335703879308</v>
      </c>
      <c r="I96" s="110">
        <v>215.15335703879308</v>
      </c>
      <c r="J96" s="110">
        <v>215.15335703879308</v>
      </c>
      <c r="K96" s="110">
        <v>215.15335703879308</v>
      </c>
      <c r="L96" s="110">
        <v>215.15335703879308</v>
      </c>
      <c r="M96" s="110">
        <v>215.15335703879308</v>
      </c>
      <c r="N96" s="110">
        <v>215.15335703879308</v>
      </c>
      <c r="O96" s="110">
        <v>215.15335703879308</v>
      </c>
      <c r="P96" s="110">
        <v>215.15335703879308</v>
      </c>
      <c r="Q96" s="110">
        <v>5.1761278176858977E-22</v>
      </c>
      <c r="R96" s="110">
        <v>5.1761278176858977E-22</v>
      </c>
      <c r="S96" s="110">
        <v>5.1761278176858977E-22</v>
      </c>
      <c r="T96" s="110">
        <v>0</v>
      </c>
      <c r="U96" s="110">
        <v>35.153357038793075</v>
      </c>
      <c r="V96" s="110">
        <v>24.30671407758615</v>
      </c>
      <c r="W96" s="110">
        <v>70.460071116379225</v>
      </c>
      <c r="X96" s="110">
        <v>87.613428155172301</v>
      </c>
      <c r="Y96" s="110">
        <v>100.76678519396538</v>
      </c>
      <c r="Z96" s="110">
        <v>135.92014223275845</v>
      </c>
      <c r="AA96" s="110">
        <v>159.07349927155153</v>
      </c>
      <c r="AB96" s="110">
        <v>204.2268563103446</v>
      </c>
      <c r="AC96" s="110">
        <v>211.38021334913768</v>
      </c>
      <c r="AD96" s="110">
        <v>215.15335703879308</v>
      </c>
      <c r="AE96" s="110">
        <v>215.15335703879308</v>
      </c>
      <c r="AF96" s="110">
        <v>215.15335703879308</v>
      </c>
      <c r="AG96" s="110">
        <v>215.15335703879308</v>
      </c>
      <c r="AH96" s="110">
        <v>215.15335703879308</v>
      </c>
      <c r="AI96" s="110">
        <v>215.15335703879308</v>
      </c>
      <c r="AJ96" s="110">
        <v>215.15335703879308</v>
      </c>
      <c r="AK96" s="110">
        <v>215.15335703879308</v>
      </c>
      <c r="AL96" s="110">
        <v>215.15335703879308</v>
      </c>
      <c r="AM96" s="110">
        <v>215.15335703879308</v>
      </c>
      <c r="AN96" s="110">
        <v>215.15335703879308</v>
      </c>
      <c r="AO96" s="110">
        <v>215.15335703879308</v>
      </c>
      <c r="AP96" s="110">
        <v>215.15335703879308</v>
      </c>
      <c r="AQ96" s="110">
        <v>215.15335703879308</v>
      </c>
      <c r="AR96" s="110">
        <v>215.15335703879308</v>
      </c>
      <c r="AS96" s="110">
        <v>215.15335703879308</v>
      </c>
      <c r="AT96" s="110">
        <v>215.15335703879308</v>
      </c>
      <c r="AU96" s="110">
        <v>215.15335703879308</v>
      </c>
      <c r="AV96" s="110">
        <v>86.50318976185342</v>
      </c>
      <c r="AW96" s="110">
        <v>215.15335703879308</v>
      </c>
      <c r="AX96" s="110">
        <v>215.15335703879308</v>
      </c>
      <c r="AY96" s="110">
        <v>215.15335703879308</v>
      </c>
    </row>
    <row r="97" spans="1:52">
      <c r="A97" s="109"/>
      <c r="B97" s="127">
        <v>3</v>
      </c>
      <c r="C97" s="110">
        <v>86.735561487260469</v>
      </c>
      <c r="D97" s="110">
        <v>214.93203885649555</v>
      </c>
      <c r="E97" s="110">
        <v>214.93203885649555</v>
      </c>
      <c r="F97" s="110">
        <v>215.15335703879308</v>
      </c>
      <c r="G97" s="110">
        <v>215.15335703879308</v>
      </c>
      <c r="H97" s="110">
        <v>215.15335703879308</v>
      </c>
      <c r="I97" s="110">
        <v>215.15335703879308</v>
      </c>
      <c r="J97" s="110">
        <v>215.15335703879308</v>
      </c>
      <c r="K97" s="110">
        <v>215.15335703879308</v>
      </c>
      <c r="L97" s="110">
        <v>215.15335703879308</v>
      </c>
      <c r="M97" s="110">
        <v>215.15335703879308</v>
      </c>
      <c r="N97" s="110">
        <v>215.15335703879308</v>
      </c>
      <c r="O97" s="110">
        <v>215.15335703879308</v>
      </c>
      <c r="P97" s="110">
        <v>215.15335703879308</v>
      </c>
      <c r="Q97" s="110">
        <v>215.15335703879308</v>
      </c>
      <c r="R97" s="110">
        <v>5.1761278176858977E-22</v>
      </c>
      <c r="S97" s="110">
        <v>5.1761278176858977E-22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42.380213349137676</v>
      </c>
      <c r="AE97" s="110">
        <v>24.533570387930752</v>
      </c>
      <c r="AF97" s="110">
        <v>0.68692742672382678</v>
      </c>
      <c r="AG97" s="110">
        <v>4.8402844655169019</v>
      </c>
      <c r="AH97" s="110">
        <v>41.993641504309977</v>
      </c>
      <c r="AI97" s="110">
        <v>64.146998543103052</v>
      </c>
      <c r="AJ97" s="110">
        <v>79.300355581896127</v>
      </c>
      <c r="AK97" s="110">
        <v>84.453712620689203</v>
      </c>
      <c r="AL97" s="110">
        <v>73.607069659482278</v>
      </c>
      <c r="AM97" s="110">
        <v>64.760426698275353</v>
      </c>
      <c r="AN97" s="110">
        <v>108.91378373706843</v>
      </c>
      <c r="AO97" s="110">
        <v>148.0671407758615</v>
      </c>
      <c r="AP97" s="110">
        <v>166.22049781465458</v>
      </c>
      <c r="AQ97" s="110">
        <v>215.15335703879308</v>
      </c>
      <c r="AR97" s="110">
        <v>215.15335703879308</v>
      </c>
      <c r="AS97" s="110">
        <v>215.15335703879308</v>
      </c>
      <c r="AT97" s="110">
        <v>215.15335703879308</v>
      </c>
      <c r="AU97" s="110">
        <v>215.15335703879308</v>
      </c>
      <c r="AV97" s="110">
        <v>215.15335703879308</v>
      </c>
      <c r="AW97" s="110">
        <v>86.50318976185342</v>
      </c>
      <c r="AX97" s="110">
        <v>196.79718684805954</v>
      </c>
      <c r="AY97" s="110">
        <v>215.15335703879308</v>
      </c>
    </row>
    <row r="98" spans="1:52">
      <c r="A98" s="109"/>
      <c r="B98" s="130">
        <v>4</v>
      </c>
      <c r="C98" s="106">
        <v>214.93203885649555</v>
      </c>
      <c r="D98" s="110">
        <v>86.735561487260469</v>
      </c>
      <c r="E98" s="110">
        <v>97.667600343756021</v>
      </c>
      <c r="F98" s="110">
        <v>97.599639200251573</v>
      </c>
      <c r="G98" s="110">
        <v>132.75299623904465</v>
      </c>
      <c r="H98" s="110">
        <v>135.90635327783772</v>
      </c>
      <c r="I98" s="110">
        <v>173.0597103166308</v>
      </c>
      <c r="J98" s="110">
        <v>183.21306735542387</v>
      </c>
      <c r="K98" s="110">
        <v>206.36642439421695</v>
      </c>
      <c r="L98" s="110">
        <v>215.15335703879308</v>
      </c>
      <c r="M98" s="110">
        <v>215.15335703879308</v>
      </c>
      <c r="N98" s="110">
        <v>215.15335703879308</v>
      </c>
      <c r="O98" s="110">
        <v>215.15335703879308</v>
      </c>
      <c r="P98" s="110">
        <v>215.15335703879308</v>
      </c>
      <c r="Q98" s="110">
        <v>215.15335703879308</v>
      </c>
      <c r="R98" s="110">
        <v>215.15335703879308</v>
      </c>
      <c r="S98" s="110">
        <v>5.1761278176858977E-22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3.2204978146545784</v>
      </c>
      <c r="AR98" s="110">
        <v>15.373854853447654</v>
      </c>
      <c r="AS98" s="110">
        <v>56.527211892240729</v>
      </c>
      <c r="AT98" s="110">
        <v>25.680568931033804</v>
      </c>
      <c r="AU98" s="110">
        <v>56.833925969826879</v>
      </c>
      <c r="AV98" s="110">
        <v>81.987283008619954</v>
      </c>
      <c r="AW98" s="110">
        <v>115.14064004741303</v>
      </c>
      <c r="AX98" s="110">
        <v>0</v>
      </c>
      <c r="AY98" s="110">
        <v>38.797186848059539</v>
      </c>
    </row>
    <row r="99" spans="1:52">
      <c r="A99" s="128"/>
      <c r="B99" s="132" t="s">
        <v>296</v>
      </c>
      <c r="C99" s="125">
        <v>2.7961165694866565</v>
      </c>
      <c r="D99" s="125">
        <v>4.9320388564955522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29.366424394216949</v>
      </c>
      <c r="M99" s="125">
        <v>32.153357038793075</v>
      </c>
      <c r="N99" s="125">
        <v>4.1533570387930752</v>
      </c>
      <c r="O99" s="125">
        <v>6.1533570387930752</v>
      </c>
      <c r="P99" s="125">
        <v>48.153357038793075</v>
      </c>
      <c r="Q99" s="125">
        <v>32.153357038793075</v>
      </c>
      <c r="R99" s="125">
        <v>5.1533570387930752</v>
      </c>
      <c r="S99" s="125">
        <v>18.153357038793075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180.37196252226403</v>
      </c>
    </row>
    <row r="100" spans="1:52">
      <c r="A100" s="131" t="s">
        <v>133</v>
      </c>
      <c r="B100" s="119">
        <v>1</v>
      </c>
      <c r="C100" s="106">
        <v>62.176581577403596</v>
      </c>
      <c r="D100" s="106">
        <v>154.07451359522716</v>
      </c>
      <c r="E100" s="106">
        <v>153.2586411720383</v>
      </c>
      <c r="F100" s="106">
        <v>99.939205051147496</v>
      </c>
      <c r="G100" s="106">
        <v>71.38514646510535</v>
      </c>
      <c r="H100" s="106">
        <v>153.2586411720383</v>
      </c>
      <c r="I100" s="106">
        <v>71.38514646510535</v>
      </c>
      <c r="J100" s="106">
        <v>99.939205051147496</v>
      </c>
      <c r="K100" s="106">
        <v>71.38514646510535</v>
      </c>
      <c r="L100" s="106">
        <v>153.2586411720383</v>
      </c>
      <c r="M100" s="106">
        <v>153.2586411720383</v>
      </c>
      <c r="N100" s="106">
        <v>153.2586411720383</v>
      </c>
      <c r="O100" s="106">
        <v>71.38514646510535</v>
      </c>
      <c r="P100" s="106">
        <v>153.2586411720383</v>
      </c>
      <c r="Q100" s="106">
        <v>153.2586411720383</v>
      </c>
      <c r="R100" s="106">
        <v>7.942220064852366E-22</v>
      </c>
      <c r="S100" s="106">
        <v>7.942220064852366E-22</v>
      </c>
      <c r="T100" s="106">
        <v>7.942220064852366E-22</v>
      </c>
      <c r="U100" s="106">
        <v>7.942220064852366E-22</v>
      </c>
      <c r="V100" s="106">
        <v>153.2586411720383</v>
      </c>
      <c r="W100" s="106">
        <v>153.2586411720383</v>
      </c>
      <c r="X100" s="106">
        <v>153.2586411720383</v>
      </c>
      <c r="Y100" s="106">
        <v>153.2586411720383</v>
      </c>
      <c r="Z100" s="106">
        <v>153.2586411720383</v>
      </c>
      <c r="AA100" s="106">
        <v>0</v>
      </c>
      <c r="AB100" s="106">
        <v>153.2586411720383</v>
      </c>
      <c r="AC100" s="106">
        <v>153.2586411720383</v>
      </c>
      <c r="AD100" s="106">
        <v>153.2586411720383</v>
      </c>
      <c r="AE100" s="106">
        <v>14.277029293021069</v>
      </c>
      <c r="AF100" s="106">
        <v>153.2586411720383</v>
      </c>
      <c r="AG100" s="106">
        <v>14.277029293021069</v>
      </c>
      <c r="AH100" s="106">
        <v>153.2586411720383</v>
      </c>
      <c r="AI100" s="106">
        <v>153.2586411720383</v>
      </c>
      <c r="AJ100" s="106">
        <v>153.2586411720383</v>
      </c>
      <c r="AK100" s="106">
        <v>153.2586411720383</v>
      </c>
      <c r="AL100" s="106">
        <v>153.2586411720383</v>
      </c>
      <c r="AM100" s="106">
        <v>153.2586411720383</v>
      </c>
      <c r="AN100" s="106">
        <v>153.2586411720383</v>
      </c>
      <c r="AO100" s="106">
        <v>153.2586411720383</v>
      </c>
      <c r="AP100" s="106">
        <v>153.2586411720383</v>
      </c>
      <c r="AQ100" s="106">
        <v>153.2586411720383</v>
      </c>
      <c r="AR100" s="106">
        <v>153.2586411720383</v>
      </c>
      <c r="AS100" s="106">
        <v>14.277029293021069</v>
      </c>
      <c r="AT100" s="106">
        <v>153.2586411720383</v>
      </c>
      <c r="AU100" s="106">
        <v>153.2586411720383</v>
      </c>
      <c r="AV100" s="106">
        <v>0</v>
      </c>
      <c r="AW100" s="106">
        <v>153.2586411720383</v>
      </c>
      <c r="AX100" s="106">
        <v>14.277029293021069</v>
      </c>
      <c r="AY100" s="106">
        <v>153.2586411720383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53.319436120890799</v>
      </c>
      <c r="H101" s="106">
        <v>81.873494706932945</v>
      </c>
      <c r="I101" s="106">
        <v>75.132135878971241</v>
      </c>
      <c r="J101" s="106">
        <v>87.390777051009536</v>
      </c>
      <c r="K101" s="106">
        <v>53.319436120890799</v>
      </c>
      <c r="L101" s="106">
        <v>81.873494706932945</v>
      </c>
      <c r="M101" s="106">
        <v>36.132135878971241</v>
      </c>
      <c r="N101" s="106">
        <v>30.390777051009536</v>
      </c>
      <c r="O101" s="106">
        <v>0</v>
      </c>
      <c r="P101" s="106">
        <v>0</v>
      </c>
      <c r="Q101" s="106">
        <v>0</v>
      </c>
      <c r="R101" s="106">
        <v>98.132135878971241</v>
      </c>
      <c r="S101" s="106">
        <v>7.942220064852366E-22</v>
      </c>
      <c r="T101" s="106">
        <v>0</v>
      </c>
      <c r="U101" s="106">
        <v>0</v>
      </c>
      <c r="V101" s="106">
        <v>0</v>
      </c>
      <c r="W101" s="106">
        <v>10.258641172038296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138.98161187901724</v>
      </c>
      <c r="AG101" s="106">
        <v>95.240253051055532</v>
      </c>
      <c r="AH101" s="106">
        <v>0</v>
      </c>
      <c r="AI101" s="106">
        <v>0</v>
      </c>
      <c r="AJ101" s="106">
        <v>85.240253051055532</v>
      </c>
      <c r="AK101" s="106">
        <v>24.498894223093828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138.98161187901724</v>
      </c>
      <c r="AU101" s="106">
        <v>112.24025305105553</v>
      </c>
      <c r="AV101" s="106">
        <v>92.498894223093828</v>
      </c>
      <c r="AW101" s="106">
        <v>0</v>
      </c>
      <c r="AX101" s="106">
        <v>0</v>
      </c>
      <c r="AY101" s="106">
        <v>138.98161187901724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81.873494706932945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138.98161187901724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93.671584280728098</v>
      </c>
      <c r="D109" s="106">
        <v>48.721656214613368</v>
      </c>
      <c r="E109" s="106">
        <v>99.422001738427511</v>
      </c>
      <c r="F109" s="106">
        <v>93.017699501491578</v>
      </c>
      <c r="G109" s="106">
        <v>68.836818849975643</v>
      </c>
      <c r="H109" s="106">
        <v>80.068157401683976</v>
      </c>
      <c r="I109" s="106">
        <v>130.14812225281511</v>
      </c>
      <c r="J109" s="106">
        <v>55.887276750168034</v>
      </c>
      <c r="K109" s="106">
        <v>105.96724160129918</v>
      </c>
      <c r="L109" s="106">
        <v>80.068157401683976</v>
      </c>
      <c r="M109" s="106">
        <v>130.14812225281511</v>
      </c>
      <c r="N109" s="106">
        <v>98.838012799138639</v>
      </c>
      <c r="O109" s="106">
        <v>98.857585127608104</v>
      </c>
      <c r="P109" s="106">
        <v>55.887276750168034</v>
      </c>
      <c r="Q109" s="106">
        <v>93.017699501491563</v>
      </c>
      <c r="R109" s="106">
        <v>130.14812225281511</v>
      </c>
      <c r="S109" s="106">
        <v>24.812958289499583</v>
      </c>
      <c r="T109" s="106">
        <v>23.513421500648995</v>
      </c>
      <c r="U109" s="106">
        <v>23.513421500648995</v>
      </c>
      <c r="V109" s="106">
        <v>23.513421500648995</v>
      </c>
      <c r="W109" s="106">
        <v>93.017699501491578</v>
      </c>
      <c r="X109" s="106">
        <v>93.017699501491578</v>
      </c>
      <c r="Y109" s="106">
        <v>93.017699501491578</v>
      </c>
      <c r="Z109" s="106">
        <v>93.017699501491578</v>
      </c>
      <c r="AA109" s="106">
        <v>93.017699501491578</v>
      </c>
      <c r="AB109" s="106">
        <v>23.513421500648995</v>
      </c>
      <c r="AC109" s="106">
        <v>93.017699501491578</v>
      </c>
      <c r="AD109" s="106">
        <v>93.017699501491563</v>
      </c>
      <c r="AE109" s="106">
        <v>93.017699501491578</v>
      </c>
      <c r="AF109" s="106">
        <v>29.9881925505528</v>
      </c>
      <c r="AG109" s="106">
        <v>156.04720645243034</v>
      </c>
      <c r="AH109" s="106">
        <v>44.675908380586094</v>
      </c>
      <c r="AI109" s="106">
        <v>93.017699501491578</v>
      </c>
      <c r="AJ109" s="106">
        <v>156.04720645243032</v>
      </c>
      <c r="AK109" s="106">
        <v>94.105034148166141</v>
      </c>
      <c r="AL109" s="106">
        <v>93.017699501491563</v>
      </c>
      <c r="AM109" s="106">
        <v>93.017699501491578</v>
      </c>
      <c r="AN109" s="106">
        <v>93.017699501491563</v>
      </c>
      <c r="AO109" s="106">
        <v>93.017699501491578</v>
      </c>
      <c r="AP109" s="106">
        <v>93.017699501491563</v>
      </c>
      <c r="AQ109" s="106">
        <v>93.017699501491578</v>
      </c>
      <c r="AR109" s="106">
        <v>93.017699501491563</v>
      </c>
      <c r="AS109" s="106">
        <v>93.017699501491578</v>
      </c>
      <c r="AT109" s="106">
        <v>29.9881925505528</v>
      </c>
      <c r="AU109" s="106">
        <v>156.04720645243034</v>
      </c>
      <c r="AV109" s="106">
        <v>106.40755714545742</v>
      </c>
      <c r="AW109" s="106">
        <v>23.513421500648995</v>
      </c>
      <c r="AX109" s="106">
        <v>93.017699501491578</v>
      </c>
      <c r="AY109" s="106">
        <v>29.9881925505528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7.3564804826803822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16.078258562263898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119.17057446151802</v>
      </c>
      <c r="D122" s="106">
        <v>241.4308102810412</v>
      </c>
      <c r="E122" s="106">
        <v>225.87896208534642</v>
      </c>
      <c r="F122" s="106">
        <v>167.15946834226077</v>
      </c>
      <c r="G122" s="106">
        <v>135.71352692830294</v>
      </c>
      <c r="H122" s="106">
        <v>225.87896208534639</v>
      </c>
      <c r="I122" s="106">
        <v>135.71352692830294</v>
      </c>
      <c r="J122" s="106">
        <v>167.15946834226077</v>
      </c>
      <c r="K122" s="106">
        <v>135.71352692830294</v>
      </c>
      <c r="L122" s="106">
        <v>225.87896208534639</v>
      </c>
      <c r="M122" s="106">
        <v>225.87896208534642</v>
      </c>
      <c r="N122" s="106">
        <v>225.87896208534639</v>
      </c>
      <c r="O122" s="106">
        <v>135.71352692830294</v>
      </c>
      <c r="P122" s="106">
        <v>225.87896208534639</v>
      </c>
      <c r="Q122" s="106">
        <v>225.87896208534642</v>
      </c>
      <c r="R122" s="106">
        <v>57.098673393408276</v>
      </c>
      <c r="S122" s="106">
        <v>57.098673393408276</v>
      </c>
      <c r="T122" s="106">
        <v>57.098673393408276</v>
      </c>
      <c r="U122" s="106">
        <v>57.098673393408276</v>
      </c>
      <c r="V122" s="106">
        <v>225.87896208534642</v>
      </c>
      <c r="W122" s="106">
        <v>225.87896208534642</v>
      </c>
      <c r="X122" s="106">
        <v>225.87896208534642</v>
      </c>
      <c r="Y122" s="106">
        <v>225.87896208534642</v>
      </c>
      <c r="Z122" s="106">
        <v>225.87896208534642</v>
      </c>
      <c r="AA122" s="106">
        <v>57.098673393408276</v>
      </c>
      <c r="AB122" s="106">
        <v>225.87896208534642</v>
      </c>
      <c r="AC122" s="106">
        <v>225.87896208534639</v>
      </c>
      <c r="AD122" s="106">
        <v>225.87896208534642</v>
      </c>
      <c r="AE122" s="106">
        <v>72.821644100387203</v>
      </c>
      <c r="AF122" s="106">
        <v>225.87896208534642</v>
      </c>
      <c r="AG122" s="106">
        <v>72.821644100387203</v>
      </c>
      <c r="AH122" s="106">
        <v>225.87896208534642</v>
      </c>
      <c r="AI122" s="106">
        <v>225.87896208534639</v>
      </c>
      <c r="AJ122" s="106">
        <v>225.87896208534642</v>
      </c>
      <c r="AK122" s="106">
        <v>225.87896208534639</v>
      </c>
      <c r="AL122" s="106">
        <v>225.87896208534642</v>
      </c>
      <c r="AM122" s="106">
        <v>225.87896208534639</v>
      </c>
      <c r="AN122" s="106">
        <v>225.87896208534642</v>
      </c>
      <c r="AO122" s="106">
        <v>225.87896208534639</v>
      </c>
      <c r="AP122" s="106">
        <v>225.87896208534642</v>
      </c>
      <c r="AQ122" s="106">
        <v>225.87896208534639</v>
      </c>
      <c r="AR122" s="106">
        <v>225.87896208534642</v>
      </c>
      <c r="AS122" s="106">
        <v>72.821644100387203</v>
      </c>
      <c r="AT122" s="106">
        <v>225.87896208534642</v>
      </c>
      <c r="AU122" s="106">
        <v>225.87896208534639</v>
      </c>
      <c r="AV122" s="106">
        <v>57.098673393408276</v>
      </c>
      <c r="AW122" s="106">
        <v>225.87896208534642</v>
      </c>
      <c r="AX122" s="106">
        <v>72.821644100387203</v>
      </c>
      <c r="AY122" s="106">
        <v>225.87896208534642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58.719493743085636</v>
      </c>
      <c r="H123" s="106">
        <v>90.165435157043476</v>
      </c>
      <c r="I123" s="106">
        <v>0</v>
      </c>
      <c r="J123" s="106">
        <v>90.165435157043476</v>
      </c>
      <c r="K123" s="106">
        <v>58.719493743085636</v>
      </c>
      <c r="L123" s="106">
        <v>90.165435157043476</v>
      </c>
      <c r="M123" s="106">
        <v>14.133722224155605</v>
      </c>
      <c r="N123" s="106">
        <v>14.18125056837367</v>
      </c>
      <c r="O123" s="106">
        <v>0</v>
      </c>
      <c r="P123" s="106">
        <v>0</v>
      </c>
      <c r="Q123" s="106">
        <v>0</v>
      </c>
      <c r="R123" s="106">
        <v>3.155722218786849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153.05731798495918</v>
      </c>
      <c r="AG123" s="106">
        <v>35.666824968502183</v>
      </c>
      <c r="AH123" s="106">
        <v>0</v>
      </c>
      <c r="AI123" s="106">
        <v>0</v>
      </c>
      <c r="AJ123" s="106">
        <v>2.6404224437559662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153.05731798495918</v>
      </c>
      <c r="AU123" s="106">
        <v>32.515178974524602</v>
      </c>
      <c r="AV123" s="106">
        <v>0</v>
      </c>
      <c r="AW123" s="106">
        <v>0</v>
      </c>
      <c r="AX123" s="106">
        <v>0</v>
      </c>
      <c r="AY123" s="106">
        <v>153.05731798495918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90.165435157043476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153.05731798495918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0.4088396521940601</v>
      </c>
      <c r="D172" s="134">
        <v>0.41180328899486285</v>
      </c>
      <c r="E172" s="134">
        <v>0.41180328899486285</v>
      </c>
      <c r="F172" s="134">
        <v>0.41180328899486285</v>
      </c>
      <c r="G172" s="134">
        <v>0.41180328899486285</v>
      </c>
      <c r="H172" s="134">
        <v>0.41180328899486285</v>
      </c>
      <c r="I172" s="134">
        <v>0.41180328899486285</v>
      </c>
      <c r="J172" s="134">
        <v>0.41180328899486285</v>
      </c>
      <c r="K172" s="134">
        <v>0.41180328899486285</v>
      </c>
      <c r="L172" s="134">
        <v>0.41180328899486285</v>
      </c>
      <c r="M172" s="134">
        <v>0.41180328899486285</v>
      </c>
      <c r="N172" s="134">
        <v>0.41180328899486285</v>
      </c>
      <c r="O172" s="134">
        <v>0.41180328899486285</v>
      </c>
      <c r="P172" s="134">
        <v>0.41180328899486285</v>
      </c>
      <c r="Q172" s="134">
        <v>0.41180328899486285</v>
      </c>
      <c r="R172" s="134">
        <v>0.41180328899486285</v>
      </c>
      <c r="S172" s="134">
        <v>0.41180328899486285</v>
      </c>
      <c r="T172" s="134">
        <v>0.41180328899486285</v>
      </c>
      <c r="U172" s="134">
        <v>0.41180328899486285</v>
      </c>
      <c r="V172" s="134">
        <v>0.41180328899486285</v>
      </c>
      <c r="W172" s="134">
        <v>0.41180328899486285</v>
      </c>
      <c r="X172" s="134">
        <v>0.41180328899486285</v>
      </c>
      <c r="Y172" s="134">
        <v>0.41180328899486285</v>
      </c>
      <c r="Z172" s="134">
        <v>0.41180328899486285</v>
      </c>
      <c r="AA172" s="134">
        <v>0.41180328899486285</v>
      </c>
      <c r="AB172" s="134">
        <v>0.41180328899486285</v>
      </c>
      <c r="AC172" s="134">
        <v>0.41180328899486285</v>
      </c>
      <c r="AD172" s="134">
        <v>0.41180328899486285</v>
      </c>
      <c r="AE172" s="134">
        <v>0.41180328899486285</v>
      </c>
      <c r="AF172" s="134">
        <v>0.41180328899486285</v>
      </c>
      <c r="AG172" s="134">
        <v>0.41180328899486285</v>
      </c>
      <c r="AH172" s="134">
        <v>0.41180328899486285</v>
      </c>
      <c r="AI172" s="134">
        <v>0.41180328899486285</v>
      </c>
      <c r="AJ172" s="134">
        <v>0.41180328899486285</v>
      </c>
      <c r="AK172" s="134">
        <v>0.41180328899486285</v>
      </c>
      <c r="AL172" s="134">
        <v>0.41180328899486285</v>
      </c>
      <c r="AM172" s="134">
        <v>0.41180328899486285</v>
      </c>
      <c r="AN172" s="134">
        <v>0.41180328899486285</v>
      </c>
      <c r="AO172" s="134">
        <v>0.41180328899486285</v>
      </c>
      <c r="AP172" s="134">
        <v>0.41180328899486285</v>
      </c>
      <c r="AQ172" s="134">
        <v>0.41180328899486285</v>
      </c>
      <c r="AR172" s="134">
        <v>0.41180328899486285</v>
      </c>
      <c r="AS172" s="134">
        <v>0.41180328899486285</v>
      </c>
      <c r="AT172" s="134">
        <v>0.41180328899486285</v>
      </c>
      <c r="AU172" s="134">
        <v>0.41180328899486285</v>
      </c>
      <c r="AV172" s="134">
        <v>0.41180328899486285</v>
      </c>
      <c r="AW172" s="134">
        <v>0.41180328899486285</v>
      </c>
      <c r="AX172" s="134">
        <v>0.41180328899486285</v>
      </c>
      <c r="AY172" s="134">
        <v>0.41180328899486285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731.75299623904471</v>
      </c>
      <c r="E175" s="124">
        <f t="shared" si="1"/>
        <v>742.90635327783775</v>
      </c>
      <c r="F175" s="124">
        <f t="shared" si="1"/>
        <v>743.0597103166308</v>
      </c>
      <c r="G175" s="124">
        <f t="shared" si="1"/>
        <v>778.21306735542385</v>
      </c>
      <c r="H175" s="124">
        <f t="shared" si="1"/>
        <v>781.36642439421701</v>
      </c>
      <c r="I175" s="124">
        <f t="shared" si="1"/>
        <v>818.51978143301005</v>
      </c>
      <c r="J175" s="124">
        <f t="shared" si="1"/>
        <v>828.6731384718031</v>
      </c>
      <c r="K175" s="124">
        <f t="shared" si="1"/>
        <v>851.82649551059626</v>
      </c>
      <c r="L175" s="124">
        <f t="shared" si="1"/>
        <v>860.6134281551723</v>
      </c>
      <c r="M175" s="124">
        <f t="shared" si="1"/>
        <v>860.6134281551723</v>
      </c>
      <c r="N175" s="124">
        <f t="shared" si="1"/>
        <v>860.6134281551723</v>
      </c>
      <c r="O175" s="124">
        <f t="shared" si="1"/>
        <v>860.6134281551723</v>
      </c>
      <c r="P175" s="124">
        <f t="shared" si="1"/>
        <v>645.46007111637925</v>
      </c>
      <c r="Q175" s="124">
        <f t="shared" si="1"/>
        <v>430.30671407758615</v>
      </c>
      <c r="R175" s="124">
        <f t="shared" si="1"/>
        <v>215.15335703879308</v>
      </c>
      <c r="S175" s="124">
        <f t="shared" si="1"/>
        <v>2.0704511270743591E-21</v>
      </c>
      <c r="T175" s="124">
        <f t="shared" si="1"/>
        <v>215.15335703879308</v>
      </c>
      <c r="U175" s="124">
        <f t="shared" si="1"/>
        <v>250.30671407758615</v>
      </c>
      <c r="V175" s="124">
        <f t="shared" si="1"/>
        <v>239.46007111637923</v>
      </c>
      <c r="W175" s="124">
        <f t="shared" si="1"/>
        <v>285.6134281551723</v>
      </c>
      <c r="X175" s="124">
        <f t="shared" si="1"/>
        <v>302.76678519396535</v>
      </c>
      <c r="Y175" s="124">
        <f t="shared" si="1"/>
        <v>315.92014223275845</v>
      </c>
      <c r="Z175" s="124">
        <f t="shared" si="1"/>
        <v>351.07349927155155</v>
      </c>
      <c r="AA175" s="124">
        <f t="shared" si="1"/>
        <v>374.2268563103446</v>
      </c>
      <c r="AB175" s="124">
        <f t="shared" si="1"/>
        <v>419.38021334913765</v>
      </c>
      <c r="AC175" s="124">
        <f t="shared" si="1"/>
        <v>426.53357038793075</v>
      </c>
      <c r="AD175" s="124">
        <f t="shared" si="1"/>
        <v>472.68692742672386</v>
      </c>
      <c r="AE175" s="124">
        <f t="shared" si="1"/>
        <v>454.8402844655169</v>
      </c>
      <c r="AF175" s="124">
        <f t="shared" si="1"/>
        <v>430.99364150430995</v>
      </c>
      <c r="AG175" s="124">
        <f t="shared" si="1"/>
        <v>435.14699854310305</v>
      </c>
      <c r="AH175" s="124">
        <f t="shared" si="1"/>
        <v>472.30035558189616</v>
      </c>
      <c r="AI175" s="124">
        <f t="shared" si="1"/>
        <v>494.4537126206892</v>
      </c>
      <c r="AJ175" s="124">
        <f t="shared" si="1"/>
        <v>509.60706965948225</v>
      </c>
      <c r="AK175" s="124">
        <f t="shared" si="1"/>
        <v>514.7604266982753</v>
      </c>
      <c r="AL175" s="124">
        <f t="shared" si="1"/>
        <v>503.91378373706846</v>
      </c>
      <c r="AM175" s="124">
        <f t="shared" si="1"/>
        <v>495.0671407758615</v>
      </c>
      <c r="AN175" s="124">
        <f t="shared" si="1"/>
        <v>539.22049781465455</v>
      </c>
      <c r="AO175" s="124">
        <f t="shared" si="1"/>
        <v>578.37385485344771</v>
      </c>
      <c r="AP175" s="124">
        <f t="shared" si="1"/>
        <v>596.52721189224076</v>
      </c>
      <c r="AQ175" s="124">
        <f t="shared" si="1"/>
        <v>648.6805689310338</v>
      </c>
      <c r="AR175" s="124">
        <f t="shared" si="1"/>
        <v>660.83392596982685</v>
      </c>
      <c r="AS175" s="124">
        <f t="shared" si="1"/>
        <v>701.98728300862001</v>
      </c>
      <c r="AT175" s="124">
        <f t="shared" si="1"/>
        <v>671.14064004741306</v>
      </c>
      <c r="AU175" s="124">
        <f t="shared" si="1"/>
        <v>573.64382980926644</v>
      </c>
      <c r="AV175" s="124">
        <f t="shared" si="1"/>
        <v>598.79718684805948</v>
      </c>
      <c r="AW175" s="124">
        <f t="shared" si="1"/>
        <v>631.95054388685264</v>
      </c>
      <c r="AX175" s="124">
        <f t="shared" si="1"/>
        <v>627.10390092564569</v>
      </c>
      <c r="AY175" s="124">
        <f t="shared" si="1"/>
        <v>684.25725796443885</v>
      </c>
    </row>
    <row r="176" spans="1:52">
      <c r="A176" s="125"/>
      <c r="B176" s="136" t="s">
        <v>299</v>
      </c>
      <c r="C176" s="125" t="s">
        <v>293</v>
      </c>
      <c r="D176" s="125">
        <v>204</v>
      </c>
      <c r="E176" s="125">
        <v>215</v>
      </c>
      <c r="F176" s="125">
        <v>180</v>
      </c>
      <c r="G176" s="125">
        <v>212</v>
      </c>
      <c r="H176" s="125">
        <v>178</v>
      </c>
      <c r="I176" s="125">
        <v>205</v>
      </c>
      <c r="J176" s="125">
        <v>192</v>
      </c>
      <c r="K176" s="125">
        <v>177</v>
      </c>
      <c r="L176" s="125">
        <v>183</v>
      </c>
      <c r="M176" s="125">
        <v>211</v>
      </c>
      <c r="N176" s="125">
        <v>209</v>
      </c>
      <c r="O176" s="125">
        <v>167</v>
      </c>
      <c r="P176" s="125">
        <v>183</v>
      </c>
      <c r="Q176" s="125">
        <v>210</v>
      </c>
      <c r="R176" s="125">
        <v>197</v>
      </c>
      <c r="S176" s="125">
        <v>2.0704511270743591E-21</v>
      </c>
      <c r="T176" s="125">
        <v>180</v>
      </c>
      <c r="U176" s="125">
        <v>226</v>
      </c>
      <c r="V176" s="125">
        <v>169</v>
      </c>
      <c r="W176" s="125">
        <v>198</v>
      </c>
      <c r="X176" s="125">
        <v>202</v>
      </c>
      <c r="Y176" s="125">
        <v>180</v>
      </c>
      <c r="Z176" s="125">
        <v>192</v>
      </c>
      <c r="AA176" s="125">
        <v>170</v>
      </c>
      <c r="AB176" s="125">
        <v>208</v>
      </c>
      <c r="AC176" s="125">
        <v>169</v>
      </c>
      <c r="AD176" s="125">
        <v>233</v>
      </c>
      <c r="AE176" s="125">
        <v>239</v>
      </c>
      <c r="AF176" s="125">
        <v>211</v>
      </c>
      <c r="AG176" s="125">
        <v>178</v>
      </c>
      <c r="AH176" s="125">
        <v>193</v>
      </c>
      <c r="AI176" s="125">
        <v>200</v>
      </c>
      <c r="AJ176" s="125">
        <v>210</v>
      </c>
      <c r="AK176" s="125">
        <v>226</v>
      </c>
      <c r="AL176" s="125">
        <v>224</v>
      </c>
      <c r="AM176" s="125">
        <v>171</v>
      </c>
      <c r="AN176" s="125">
        <v>176</v>
      </c>
      <c r="AO176" s="125">
        <v>197</v>
      </c>
      <c r="AP176" s="125">
        <v>163</v>
      </c>
      <c r="AQ176" s="125">
        <v>203</v>
      </c>
      <c r="AR176" s="125">
        <v>174</v>
      </c>
      <c r="AS176" s="125">
        <v>246</v>
      </c>
      <c r="AT176" s="125">
        <v>184</v>
      </c>
      <c r="AU176" s="125">
        <v>190</v>
      </c>
      <c r="AV176" s="125">
        <v>182</v>
      </c>
      <c r="AW176" s="125">
        <v>220</v>
      </c>
      <c r="AX176" s="125">
        <v>158</v>
      </c>
      <c r="AY176" s="125">
        <v>189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154.07451359522716</v>
      </c>
      <c r="E177" s="124">
        <f t="shared" si="2"/>
        <v>153.2586411720383</v>
      </c>
      <c r="F177" s="124">
        <f t="shared" si="2"/>
        <v>99.939205051147496</v>
      </c>
      <c r="G177" s="124">
        <f t="shared" si="2"/>
        <v>124.70458258599615</v>
      </c>
      <c r="H177" s="124">
        <f t="shared" si="2"/>
        <v>235.13213587897124</v>
      </c>
      <c r="I177" s="124">
        <f t="shared" si="2"/>
        <v>146.51728234407659</v>
      </c>
      <c r="J177" s="124">
        <f t="shared" si="2"/>
        <v>187.32998210215703</v>
      </c>
      <c r="K177" s="124">
        <f t="shared" si="2"/>
        <v>124.70458258599615</v>
      </c>
      <c r="L177" s="124">
        <f t="shared" si="2"/>
        <v>235.13213587897124</v>
      </c>
      <c r="M177" s="124">
        <f t="shared" si="2"/>
        <v>189.39077705100954</v>
      </c>
      <c r="N177" s="124">
        <f t="shared" si="2"/>
        <v>183.64941822304783</v>
      </c>
      <c r="O177" s="124">
        <f t="shared" si="2"/>
        <v>71.38514646510535</v>
      </c>
      <c r="P177" s="124">
        <f t="shared" si="2"/>
        <v>153.2586411720383</v>
      </c>
      <c r="Q177" s="124">
        <f t="shared" si="2"/>
        <v>235.13213587897124</v>
      </c>
      <c r="R177" s="124">
        <f t="shared" si="2"/>
        <v>98.132135878971241</v>
      </c>
      <c r="S177" s="124">
        <f t="shared" si="2"/>
        <v>1.5884440129704732E-21</v>
      </c>
      <c r="T177" s="124">
        <f t="shared" si="2"/>
        <v>7.942220064852366E-22</v>
      </c>
      <c r="U177" s="124">
        <f t="shared" si="2"/>
        <v>7.942220064852366E-22</v>
      </c>
      <c r="V177" s="124">
        <f t="shared" si="2"/>
        <v>153.2586411720383</v>
      </c>
      <c r="W177" s="124">
        <f t="shared" si="2"/>
        <v>163.51728234407659</v>
      </c>
      <c r="X177" s="124">
        <f t="shared" si="2"/>
        <v>153.2586411720383</v>
      </c>
      <c r="Y177" s="124">
        <f t="shared" si="2"/>
        <v>153.2586411720383</v>
      </c>
      <c r="Z177" s="124">
        <f t="shared" si="2"/>
        <v>153.2586411720383</v>
      </c>
      <c r="AA177" s="124">
        <f t="shared" si="2"/>
        <v>0</v>
      </c>
      <c r="AB177" s="124">
        <f t="shared" si="2"/>
        <v>153.2586411720383</v>
      </c>
      <c r="AC177" s="124">
        <f t="shared" si="2"/>
        <v>153.2586411720383</v>
      </c>
      <c r="AD177" s="124">
        <f t="shared" si="2"/>
        <v>153.2586411720383</v>
      </c>
      <c r="AE177" s="124">
        <f t="shared" si="2"/>
        <v>14.277029293021069</v>
      </c>
      <c r="AF177" s="124">
        <f t="shared" si="2"/>
        <v>292.24025305105556</v>
      </c>
      <c r="AG177" s="124">
        <f t="shared" si="2"/>
        <v>109.51728234407661</v>
      </c>
      <c r="AH177" s="124">
        <f t="shared" si="2"/>
        <v>153.2586411720383</v>
      </c>
      <c r="AI177" s="124">
        <f t="shared" si="2"/>
        <v>292.24025305105556</v>
      </c>
      <c r="AJ177" s="124">
        <f t="shared" si="2"/>
        <v>238.49889422309383</v>
      </c>
      <c r="AK177" s="124">
        <f t="shared" si="2"/>
        <v>177.75753539513212</v>
      </c>
      <c r="AL177" s="124">
        <f t="shared" si="2"/>
        <v>153.2586411720383</v>
      </c>
      <c r="AM177" s="124">
        <f t="shared" si="2"/>
        <v>153.2586411720383</v>
      </c>
      <c r="AN177" s="124">
        <f t="shared" si="2"/>
        <v>153.2586411720383</v>
      </c>
      <c r="AO177" s="124">
        <f t="shared" si="2"/>
        <v>153.2586411720383</v>
      </c>
      <c r="AP177" s="124">
        <f t="shared" si="2"/>
        <v>153.2586411720383</v>
      </c>
      <c r="AQ177" s="124">
        <f t="shared" si="2"/>
        <v>153.2586411720383</v>
      </c>
      <c r="AR177" s="124">
        <f t="shared" si="2"/>
        <v>153.2586411720383</v>
      </c>
      <c r="AS177" s="124">
        <f t="shared" si="2"/>
        <v>14.277029293021069</v>
      </c>
      <c r="AT177" s="124">
        <f t="shared" si="2"/>
        <v>292.24025305105556</v>
      </c>
      <c r="AU177" s="124">
        <f t="shared" si="2"/>
        <v>265.49889422309383</v>
      </c>
      <c r="AV177" s="124">
        <f t="shared" si="2"/>
        <v>92.498894223093828</v>
      </c>
      <c r="AW177" s="124">
        <f t="shared" si="2"/>
        <v>153.2586411720383</v>
      </c>
      <c r="AX177" s="124">
        <f t="shared" si="2"/>
        <v>14.277029293021069</v>
      </c>
      <c r="AY177" s="124">
        <f t="shared" si="2"/>
        <v>292.24025305105556</v>
      </c>
    </row>
    <row r="178" spans="1:51">
      <c r="A178" s="125"/>
      <c r="B178" s="136" t="s">
        <v>299</v>
      </c>
      <c r="C178" s="125" t="s">
        <v>293</v>
      </c>
      <c r="D178" s="125">
        <v>154.07451359522716</v>
      </c>
      <c r="E178" s="125">
        <v>153.2586411720383</v>
      </c>
      <c r="F178" s="125">
        <v>99.939205051147496</v>
      </c>
      <c r="G178" s="125">
        <v>124.70458258599615</v>
      </c>
      <c r="H178" s="125">
        <v>160</v>
      </c>
      <c r="I178" s="125">
        <v>141</v>
      </c>
      <c r="J178" s="125">
        <v>187.32998210215703</v>
      </c>
      <c r="K178" s="125">
        <v>124.70458258599615</v>
      </c>
      <c r="L178" s="125">
        <v>199</v>
      </c>
      <c r="M178" s="125">
        <v>159</v>
      </c>
      <c r="N178" s="125">
        <v>183.64941822304783</v>
      </c>
      <c r="O178" s="125">
        <v>71.38514646510535</v>
      </c>
      <c r="P178" s="125">
        <v>153.2586411720383</v>
      </c>
      <c r="Q178" s="125">
        <v>137</v>
      </c>
      <c r="R178" s="125">
        <v>98.132135878971241</v>
      </c>
      <c r="S178" s="125">
        <v>1.5884440129704732E-21</v>
      </c>
      <c r="T178" s="125">
        <v>7.942220064852366E-22</v>
      </c>
      <c r="U178" s="125">
        <v>7.942220064852366E-22</v>
      </c>
      <c r="V178" s="125">
        <v>143</v>
      </c>
      <c r="W178" s="125">
        <v>163.51728234407659</v>
      </c>
      <c r="X178" s="125">
        <v>153.2586411720383</v>
      </c>
      <c r="Y178" s="125">
        <v>153.2586411720383</v>
      </c>
      <c r="Z178" s="125">
        <v>153.2586411720383</v>
      </c>
      <c r="AA178" s="125">
        <v>0</v>
      </c>
      <c r="AB178" s="125">
        <v>153.2586411720383</v>
      </c>
      <c r="AC178" s="125">
        <v>153.2586411720383</v>
      </c>
      <c r="AD178" s="125">
        <v>153.2586411720383</v>
      </c>
      <c r="AE178" s="125">
        <v>14.277029293021069</v>
      </c>
      <c r="AF178" s="125">
        <v>197</v>
      </c>
      <c r="AG178" s="125">
        <v>109.51728234407661</v>
      </c>
      <c r="AH178" s="125">
        <v>153.2586411720383</v>
      </c>
      <c r="AI178" s="125">
        <v>207</v>
      </c>
      <c r="AJ178" s="125">
        <v>214</v>
      </c>
      <c r="AK178" s="125">
        <v>177.75753539513212</v>
      </c>
      <c r="AL178" s="125">
        <v>153.2586411720383</v>
      </c>
      <c r="AM178" s="125">
        <v>153.2586411720383</v>
      </c>
      <c r="AN178" s="125">
        <v>153.2586411720383</v>
      </c>
      <c r="AO178" s="125">
        <v>153.2586411720383</v>
      </c>
      <c r="AP178" s="125">
        <v>153.2586411720383</v>
      </c>
      <c r="AQ178" s="125">
        <v>153.2586411720383</v>
      </c>
      <c r="AR178" s="125">
        <v>153.2586411720383</v>
      </c>
      <c r="AS178" s="125">
        <v>14.277029293021069</v>
      </c>
      <c r="AT178" s="125">
        <v>180</v>
      </c>
      <c r="AU178" s="125">
        <v>173</v>
      </c>
      <c r="AV178" s="125">
        <v>92.498894223093828</v>
      </c>
      <c r="AW178" s="125">
        <v>153.2586411720383</v>
      </c>
      <c r="AX178" s="125">
        <v>14.277029293021069</v>
      </c>
      <c r="AY178" s="125">
        <v>198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48.721656214613368</v>
      </c>
      <c r="E179" s="124">
        <f t="shared" si="3"/>
        <v>99.422001738427511</v>
      </c>
      <c r="F179" s="124">
        <f t="shared" si="3"/>
        <v>93.017699501491578</v>
      </c>
      <c r="G179" s="124">
        <f t="shared" si="3"/>
        <v>68.836818849975643</v>
      </c>
      <c r="H179" s="124">
        <f t="shared" si="3"/>
        <v>80.068157401683976</v>
      </c>
      <c r="I179" s="124">
        <f t="shared" si="3"/>
        <v>130.14812225281511</v>
      </c>
      <c r="J179" s="124">
        <f t="shared" si="3"/>
        <v>55.887276750168034</v>
      </c>
      <c r="K179" s="124">
        <f t="shared" si="3"/>
        <v>105.96724160129918</v>
      </c>
      <c r="L179" s="124">
        <f t="shared" si="3"/>
        <v>80.068157401683976</v>
      </c>
      <c r="M179" s="124">
        <f t="shared" si="3"/>
        <v>130.14812225281511</v>
      </c>
      <c r="N179" s="124">
        <f t="shared" si="3"/>
        <v>98.838012799138639</v>
      </c>
      <c r="O179" s="124">
        <f t="shared" si="3"/>
        <v>98.857585127608104</v>
      </c>
      <c r="P179" s="124">
        <f t="shared" si="3"/>
        <v>55.887276750168034</v>
      </c>
      <c r="Q179" s="124">
        <f t="shared" si="3"/>
        <v>93.017699501491563</v>
      </c>
      <c r="R179" s="124">
        <f t="shared" si="3"/>
        <v>130.14812225281511</v>
      </c>
      <c r="S179" s="124">
        <f t="shared" si="3"/>
        <v>32.169438772179966</v>
      </c>
      <c r="T179" s="124">
        <f t="shared" si="3"/>
        <v>23.513421500648995</v>
      </c>
      <c r="U179" s="124">
        <f t="shared" si="3"/>
        <v>23.513421500648995</v>
      </c>
      <c r="V179" s="124">
        <f t="shared" si="3"/>
        <v>23.513421500648995</v>
      </c>
      <c r="W179" s="124">
        <f t="shared" si="3"/>
        <v>93.017699501491578</v>
      </c>
      <c r="X179" s="124">
        <f t="shared" si="3"/>
        <v>93.017699501491578</v>
      </c>
      <c r="Y179" s="124">
        <f t="shared" si="3"/>
        <v>93.017699501491578</v>
      </c>
      <c r="Z179" s="124">
        <f t="shared" si="3"/>
        <v>93.017699501491578</v>
      </c>
      <c r="AA179" s="124">
        <f t="shared" si="3"/>
        <v>93.017699501491578</v>
      </c>
      <c r="AB179" s="124">
        <f t="shared" si="3"/>
        <v>23.513421500648995</v>
      </c>
      <c r="AC179" s="124">
        <f t="shared" si="3"/>
        <v>93.017699501491578</v>
      </c>
      <c r="AD179" s="124">
        <f t="shared" si="3"/>
        <v>93.017699501491563</v>
      </c>
      <c r="AE179" s="124">
        <f t="shared" si="3"/>
        <v>93.017699501491578</v>
      </c>
      <c r="AF179" s="124">
        <f t="shared" si="3"/>
        <v>29.9881925505528</v>
      </c>
      <c r="AG179" s="124">
        <f t="shared" si="3"/>
        <v>156.04720645243034</v>
      </c>
      <c r="AH179" s="124">
        <f t="shared" si="3"/>
        <v>60.754166942849992</v>
      </c>
      <c r="AI179" s="124">
        <f t="shared" si="3"/>
        <v>93.017699501491578</v>
      </c>
      <c r="AJ179" s="124">
        <f t="shared" si="3"/>
        <v>156.04720645243032</v>
      </c>
      <c r="AK179" s="124">
        <f t="shared" si="3"/>
        <v>94.105034148166141</v>
      </c>
      <c r="AL179" s="124">
        <f t="shared" si="3"/>
        <v>93.017699501491563</v>
      </c>
      <c r="AM179" s="124">
        <f t="shared" si="3"/>
        <v>93.017699501491578</v>
      </c>
      <c r="AN179" s="124">
        <f t="shared" si="3"/>
        <v>93.017699501491563</v>
      </c>
      <c r="AO179" s="124">
        <f t="shared" si="3"/>
        <v>93.017699501491578</v>
      </c>
      <c r="AP179" s="124">
        <f t="shared" si="3"/>
        <v>93.017699501491563</v>
      </c>
      <c r="AQ179" s="124">
        <f t="shared" si="3"/>
        <v>93.017699501491578</v>
      </c>
      <c r="AR179" s="124">
        <f t="shared" si="3"/>
        <v>93.017699501491563</v>
      </c>
      <c r="AS179" s="124">
        <f t="shared" si="3"/>
        <v>93.017699501491578</v>
      </c>
      <c r="AT179" s="124">
        <f t="shared" si="3"/>
        <v>29.9881925505528</v>
      </c>
      <c r="AU179" s="124">
        <f t="shared" si="3"/>
        <v>156.04720645243034</v>
      </c>
      <c r="AV179" s="124">
        <f t="shared" si="3"/>
        <v>106.40755714545742</v>
      </c>
      <c r="AW179" s="124">
        <f t="shared" si="3"/>
        <v>23.513421500648995</v>
      </c>
      <c r="AX179" s="124">
        <f t="shared" si="3"/>
        <v>93.017699501491578</v>
      </c>
      <c r="AY179" s="124">
        <f t="shared" si="3"/>
        <v>29.9881925505528</v>
      </c>
    </row>
    <row r="180" spans="1:51">
      <c r="A180" s="125"/>
      <c r="B180" s="136" t="s">
        <v>299</v>
      </c>
      <c r="C180" s="125" t="s">
        <v>293</v>
      </c>
      <c r="D180" s="125">
        <v>48.721656214613368</v>
      </c>
      <c r="E180" s="125">
        <v>99.422001738427511</v>
      </c>
      <c r="F180" s="125">
        <v>93.017699501491578</v>
      </c>
      <c r="G180" s="125">
        <v>68.836818849975643</v>
      </c>
      <c r="H180" s="125">
        <v>80.068157401683976</v>
      </c>
      <c r="I180" s="125">
        <v>130.14812225281511</v>
      </c>
      <c r="J180" s="125">
        <v>55.887276750168034</v>
      </c>
      <c r="K180" s="125">
        <v>105.96724160129918</v>
      </c>
      <c r="L180" s="125">
        <v>80.068157401683976</v>
      </c>
      <c r="M180" s="125">
        <v>130.14812225281511</v>
      </c>
      <c r="N180" s="125">
        <v>98.838012799138639</v>
      </c>
      <c r="O180" s="125">
        <v>98.857585127608104</v>
      </c>
      <c r="P180" s="125">
        <v>55.887276750168034</v>
      </c>
      <c r="Q180" s="125">
        <v>93.017699501491563</v>
      </c>
      <c r="R180" s="125">
        <v>122.79164177013473</v>
      </c>
      <c r="S180" s="125">
        <v>32.169438772179966</v>
      </c>
      <c r="T180" s="125">
        <v>23.513421500648995</v>
      </c>
      <c r="U180" s="125">
        <v>23.513421500648995</v>
      </c>
      <c r="V180" s="125">
        <v>23.513421500648995</v>
      </c>
      <c r="W180" s="125">
        <v>93.017699501491578</v>
      </c>
      <c r="X180" s="125">
        <v>93.017699501491578</v>
      </c>
      <c r="Y180" s="125">
        <v>93.017699501491578</v>
      </c>
      <c r="Z180" s="125">
        <v>93.017699501491578</v>
      </c>
      <c r="AA180" s="125">
        <v>93.017699501491578</v>
      </c>
      <c r="AB180" s="125">
        <v>23.513421500648995</v>
      </c>
      <c r="AC180" s="125">
        <v>93.017699501491578</v>
      </c>
      <c r="AD180" s="125">
        <v>93.017699501491563</v>
      </c>
      <c r="AE180" s="125">
        <v>93.017699501491578</v>
      </c>
      <c r="AF180" s="125">
        <v>29.9881925505528</v>
      </c>
      <c r="AG180" s="125">
        <v>139.96894789016645</v>
      </c>
      <c r="AH180" s="125">
        <v>60.754166942849992</v>
      </c>
      <c r="AI180" s="125">
        <v>93.017699501491578</v>
      </c>
      <c r="AJ180" s="125">
        <v>156.04720645243032</v>
      </c>
      <c r="AK180" s="125">
        <v>94.105034148166141</v>
      </c>
      <c r="AL180" s="125">
        <v>93.017699501491563</v>
      </c>
      <c r="AM180" s="125">
        <v>93.017699501491578</v>
      </c>
      <c r="AN180" s="125">
        <v>93.017699501491563</v>
      </c>
      <c r="AO180" s="125">
        <v>93.017699501491578</v>
      </c>
      <c r="AP180" s="125">
        <v>93.017699501491563</v>
      </c>
      <c r="AQ180" s="125">
        <v>93.017699501491578</v>
      </c>
      <c r="AR180" s="125">
        <v>93.017699501491563</v>
      </c>
      <c r="AS180" s="125">
        <v>93.017699501491578</v>
      </c>
      <c r="AT180" s="125">
        <v>29.9881925505528</v>
      </c>
      <c r="AU180" s="125">
        <v>156.04720645243034</v>
      </c>
      <c r="AV180" s="125">
        <v>106.40755714545742</v>
      </c>
      <c r="AW180" s="125">
        <v>23.513421500648995</v>
      </c>
      <c r="AX180" s="125">
        <v>93.017699501491578</v>
      </c>
      <c r="AY180" s="125">
        <v>29.9881925505528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142.00880854261368</v>
      </c>
      <c r="E181" s="124">
        <f t="shared" si="4"/>
        <v>132.86126258385482</v>
      </c>
      <c r="F181" s="124">
        <f t="shared" si="4"/>
        <v>98.322649492285123</v>
      </c>
      <c r="G181" s="124">
        <f t="shared" si="4"/>
        <v>114.36486326970461</v>
      </c>
      <c r="H181" s="124">
        <f t="shared" si="4"/>
        <v>185.89627498957478</v>
      </c>
      <c r="I181" s="124">
        <f t="shared" si="4"/>
        <v>79.826250178134899</v>
      </c>
      <c r="J181" s="124">
        <f t="shared" si="4"/>
        <v>151.35766189800506</v>
      </c>
      <c r="K181" s="124">
        <f t="shared" si="4"/>
        <v>114.36486326970461</v>
      </c>
      <c r="L181" s="124">
        <f t="shared" si="4"/>
        <v>185.89627498957478</v>
      </c>
      <c r="M181" s="124">
        <f t="shared" si="4"/>
        <v>141.17467151036337</v>
      </c>
      <c r="N181" s="124">
        <f t="shared" si="4"/>
        <v>141.20262752611194</v>
      </c>
      <c r="O181" s="124">
        <f t="shared" si="4"/>
        <v>79.826250178134899</v>
      </c>
      <c r="P181" s="124">
        <f t="shared" si="4"/>
        <v>132.86126258385482</v>
      </c>
      <c r="Q181" s="124">
        <f t="shared" si="4"/>
        <v>185.89627498957478</v>
      </c>
      <c r="R181" s="124">
        <f t="shared" si="4"/>
        <v>35.441437322695542</v>
      </c>
      <c r="S181" s="124">
        <f t="shared" si="4"/>
        <v>33.585251892759281</v>
      </c>
      <c r="T181" s="124">
        <f t="shared" si="4"/>
        <v>33.585251892759281</v>
      </c>
      <c r="U181" s="124">
        <f t="shared" si="4"/>
        <v>33.585251892759281</v>
      </c>
      <c r="V181" s="124">
        <f t="shared" si="4"/>
        <v>132.86126258385482</v>
      </c>
      <c r="W181" s="124">
        <f t="shared" si="4"/>
        <v>132.86126258385482</v>
      </c>
      <c r="X181" s="124">
        <f t="shared" si="4"/>
        <v>132.86126258385482</v>
      </c>
      <c r="Y181" s="124">
        <f t="shared" si="4"/>
        <v>132.86126258385482</v>
      </c>
      <c r="Z181" s="124">
        <f t="shared" si="4"/>
        <v>132.86126258385482</v>
      </c>
      <c r="AA181" s="124">
        <f t="shared" si="4"/>
        <v>33.585251892759281</v>
      </c>
      <c r="AB181" s="124">
        <f t="shared" si="4"/>
        <v>132.86126258385482</v>
      </c>
      <c r="AC181" s="124">
        <f t="shared" si="4"/>
        <v>132.86126258385482</v>
      </c>
      <c r="AD181" s="124">
        <f t="shared" si="4"/>
        <v>132.86126258385482</v>
      </c>
      <c r="AE181" s="124">
        <f t="shared" si="4"/>
        <v>42.8334515498344</v>
      </c>
      <c r="AF181" s="124">
        <f t="shared" si="4"/>
        <v>222.88907361787525</v>
      </c>
      <c r="AG181" s="124">
        <f t="shared" si="4"/>
        <v>63.812560688303293</v>
      </c>
      <c r="AH181" s="124">
        <f t="shared" si="4"/>
        <v>132.86126258385482</v>
      </c>
      <c r="AI181" s="124">
        <f t="shared" si="4"/>
        <v>222.88907361787523</v>
      </c>
      <c r="AJ181" s="124">
        <f t="shared" si="4"/>
        <v>134.41435038093624</v>
      </c>
      <c r="AK181" s="124">
        <f t="shared" si="4"/>
        <v>132.86126258385482</v>
      </c>
      <c r="AL181" s="124">
        <f t="shared" si="4"/>
        <v>132.86126258385482</v>
      </c>
      <c r="AM181" s="124">
        <f t="shared" si="4"/>
        <v>132.86126258385482</v>
      </c>
      <c r="AN181" s="124">
        <f t="shared" si="4"/>
        <v>132.86126258385482</v>
      </c>
      <c r="AO181" s="124">
        <f t="shared" si="4"/>
        <v>132.86126258385482</v>
      </c>
      <c r="AP181" s="124">
        <f t="shared" si="4"/>
        <v>132.86126258385482</v>
      </c>
      <c r="AQ181" s="124">
        <f t="shared" si="4"/>
        <v>132.86126258385482</v>
      </c>
      <c r="AR181" s="124">
        <f t="shared" si="4"/>
        <v>132.86126258385482</v>
      </c>
      <c r="AS181" s="124">
        <f t="shared" si="4"/>
        <v>42.8334515498344</v>
      </c>
      <c r="AT181" s="124">
        <f t="shared" si="4"/>
        <v>222.88907361787525</v>
      </c>
      <c r="AU181" s="124">
        <f t="shared" si="4"/>
        <v>151.98658391441359</v>
      </c>
      <c r="AV181" s="124">
        <f t="shared" si="4"/>
        <v>33.585251892759281</v>
      </c>
      <c r="AW181" s="124">
        <f t="shared" si="4"/>
        <v>132.86126258385482</v>
      </c>
      <c r="AX181" s="124">
        <f t="shared" si="4"/>
        <v>42.8334515498344</v>
      </c>
      <c r="AY181" s="124">
        <f t="shared" si="4"/>
        <v>222.88907361787525</v>
      </c>
    </row>
    <row r="182" spans="1:51">
      <c r="A182" s="125"/>
      <c r="B182" s="136" t="s">
        <v>299</v>
      </c>
      <c r="C182" s="125" t="s">
        <v>293</v>
      </c>
      <c r="D182" s="125">
        <v>142.00880854261368</v>
      </c>
      <c r="E182" s="125">
        <v>132.86126258385482</v>
      </c>
      <c r="F182" s="125">
        <v>98.322649492285123</v>
      </c>
      <c r="G182" s="125">
        <v>114.36486326970461</v>
      </c>
      <c r="H182" s="125">
        <v>185.89627498957478</v>
      </c>
      <c r="I182" s="125">
        <v>79.826250178134899</v>
      </c>
      <c r="J182" s="125">
        <v>151.35766189800506</v>
      </c>
      <c r="K182" s="125">
        <v>114.36486326970461</v>
      </c>
      <c r="L182" s="125">
        <v>171.76255276541914</v>
      </c>
      <c r="M182" s="125">
        <v>126.9934209419897</v>
      </c>
      <c r="N182" s="125">
        <v>141.20262752611194</v>
      </c>
      <c r="O182" s="125">
        <v>79.826250178134899</v>
      </c>
      <c r="P182" s="125">
        <v>132.86126258385482</v>
      </c>
      <c r="Q182" s="125">
        <v>182.7405527707879</v>
      </c>
      <c r="R182" s="125">
        <v>35.441437322695542</v>
      </c>
      <c r="S182" s="125">
        <v>33.585251892759281</v>
      </c>
      <c r="T182" s="125">
        <v>33.585251892759281</v>
      </c>
      <c r="U182" s="125">
        <v>33.585251892759281</v>
      </c>
      <c r="V182" s="125">
        <v>132.86126258385482</v>
      </c>
      <c r="W182" s="125">
        <v>132.86126258385482</v>
      </c>
      <c r="X182" s="125">
        <v>132.86126258385482</v>
      </c>
      <c r="Y182" s="125">
        <v>132.86126258385482</v>
      </c>
      <c r="Z182" s="125">
        <v>132.86126258385482</v>
      </c>
      <c r="AA182" s="125">
        <v>33.585251892759281</v>
      </c>
      <c r="AB182" s="125">
        <v>132.86126258385482</v>
      </c>
      <c r="AC182" s="125">
        <v>132.86126258385482</v>
      </c>
      <c r="AD182" s="125">
        <v>132.86126258385482</v>
      </c>
      <c r="AE182" s="125">
        <v>42.8334515498344</v>
      </c>
      <c r="AF182" s="125">
        <v>187.22224864937306</v>
      </c>
      <c r="AG182" s="125">
        <v>63.812560688303293</v>
      </c>
      <c r="AH182" s="125">
        <v>132.86126258385482</v>
      </c>
      <c r="AI182" s="125">
        <v>220.24865117411929</v>
      </c>
      <c r="AJ182" s="125">
        <v>134.41435038093624</v>
      </c>
      <c r="AK182" s="125">
        <v>132.86126258385482</v>
      </c>
      <c r="AL182" s="125">
        <v>132.86126258385482</v>
      </c>
      <c r="AM182" s="125">
        <v>132.86126258385482</v>
      </c>
      <c r="AN182" s="125">
        <v>132.86126258385482</v>
      </c>
      <c r="AO182" s="125">
        <v>132.86126258385482</v>
      </c>
      <c r="AP182" s="125">
        <v>132.86126258385482</v>
      </c>
      <c r="AQ182" s="125">
        <v>132.86126258385482</v>
      </c>
      <c r="AR182" s="125">
        <v>132.86126258385482</v>
      </c>
      <c r="AS182" s="125">
        <v>42.8334515498344</v>
      </c>
      <c r="AT182" s="125">
        <v>190.37389464335064</v>
      </c>
      <c r="AU182" s="125">
        <v>151.98658391441359</v>
      </c>
      <c r="AV182" s="125">
        <v>33.585251892759281</v>
      </c>
      <c r="AW182" s="125">
        <v>132.86126258385482</v>
      </c>
      <c r="AX182" s="125">
        <v>42.8334515498344</v>
      </c>
      <c r="AY182" s="125">
        <v>181.91508813446501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5.1761278176858977E-22</v>
      </c>
      <c r="T185" s="124">
        <v>180</v>
      </c>
      <c r="U185" s="124">
        <v>190.84664296120692</v>
      </c>
      <c r="V185" s="124">
        <v>144.69328592241385</v>
      </c>
      <c r="W185" s="124">
        <v>127.53992888362077</v>
      </c>
      <c r="X185" s="124">
        <v>114.3865718448277</v>
      </c>
      <c r="Y185" s="124">
        <v>79.233214806034624</v>
      </c>
      <c r="Z185" s="124">
        <v>56.079857767241549</v>
      </c>
      <c r="AA185" s="124">
        <v>10.926500728448474</v>
      </c>
      <c r="AB185" s="124">
        <v>3.7731436896553987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5.1761278176858977E-22</v>
      </c>
      <c r="T186" s="106">
        <v>0</v>
      </c>
      <c r="U186" s="106">
        <v>35.153357038793075</v>
      </c>
      <c r="V186" s="106">
        <v>24.30671407758615</v>
      </c>
      <c r="W186" s="106">
        <v>70.460071116379225</v>
      </c>
      <c r="X186" s="106">
        <v>87.613428155172301</v>
      </c>
      <c r="Y186" s="106">
        <v>100.76678519396538</v>
      </c>
      <c r="Z186" s="106">
        <v>135.92014223275845</v>
      </c>
      <c r="AA186" s="106">
        <v>159.07349927155153</v>
      </c>
      <c r="AB186" s="106">
        <v>204.2268563103446</v>
      </c>
      <c r="AC186" s="106">
        <v>169</v>
      </c>
      <c r="AD186" s="106">
        <v>190.61978665086232</v>
      </c>
      <c r="AE186" s="106">
        <v>214.46642961206925</v>
      </c>
      <c r="AF186" s="106">
        <v>210.31307257327617</v>
      </c>
      <c r="AG186" s="106">
        <v>173.1597155344831</v>
      </c>
      <c r="AH186" s="106">
        <v>151.00635849569002</v>
      </c>
      <c r="AI186" s="106">
        <v>135.85300145689695</v>
      </c>
      <c r="AJ186" s="106">
        <v>130.69964441810387</v>
      </c>
      <c r="AK186" s="106">
        <v>141.5462873793108</v>
      </c>
      <c r="AL186" s="106">
        <v>150.39293034051772</v>
      </c>
      <c r="AM186" s="106">
        <v>106.23957330172465</v>
      </c>
      <c r="AN186" s="106">
        <v>67.086216262931572</v>
      </c>
      <c r="AO186" s="106">
        <v>48.932859224138497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18.35617019073355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117.26443851273953</v>
      </c>
      <c r="E187" s="106">
        <v>117.33239965624398</v>
      </c>
      <c r="F187" s="106">
        <v>82.400360799748427</v>
      </c>
      <c r="G187" s="106">
        <v>79.247003760955351</v>
      </c>
      <c r="H187" s="106">
        <v>42.093646722162276</v>
      </c>
      <c r="I187" s="106">
        <v>31.940289683369201</v>
      </c>
      <c r="J187" s="106">
        <v>8.786932644576126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5.1761278176858977E-22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42.380213349137676</v>
      </c>
      <c r="AE187" s="106">
        <v>24.533570387930752</v>
      </c>
      <c r="AF187" s="106">
        <v>0.68692742672382678</v>
      </c>
      <c r="AG187" s="106">
        <v>4.8402844655169019</v>
      </c>
      <c r="AH187" s="106">
        <v>41.993641504309977</v>
      </c>
      <c r="AI187" s="106">
        <v>64.146998543103052</v>
      </c>
      <c r="AJ187" s="106">
        <v>79.300355581896127</v>
      </c>
      <c r="AK187" s="106">
        <v>84.453712620689203</v>
      </c>
      <c r="AL187" s="106">
        <v>73.607069659482278</v>
      </c>
      <c r="AM187" s="106">
        <v>64.760426698275353</v>
      </c>
      <c r="AN187" s="106">
        <v>108.91378373706843</v>
      </c>
      <c r="AO187" s="106">
        <v>148.0671407758615</v>
      </c>
      <c r="AP187" s="106">
        <v>163</v>
      </c>
      <c r="AQ187" s="106">
        <v>199.77950218534542</v>
      </c>
      <c r="AR187" s="106">
        <v>158.62614514655235</v>
      </c>
      <c r="AS187" s="106">
        <v>189.47278810775927</v>
      </c>
      <c r="AT187" s="106">
        <v>158.3194310689662</v>
      </c>
      <c r="AU187" s="106">
        <v>133.16607403017312</v>
      </c>
      <c r="AV187" s="106">
        <v>100.01271699138005</v>
      </c>
      <c r="AW187" s="106">
        <v>86.50318976185342</v>
      </c>
      <c r="AX187" s="106">
        <v>158</v>
      </c>
      <c r="AY187" s="106">
        <v>150.20281315194046</v>
      </c>
    </row>
    <row r="188" spans="1:51">
      <c r="A188" s="128"/>
      <c r="B188" s="129">
        <v>4</v>
      </c>
      <c r="C188" s="106">
        <v>210</v>
      </c>
      <c r="D188" s="106">
        <v>86.735561487260469</v>
      </c>
      <c r="E188" s="106">
        <v>97.667600343756021</v>
      </c>
      <c r="F188" s="106">
        <v>97.599639200251573</v>
      </c>
      <c r="G188" s="106">
        <v>132.75299623904465</v>
      </c>
      <c r="H188" s="106">
        <v>135.90635327783772</v>
      </c>
      <c r="I188" s="106">
        <v>173.0597103166308</v>
      </c>
      <c r="J188" s="106">
        <v>183.21306735542387</v>
      </c>
      <c r="K188" s="106">
        <v>177</v>
      </c>
      <c r="L188" s="106">
        <v>183</v>
      </c>
      <c r="M188" s="106">
        <v>211</v>
      </c>
      <c r="N188" s="106">
        <v>209</v>
      </c>
      <c r="O188" s="106">
        <v>167</v>
      </c>
      <c r="P188" s="106">
        <v>183</v>
      </c>
      <c r="Q188" s="106">
        <v>210</v>
      </c>
      <c r="R188" s="106">
        <v>197</v>
      </c>
      <c r="S188" s="106">
        <v>5.1761278176858977E-22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3.2204978146545784</v>
      </c>
      <c r="AR188" s="106">
        <v>15.373854853447654</v>
      </c>
      <c r="AS188" s="106">
        <v>56.527211892240729</v>
      </c>
      <c r="AT188" s="106">
        <v>25.680568931033804</v>
      </c>
      <c r="AU188" s="106">
        <v>56.833925969826879</v>
      </c>
      <c r="AV188" s="106">
        <v>81.987283008619954</v>
      </c>
      <c r="AW188" s="106">
        <v>115.14064004741303</v>
      </c>
      <c r="AX188" s="106">
        <v>0</v>
      </c>
      <c r="AY188" s="106">
        <v>38.797186848059539</v>
      </c>
    </row>
    <row r="189" spans="1:51">
      <c r="A189" s="126" t="s">
        <v>133</v>
      </c>
      <c r="B189" s="123">
        <v>1</v>
      </c>
      <c r="C189" s="124">
        <v>62.176581577403596</v>
      </c>
      <c r="D189" s="124">
        <v>154.07451359522716</v>
      </c>
      <c r="E189" s="124">
        <v>153.2586411720383</v>
      </c>
      <c r="F189" s="124">
        <v>99.939205051147496</v>
      </c>
      <c r="G189" s="124">
        <v>71.38514646510535</v>
      </c>
      <c r="H189" s="124">
        <v>78.126505293067055</v>
      </c>
      <c r="I189" s="124">
        <v>65.867864121028759</v>
      </c>
      <c r="J189" s="124">
        <v>99.939205051147496</v>
      </c>
      <c r="K189" s="124">
        <v>71.38514646510535</v>
      </c>
      <c r="L189" s="124">
        <v>117.12650529306705</v>
      </c>
      <c r="M189" s="124">
        <v>122.86786412102876</v>
      </c>
      <c r="N189" s="124">
        <v>153.2586411720383</v>
      </c>
      <c r="O189" s="124">
        <v>71.38514646510535</v>
      </c>
      <c r="P189" s="124">
        <v>153.2586411720383</v>
      </c>
      <c r="Q189" s="124">
        <v>55.126505293067055</v>
      </c>
      <c r="R189" s="124">
        <v>0</v>
      </c>
      <c r="S189" s="124">
        <v>7.942220064852366E-22</v>
      </c>
      <c r="T189" s="124">
        <v>7.942220064852366E-22</v>
      </c>
      <c r="U189" s="124">
        <v>7.942220064852366E-22</v>
      </c>
      <c r="V189" s="124">
        <v>143</v>
      </c>
      <c r="W189" s="124">
        <v>153.2586411720383</v>
      </c>
      <c r="X189" s="124">
        <v>153.2586411720383</v>
      </c>
      <c r="Y189" s="124">
        <v>153.2586411720383</v>
      </c>
      <c r="Z189" s="124">
        <v>153.2586411720383</v>
      </c>
      <c r="AA189" s="124">
        <v>0</v>
      </c>
      <c r="AB189" s="124">
        <v>153.2586411720383</v>
      </c>
      <c r="AC189" s="124">
        <v>153.2586411720383</v>
      </c>
      <c r="AD189" s="124">
        <v>153.2586411720383</v>
      </c>
      <c r="AE189" s="124">
        <v>14.277029293021069</v>
      </c>
      <c r="AF189" s="124">
        <v>58.018388120982763</v>
      </c>
      <c r="AG189" s="124">
        <v>14.277029293021069</v>
      </c>
      <c r="AH189" s="124">
        <v>153.2586411720383</v>
      </c>
      <c r="AI189" s="124">
        <v>68.018388120982763</v>
      </c>
      <c r="AJ189" s="124">
        <v>128.75974694894447</v>
      </c>
      <c r="AK189" s="124">
        <v>153.2586411720383</v>
      </c>
      <c r="AL189" s="124">
        <v>153.2586411720383</v>
      </c>
      <c r="AM189" s="124">
        <v>153.2586411720383</v>
      </c>
      <c r="AN189" s="124">
        <v>153.2586411720383</v>
      </c>
      <c r="AO189" s="124">
        <v>153.2586411720383</v>
      </c>
      <c r="AP189" s="124">
        <v>153.2586411720383</v>
      </c>
      <c r="AQ189" s="124">
        <v>153.2586411720383</v>
      </c>
      <c r="AR189" s="124">
        <v>153.2586411720383</v>
      </c>
      <c r="AS189" s="124">
        <v>14.277029293021069</v>
      </c>
      <c r="AT189" s="124">
        <v>41.018388120982763</v>
      </c>
      <c r="AU189" s="124">
        <v>60.759746948944468</v>
      </c>
      <c r="AV189" s="124">
        <v>0</v>
      </c>
      <c r="AW189" s="124">
        <v>153.2586411720383</v>
      </c>
      <c r="AX189" s="124">
        <v>14.277029293021069</v>
      </c>
      <c r="AY189" s="124">
        <v>59.018388120982763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53.319436120890799</v>
      </c>
      <c r="H190" s="106">
        <v>81.873494706932945</v>
      </c>
      <c r="I190" s="106">
        <v>75.132135878971241</v>
      </c>
      <c r="J190" s="106">
        <v>87.390777051009536</v>
      </c>
      <c r="K190" s="106">
        <v>53.319436120890799</v>
      </c>
      <c r="L190" s="106">
        <v>81.873494706932945</v>
      </c>
      <c r="M190" s="106">
        <v>36.132135878971241</v>
      </c>
      <c r="N190" s="106">
        <v>30.390777051009536</v>
      </c>
      <c r="O190" s="106">
        <v>0</v>
      </c>
      <c r="P190" s="106">
        <v>0</v>
      </c>
      <c r="Q190" s="106">
        <v>0</v>
      </c>
      <c r="R190" s="106">
        <v>98.132135878971241</v>
      </c>
      <c r="S190" s="106">
        <v>7.942220064852366E-22</v>
      </c>
      <c r="T190" s="106">
        <v>0</v>
      </c>
      <c r="U190" s="106">
        <v>0</v>
      </c>
      <c r="V190" s="106">
        <v>0</v>
      </c>
      <c r="W190" s="106">
        <v>10.258641172038296</v>
      </c>
      <c r="X190" s="106">
        <v>0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138.98161187901724</v>
      </c>
      <c r="AG190" s="106">
        <v>95.240253051055532</v>
      </c>
      <c r="AH190" s="106">
        <v>0</v>
      </c>
      <c r="AI190" s="106">
        <v>0</v>
      </c>
      <c r="AJ190" s="106">
        <v>85.240253051055532</v>
      </c>
      <c r="AK190" s="106">
        <v>24.498894223093828</v>
      </c>
      <c r="AL190" s="106">
        <v>0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138.98161187901724</v>
      </c>
      <c r="AU190" s="106">
        <v>112.24025305105553</v>
      </c>
      <c r="AV190" s="106">
        <v>92.498894223093828</v>
      </c>
      <c r="AW190" s="106">
        <v>0</v>
      </c>
      <c r="AX190" s="106">
        <v>0</v>
      </c>
      <c r="AY190" s="106">
        <v>138.98161187901724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81.873494706932945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138.98161187901724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93.671584280728098</v>
      </c>
      <c r="D197" s="106">
        <v>48.721656214613368</v>
      </c>
      <c r="E197" s="106">
        <v>99.422001738427511</v>
      </c>
      <c r="F197" s="106">
        <v>93.017699501491578</v>
      </c>
      <c r="G197" s="106">
        <v>68.836818849975643</v>
      </c>
      <c r="H197" s="106">
        <v>80.068157401683976</v>
      </c>
      <c r="I197" s="106">
        <v>130.14812225281511</v>
      </c>
      <c r="J197" s="106">
        <v>55.887276750168034</v>
      </c>
      <c r="K197" s="106">
        <v>105.96724160129918</v>
      </c>
      <c r="L197" s="106">
        <v>80.068157401683976</v>
      </c>
      <c r="M197" s="106">
        <v>130.14812225281511</v>
      </c>
      <c r="N197" s="106">
        <v>98.838012799138639</v>
      </c>
      <c r="O197" s="106">
        <v>98.857585127608104</v>
      </c>
      <c r="P197" s="106">
        <v>55.887276750168034</v>
      </c>
      <c r="Q197" s="106">
        <v>93.017699501491563</v>
      </c>
      <c r="R197" s="106">
        <v>122.79164177013473</v>
      </c>
      <c r="S197" s="106">
        <v>24.812958289499583</v>
      </c>
      <c r="T197" s="106">
        <v>23.513421500648995</v>
      </c>
      <c r="U197" s="106">
        <v>23.513421500648995</v>
      </c>
      <c r="V197" s="106">
        <v>23.513421500648995</v>
      </c>
      <c r="W197" s="106">
        <v>93.017699501491578</v>
      </c>
      <c r="X197" s="106">
        <v>93.017699501491578</v>
      </c>
      <c r="Y197" s="106">
        <v>93.017699501491578</v>
      </c>
      <c r="Z197" s="106">
        <v>93.017699501491578</v>
      </c>
      <c r="AA197" s="106">
        <v>93.017699501491578</v>
      </c>
      <c r="AB197" s="106">
        <v>23.513421500648995</v>
      </c>
      <c r="AC197" s="106">
        <v>93.017699501491578</v>
      </c>
      <c r="AD197" s="106">
        <v>93.017699501491563</v>
      </c>
      <c r="AE197" s="106">
        <v>93.017699501491578</v>
      </c>
      <c r="AF197" s="106">
        <v>29.9881925505528</v>
      </c>
      <c r="AG197" s="106">
        <v>139.96894789016645</v>
      </c>
      <c r="AH197" s="106">
        <v>44.675908380586094</v>
      </c>
      <c r="AI197" s="106">
        <v>93.017699501491578</v>
      </c>
      <c r="AJ197" s="106">
        <v>156.04720645243032</v>
      </c>
      <c r="AK197" s="106">
        <v>94.105034148166141</v>
      </c>
      <c r="AL197" s="106">
        <v>93.017699501491563</v>
      </c>
      <c r="AM197" s="106">
        <v>93.017699501491578</v>
      </c>
      <c r="AN197" s="106">
        <v>93.017699501491563</v>
      </c>
      <c r="AO197" s="106">
        <v>93.017699501491578</v>
      </c>
      <c r="AP197" s="106">
        <v>93.017699501491563</v>
      </c>
      <c r="AQ197" s="106">
        <v>93.017699501491578</v>
      </c>
      <c r="AR197" s="106">
        <v>93.017699501491563</v>
      </c>
      <c r="AS197" s="106">
        <v>93.017699501491578</v>
      </c>
      <c r="AT197" s="106">
        <v>29.9881925505528</v>
      </c>
      <c r="AU197" s="106">
        <v>156.04720645243034</v>
      </c>
      <c r="AV197" s="106">
        <v>106.40755714545742</v>
      </c>
      <c r="AW197" s="106">
        <v>23.513421500648995</v>
      </c>
      <c r="AX197" s="106">
        <v>93.017699501491578</v>
      </c>
      <c r="AY197" s="106">
        <v>29.9881925505528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7.3564804826803822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16.078258562263898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70.448918246904654</v>
      </c>
      <c r="D209" s="124">
        <v>142.00880854261368</v>
      </c>
      <c r="E209" s="124">
        <v>132.86126258385482</v>
      </c>
      <c r="F209" s="124">
        <v>98.322649492285123</v>
      </c>
      <c r="G209" s="124">
        <v>79.826250178134899</v>
      </c>
      <c r="H209" s="124">
        <v>132.86126258385482</v>
      </c>
      <c r="I209" s="124">
        <v>79.826250178134899</v>
      </c>
      <c r="J209" s="124">
        <v>98.322649492285123</v>
      </c>
      <c r="K209" s="124">
        <v>79.826250178134899</v>
      </c>
      <c r="L209" s="124">
        <v>118.72754035969922</v>
      </c>
      <c r="M209" s="124">
        <v>118.68001201548115</v>
      </c>
      <c r="N209" s="124">
        <v>132.86126258385482</v>
      </c>
      <c r="O209" s="124">
        <v>79.826250178134899</v>
      </c>
      <c r="P209" s="124">
        <v>132.86126258385482</v>
      </c>
      <c r="Q209" s="124">
        <v>129.70554036506798</v>
      </c>
      <c r="R209" s="124">
        <v>33.585251892759281</v>
      </c>
      <c r="S209" s="124">
        <v>33.585251892759281</v>
      </c>
      <c r="T209" s="124">
        <v>33.585251892759281</v>
      </c>
      <c r="U209" s="124">
        <v>33.585251892759281</v>
      </c>
      <c r="V209" s="124">
        <v>132.86126258385482</v>
      </c>
      <c r="W209" s="124">
        <v>132.86126258385482</v>
      </c>
      <c r="X209" s="124">
        <v>132.86126258385482</v>
      </c>
      <c r="Y209" s="124">
        <v>132.86126258385482</v>
      </c>
      <c r="Z209" s="124">
        <v>132.86126258385482</v>
      </c>
      <c r="AA209" s="124">
        <v>33.585251892759281</v>
      </c>
      <c r="AB209" s="124">
        <v>132.86126258385482</v>
      </c>
      <c r="AC209" s="124">
        <v>132.86126258385482</v>
      </c>
      <c r="AD209" s="124">
        <v>132.86126258385482</v>
      </c>
      <c r="AE209" s="124">
        <v>42.8334515498344</v>
      </c>
      <c r="AF209" s="124">
        <v>97.194437615352641</v>
      </c>
      <c r="AG209" s="124">
        <v>42.8334515498344</v>
      </c>
      <c r="AH209" s="124">
        <v>132.86126258385482</v>
      </c>
      <c r="AI209" s="124">
        <v>130.22084014009886</v>
      </c>
      <c r="AJ209" s="124">
        <v>132.86126258385482</v>
      </c>
      <c r="AK209" s="124">
        <v>132.86126258385482</v>
      </c>
      <c r="AL209" s="124">
        <v>132.86126258385482</v>
      </c>
      <c r="AM209" s="124">
        <v>132.86126258385482</v>
      </c>
      <c r="AN209" s="124">
        <v>132.86126258385482</v>
      </c>
      <c r="AO209" s="124">
        <v>132.86126258385482</v>
      </c>
      <c r="AP209" s="124">
        <v>132.86126258385482</v>
      </c>
      <c r="AQ209" s="124">
        <v>132.86126258385482</v>
      </c>
      <c r="AR209" s="124">
        <v>132.86126258385482</v>
      </c>
      <c r="AS209" s="124">
        <v>42.8334515498344</v>
      </c>
      <c r="AT209" s="124">
        <v>100.34608360933022</v>
      </c>
      <c r="AU209" s="124">
        <v>132.86126258385482</v>
      </c>
      <c r="AV209" s="124">
        <v>33.585251892759281</v>
      </c>
      <c r="AW209" s="124">
        <v>132.86126258385482</v>
      </c>
      <c r="AX209" s="124">
        <v>42.8334515498344</v>
      </c>
      <c r="AY209" s="124">
        <v>91.887277100444592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34.538613091569701</v>
      </c>
      <c r="H210" s="110">
        <v>53.035012405719932</v>
      </c>
      <c r="I210" s="110">
        <v>0</v>
      </c>
      <c r="J210" s="110">
        <v>53.035012405719932</v>
      </c>
      <c r="K210" s="110">
        <v>34.538613091569701</v>
      </c>
      <c r="L210" s="110">
        <v>53.035012405719932</v>
      </c>
      <c r="M210" s="110">
        <v>8.3134089265085382</v>
      </c>
      <c r="N210" s="110">
        <v>8.3413649422571243</v>
      </c>
      <c r="O210" s="110">
        <v>0</v>
      </c>
      <c r="P210" s="110">
        <v>0</v>
      </c>
      <c r="Q210" s="110">
        <v>0</v>
      </c>
      <c r="R210" s="110">
        <v>1.8561854299362583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90.027811034020417</v>
      </c>
      <c r="AG210" s="110">
        <v>20.979109138468889</v>
      </c>
      <c r="AH210" s="110">
        <v>0</v>
      </c>
      <c r="AI210" s="110">
        <v>0</v>
      </c>
      <c r="AJ210" s="110">
        <v>1.5530877970814061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90.027811034020417</v>
      </c>
      <c r="AU210" s="110">
        <v>19.125321330558759</v>
      </c>
      <c r="AV210" s="110">
        <v>0</v>
      </c>
      <c r="AW210" s="110">
        <v>0</v>
      </c>
      <c r="AX210" s="110">
        <v>0</v>
      </c>
      <c r="AY210" s="110">
        <v>90.027811034020417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53.035012405719932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90.027811034020417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64624.301129977881</v>
      </c>
      <c r="E259" s="124">
        <f t="shared" ref="E259:AX259" si="5">F$14*$B$259</f>
        <v>60461.504675969525</v>
      </c>
      <c r="F259" s="124">
        <f t="shared" si="5"/>
        <v>44743.93225248417</v>
      </c>
      <c r="G259" s="124">
        <f t="shared" si="5"/>
        <v>52044.302311094587</v>
      </c>
      <c r="H259" s="124">
        <f t="shared" si="5"/>
        <v>84596.279464329826</v>
      </c>
      <c r="I259" s="124">
        <f t="shared" si="5"/>
        <v>36326.729887609225</v>
      </c>
      <c r="J259" s="124">
        <f t="shared" si="5"/>
        <v>68878.707040844471</v>
      </c>
      <c r="K259" s="124">
        <f t="shared" si="5"/>
        <v>52044.302311094587</v>
      </c>
      <c r="L259" s="124">
        <f t="shared" si="5"/>
        <v>84596.279464329826</v>
      </c>
      <c r="M259" s="124">
        <f t="shared" si="5"/>
        <v>64244.708319440113</v>
      </c>
      <c r="N259" s="124">
        <f t="shared" si="5"/>
        <v>64257.430332945267</v>
      </c>
      <c r="O259" s="124">
        <f t="shared" si="5"/>
        <v>36326.729887609225</v>
      </c>
      <c r="P259" s="124">
        <f t="shared" si="5"/>
        <v>60461.504675969518</v>
      </c>
      <c r="Q259" s="124">
        <f t="shared" si="5"/>
        <v>84596.279464329826</v>
      </c>
      <c r="R259" s="124">
        <f t="shared" si="5"/>
        <v>16128.422888174729</v>
      </c>
      <c r="S259" s="124">
        <f t="shared" si="5"/>
        <v>15283.723975421846</v>
      </c>
      <c r="T259" s="124">
        <f t="shared" si="5"/>
        <v>15283.723975421846</v>
      </c>
      <c r="U259" s="124">
        <f t="shared" si="5"/>
        <v>15283.723975421846</v>
      </c>
      <c r="V259" s="124">
        <f t="shared" si="5"/>
        <v>60461.504675969525</v>
      </c>
      <c r="W259" s="124">
        <f t="shared" si="5"/>
        <v>60461.504675969525</v>
      </c>
      <c r="X259" s="124">
        <f t="shared" si="5"/>
        <v>60461.504675969525</v>
      </c>
      <c r="Y259" s="124">
        <f t="shared" si="5"/>
        <v>60461.504675969525</v>
      </c>
      <c r="Z259" s="124">
        <f t="shared" si="5"/>
        <v>60461.504675969525</v>
      </c>
      <c r="AA259" s="124">
        <f t="shared" si="5"/>
        <v>15283.723975421846</v>
      </c>
      <c r="AB259" s="124">
        <f t="shared" si="5"/>
        <v>60461.504675969525</v>
      </c>
      <c r="AC259" s="124">
        <f t="shared" si="5"/>
        <v>60461.504675969518</v>
      </c>
      <c r="AD259" s="124">
        <f t="shared" si="5"/>
        <v>60461.504675969525</v>
      </c>
      <c r="AE259" s="124">
        <f t="shared" si="5"/>
        <v>19492.325157859319</v>
      </c>
      <c r="AF259" s="124">
        <f t="shared" si="5"/>
        <v>101430.68419407973</v>
      </c>
      <c r="AG259" s="124">
        <f t="shared" si="5"/>
        <v>29039.340447380961</v>
      </c>
      <c r="AH259" s="124">
        <f t="shared" si="5"/>
        <v>60461.504675969525</v>
      </c>
      <c r="AI259" s="124">
        <f t="shared" si="5"/>
        <v>101430.6841940797</v>
      </c>
      <c r="AJ259" s="124">
        <f t="shared" si="5"/>
        <v>61168.272196307989</v>
      </c>
      <c r="AK259" s="124">
        <f t="shared" si="5"/>
        <v>60461.504675969518</v>
      </c>
      <c r="AL259" s="124">
        <f t="shared" si="5"/>
        <v>60461.504675969525</v>
      </c>
      <c r="AM259" s="124">
        <f t="shared" si="5"/>
        <v>60461.504675969518</v>
      </c>
      <c r="AN259" s="124">
        <f t="shared" si="5"/>
        <v>60461.504675969525</v>
      </c>
      <c r="AO259" s="124">
        <f t="shared" si="5"/>
        <v>60461.504675969518</v>
      </c>
      <c r="AP259" s="124">
        <f t="shared" si="5"/>
        <v>60461.504675969525</v>
      </c>
      <c r="AQ259" s="124">
        <f t="shared" si="5"/>
        <v>60461.504675969518</v>
      </c>
      <c r="AR259" s="124">
        <f t="shared" si="5"/>
        <v>60461.504675969525</v>
      </c>
      <c r="AS259" s="124">
        <f t="shared" si="5"/>
        <v>19492.325157859319</v>
      </c>
      <c r="AT259" s="124">
        <f t="shared" si="5"/>
        <v>101430.68419407973</v>
      </c>
      <c r="AU259" s="124">
        <f t="shared" si="5"/>
        <v>69164.912144547328</v>
      </c>
      <c r="AV259" s="124">
        <f t="shared" si="5"/>
        <v>15283.723975421846</v>
      </c>
      <c r="AW259" s="124">
        <f t="shared" si="5"/>
        <v>60461.504675969525</v>
      </c>
      <c r="AX259" s="124">
        <f t="shared" si="5"/>
        <v>19492.325157859319</v>
      </c>
      <c r="AY259" s="124">
        <f>AZ$14*$B$259</f>
        <v>101430.68419407973</v>
      </c>
      <c r="AZ259" s="139">
        <f>SUM($D259:$AY259)</f>
        <v>2662629.3551888959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31665.179774342683</v>
      </c>
      <c r="E260" s="125">
        <f t="shared" ref="E260:AY260" si="6">(E$175-E$176+E$177-E$178+E$179-E$180+E$181-E$182)*$B$260</f>
        <v>31674.381196670263</v>
      </c>
      <c r="F260" s="125">
        <f t="shared" si="6"/>
        <v>33783.582618997847</v>
      </c>
      <c r="G260" s="125">
        <f t="shared" si="6"/>
        <v>33972.784041325431</v>
      </c>
      <c r="H260" s="125">
        <f t="shared" si="6"/>
        <v>40709.913616391292</v>
      </c>
      <c r="I260" s="125">
        <f t="shared" si="6"/>
        <v>37142.223826625195</v>
      </c>
      <c r="J260" s="125">
        <f t="shared" si="6"/>
        <v>38200.388308308189</v>
      </c>
      <c r="K260" s="125">
        <f t="shared" si="6"/>
        <v>40489.589730635773</v>
      </c>
      <c r="L260" s="125">
        <f t="shared" si="6"/>
        <v>43672.757175497944</v>
      </c>
      <c r="M260" s="125">
        <f t="shared" si="6"/>
        <v>41651.127346473331</v>
      </c>
      <c r="N260" s="125">
        <f t="shared" si="6"/>
        <v>39096.805689310342</v>
      </c>
      <c r="O260" s="125">
        <f t="shared" si="6"/>
        <v>41616.805689310342</v>
      </c>
      <c r="P260" s="125">
        <f t="shared" si="6"/>
        <v>27747.604266982755</v>
      </c>
      <c r="Q260" s="125">
        <f t="shared" si="6"/>
        <v>19295.674330520658</v>
      </c>
      <c r="R260" s="125">
        <f t="shared" si="6"/>
        <v>1530.5902512884074</v>
      </c>
      <c r="S260" s="125">
        <f t="shared" si="6"/>
        <v>0</v>
      </c>
      <c r="T260" s="125">
        <f t="shared" si="6"/>
        <v>2109.2014223275851</v>
      </c>
      <c r="U260" s="125">
        <f t="shared" si="6"/>
        <v>1458.402844655169</v>
      </c>
      <c r="V260" s="125">
        <f t="shared" si="6"/>
        <v>4843.1227373050515</v>
      </c>
      <c r="W260" s="125">
        <f t="shared" si="6"/>
        <v>5256.8056893103367</v>
      </c>
      <c r="X260" s="125">
        <f t="shared" si="6"/>
        <v>6046.0071116379195</v>
      </c>
      <c r="Y260" s="125">
        <f t="shared" si="6"/>
        <v>8155.2085339655086</v>
      </c>
      <c r="Z260" s="125">
        <f t="shared" si="6"/>
        <v>9544.4099562930987</v>
      </c>
      <c r="AA260" s="125">
        <f t="shared" si="6"/>
        <v>12253.611378620677</v>
      </c>
      <c r="AB260" s="125">
        <f t="shared" si="6"/>
        <v>12682.812800948261</v>
      </c>
      <c r="AC260" s="125">
        <f t="shared" si="6"/>
        <v>15452.014223275841</v>
      </c>
      <c r="AD260" s="125">
        <f t="shared" si="6"/>
        <v>14381.215645603437</v>
      </c>
      <c r="AE260" s="125">
        <f t="shared" si="6"/>
        <v>12950.417067931015</v>
      </c>
      <c r="AF260" s="125">
        <f t="shared" si="6"/>
        <v>21054.043171432066</v>
      </c>
      <c r="AG260" s="125">
        <f t="shared" si="6"/>
        <v>16393.515426322017</v>
      </c>
      <c r="AH260" s="125">
        <f t="shared" si="6"/>
        <v>16758.02133491377</v>
      </c>
      <c r="AI260" s="125">
        <f t="shared" si="6"/>
        <v>22940.063286930046</v>
      </c>
      <c r="AJ260" s="125">
        <f t="shared" si="6"/>
        <v>19446.357832954567</v>
      </c>
      <c r="AK260" s="125">
        <f t="shared" si="6"/>
        <v>17325.625601896518</v>
      </c>
      <c r="AL260" s="125">
        <f t="shared" si="6"/>
        <v>16794.827024224109</v>
      </c>
      <c r="AM260" s="125">
        <f t="shared" si="6"/>
        <v>19444.028446551689</v>
      </c>
      <c r="AN260" s="125">
        <f t="shared" si="6"/>
        <v>21793.229868879273</v>
      </c>
      <c r="AO260" s="125">
        <f t="shared" si="6"/>
        <v>22882.431291206864</v>
      </c>
      <c r="AP260" s="125">
        <f t="shared" si="6"/>
        <v>26011.632713534447</v>
      </c>
      <c r="AQ260" s="125">
        <f t="shared" si="6"/>
        <v>26740.834135862035</v>
      </c>
      <c r="AR260" s="125">
        <f t="shared" si="6"/>
        <v>29210.035558189611</v>
      </c>
      <c r="AS260" s="125">
        <f t="shared" si="6"/>
        <v>27359.236980517206</v>
      </c>
      <c r="AT260" s="125">
        <f t="shared" si="6"/>
        <v>37913.764324379597</v>
      </c>
      <c r="AU260" s="125">
        <f t="shared" si="6"/>
        <v>28568.56344194162</v>
      </c>
      <c r="AV260" s="125">
        <f t="shared" si="6"/>
        <v>25007.831210883567</v>
      </c>
      <c r="AW260" s="125">
        <f t="shared" si="6"/>
        <v>24717.032633211158</v>
      </c>
      <c r="AX260" s="125">
        <f t="shared" si="6"/>
        <v>28146.234055538745</v>
      </c>
      <c r="AY260" s="125">
        <f t="shared" si="6"/>
        <v>37828.289789934279</v>
      </c>
      <c r="AZ260" s="141">
        <f>SUM($D260:$AY260)</f>
        <v>1093718.2354038577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6000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1056.9011393997348</v>
      </c>
      <c r="E9" s="117">
        <v>1056.9011393997348</v>
      </c>
      <c r="F9" s="117">
        <v>1056.9011393997348</v>
      </c>
      <c r="G9" s="117">
        <v>1056.9011393997348</v>
      </c>
      <c r="H9" s="117">
        <v>1056.9011393997348</v>
      </c>
      <c r="I9" s="117">
        <v>1056.9011393997348</v>
      </c>
      <c r="J9" s="117">
        <v>1056.9011393997348</v>
      </c>
      <c r="K9" s="117">
        <v>1056.9011393997348</v>
      </c>
      <c r="L9" s="117">
        <v>1056.9011393997348</v>
      </c>
      <c r="M9" s="117">
        <v>1056.9011393997348</v>
      </c>
      <c r="N9" s="117">
        <v>1056.9011393997348</v>
      </c>
      <c r="O9" s="117">
        <v>1056.9011393997348</v>
      </c>
      <c r="P9" s="117">
        <v>1056.9011393997348</v>
      </c>
      <c r="Q9" s="117">
        <v>1056.9011393997348</v>
      </c>
      <c r="R9" s="117">
        <v>1056.9011393997348</v>
      </c>
      <c r="S9" s="117">
        <v>1056.9011393997348</v>
      </c>
      <c r="T9" s="117">
        <v>1056.9011393997348</v>
      </c>
      <c r="U9" s="117">
        <v>1056.9011393997348</v>
      </c>
      <c r="V9" s="117">
        <v>1056.9011393997348</v>
      </c>
      <c r="W9" s="117">
        <v>1056.9011393997348</v>
      </c>
      <c r="X9" s="117">
        <v>1056.9011393997348</v>
      </c>
      <c r="Y9" s="117">
        <v>1056.9011393997348</v>
      </c>
      <c r="Z9" s="117">
        <v>1056.9011393997348</v>
      </c>
      <c r="AA9" s="117">
        <v>1056.9011393997348</v>
      </c>
      <c r="AB9" s="117">
        <v>1056.9011393997348</v>
      </c>
      <c r="AC9" s="117">
        <v>1056.9011393997348</v>
      </c>
      <c r="AD9" s="117">
        <v>1056.9011393997348</v>
      </c>
      <c r="AE9" s="117">
        <v>1056.9011393997348</v>
      </c>
      <c r="AF9" s="117">
        <v>1056.9011393997348</v>
      </c>
      <c r="AG9" s="117">
        <v>1056.9011393997348</v>
      </c>
      <c r="AH9" s="117">
        <v>1056.9011393997348</v>
      </c>
      <c r="AI9" s="117">
        <v>1056.9011393997348</v>
      </c>
      <c r="AJ9" s="117">
        <v>1056.9011393997348</v>
      </c>
      <c r="AK9" s="117">
        <v>1056.9011393997348</v>
      </c>
      <c r="AL9" s="117">
        <v>1056.9011393997348</v>
      </c>
      <c r="AM9" s="117">
        <v>1056.9011393997348</v>
      </c>
      <c r="AN9" s="117">
        <v>1056.9011393997348</v>
      </c>
      <c r="AO9" s="117">
        <v>1056.9011393997348</v>
      </c>
      <c r="AP9" s="117">
        <v>1056.9011393997348</v>
      </c>
      <c r="AQ9" s="117">
        <v>1056.9011393997348</v>
      </c>
      <c r="AR9" s="117">
        <v>1056.9011393997348</v>
      </c>
      <c r="AS9" s="117">
        <v>1056.9011393997348</v>
      </c>
      <c r="AT9" s="117">
        <v>1056.9011393997348</v>
      </c>
      <c r="AU9" s="117">
        <v>1056.9011393997348</v>
      </c>
      <c r="AV9" s="117">
        <v>20.845030141967712</v>
      </c>
      <c r="AW9" s="117">
        <v>20.845030141967712</v>
      </c>
      <c r="AX9" s="117">
        <v>20.845030141967712</v>
      </c>
      <c r="AY9" s="117">
        <v>20.845030141967712</v>
      </c>
    </row>
    <row r="10" spans="1:53">
      <c r="A10" s="118" t="s">
        <v>133</v>
      </c>
      <c r="B10" s="119">
        <v>1</v>
      </c>
      <c r="C10" s="106" t="s">
        <v>293</v>
      </c>
      <c r="D10" s="100">
        <v>211.40140051419237</v>
      </c>
      <c r="E10" s="100">
        <v>774.23633116314852</v>
      </c>
      <c r="F10" s="100">
        <v>220.82139478414152</v>
      </c>
      <c r="G10" s="100">
        <v>611.07137651243147</v>
      </c>
      <c r="H10" s="100">
        <v>611.07137651243147</v>
      </c>
      <c r="I10" s="100">
        <v>611.07137651243147</v>
      </c>
      <c r="J10" s="100">
        <v>611.07137651243147</v>
      </c>
      <c r="K10" s="100">
        <v>611.07137651243147</v>
      </c>
      <c r="L10" s="100">
        <v>220.82139478414152</v>
      </c>
      <c r="M10" s="100">
        <v>611.07137651243147</v>
      </c>
      <c r="N10" s="100">
        <v>220.82139478414152</v>
      </c>
      <c r="O10" s="100">
        <v>611.07137651243147</v>
      </c>
      <c r="P10" s="100">
        <v>220.82139478414152</v>
      </c>
      <c r="Q10" s="100">
        <v>0</v>
      </c>
      <c r="R10" s="100">
        <v>611.07137651243147</v>
      </c>
      <c r="S10" s="100">
        <v>0</v>
      </c>
      <c r="T10" s="100">
        <v>220.82139478414143</v>
      </c>
      <c r="U10" s="100">
        <v>0</v>
      </c>
      <c r="V10" s="100">
        <v>611.07137651243147</v>
      </c>
      <c r="W10" s="100">
        <v>611.07137651243147</v>
      </c>
      <c r="X10" s="100">
        <v>611.07137651243147</v>
      </c>
      <c r="Y10" s="100">
        <v>611.07137651243147</v>
      </c>
      <c r="Z10" s="100">
        <v>220.82139478414152</v>
      </c>
      <c r="AA10" s="100">
        <v>611.07137651243147</v>
      </c>
      <c r="AB10" s="100">
        <v>611.07137651243147</v>
      </c>
      <c r="AC10" s="100">
        <v>611.07137651243147</v>
      </c>
      <c r="AD10" s="100">
        <v>611.07137651243147</v>
      </c>
      <c r="AE10" s="100">
        <v>611.07137651243147</v>
      </c>
      <c r="AF10" s="100">
        <v>220.82139478414152</v>
      </c>
      <c r="AG10" s="100">
        <v>611.07137651243147</v>
      </c>
      <c r="AH10" s="100">
        <v>611.07137651243147</v>
      </c>
      <c r="AI10" s="100">
        <v>0</v>
      </c>
      <c r="AJ10" s="100">
        <v>611.07137651243147</v>
      </c>
      <c r="AK10" s="100">
        <v>0</v>
      </c>
      <c r="AL10" s="100">
        <v>220.82139478414152</v>
      </c>
      <c r="AM10" s="100">
        <v>0</v>
      </c>
      <c r="AN10" s="100">
        <v>220.82139478414143</v>
      </c>
      <c r="AO10" s="100">
        <v>611.07137651243147</v>
      </c>
      <c r="AP10" s="100">
        <v>220.82139478414152</v>
      </c>
      <c r="AQ10" s="100">
        <v>611.07137651243147</v>
      </c>
      <c r="AR10" s="100">
        <v>611.07137651243147</v>
      </c>
      <c r="AS10" s="100">
        <v>611.07137651243147</v>
      </c>
      <c r="AT10" s="100">
        <v>611.07137651243147</v>
      </c>
      <c r="AU10" s="100">
        <v>611.07137651243147</v>
      </c>
      <c r="AV10" s="100">
        <v>611.07137651243147</v>
      </c>
      <c r="AW10" s="100">
        <v>0</v>
      </c>
      <c r="AX10" s="100">
        <v>12.052027183478813</v>
      </c>
      <c r="AY10" s="100">
        <v>0</v>
      </c>
      <c r="AZ10" s="100">
        <v>24.104054366957627</v>
      </c>
    </row>
    <row r="11" spans="1:53">
      <c r="B11" s="119">
        <v>2</v>
      </c>
      <c r="C11" s="106" t="s">
        <v>293</v>
      </c>
      <c r="D11" s="100">
        <v>0</v>
      </c>
      <c r="E11" s="100">
        <v>515.45330089604852</v>
      </c>
      <c r="G11" s="100">
        <v>0</v>
      </c>
      <c r="H11" s="100">
        <v>0</v>
      </c>
      <c r="J11" s="100">
        <v>0</v>
      </c>
      <c r="K11" s="100">
        <v>0</v>
      </c>
      <c r="L11" s="100">
        <v>0</v>
      </c>
      <c r="M11" s="100">
        <v>390.24998172828998</v>
      </c>
      <c r="N11" s="100">
        <v>0</v>
      </c>
      <c r="O11" s="100">
        <v>390.24998172828998</v>
      </c>
      <c r="P11" s="100">
        <v>0</v>
      </c>
      <c r="Q11" s="100">
        <v>390.24998172828998</v>
      </c>
      <c r="R11" s="100">
        <v>611.07137651243147</v>
      </c>
      <c r="S11" s="100">
        <v>0</v>
      </c>
      <c r="T11" s="100">
        <v>0</v>
      </c>
      <c r="U11" s="100">
        <v>1001.3213582407216</v>
      </c>
      <c r="V11" s="100">
        <v>611.07137651243147</v>
      </c>
      <c r="Y11" s="100">
        <v>0</v>
      </c>
      <c r="Z11" s="100">
        <v>0</v>
      </c>
      <c r="AA11" s="100">
        <v>390.24998172828998</v>
      </c>
      <c r="AB11" s="100">
        <v>0</v>
      </c>
      <c r="AG11" s="100">
        <v>390.24998172828998</v>
      </c>
      <c r="AJ11" s="100">
        <v>611.07137651243147</v>
      </c>
      <c r="AL11" s="100">
        <v>611.07137651243147</v>
      </c>
      <c r="AM11" s="100">
        <v>390.24998172828998</v>
      </c>
      <c r="AN11" s="100">
        <v>0</v>
      </c>
      <c r="AO11" s="100">
        <v>1001.3213582407216</v>
      </c>
      <c r="AQ11" s="100">
        <v>390.24998172828998</v>
      </c>
      <c r="AS11" s="100">
        <v>0</v>
      </c>
      <c r="AT11" s="100">
        <v>0</v>
      </c>
      <c r="AU11" s="100">
        <v>0</v>
      </c>
      <c r="AV11" s="100">
        <v>0</v>
      </c>
      <c r="AW11" s="100">
        <v>0</v>
      </c>
      <c r="AX11" s="100">
        <v>611.07137651243147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G12" s="100">
        <v>0</v>
      </c>
      <c r="H12" s="100">
        <v>390.24998172828998</v>
      </c>
      <c r="J12" s="100">
        <v>0</v>
      </c>
      <c r="N12" s="100">
        <v>0</v>
      </c>
      <c r="P12" s="100">
        <v>0</v>
      </c>
      <c r="V12" s="100">
        <v>0</v>
      </c>
      <c r="Y12" s="100">
        <v>0</v>
      </c>
      <c r="AD12" s="100">
        <v>0</v>
      </c>
      <c r="AE12" s="100">
        <v>0</v>
      </c>
      <c r="AF12" s="100">
        <v>0</v>
      </c>
      <c r="AG12" s="100">
        <v>0</v>
      </c>
      <c r="AJ12" s="100">
        <v>0</v>
      </c>
      <c r="AL12" s="100">
        <v>0</v>
      </c>
      <c r="AR12" s="100">
        <v>0</v>
      </c>
      <c r="BA12" s="100">
        <v>0</v>
      </c>
    </row>
    <row r="13" spans="1:53">
      <c r="B13" s="120">
        <v>4</v>
      </c>
      <c r="C13" s="106" t="s">
        <v>293</v>
      </c>
      <c r="D13" s="100">
        <v>0</v>
      </c>
      <c r="S13" s="100">
        <v>0</v>
      </c>
      <c r="Y13" s="100">
        <v>0</v>
      </c>
      <c r="AJ13" s="100">
        <v>0</v>
      </c>
      <c r="AR13" s="100">
        <v>0</v>
      </c>
      <c r="AT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468.52588222082903</v>
      </c>
      <c r="E14" s="117">
        <f t="shared" ref="E14:AZ14" si="0">D$172*SUM(D$122:D$169)</f>
        <v>197.69815305934202</v>
      </c>
      <c r="F14" s="117">
        <f t="shared" si="0"/>
        <v>697.97923194110615</v>
      </c>
      <c r="G14" s="117">
        <f t="shared" si="0"/>
        <v>314.85988309702429</v>
      </c>
      <c r="H14" s="117">
        <f t="shared" si="0"/>
        <v>370.28881193696714</v>
      </c>
      <c r="I14" s="117">
        <f t="shared" si="0"/>
        <v>546.98919150018708</v>
      </c>
      <c r="J14" s="117">
        <f t="shared" si="0"/>
        <v>457.01117321000589</v>
      </c>
      <c r="K14" s="117">
        <f t="shared" si="0"/>
        <v>388.83738215247121</v>
      </c>
      <c r="L14" s="117">
        <f t="shared" si="0"/>
        <v>370.28881193696714</v>
      </c>
      <c r="M14" s="117">
        <f t="shared" si="0"/>
        <v>193.58843237374717</v>
      </c>
      <c r="N14" s="117">
        <f t="shared" si="0"/>
        <v>546.98919150018708</v>
      </c>
      <c r="O14" s="117">
        <f t="shared" si="0"/>
        <v>193.58843237374717</v>
      </c>
      <c r="P14" s="117">
        <f t="shared" si="0"/>
        <v>546.98919150018708</v>
      </c>
      <c r="Q14" s="117">
        <f t="shared" si="0"/>
        <v>194.8900606105156</v>
      </c>
      <c r="R14" s="117">
        <f t="shared" si="0"/>
        <v>270.30360732213524</v>
      </c>
      <c r="S14" s="117">
        <f t="shared" si="0"/>
        <v>646.97439611501898</v>
      </c>
      <c r="T14" s="117">
        <f t="shared" si="0"/>
        <v>195.44712535809833</v>
      </c>
      <c r="U14" s="117">
        <f t="shared" si="0"/>
        <v>193.58843237374717</v>
      </c>
      <c r="V14" s="117">
        <f t="shared" si="0"/>
        <v>546.98919150018708</v>
      </c>
      <c r="W14" s="117">
        <f t="shared" si="0"/>
        <v>671.53502380861948</v>
      </c>
      <c r="X14" s="117">
        <f t="shared" si="0"/>
        <v>497.11753688880952</v>
      </c>
      <c r="Y14" s="117">
        <f t="shared" si="0"/>
        <v>385.70598355532474</v>
      </c>
      <c r="Z14" s="117">
        <f t="shared" si="0"/>
        <v>370.28881193696714</v>
      </c>
      <c r="AA14" s="117">
        <f t="shared" si="0"/>
        <v>193.58843237374717</v>
      </c>
      <c r="AB14" s="117">
        <f t="shared" si="0"/>
        <v>546.98919150018708</v>
      </c>
      <c r="AC14" s="117">
        <f t="shared" si="0"/>
        <v>373.21088889502698</v>
      </c>
      <c r="AD14" s="117">
        <f t="shared" si="0"/>
        <v>370.28881193696714</v>
      </c>
      <c r="AE14" s="117">
        <f t="shared" si="0"/>
        <v>370.28881193696714</v>
      </c>
      <c r="AF14" s="117">
        <f t="shared" si="0"/>
        <v>370.28881193696714</v>
      </c>
      <c r="AG14" s="117">
        <f t="shared" si="0"/>
        <v>193.58843237374717</v>
      </c>
      <c r="AH14" s="117">
        <f t="shared" si="0"/>
        <v>546.98919150018708</v>
      </c>
      <c r="AI14" s="117">
        <f t="shared" si="0"/>
        <v>377.93343062476401</v>
      </c>
      <c r="AJ14" s="117">
        <f t="shared" si="0"/>
        <v>93.603227758915281</v>
      </c>
      <c r="AK14" s="117">
        <f t="shared" si="0"/>
        <v>646.97439611501898</v>
      </c>
      <c r="AL14" s="117">
        <f t="shared" si="0"/>
        <v>159.74743247543012</v>
      </c>
      <c r="AM14" s="117">
        <f t="shared" si="0"/>
        <v>470.27401655179904</v>
      </c>
      <c r="AN14" s="117">
        <f t="shared" si="0"/>
        <v>270.30360732213524</v>
      </c>
      <c r="AO14" s="117">
        <f t="shared" si="0"/>
        <v>193.58843237374717</v>
      </c>
      <c r="AP14" s="117">
        <f t="shared" si="0"/>
        <v>823.67477567823892</v>
      </c>
      <c r="AQ14" s="117">
        <f t="shared" si="0"/>
        <v>321.53323064550563</v>
      </c>
      <c r="AR14" s="117">
        <f t="shared" si="0"/>
        <v>546.98919150018708</v>
      </c>
      <c r="AS14" s="117">
        <f t="shared" si="0"/>
        <v>443.92288281038617</v>
      </c>
      <c r="AT14" s="117">
        <f t="shared" si="0"/>
        <v>370.28881193696714</v>
      </c>
      <c r="AU14" s="117">
        <f t="shared" si="0"/>
        <v>370.28881193696714</v>
      </c>
      <c r="AV14" s="117">
        <f t="shared" si="0"/>
        <v>370.28881193696714</v>
      </c>
      <c r="AW14" s="117">
        <f t="shared" si="0"/>
        <v>370.28881193696714</v>
      </c>
      <c r="AX14" s="117">
        <f t="shared" si="0"/>
        <v>93.603227758915281</v>
      </c>
      <c r="AY14" s="117">
        <f t="shared" si="0"/>
        <v>375.74582123238247</v>
      </c>
      <c r="AZ14" s="110">
        <f t="shared" si="0"/>
        <v>93.603227758915295</v>
      </c>
      <c r="BA14" s="107">
        <f>SUM($E14:$AZ14)</f>
        <v>18155.832776859366</v>
      </c>
    </row>
    <row r="15" spans="1:53">
      <c r="A15" s="122" t="s">
        <v>123</v>
      </c>
      <c r="B15" s="123">
        <v>1</v>
      </c>
      <c r="C15" s="124" t="s">
        <v>293</v>
      </c>
      <c r="D15" s="124">
        <v>453.14891484625008</v>
      </c>
      <c r="E15" s="124">
        <v>1018.0884084734962</v>
      </c>
      <c r="F15" s="124">
        <v>443.72892057630111</v>
      </c>
      <c r="G15" s="124">
        <v>848.74831004909481</v>
      </c>
      <c r="H15" s="124">
        <v>848.74831004909481</v>
      </c>
      <c r="I15" s="124">
        <v>848.74831004909481</v>
      </c>
      <c r="J15" s="124">
        <v>848.74831004909481</v>
      </c>
      <c r="K15" s="124">
        <v>848.74831004909481</v>
      </c>
      <c r="L15" s="124">
        <v>443.72892057630111</v>
      </c>
      <c r="M15" s="124">
        <v>848.74831004909481</v>
      </c>
      <c r="N15" s="124">
        <v>443.72892057630111</v>
      </c>
      <c r="O15" s="124">
        <v>848.74831004909481</v>
      </c>
      <c r="P15" s="124">
        <v>443.72892057630111</v>
      </c>
      <c r="Q15" s="124">
        <v>214.55031536044245</v>
      </c>
      <c r="R15" s="124">
        <v>848.74831004909481</v>
      </c>
      <c r="S15" s="124">
        <v>214.55031536044245</v>
      </c>
      <c r="T15" s="124">
        <v>443.72892057630111</v>
      </c>
      <c r="U15" s="124">
        <v>214.55031536044245</v>
      </c>
      <c r="V15" s="124">
        <v>848.74831004909481</v>
      </c>
      <c r="W15" s="124">
        <v>848.74831004909481</v>
      </c>
      <c r="X15" s="124">
        <v>848.74831004909481</v>
      </c>
      <c r="Y15" s="124">
        <v>848.74831004909481</v>
      </c>
      <c r="Z15" s="124">
        <v>443.72892057630111</v>
      </c>
      <c r="AA15" s="124">
        <v>848.74831004909481</v>
      </c>
      <c r="AB15" s="124">
        <v>848.74831004909481</v>
      </c>
      <c r="AC15" s="124">
        <v>848.74831004909481</v>
      </c>
      <c r="AD15" s="124">
        <v>848.74831004909481</v>
      </c>
      <c r="AE15" s="124">
        <v>848.74831004909481</v>
      </c>
      <c r="AF15" s="124">
        <v>443.72892057630111</v>
      </c>
      <c r="AG15" s="124">
        <v>848.74831004909481</v>
      </c>
      <c r="AH15" s="124">
        <v>848.74831004909481</v>
      </c>
      <c r="AI15" s="124">
        <v>214.55031536044245</v>
      </c>
      <c r="AJ15" s="124">
        <v>848.74831004909481</v>
      </c>
      <c r="AK15" s="124">
        <v>214.55031536044245</v>
      </c>
      <c r="AL15" s="124">
        <v>443.72892057630111</v>
      </c>
      <c r="AM15" s="124">
        <v>214.55031536044245</v>
      </c>
      <c r="AN15" s="124">
        <v>443.72892057630111</v>
      </c>
      <c r="AO15" s="124">
        <v>848.74831004909481</v>
      </c>
      <c r="AP15" s="124">
        <v>443.72892057630111</v>
      </c>
      <c r="AQ15" s="124">
        <v>848.74831004909481</v>
      </c>
      <c r="AR15" s="124">
        <v>848.74831004909481</v>
      </c>
      <c r="AS15" s="124">
        <v>848.74831004909481</v>
      </c>
      <c r="AT15" s="124">
        <v>848.74831004909481</v>
      </c>
      <c r="AU15" s="124">
        <v>848.74831004909481</v>
      </c>
      <c r="AV15" s="124">
        <v>848.74831004909481</v>
      </c>
      <c r="AW15" s="124">
        <v>214.55031536044245</v>
      </c>
      <c r="AX15" s="124">
        <v>227.05846377891103</v>
      </c>
      <c r="AY15" s="124">
        <v>214.55031536044245</v>
      </c>
      <c r="AZ15" s="100">
        <v>25.016296836937169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581.76736480928525</v>
      </c>
      <c r="F16" s="110"/>
      <c r="G16" s="110">
        <v>0</v>
      </c>
      <c r="H16" s="110">
        <v>0</v>
      </c>
      <c r="I16" s="110"/>
      <c r="J16" s="110">
        <v>0</v>
      </c>
      <c r="K16" s="110">
        <v>0</v>
      </c>
      <c r="L16" s="110">
        <v>0</v>
      </c>
      <c r="M16" s="110">
        <v>405.0193894727937</v>
      </c>
      <c r="N16" s="110">
        <v>0</v>
      </c>
      <c r="O16" s="110">
        <v>405.0193894727937</v>
      </c>
      <c r="P16" s="110">
        <v>0</v>
      </c>
      <c r="Q16" s="110">
        <v>405.0193894727937</v>
      </c>
      <c r="R16" s="110">
        <v>634.19799468865233</v>
      </c>
      <c r="S16" s="110">
        <v>0</v>
      </c>
      <c r="T16" s="110">
        <v>0</v>
      </c>
      <c r="U16" s="110">
        <v>1039.217384161446</v>
      </c>
      <c r="V16" s="110">
        <v>634.19799468865233</v>
      </c>
      <c r="W16" s="110"/>
      <c r="X16" s="110"/>
      <c r="Y16" s="110">
        <v>0</v>
      </c>
      <c r="Z16" s="110">
        <v>0</v>
      </c>
      <c r="AA16" s="110">
        <v>405.0193894727937</v>
      </c>
      <c r="AB16" s="110">
        <v>0</v>
      </c>
      <c r="AC16" s="110"/>
      <c r="AD16" s="110"/>
      <c r="AE16" s="110"/>
      <c r="AF16" s="110"/>
      <c r="AG16" s="110">
        <v>405.0193894727937</v>
      </c>
      <c r="AH16" s="110"/>
      <c r="AI16" s="110"/>
      <c r="AJ16" s="110">
        <v>634.19799468865233</v>
      </c>
      <c r="AK16" s="110"/>
      <c r="AL16" s="110">
        <v>634.19799468865233</v>
      </c>
      <c r="AM16" s="110">
        <v>405.0193894727937</v>
      </c>
      <c r="AN16" s="110">
        <v>0</v>
      </c>
      <c r="AO16" s="110">
        <v>1039.217384161446</v>
      </c>
      <c r="AP16" s="110"/>
      <c r="AQ16" s="110">
        <v>405.0193894727937</v>
      </c>
      <c r="AR16" s="110"/>
      <c r="AS16" s="110">
        <v>0</v>
      </c>
      <c r="AT16" s="110">
        <v>0</v>
      </c>
      <c r="AU16" s="110">
        <v>0</v>
      </c>
      <c r="AV16" s="110">
        <v>0</v>
      </c>
      <c r="AW16" s="110">
        <v>0</v>
      </c>
      <c r="AX16" s="110">
        <v>634.19799468865233</v>
      </c>
      <c r="AY16" s="110">
        <v>0</v>
      </c>
      <c r="AZ16" s="10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/>
      <c r="F17" s="110"/>
      <c r="G17" s="110">
        <v>0</v>
      </c>
      <c r="H17" s="110">
        <v>405.0193894727937</v>
      </c>
      <c r="I17" s="110"/>
      <c r="J17" s="110">
        <v>0</v>
      </c>
      <c r="K17" s="110"/>
      <c r="L17" s="110"/>
      <c r="M17" s="110"/>
      <c r="N17" s="110">
        <v>0</v>
      </c>
      <c r="O17" s="110"/>
      <c r="P17" s="110">
        <v>0</v>
      </c>
      <c r="Q17" s="110"/>
      <c r="R17" s="110"/>
      <c r="S17" s="110"/>
      <c r="T17" s="110"/>
      <c r="U17" s="110"/>
      <c r="V17" s="110">
        <v>0</v>
      </c>
      <c r="W17" s="110"/>
      <c r="X17" s="110"/>
      <c r="Y17" s="110">
        <v>0</v>
      </c>
      <c r="Z17" s="110"/>
      <c r="AA17" s="110"/>
      <c r="AB17" s="110"/>
      <c r="AC17" s="110"/>
      <c r="AD17" s="110">
        <v>0</v>
      </c>
      <c r="AE17" s="110">
        <v>0</v>
      </c>
      <c r="AF17" s="110">
        <v>0</v>
      </c>
      <c r="AG17" s="110">
        <v>0</v>
      </c>
      <c r="AH17" s="110"/>
      <c r="AI17" s="110"/>
      <c r="AJ17" s="110">
        <v>0</v>
      </c>
      <c r="AK17" s="110"/>
      <c r="AL17" s="110">
        <v>0</v>
      </c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>
        <v>0</v>
      </c>
      <c r="T18" s="125"/>
      <c r="U18" s="125"/>
      <c r="V18" s="125"/>
      <c r="W18" s="125"/>
      <c r="X18" s="125"/>
      <c r="Y18" s="125">
        <v>0</v>
      </c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>
        <v>0</v>
      </c>
      <c r="AK18" s="125"/>
      <c r="AL18" s="125"/>
      <c r="AM18" s="125"/>
      <c r="AN18" s="125"/>
      <c r="AO18" s="125"/>
      <c r="AP18" s="125"/>
      <c r="AQ18" s="125"/>
      <c r="AR18" s="125">
        <v>0</v>
      </c>
      <c r="AS18" s="125"/>
      <c r="AT18" s="125">
        <v>0</v>
      </c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1243.5368930926027</v>
      </c>
      <c r="D95" s="110">
        <v>1056.9011393997348</v>
      </c>
      <c r="E95" s="110">
        <v>1056.9011393997348</v>
      </c>
      <c r="F95" s="110">
        <v>1056.9011393997348</v>
      </c>
      <c r="G95" s="110">
        <v>1056.9011393997348</v>
      </c>
      <c r="H95" s="110">
        <v>1056.9011393997348</v>
      </c>
      <c r="I95" s="110">
        <v>1056.9011393997348</v>
      </c>
      <c r="J95" s="110">
        <v>1056.9011393997348</v>
      </c>
      <c r="K95" s="110">
        <v>1056.9011393997348</v>
      </c>
      <c r="L95" s="110">
        <v>1056.9011393997348</v>
      </c>
      <c r="M95" s="110">
        <v>1056.9011393997348</v>
      </c>
      <c r="N95" s="110">
        <v>1056.9011393997348</v>
      </c>
      <c r="O95" s="110">
        <v>1056.9011393997348</v>
      </c>
      <c r="P95" s="110">
        <v>1056.9011393997348</v>
      </c>
      <c r="Q95" s="110">
        <v>1056.9011393997348</v>
      </c>
      <c r="R95" s="110">
        <v>1056.9011393997348</v>
      </c>
      <c r="S95" s="110">
        <v>1056.9011393997348</v>
      </c>
      <c r="T95" s="110">
        <v>1056.9011393997348</v>
      </c>
      <c r="U95" s="110">
        <v>1056.9011393997348</v>
      </c>
      <c r="V95" s="110">
        <v>1056.9011393997348</v>
      </c>
      <c r="W95" s="110">
        <v>1056.9011393997348</v>
      </c>
      <c r="X95" s="110">
        <v>1056.9011393997348</v>
      </c>
      <c r="Y95" s="110">
        <v>1056.9011393997348</v>
      </c>
      <c r="Z95" s="110">
        <v>1056.9011393997348</v>
      </c>
      <c r="AA95" s="110">
        <v>1056.9011393997348</v>
      </c>
      <c r="AB95" s="110">
        <v>1056.9011393997348</v>
      </c>
      <c r="AC95" s="110">
        <v>1056.9011393997348</v>
      </c>
      <c r="AD95" s="110">
        <v>1056.9011393997348</v>
      </c>
      <c r="AE95" s="110">
        <v>1056.9011393997348</v>
      </c>
      <c r="AF95" s="110">
        <v>1056.9011393997348</v>
      </c>
      <c r="AG95" s="110">
        <v>1056.9011393997348</v>
      </c>
      <c r="AH95" s="110">
        <v>1056.9011393997348</v>
      </c>
      <c r="AI95" s="110">
        <v>1056.9011393997348</v>
      </c>
      <c r="AJ95" s="110">
        <v>1056.9011393997348</v>
      </c>
      <c r="AK95" s="110">
        <v>1056.9011393997348</v>
      </c>
      <c r="AL95" s="110">
        <v>1056.9011393997348</v>
      </c>
      <c r="AM95" s="110">
        <v>1056.9011393997348</v>
      </c>
      <c r="AN95" s="110">
        <v>1056.9011393997348</v>
      </c>
      <c r="AO95" s="110">
        <v>1056.9011393997348</v>
      </c>
      <c r="AP95" s="110">
        <v>1056.9011393997348</v>
      </c>
      <c r="AQ95" s="110">
        <v>1056.9011393997348</v>
      </c>
      <c r="AR95" s="110">
        <v>1056.9011393997348</v>
      </c>
      <c r="AS95" s="110">
        <v>1056.9011393997348</v>
      </c>
      <c r="AT95" s="110">
        <v>1056.9011393997348</v>
      </c>
      <c r="AU95" s="110">
        <v>1056.9011393997348</v>
      </c>
      <c r="AV95" s="110">
        <v>20.845030141967712</v>
      </c>
      <c r="AW95" s="110">
        <v>20.845030141967712</v>
      </c>
      <c r="AX95" s="110">
        <v>20.845030141967712</v>
      </c>
      <c r="AY95" s="110">
        <v>20.845030141967712</v>
      </c>
    </row>
    <row r="96" spans="1:52">
      <c r="A96" s="109"/>
      <c r="B96" s="120">
        <v>2</v>
      </c>
      <c r="C96" s="110">
        <v>458.610679277808</v>
      </c>
      <c r="D96" s="110">
        <v>612.14757237041067</v>
      </c>
      <c r="E96" s="110">
        <v>706.04871177014547</v>
      </c>
      <c r="F96" s="110">
        <v>642.94985116988028</v>
      </c>
      <c r="G96" s="110">
        <v>591.85099056961508</v>
      </c>
      <c r="H96" s="110">
        <v>564.75212996934988</v>
      </c>
      <c r="I96" s="110">
        <v>467.65326936908468</v>
      </c>
      <c r="J96" s="110">
        <v>737.55440876881948</v>
      </c>
      <c r="K96" s="110">
        <v>680.45554816855429</v>
      </c>
      <c r="L96" s="110">
        <v>703.35668756828909</v>
      </c>
      <c r="M96" s="110">
        <v>686.25782696802389</v>
      </c>
      <c r="N96" s="110">
        <v>667.15896636775869</v>
      </c>
      <c r="O96" s="110">
        <v>711.0601057674935</v>
      </c>
      <c r="P96" s="110">
        <v>546.9612451672283</v>
      </c>
      <c r="Q96" s="110">
        <v>677.8623845669631</v>
      </c>
      <c r="R96" s="110">
        <v>738.7635239666979</v>
      </c>
      <c r="S96" s="110">
        <v>601.66466336643271</v>
      </c>
      <c r="T96" s="110">
        <v>552.56580276616751</v>
      </c>
      <c r="U96" s="110">
        <v>365.46694216590231</v>
      </c>
      <c r="V96" s="110">
        <v>409.36808156563711</v>
      </c>
      <c r="W96" s="110">
        <v>223.26922096537191</v>
      </c>
      <c r="X96" s="110">
        <v>263.17036036510672</v>
      </c>
      <c r="Y96" s="110">
        <v>32.071499764841519</v>
      </c>
      <c r="Z96" s="110">
        <v>0</v>
      </c>
      <c r="AA96" s="110">
        <v>0</v>
      </c>
      <c r="AB96" s="110">
        <v>0</v>
      </c>
      <c r="AC96" s="110">
        <v>13.901139399734802</v>
      </c>
      <c r="AD96" s="110">
        <v>122.8022787994696</v>
      </c>
      <c r="AE96" s="110">
        <v>0</v>
      </c>
      <c r="AF96" s="110">
        <v>15.901139399734802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60.901139399734802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726.85470141024086</v>
      </c>
      <c r="D100" s="106">
        <v>211.40140051419237</v>
      </c>
      <c r="E100" s="106">
        <v>774.23633116314852</v>
      </c>
      <c r="F100" s="106">
        <v>220.82139478414152</v>
      </c>
      <c r="G100" s="106">
        <v>611.07137651243147</v>
      </c>
      <c r="H100" s="106">
        <v>611.07137651243147</v>
      </c>
      <c r="I100" s="106">
        <v>611.07137651243147</v>
      </c>
      <c r="J100" s="106">
        <v>611.07137651243147</v>
      </c>
      <c r="K100" s="106">
        <v>611.07137651243147</v>
      </c>
      <c r="L100" s="106">
        <v>220.82139478414152</v>
      </c>
      <c r="M100" s="106">
        <v>611.07137651243147</v>
      </c>
      <c r="N100" s="106">
        <v>220.82139478414152</v>
      </c>
      <c r="O100" s="106">
        <v>611.07137651243147</v>
      </c>
      <c r="P100" s="106">
        <v>220.82139478414152</v>
      </c>
      <c r="Q100" s="106">
        <v>0</v>
      </c>
      <c r="R100" s="106">
        <v>611.07137651243147</v>
      </c>
      <c r="S100" s="106">
        <v>0</v>
      </c>
      <c r="T100" s="106">
        <v>220.82139478414143</v>
      </c>
      <c r="U100" s="106">
        <v>0</v>
      </c>
      <c r="V100" s="106">
        <v>611.07137651243147</v>
      </c>
      <c r="W100" s="106">
        <v>611.07137651243147</v>
      </c>
      <c r="X100" s="106">
        <v>611.07137651243147</v>
      </c>
      <c r="Y100" s="106">
        <v>611.07137651243147</v>
      </c>
      <c r="Z100" s="106">
        <v>220.82139478414152</v>
      </c>
      <c r="AA100" s="106">
        <v>611.07137651243147</v>
      </c>
      <c r="AB100" s="106">
        <v>611.07137651243147</v>
      </c>
      <c r="AC100" s="106">
        <v>611.07137651243147</v>
      </c>
      <c r="AD100" s="106">
        <v>611.07137651243147</v>
      </c>
      <c r="AE100" s="106">
        <v>611.07137651243147</v>
      </c>
      <c r="AF100" s="106">
        <v>220.82139478414152</v>
      </c>
      <c r="AG100" s="106">
        <v>611.07137651243147</v>
      </c>
      <c r="AH100" s="106">
        <v>611.07137651243147</v>
      </c>
      <c r="AI100" s="106">
        <v>0</v>
      </c>
      <c r="AJ100" s="106">
        <v>611.07137651243147</v>
      </c>
      <c r="AK100" s="106">
        <v>0</v>
      </c>
      <c r="AL100" s="106">
        <v>220.82139478414152</v>
      </c>
      <c r="AM100" s="106">
        <v>0</v>
      </c>
      <c r="AN100" s="106">
        <v>220.82139478414143</v>
      </c>
      <c r="AO100" s="106">
        <v>611.07137651243147</v>
      </c>
      <c r="AP100" s="106">
        <v>220.82139478414152</v>
      </c>
      <c r="AQ100" s="106">
        <v>611.07137651243147</v>
      </c>
      <c r="AR100" s="106">
        <v>611.07137651243147</v>
      </c>
      <c r="AS100" s="106">
        <v>611.07137651243147</v>
      </c>
      <c r="AT100" s="106">
        <v>611.07137651243147</v>
      </c>
      <c r="AU100" s="106">
        <v>611.07137651243147</v>
      </c>
      <c r="AV100" s="106">
        <v>611.07137651243147</v>
      </c>
      <c r="AW100" s="106">
        <v>0</v>
      </c>
      <c r="AX100" s="106">
        <v>12.052027183478813</v>
      </c>
      <c r="AY100" s="106">
        <v>0</v>
      </c>
    </row>
    <row r="101" spans="1:52">
      <c r="A101" s="109"/>
      <c r="B101" s="119">
        <v>2</v>
      </c>
      <c r="C101" s="106">
        <v>432.42019597546647</v>
      </c>
      <c r="D101" s="106">
        <v>550.27489738570739</v>
      </c>
      <c r="E101" s="106">
        <v>601.12959879594825</v>
      </c>
      <c r="F101" s="106">
        <v>760.36592995909677</v>
      </c>
      <c r="G101" s="106">
        <v>220.82139478414152</v>
      </c>
      <c r="H101" s="106">
        <v>291.25870125566973</v>
      </c>
      <c r="I101" s="106">
        <v>611.07137651243147</v>
      </c>
      <c r="J101" s="106">
        <v>610.65143600882266</v>
      </c>
      <c r="K101" s="106">
        <v>452.72281252125413</v>
      </c>
      <c r="L101" s="106">
        <v>468.7941890336856</v>
      </c>
      <c r="M101" s="106">
        <v>417.86556554611707</v>
      </c>
      <c r="N101" s="106">
        <v>264.93694205854854</v>
      </c>
      <c r="O101" s="106">
        <v>390.24998172828998</v>
      </c>
      <c r="P101" s="106">
        <v>379.32135824072145</v>
      </c>
      <c r="Q101" s="106">
        <v>390.24998172828998</v>
      </c>
      <c r="R101" s="106">
        <v>611.07137651243147</v>
      </c>
      <c r="S101" s="106">
        <v>573.14275302486294</v>
      </c>
      <c r="T101" s="106">
        <v>0</v>
      </c>
      <c r="U101" s="106">
        <v>1001.3213582407216</v>
      </c>
      <c r="V101" s="106">
        <v>611.07137651243147</v>
      </c>
      <c r="W101" s="106">
        <v>611.07137651243147</v>
      </c>
      <c r="X101" s="106">
        <v>611.07137651243147</v>
      </c>
      <c r="Y101" s="106">
        <v>611.07137651243147</v>
      </c>
      <c r="Z101" s="106">
        <v>587.67824080287892</v>
      </c>
      <c r="AA101" s="106">
        <v>390.24998172828998</v>
      </c>
      <c r="AB101" s="106">
        <v>266.32135824072145</v>
      </c>
      <c r="AC101" s="106">
        <v>144.39273475315292</v>
      </c>
      <c r="AD101" s="106">
        <v>0</v>
      </c>
      <c r="AE101" s="106">
        <v>0</v>
      </c>
      <c r="AF101" s="106">
        <v>0</v>
      </c>
      <c r="AG101" s="106">
        <v>390.24998172828998</v>
      </c>
      <c r="AH101" s="106">
        <v>169.32135824072145</v>
      </c>
      <c r="AI101" s="106">
        <v>27.392734753152922</v>
      </c>
      <c r="AJ101" s="106">
        <v>611.07137651243147</v>
      </c>
      <c r="AK101" s="106">
        <v>611.07137651243147</v>
      </c>
      <c r="AL101" s="106">
        <v>611.07137651243147</v>
      </c>
      <c r="AM101" s="106">
        <v>423.14275302486294</v>
      </c>
      <c r="AN101" s="106">
        <v>0</v>
      </c>
      <c r="AO101" s="106">
        <v>1001.3213582407216</v>
      </c>
      <c r="AP101" s="106">
        <v>611.07137651243147</v>
      </c>
      <c r="AQ101" s="106">
        <v>611.07137651243147</v>
      </c>
      <c r="AR101" s="106">
        <v>611.07137651243147</v>
      </c>
      <c r="AS101" s="106">
        <v>611.07137651243147</v>
      </c>
      <c r="AT101" s="106">
        <v>508.67824080287892</v>
      </c>
      <c r="AU101" s="106">
        <v>389.74961731531039</v>
      </c>
      <c r="AV101" s="106">
        <v>242.82099382774186</v>
      </c>
      <c r="AW101" s="106">
        <v>33.892370340173329</v>
      </c>
      <c r="AX101" s="106">
        <v>611.07137651243147</v>
      </c>
      <c r="AY101" s="106">
        <v>1.4210854715202004E-14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144.36592995909677</v>
      </c>
      <c r="H102" s="106">
        <v>390.24998172828998</v>
      </c>
      <c r="I102" s="106">
        <v>0.50868298395971578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24.142753024862941</v>
      </c>
      <c r="U102" s="106">
        <v>0</v>
      </c>
      <c r="V102" s="106">
        <v>294.32135824072157</v>
      </c>
      <c r="W102" s="106">
        <v>300.39273475315304</v>
      </c>
      <c r="X102" s="106">
        <v>264.46411126558451</v>
      </c>
      <c r="Y102" s="106">
        <v>195.53548777801598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10.07137651243147</v>
      </c>
      <c r="AL102" s="106">
        <v>0</v>
      </c>
      <c r="AM102" s="106">
        <v>0</v>
      </c>
      <c r="AN102" s="106">
        <v>0</v>
      </c>
      <c r="AO102" s="106">
        <v>0</v>
      </c>
      <c r="AP102" s="106">
        <v>380.32135824072157</v>
      </c>
      <c r="AQ102" s="106">
        <v>274.39273475315304</v>
      </c>
      <c r="AR102" s="106">
        <v>259.46411126558451</v>
      </c>
      <c r="AS102" s="106">
        <v>104.53548777801598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675.19462310245592</v>
      </c>
      <c r="D109" s="106">
        <v>468.52588222082903</v>
      </c>
      <c r="E109" s="106">
        <v>197.69815305934202</v>
      </c>
      <c r="F109" s="106">
        <v>697.97923194110615</v>
      </c>
      <c r="G109" s="106">
        <v>314.85988309702429</v>
      </c>
      <c r="H109" s="106">
        <v>370.28881193696714</v>
      </c>
      <c r="I109" s="106">
        <v>546.98919150018708</v>
      </c>
      <c r="J109" s="106">
        <v>457.01117321000589</v>
      </c>
      <c r="K109" s="106">
        <v>388.83738215247121</v>
      </c>
      <c r="L109" s="106">
        <v>370.28881193696714</v>
      </c>
      <c r="M109" s="106">
        <v>193.58843237374717</v>
      </c>
      <c r="N109" s="106">
        <v>546.98919150018708</v>
      </c>
      <c r="O109" s="106">
        <v>193.58843237374717</v>
      </c>
      <c r="P109" s="106">
        <v>546.98919150018708</v>
      </c>
      <c r="Q109" s="106">
        <v>194.8900606105156</v>
      </c>
      <c r="R109" s="106">
        <v>270.30360732213524</v>
      </c>
      <c r="S109" s="106">
        <v>646.97439611501898</v>
      </c>
      <c r="T109" s="106">
        <v>195.44712535809833</v>
      </c>
      <c r="U109" s="106">
        <v>193.58843237374717</v>
      </c>
      <c r="V109" s="106">
        <v>546.98919150018708</v>
      </c>
      <c r="W109" s="106">
        <v>671.53502380861948</v>
      </c>
      <c r="X109" s="106">
        <v>497.11753688880952</v>
      </c>
      <c r="Y109" s="106">
        <v>385.70598355532474</v>
      </c>
      <c r="Z109" s="106">
        <v>370.28881193696714</v>
      </c>
      <c r="AA109" s="106">
        <v>193.58843237374717</v>
      </c>
      <c r="AB109" s="106">
        <v>546.98919150018708</v>
      </c>
      <c r="AC109" s="106">
        <v>373.21088889502698</v>
      </c>
      <c r="AD109" s="106">
        <v>370.28881193696714</v>
      </c>
      <c r="AE109" s="106">
        <v>370.28881193696714</v>
      </c>
      <c r="AF109" s="106">
        <v>370.28881193696714</v>
      </c>
      <c r="AG109" s="106">
        <v>193.58843237374717</v>
      </c>
      <c r="AH109" s="106">
        <v>546.98919150018708</v>
      </c>
      <c r="AI109" s="106">
        <v>377.93343062476401</v>
      </c>
      <c r="AJ109" s="106">
        <v>93.603227758915281</v>
      </c>
      <c r="AK109" s="106">
        <v>646.97439611501898</v>
      </c>
      <c r="AL109" s="106">
        <v>159.74743247543012</v>
      </c>
      <c r="AM109" s="106">
        <v>470.27401655179904</v>
      </c>
      <c r="AN109" s="106">
        <v>270.30360732213524</v>
      </c>
      <c r="AO109" s="106">
        <v>193.58843237374717</v>
      </c>
      <c r="AP109" s="106">
        <v>823.67477567823892</v>
      </c>
      <c r="AQ109" s="106">
        <v>321.53323064550563</v>
      </c>
      <c r="AR109" s="106">
        <v>546.98919150018708</v>
      </c>
      <c r="AS109" s="106">
        <v>443.92288281038617</v>
      </c>
      <c r="AT109" s="106">
        <v>370.28881193696714</v>
      </c>
      <c r="AU109" s="106">
        <v>370.28881193696714</v>
      </c>
      <c r="AV109" s="106">
        <v>370.28881193696714</v>
      </c>
      <c r="AW109" s="106">
        <v>370.28881193696714</v>
      </c>
      <c r="AX109" s="106">
        <v>93.603227758915281</v>
      </c>
      <c r="AY109" s="106">
        <v>375.74582123238247</v>
      </c>
    </row>
    <row r="110" spans="1:52">
      <c r="A110" s="109"/>
      <c r="B110" s="119">
        <v>2</v>
      </c>
      <c r="C110" s="106">
        <v>0</v>
      </c>
      <c r="D110" s="106">
        <v>254.19462310245592</v>
      </c>
      <c r="E110" s="106">
        <v>234.72050532328495</v>
      </c>
      <c r="F110" s="106">
        <v>0</v>
      </c>
      <c r="G110" s="106">
        <v>297.97923194110615</v>
      </c>
      <c r="H110" s="106">
        <v>214.83911503813044</v>
      </c>
      <c r="I110" s="106">
        <v>136.12792697509758</v>
      </c>
      <c r="J110" s="106">
        <v>240.11711847528466</v>
      </c>
      <c r="K110" s="106">
        <v>245.12829168529055</v>
      </c>
      <c r="L110" s="106">
        <v>248.96567383776176</v>
      </c>
      <c r="M110" s="106">
        <v>136.25448577472889</v>
      </c>
      <c r="N110" s="106">
        <v>0</v>
      </c>
      <c r="O110" s="106">
        <v>24.363599109410643</v>
      </c>
      <c r="P110" s="106">
        <v>0</v>
      </c>
      <c r="Q110" s="106">
        <v>41.645030488433235</v>
      </c>
      <c r="R110" s="106">
        <v>0</v>
      </c>
      <c r="S110" s="106">
        <v>0</v>
      </c>
      <c r="T110" s="106">
        <v>162.97439611501898</v>
      </c>
      <c r="U110" s="106">
        <v>0</v>
      </c>
      <c r="V110" s="106">
        <v>0</v>
      </c>
      <c r="W110" s="106">
        <v>98.989191500187076</v>
      </c>
      <c r="X110" s="106">
        <v>213.52421530880656</v>
      </c>
      <c r="Y110" s="106">
        <v>237.64175219761609</v>
      </c>
      <c r="Z110" s="106">
        <v>209.34773575294082</v>
      </c>
      <c r="AA110" s="106">
        <v>214.86858944113919</v>
      </c>
      <c r="AB110" s="106">
        <v>0</v>
      </c>
      <c r="AC110" s="106">
        <v>146.98919150018708</v>
      </c>
      <c r="AD110" s="106">
        <v>90.029527467068533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191.01048437116646</v>
      </c>
      <c r="AM110" s="106">
        <v>0</v>
      </c>
      <c r="AN110" s="106">
        <v>0</v>
      </c>
      <c r="AO110" s="106">
        <v>0</v>
      </c>
      <c r="AP110" s="106">
        <v>0</v>
      </c>
      <c r="AQ110" s="106">
        <v>362.67477567823892</v>
      </c>
      <c r="AR110" s="106">
        <v>261.20800632374454</v>
      </c>
      <c r="AS110" s="106">
        <v>273.19719782393162</v>
      </c>
      <c r="AT110" s="106">
        <v>284.12008063431779</v>
      </c>
      <c r="AU110" s="106">
        <v>60.408892571284923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988.64922323237943</v>
      </c>
      <c r="D122" s="106">
        <v>453.14891484625008</v>
      </c>
      <c r="E122" s="106">
        <v>1018.0884084734962</v>
      </c>
      <c r="F122" s="106">
        <v>443.72892057630111</v>
      </c>
      <c r="G122" s="106">
        <v>848.74831004909481</v>
      </c>
      <c r="H122" s="106">
        <v>848.74831004909481</v>
      </c>
      <c r="I122" s="106">
        <v>848.74831004909481</v>
      </c>
      <c r="J122" s="106">
        <v>848.74831004909481</v>
      </c>
      <c r="K122" s="106">
        <v>848.74831004909481</v>
      </c>
      <c r="L122" s="106">
        <v>443.72892057630111</v>
      </c>
      <c r="M122" s="106">
        <v>848.74831004909481</v>
      </c>
      <c r="N122" s="106">
        <v>443.72892057630111</v>
      </c>
      <c r="O122" s="106">
        <v>848.74831004909481</v>
      </c>
      <c r="P122" s="106">
        <v>443.72892057630111</v>
      </c>
      <c r="Q122" s="106">
        <v>214.55031536044245</v>
      </c>
      <c r="R122" s="106">
        <v>848.74831004909481</v>
      </c>
      <c r="S122" s="106">
        <v>214.55031536044245</v>
      </c>
      <c r="T122" s="106">
        <v>443.72892057630111</v>
      </c>
      <c r="U122" s="106">
        <v>214.55031536044245</v>
      </c>
      <c r="V122" s="106">
        <v>848.74831004909481</v>
      </c>
      <c r="W122" s="106">
        <v>848.74831004909481</v>
      </c>
      <c r="X122" s="106">
        <v>848.74831004909481</v>
      </c>
      <c r="Y122" s="106">
        <v>848.74831004909481</v>
      </c>
      <c r="Z122" s="106">
        <v>443.72892057630111</v>
      </c>
      <c r="AA122" s="106">
        <v>848.74831004909481</v>
      </c>
      <c r="AB122" s="106">
        <v>848.74831004909481</v>
      </c>
      <c r="AC122" s="106">
        <v>848.74831004909481</v>
      </c>
      <c r="AD122" s="106">
        <v>848.74831004909481</v>
      </c>
      <c r="AE122" s="106">
        <v>848.74831004909481</v>
      </c>
      <c r="AF122" s="106">
        <v>443.72892057630111</v>
      </c>
      <c r="AG122" s="106">
        <v>848.74831004909481</v>
      </c>
      <c r="AH122" s="106">
        <v>848.74831004909481</v>
      </c>
      <c r="AI122" s="106">
        <v>214.55031536044245</v>
      </c>
      <c r="AJ122" s="106">
        <v>848.74831004909481</v>
      </c>
      <c r="AK122" s="106">
        <v>214.55031536044245</v>
      </c>
      <c r="AL122" s="106">
        <v>443.72892057630111</v>
      </c>
      <c r="AM122" s="106">
        <v>214.55031536044245</v>
      </c>
      <c r="AN122" s="106">
        <v>443.72892057630111</v>
      </c>
      <c r="AO122" s="106">
        <v>848.74831004909481</v>
      </c>
      <c r="AP122" s="106">
        <v>443.72892057630111</v>
      </c>
      <c r="AQ122" s="106">
        <v>848.74831004909481</v>
      </c>
      <c r="AR122" s="106">
        <v>848.74831004909481</v>
      </c>
      <c r="AS122" s="106">
        <v>848.74831004909481</v>
      </c>
      <c r="AT122" s="106">
        <v>848.74831004909481</v>
      </c>
      <c r="AU122" s="106">
        <v>848.74831004909481</v>
      </c>
      <c r="AV122" s="106">
        <v>848.74831004909481</v>
      </c>
      <c r="AW122" s="106">
        <v>214.55031536044245</v>
      </c>
      <c r="AX122" s="106">
        <v>227.05846377891103</v>
      </c>
      <c r="AY122" s="106">
        <v>214.55031536044245</v>
      </c>
    </row>
    <row r="123" spans="1:52">
      <c r="A123" s="109"/>
      <c r="B123" s="119">
        <v>2</v>
      </c>
      <c r="C123" s="106">
        <v>89.422315142616696</v>
      </c>
      <c r="D123" s="106">
        <v>0</v>
      </c>
      <c r="E123" s="106">
        <v>581.76736480928525</v>
      </c>
      <c r="F123" s="106">
        <v>277.96934592802313</v>
      </c>
      <c r="G123" s="106">
        <v>2.8421709430404007E-14</v>
      </c>
      <c r="H123" s="106">
        <v>0</v>
      </c>
      <c r="I123" s="106">
        <v>198.77850802170144</v>
      </c>
      <c r="J123" s="106">
        <v>42.51564486079036</v>
      </c>
      <c r="K123" s="106">
        <v>0</v>
      </c>
      <c r="L123" s="106">
        <v>0</v>
      </c>
      <c r="M123" s="106">
        <v>405.0193894727937</v>
      </c>
      <c r="N123" s="106">
        <v>0</v>
      </c>
      <c r="O123" s="106">
        <v>405.0193894727937</v>
      </c>
      <c r="P123" s="106">
        <v>2.9834948576773286</v>
      </c>
      <c r="Q123" s="106">
        <v>405.0193894727937</v>
      </c>
      <c r="R123" s="106">
        <v>634.19799468865233</v>
      </c>
      <c r="S123" s="106">
        <v>233.43896220886631</v>
      </c>
      <c r="T123" s="106">
        <v>0</v>
      </c>
      <c r="U123" s="106">
        <v>1039.217384161446</v>
      </c>
      <c r="V123" s="106">
        <v>690.49402788405132</v>
      </c>
      <c r="W123" s="106">
        <v>290.70731412452676</v>
      </c>
      <c r="X123" s="106">
        <v>35.338087284811991</v>
      </c>
      <c r="Y123" s="106">
        <v>0</v>
      </c>
      <c r="Z123" s="106">
        <v>0</v>
      </c>
      <c r="AA123" s="106">
        <v>405.0193894727937</v>
      </c>
      <c r="AB123" s="106">
        <v>6.6977661761189893</v>
      </c>
      <c r="AC123" s="106">
        <v>0</v>
      </c>
      <c r="AD123" s="106">
        <v>0</v>
      </c>
      <c r="AE123" s="106">
        <v>0</v>
      </c>
      <c r="AF123" s="106">
        <v>0</v>
      </c>
      <c r="AG123" s="106">
        <v>405.0193894727937</v>
      </c>
      <c r="AH123" s="106">
        <v>17.522422992736324</v>
      </c>
      <c r="AI123" s="106">
        <v>0</v>
      </c>
      <c r="AJ123" s="106">
        <v>634.19799468865233</v>
      </c>
      <c r="AK123" s="106">
        <v>151.61079720183329</v>
      </c>
      <c r="AL123" s="106">
        <v>634.19799468865233</v>
      </c>
      <c r="AM123" s="106">
        <v>405.0193894727937</v>
      </c>
      <c r="AN123" s="106">
        <v>0</v>
      </c>
      <c r="AO123" s="106">
        <v>1039.217384161446</v>
      </c>
      <c r="AP123" s="106">
        <v>293.26549388484545</v>
      </c>
      <c r="AQ123" s="106">
        <v>405.0193894727937</v>
      </c>
      <c r="AR123" s="106">
        <v>168.77850802170144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634.19799468865233</v>
      </c>
      <c r="AY123" s="106">
        <v>1.4210854715202004E-14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405.0193894727937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0.43459628191933314</v>
      </c>
      <c r="D172" s="134">
        <v>0.43627634665399007</v>
      </c>
      <c r="E172" s="134">
        <v>0.43627634665399007</v>
      </c>
      <c r="F172" s="134">
        <v>0.43627634665399007</v>
      </c>
      <c r="G172" s="134">
        <v>0.43627634665399007</v>
      </c>
      <c r="H172" s="134">
        <v>0.43627634665399007</v>
      </c>
      <c r="I172" s="134">
        <v>0.43627634665399007</v>
      </c>
      <c r="J172" s="134">
        <v>0.43627634665399007</v>
      </c>
      <c r="K172" s="134">
        <v>0.43627634665399007</v>
      </c>
      <c r="L172" s="134">
        <v>0.43627634665399007</v>
      </c>
      <c r="M172" s="134">
        <v>0.43627634665399007</v>
      </c>
      <c r="N172" s="134">
        <v>0.43627634665399007</v>
      </c>
      <c r="O172" s="134">
        <v>0.43627634665399007</v>
      </c>
      <c r="P172" s="134">
        <v>0.43627634665399007</v>
      </c>
      <c r="Q172" s="134">
        <v>0.43627634665399007</v>
      </c>
      <c r="R172" s="134">
        <v>0.43627634665399007</v>
      </c>
      <c r="S172" s="134">
        <v>0.43627634665399007</v>
      </c>
      <c r="T172" s="134">
        <v>0.43627634665399007</v>
      </c>
      <c r="U172" s="134">
        <v>0.43627634665399007</v>
      </c>
      <c r="V172" s="134">
        <v>0.43627634665399007</v>
      </c>
      <c r="W172" s="134">
        <v>0.43627634665399007</v>
      </c>
      <c r="X172" s="134">
        <v>0.43627634665399007</v>
      </c>
      <c r="Y172" s="134">
        <v>0.43627634665399007</v>
      </c>
      <c r="Z172" s="134">
        <v>0.43627634665399007</v>
      </c>
      <c r="AA172" s="134">
        <v>0.43627634665399007</v>
      </c>
      <c r="AB172" s="134">
        <v>0.43627634665399007</v>
      </c>
      <c r="AC172" s="134">
        <v>0.43627634665399007</v>
      </c>
      <c r="AD172" s="134">
        <v>0.43627634665399007</v>
      </c>
      <c r="AE172" s="134">
        <v>0.43627634665399007</v>
      </c>
      <c r="AF172" s="134">
        <v>0.43627634665399007</v>
      </c>
      <c r="AG172" s="134">
        <v>0.43627634665399007</v>
      </c>
      <c r="AH172" s="134">
        <v>0.43627634665399007</v>
      </c>
      <c r="AI172" s="134">
        <v>0.43627634665399007</v>
      </c>
      <c r="AJ172" s="134">
        <v>0.43627634665399007</v>
      </c>
      <c r="AK172" s="134">
        <v>0.43627634665399007</v>
      </c>
      <c r="AL172" s="134">
        <v>0.43627634665399007</v>
      </c>
      <c r="AM172" s="134">
        <v>0.43627634665399007</v>
      </c>
      <c r="AN172" s="134">
        <v>0.43627634665399007</v>
      </c>
      <c r="AO172" s="134">
        <v>0.43627634665399007</v>
      </c>
      <c r="AP172" s="134">
        <v>0.43627634665399007</v>
      </c>
      <c r="AQ172" s="134">
        <v>0.43627634665399007</v>
      </c>
      <c r="AR172" s="134">
        <v>0.43627634665399007</v>
      </c>
      <c r="AS172" s="134">
        <v>0.43627634665399007</v>
      </c>
      <c r="AT172" s="134">
        <v>0.43627634665399007</v>
      </c>
      <c r="AU172" s="134">
        <v>0.43627634665399007</v>
      </c>
      <c r="AV172" s="134">
        <v>0.43627634665399007</v>
      </c>
      <c r="AW172" s="134">
        <v>0.43627634665399007</v>
      </c>
      <c r="AX172" s="134">
        <v>0.43627634665399007</v>
      </c>
      <c r="AY172" s="134">
        <v>0.43627634665399007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1669.0487117701455</v>
      </c>
      <c r="E175" s="124">
        <f t="shared" si="1"/>
        <v>1762.9498511698803</v>
      </c>
      <c r="F175" s="124">
        <f t="shared" si="1"/>
        <v>1699.8509905696151</v>
      </c>
      <c r="G175" s="124">
        <f t="shared" si="1"/>
        <v>1648.7521299693499</v>
      </c>
      <c r="H175" s="124">
        <f t="shared" si="1"/>
        <v>1621.6532693690847</v>
      </c>
      <c r="I175" s="124">
        <f t="shared" si="1"/>
        <v>1524.5544087688195</v>
      </c>
      <c r="J175" s="124">
        <f t="shared" si="1"/>
        <v>1794.4555481685543</v>
      </c>
      <c r="K175" s="124">
        <f t="shared" si="1"/>
        <v>1737.3566875682891</v>
      </c>
      <c r="L175" s="124">
        <f t="shared" si="1"/>
        <v>1760.2578269680239</v>
      </c>
      <c r="M175" s="124">
        <f t="shared" si="1"/>
        <v>1743.1589663677587</v>
      </c>
      <c r="N175" s="124">
        <f t="shared" si="1"/>
        <v>1724.0601057674935</v>
      </c>
      <c r="O175" s="124">
        <f t="shared" si="1"/>
        <v>1767.9612451672283</v>
      </c>
      <c r="P175" s="124">
        <f t="shared" si="1"/>
        <v>1603.8623845669631</v>
      </c>
      <c r="Q175" s="124">
        <f t="shared" si="1"/>
        <v>1734.7635239666979</v>
      </c>
      <c r="R175" s="124">
        <f t="shared" si="1"/>
        <v>1795.6646633664327</v>
      </c>
      <c r="S175" s="124">
        <f t="shared" si="1"/>
        <v>1658.5658027661675</v>
      </c>
      <c r="T175" s="124">
        <f t="shared" si="1"/>
        <v>1609.4669421659023</v>
      </c>
      <c r="U175" s="124">
        <f t="shared" si="1"/>
        <v>1422.3680815656371</v>
      </c>
      <c r="V175" s="124">
        <f t="shared" si="1"/>
        <v>1466.2692209653719</v>
      </c>
      <c r="W175" s="124">
        <f t="shared" si="1"/>
        <v>1280.1703603651067</v>
      </c>
      <c r="X175" s="124">
        <f t="shared" si="1"/>
        <v>1320.0714997648415</v>
      </c>
      <c r="Y175" s="124">
        <f t="shared" si="1"/>
        <v>1088.9726391645763</v>
      </c>
      <c r="Z175" s="124">
        <f t="shared" si="1"/>
        <v>1056.9011393997348</v>
      </c>
      <c r="AA175" s="124">
        <f t="shared" si="1"/>
        <v>1056.9011393997348</v>
      </c>
      <c r="AB175" s="124">
        <f t="shared" si="1"/>
        <v>1056.9011393997348</v>
      </c>
      <c r="AC175" s="124">
        <f t="shared" si="1"/>
        <v>1070.8022787994696</v>
      </c>
      <c r="AD175" s="124">
        <f t="shared" si="1"/>
        <v>1179.7034181992044</v>
      </c>
      <c r="AE175" s="124">
        <f t="shared" si="1"/>
        <v>1056.9011393997348</v>
      </c>
      <c r="AF175" s="124">
        <f t="shared" si="1"/>
        <v>1072.8022787994696</v>
      </c>
      <c r="AG175" s="124">
        <f t="shared" si="1"/>
        <v>1056.9011393997348</v>
      </c>
      <c r="AH175" s="124">
        <f t="shared" si="1"/>
        <v>1056.9011393997348</v>
      </c>
      <c r="AI175" s="124">
        <f t="shared" si="1"/>
        <v>1056.9011393997348</v>
      </c>
      <c r="AJ175" s="124">
        <f t="shared" si="1"/>
        <v>1056.9011393997348</v>
      </c>
      <c r="AK175" s="124">
        <f t="shared" si="1"/>
        <v>1056.9011393997348</v>
      </c>
      <c r="AL175" s="124">
        <f t="shared" si="1"/>
        <v>1056.9011393997348</v>
      </c>
      <c r="AM175" s="124">
        <f t="shared" si="1"/>
        <v>1056.9011393997348</v>
      </c>
      <c r="AN175" s="124">
        <f t="shared" si="1"/>
        <v>1056.9011393997348</v>
      </c>
      <c r="AO175" s="124">
        <f t="shared" si="1"/>
        <v>1056.9011393997348</v>
      </c>
      <c r="AP175" s="124">
        <f t="shared" si="1"/>
        <v>1056.9011393997348</v>
      </c>
      <c r="AQ175" s="124">
        <f t="shared" si="1"/>
        <v>1056.9011393997348</v>
      </c>
      <c r="AR175" s="124">
        <f t="shared" si="1"/>
        <v>1056.9011393997348</v>
      </c>
      <c r="AS175" s="124">
        <f t="shared" si="1"/>
        <v>1056.9011393997348</v>
      </c>
      <c r="AT175" s="124">
        <f t="shared" si="1"/>
        <v>1056.9011393997348</v>
      </c>
      <c r="AU175" s="124">
        <f t="shared" si="1"/>
        <v>1056.9011393997348</v>
      </c>
      <c r="AV175" s="124">
        <f t="shared" si="1"/>
        <v>81.746169541702514</v>
      </c>
      <c r="AW175" s="124">
        <f t="shared" si="1"/>
        <v>20.845030141967712</v>
      </c>
      <c r="AX175" s="124">
        <f t="shared" si="1"/>
        <v>20.845030141967712</v>
      </c>
      <c r="AY175" s="124">
        <f t="shared" si="1"/>
        <v>20.845030141967712</v>
      </c>
    </row>
    <row r="176" spans="1:52">
      <c r="A176" s="125"/>
      <c r="B176" s="136" t="s">
        <v>299</v>
      </c>
      <c r="C176" s="125" t="s">
        <v>293</v>
      </c>
      <c r="D176" s="125">
        <v>963</v>
      </c>
      <c r="E176" s="125">
        <v>1120</v>
      </c>
      <c r="F176" s="125">
        <v>1108</v>
      </c>
      <c r="G176" s="125">
        <v>1084</v>
      </c>
      <c r="H176" s="125">
        <v>1154</v>
      </c>
      <c r="I176" s="125">
        <v>787</v>
      </c>
      <c r="J176" s="125">
        <v>1114</v>
      </c>
      <c r="K176" s="125">
        <v>1034</v>
      </c>
      <c r="L176" s="125">
        <v>1074</v>
      </c>
      <c r="M176" s="125">
        <v>1076</v>
      </c>
      <c r="N176" s="125">
        <v>1013</v>
      </c>
      <c r="O176" s="125">
        <v>1221</v>
      </c>
      <c r="P176" s="125">
        <v>926</v>
      </c>
      <c r="Q176" s="125">
        <v>996</v>
      </c>
      <c r="R176" s="125">
        <v>1194</v>
      </c>
      <c r="S176" s="125">
        <v>1106</v>
      </c>
      <c r="T176" s="125">
        <v>1244</v>
      </c>
      <c r="U176" s="125">
        <v>1013</v>
      </c>
      <c r="V176" s="125">
        <v>1243</v>
      </c>
      <c r="W176" s="125">
        <v>1017</v>
      </c>
      <c r="X176" s="125">
        <v>1288</v>
      </c>
      <c r="Y176" s="125">
        <v>1088.9726391645763</v>
      </c>
      <c r="Z176" s="125">
        <v>1056.9011393997348</v>
      </c>
      <c r="AA176" s="125">
        <v>1056.9011393997348</v>
      </c>
      <c r="AB176" s="125">
        <v>1043</v>
      </c>
      <c r="AC176" s="125">
        <v>948</v>
      </c>
      <c r="AD176" s="125">
        <v>1179.7034181992044</v>
      </c>
      <c r="AE176" s="125">
        <v>1041</v>
      </c>
      <c r="AF176" s="125">
        <v>1072.8022787994696</v>
      </c>
      <c r="AG176" s="125">
        <v>1056.9011393997348</v>
      </c>
      <c r="AH176" s="125">
        <v>1056.9011393997348</v>
      </c>
      <c r="AI176" s="125">
        <v>1056.9011393997348</v>
      </c>
      <c r="AJ176" s="125">
        <v>1056.9011393997348</v>
      </c>
      <c r="AK176" s="125">
        <v>1056.9011393997348</v>
      </c>
      <c r="AL176" s="125">
        <v>1056.9011393997348</v>
      </c>
      <c r="AM176" s="125">
        <v>1056.9011393997348</v>
      </c>
      <c r="AN176" s="125">
        <v>1056.9011393997348</v>
      </c>
      <c r="AO176" s="125">
        <v>1056.9011393997348</v>
      </c>
      <c r="AP176" s="125">
        <v>1056.9011393997348</v>
      </c>
      <c r="AQ176" s="125">
        <v>1056.9011393997348</v>
      </c>
      <c r="AR176" s="125">
        <v>1056.9011393997348</v>
      </c>
      <c r="AS176" s="125">
        <v>1056.9011393997348</v>
      </c>
      <c r="AT176" s="125">
        <v>1056.9011393997348</v>
      </c>
      <c r="AU176" s="125">
        <v>996</v>
      </c>
      <c r="AV176" s="125">
        <v>81.746169541702514</v>
      </c>
      <c r="AW176" s="125">
        <v>20.845030141967712</v>
      </c>
      <c r="AX176" s="125">
        <v>20.845030141967712</v>
      </c>
      <c r="AY176" s="125">
        <v>20.845030141967712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761.67629789989974</v>
      </c>
      <c r="E177" s="124">
        <f t="shared" si="2"/>
        <v>1375.3659299590968</v>
      </c>
      <c r="F177" s="124">
        <f t="shared" si="2"/>
        <v>981.18732474323826</v>
      </c>
      <c r="G177" s="124">
        <f t="shared" si="2"/>
        <v>976.25870125566973</v>
      </c>
      <c r="H177" s="124">
        <f t="shared" si="2"/>
        <v>1292.5800594963912</v>
      </c>
      <c r="I177" s="124">
        <f t="shared" si="2"/>
        <v>1222.6514360088227</v>
      </c>
      <c r="J177" s="124">
        <f t="shared" si="2"/>
        <v>1221.7228125212541</v>
      </c>
      <c r="K177" s="124">
        <f t="shared" si="2"/>
        <v>1063.7941890336856</v>
      </c>
      <c r="L177" s="124">
        <f t="shared" si="2"/>
        <v>689.61558381782709</v>
      </c>
      <c r="M177" s="124">
        <f t="shared" si="2"/>
        <v>1028.9369420585485</v>
      </c>
      <c r="N177" s="124">
        <f t="shared" si="2"/>
        <v>485.75833684269003</v>
      </c>
      <c r="O177" s="124">
        <f t="shared" si="2"/>
        <v>1001.3213582407215</v>
      </c>
      <c r="P177" s="124">
        <f t="shared" si="2"/>
        <v>600.14275302486294</v>
      </c>
      <c r="Q177" s="124">
        <f t="shared" si="2"/>
        <v>390.24998172828998</v>
      </c>
      <c r="R177" s="124">
        <f t="shared" si="2"/>
        <v>1222.1427530248629</v>
      </c>
      <c r="S177" s="124">
        <f t="shared" si="2"/>
        <v>573.14275302486294</v>
      </c>
      <c r="T177" s="124">
        <f t="shared" si="2"/>
        <v>244.96414780900437</v>
      </c>
      <c r="U177" s="124">
        <f t="shared" si="2"/>
        <v>1001.3213582407216</v>
      </c>
      <c r="V177" s="124">
        <f t="shared" si="2"/>
        <v>1516.4641112655845</v>
      </c>
      <c r="W177" s="124">
        <f t="shared" si="2"/>
        <v>1522.535487778016</v>
      </c>
      <c r="X177" s="124">
        <f t="shared" si="2"/>
        <v>1486.6068642904474</v>
      </c>
      <c r="Y177" s="124">
        <f t="shared" si="2"/>
        <v>1417.6782408028789</v>
      </c>
      <c r="Z177" s="124">
        <f t="shared" si="2"/>
        <v>808.49963558702041</v>
      </c>
      <c r="AA177" s="124">
        <f t="shared" si="2"/>
        <v>1001.3213582407215</v>
      </c>
      <c r="AB177" s="124">
        <f t="shared" si="2"/>
        <v>877.39273475315292</v>
      </c>
      <c r="AC177" s="124">
        <f t="shared" si="2"/>
        <v>755.46411126558439</v>
      </c>
      <c r="AD177" s="124">
        <f t="shared" si="2"/>
        <v>611.07137651243147</v>
      </c>
      <c r="AE177" s="124">
        <f t="shared" si="2"/>
        <v>611.07137651243147</v>
      </c>
      <c r="AF177" s="124">
        <f t="shared" si="2"/>
        <v>220.82139478414152</v>
      </c>
      <c r="AG177" s="124">
        <f t="shared" si="2"/>
        <v>1001.3213582407215</v>
      </c>
      <c r="AH177" s="124">
        <f t="shared" si="2"/>
        <v>780.39273475315292</v>
      </c>
      <c r="AI177" s="124">
        <f t="shared" si="2"/>
        <v>27.392734753152922</v>
      </c>
      <c r="AJ177" s="124">
        <f t="shared" si="2"/>
        <v>1222.1427530248629</v>
      </c>
      <c r="AK177" s="124">
        <f t="shared" si="2"/>
        <v>621.14275302486294</v>
      </c>
      <c r="AL177" s="124">
        <f t="shared" si="2"/>
        <v>831.89277129657296</v>
      </c>
      <c r="AM177" s="124">
        <f t="shared" si="2"/>
        <v>423.14275302486294</v>
      </c>
      <c r="AN177" s="124">
        <f t="shared" si="2"/>
        <v>220.82139478414143</v>
      </c>
      <c r="AO177" s="124">
        <f t="shared" si="2"/>
        <v>1612.392734753153</v>
      </c>
      <c r="AP177" s="124">
        <f t="shared" si="2"/>
        <v>1212.2141295372944</v>
      </c>
      <c r="AQ177" s="124">
        <f t="shared" si="2"/>
        <v>1496.535487778016</v>
      </c>
      <c r="AR177" s="124">
        <f t="shared" si="2"/>
        <v>1481.6068642904474</v>
      </c>
      <c r="AS177" s="124">
        <f t="shared" si="2"/>
        <v>1326.6782408028789</v>
      </c>
      <c r="AT177" s="124">
        <f t="shared" si="2"/>
        <v>1119.7496173153104</v>
      </c>
      <c r="AU177" s="124">
        <f t="shared" si="2"/>
        <v>1000.8209938277419</v>
      </c>
      <c r="AV177" s="124">
        <f t="shared" si="2"/>
        <v>853.89237034017333</v>
      </c>
      <c r="AW177" s="124">
        <f t="shared" si="2"/>
        <v>33.892370340173329</v>
      </c>
      <c r="AX177" s="124">
        <f t="shared" si="2"/>
        <v>623.12340369591027</v>
      </c>
      <c r="AY177" s="124">
        <f t="shared" si="2"/>
        <v>1.4210854715202004E-14</v>
      </c>
    </row>
    <row r="178" spans="1:51">
      <c r="A178" s="125"/>
      <c r="B178" s="136" t="s">
        <v>299</v>
      </c>
      <c r="C178" s="125" t="s">
        <v>293</v>
      </c>
      <c r="D178" s="125">
        <v>676</v>
      </c>
      <c r="E178" s="125">
        <v>615</v>
      </c>
      <c r="F178" s="125">
        <v>616</v>
      </c>
      <c r="G178" s="125">
        <v>685</v>
      </c>
      <c r="H178" s="125">
        <v>681</v>
      </c>
      <c r="I178" s="125">
        <v>612</v>
      </c>
      <c r="J178" s="125">
        <v>769</v>
      </c>
      <c r="K178" s="125">
        <v>595</v>
      </c>
      <c r="L178" s="125">
        <v>662</v>
      </c>
      <c r="M178" s="125">
        <v>764</v>
      </c>
      <c r="N178" s="125">
        <v>485.75833684269003</v>
      </c>
      <c r="O178" s="125">
        <v>622</v>
      </c>
      <c r="P178" s="125">
        <v>600.14275302486294</v>
      </c>
      <c r="Q178" s="125">
        <v>390.24998172828998</v>
      </c>
      <c r="R178" s="125">
        <v>649</v>
      </c>
      <c r="S178" s="125">
        <v>549</v>
      </c>
      <c r="T178" s="125">
        <v>244.96414780900437</v>
      </c>
      <c r="U178" s="125">
        <v>707</v>
      </c>
      <c r="V178" s="125">
        <v>605</v>
      </c>
      <c r="W178" s="125">
        <v>647</v>
      </c>
      <c r="X178" s="125">
        <v>680</v>
      </c>
      <c r="Y178" s="125">
        <v>830</v>
      </c>
      <c r="Z178" s="125">
        <v>808.49963558702041</v>
      </c>
      <c r="AA178" s="125">
        <v>735</v>
      </c>
      <c r="AB178" s="125">
        <v>733</v>
      </c>
      <c r="AC178" s="125">
        <v>755.46411126558439</v>
      </c>
      <c r="AD178" s="125">
        <v>611.07137651243147</v>
      </c>
      <c r="AE178" s="125">
        <v>611.07137651243147</v>
      </c>
      <c r="AF178" s="125">
        <v>220.82139478414152</v>
      </c>
      <c r="AG178" s="125">
        <v>832</v>
      </c>
      <c r="AH178" s="125">
        <v>753</v>
      </c>
      <c r="AI178" s="125">
        <v>27.392734753152922</v>
      </c>
      <c r="AJ178" s="125">
        <v>601</v>
      </c>
      <c r="AK178" s="125">
        <v>621.14275302486294</v>
      </c>
      <c r="AL178" s="125">
        <v>799</v>
      </c>
      <c r="AM178" s="125">
        <v>423.14275302486294</v>
      </c>
      <c r="AN178" s="125">
        <v>220.82139478414143</v>
      </c>
      <c r="AO178" s="125">
        <v>621</v>
      </c>
      <c r="AP178" s="125">
        <v>717</v>
      </c>
      <c r="AQ178" s="125">
        <v>626</v>
      </c>
      <c r="AR178" s="125">
        <v>766</v>
      </c>
      <c r="AS178" s="125">
        <v>818</v>
      </c>
      <c r="AT178" s="125">
        <v>730</v>
      </c>
      <c r="AU178" s="125">
        <v>758</v>
      </c>
      <c r="AV178" s="125">
        <v>820</v>
      </c>
      <c r="AW178" s="125">
        <v>33.892370340173329</v>
      </c>
      <c r="AX178" s="125">
        <v>623.12340369591027</v>
      </c>
      <c r="AY178" s="125">
        <v>1.4210854715202004E-14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722.7205053232849</v>
      </c>
      <c r="E179" s="124">
        <f t="shared" si="3"/>
        <v>432.41865838262697</v>
      </c>
      <c r="F179" s="124">
        <f t="shared" si="3"/>
        <v>697.97923194110615</v>
      </c>
      <c r="G179" s="124">
        <f t="shared" si="3"/>
        <v>612.83911503813044</v>
      </c>
      <c r="H179" s="124">
        <f t="shared" si="3"/>
        <v>585.12792697509758</v>
      </c>
      <c r="I179" s="124">
        <f t="shared" si="3"/>
        <v>683.11711847528466</v>
      </c>
      <c r="J179" s="124">
        <f t="shared" si="3"/>
        <v>697.12829168529061</v>
      </c>
      <c r="K179" s="124">
        <f t="shared" si="3"/>
        <v>633.96567383776176</v>
      </c>
      <c r="L179" s="124">
        <f t="shared" si="3"/>
        <v>619.25448577472889</v>
      </c>
      <c r="M179" s="124">
        <f t="shared" si="3"/>
        <v>329.84291814847609</v>
      </c>
      <c r="N179" s="124">
        <f t="shared" si="3"/>
        <v>546.98919150018708</v>
      </c>
      <c r="O179" s="124">
        <f t="shared" si="3"/>
        <v>217.95203148315781</v>
      </c>
      <c r="P179" s="124">
        <f t="shared" si="3"/>
        <v>546.98919150018708</v>
      </c>
      <c r="Q179" s="124">
        <f t="shared" si="3"/>
        <v>236.53509109894884</v>
      </c>
      <c r="R179" s="124">
        <f t="shared" si="3"/>
        <v>270.30360732213524</v>
      </c>
      <c r="S179" s="124">
        <f t="shared" si="3"/>
        <v>646.97439611501898</v>
      </c>
      <c r="T179" s="124">
        <f t="shared" si="3"/>
        <v>358.42152147311731</v>
      </c>
      <c r="U179" s="124">
        <f t="shared" si="3"/>
        <v>193.58843237374717</v>
      </c>
      <c r="V179" s="124">
        <f t="shared" si="3"/>
        <v>546.98919150018708</v>
      </c>
      <c r="W179" s="124">
        <f t="shared" si="3"/>
        <v>770.52421530880656</v>
      </c>
      <c r="X179" s="124">
        <f t="shared" si="3"/>
        <v>710.64175219761614</v>
      </c>
      <c r="Y179" s="124">
        <f t="shared" si="3"/>
        <v>623.34773575294082</v>
      </c>
      <c r="Z179" s="124">
        <f t="shared" si="3"/>
        <v>579.63654768990796</v>
      </c>
      <c r="AA179" s="124">
        <f t="shared" si="3"/>
        <v>408.45702181488639</v>
      </c>
      <c r="AB179" s="124">
        <f t="shared" si="3"/>
        <v>546.98919150018708</v>
      </c>
      <c r="AC179" s="124">
        <f t="shared" si="3"/>
        <v>520.20008039521406</v>
      </c>
      <c r="AD179" s="124">
        <f t="shared" si="3"/>
        <v>460.31833940403567</v>
      </c>
      <c r="AE179" s="124">
        <f t="shared" si="3"/>
        <v>370.28881193696714</v>
      </c>
      <c r="AF179" s="124">
        <f t="shared" si="3"/>
        <v>370.28881193696714</v>
      </c>
      <c r="AG179" s="124">
        <f t="shared" si="3"/>
        <v>193.58843237374717</v>
      </c>
      <c r="AH179" s="124">
        <f t="shared" si="3"/>
        <v>546.98919150018708</v>
      </c>
      <c r="AI179" s="124">
        <f t="shared" si="3"/>
        <v>377.93343062476401</v>
      </c>
      <c r="AJ179" s="124">
        <f t="shared" si="3"/>
        <v>93.603227758915281</v>
      </c>
      <c r="AK179" s="124">
        <f t="shared" si="3"/>
        <v>646.97439611501898</v>
      </c>
      <c r="AL179" s="124">
        <f t="shared" si="3"/>
        <v>350.75791684659657</v>
      </c>
      <c r="AM179" s="124">
        <f t="shared" si="3"/>
        <v>470.27401655179904</v>
      </c>
      <c r="AN179" s="124">
        <f t="shared" si="3"/>
        <v>270.30360732213524</v>
      </c>
      <c r="AO179" s="124">
        <f t="shared" si="3"/>
        <v>193.58843237374717</v>
      </c>
      <c r="AP179" s="124">
        <f t="shared" si="3"/>
        <v>823.67477567823892</v>
      </c>
      <c r="AQ179" s="124">
        <f t="shared" si="3"/>
        <v>684.20800632374448</v>
      </c>
      <c r="AR179" s="124">
        <f t="shared" si="3"/>
        <v>808.19719782393167</v>
      </c>
      <c r="AS179" s="124">
        <f t="shared" si="3"/>
        <v>717.12008063431779</v>
      </c>
      <c r="AT179" s="124">
        <f t="shared" si="3"/>
        <v>654.40889257128492</v>
      </c>
      <c r="AU179" s="124">
        <f t="shared" si="3"/>
        <v>430.69770450825206</v>
      </c>
      <c r="AV179" s="124">
        <f t="shared" si="3"/>
        <v>370.28881193696714</v>
      </c>
      <c r="AW179" s="124">
        <f t="shared" si="3"/>
        <v>370.28881193696714</v>
      </c>
      <c r="AX179" s="124">
        <f t="shared" si="3"/>
        <v>93.603227758915281</v>
      </c>
      <c r="AY179" s="124">
        <f t="shared" si="3"/>
        <v>375.74582123238247</v>
      </c>
    </row>
    <row r="180" spans="1:51">
      <c r="A180" s="125"/>
      <c r="B180" s="136" t="s">
        <v>299</v>
      </c>
      <c r="C180" s="125" t="s">
        <v>293</v>
      </c>
      <c r="D180" s="125">
        <v>488</v>
      </c>
      <c r="E180" s="125">
        <v>432.41865838262697</v>
      </c>
      <c r="F180" s="125">
        <v>400</v>
      </c>
      <c r="G180" s="125">
        <v>398</v>
      </c>
      <c r="H180" s="125">
        <v>449</v>
      </c>
      <c r="I180" s="125">
        <v>443</v>
      </c>
      <c r="J180" s="125">
        <v>452</v>
      </c>
      <c r="K180" s="125">
        <v>385</v>
      </c>
      <c r="L180" s="125">
        <v>483</v>
      </c>
      <c r="M180" s="125">
        <v>329.84291814847609</v>
      </c>
      <c r="N180" s="125">
        <v>522.62559239077643</v>
      </c>
      <c r="O180" s="125">
        <v>217.95203148315781</v>
      </c>
      <c r="P180" s="125">
        <v>505.34416101175384</v>
      </c>
      <c r="Q180" s="125">
        <v>236.53509109894884</v>
      </c>
      <c r="R180" s="125">
        <v>270.30360732213524</v>
      </c>
      <c r="S180" s="125">
        <v>484</v>
      </c>
      <c r="T180" s="125">
        <v>358.42152147311731</v>
      </c>
      <c r="U180" s="125">
        <v>193.58843237374717</v>
      </c>
      <c r="V180" s="125">
        <v>448</v>
      </c>
      <c r="W180" s="125">
        <v>557</v>
      </c>
      <c r="X180" s="125">
        <v>473</v>
      </c>
      <c r="Y180" s="125">
        <v>414</v>
      </c>
      <c r="Z180" s="125">
        <v>364.76795824876876</v>
      </c>
      <c r="AA180" s="125">
        <v>408.45702181488639</v>
      </c>
      <c r="AB180" s="125">
        <v>400</v>
      </c>
      <c r="AC180" s="125">
        <v>430.17055292814553</v>
      </c>
      <c r="AD180" s="125">
        <v>460.31833940403567</v>
      </c>
      <c r="AE180" s="125">
        <v>370.28881193696714</v>
      </c>
      <c r="AF180" s="125">
        <v>370.28881193696714</v>
      </c>
      <c r="AG180" s="125">
        <v>193.58843237374717</v>
      </c>
      <c r="AH180" s="125">
        <v>546.98919150018708</v>
      </c>
      <c r="AI180" s="125">
        <v>377.93343062476401</v>
      </c>
      <c r="AJ180" s="125">
        <v>93.603227758915281</v>
      </c>
      <c r="AK180" s="125">
        <v>455.96391174385252</v>
      </c>
      <c r="AL180" s="125">
        <v>350.75791684659657</v>
      </c>
      <c r="AM180" s="125">
        <v>470.27401655179904</v>
      </c>
      <c r="AN180" s="125">
        <v>270.30360732213524</v>
      </c>
      <c r="AO180" s="125">
        <v>193.58843237374717</v>
      </c>
      <c r="AP180" s="125">
        <v>461</v>
      </c>
      <c r="AQ180" s="125">
        <v>423</v>
      </c>
      <c r="AR180" s="125">
        <v>535</v>
      </c>
      <c r="AS180" s="125">
        <v>433</v>
      </c>
      <c r="AT180" s="125">
        <v>594</v>
      </c>
      <c r="AU180" s="125">
        <v>430.69770450825206</v>
      </c>
      <c r="AV180" s="125">
        <v>370.28881193696714</v>
      </c>
      <c r="AW180" s="125">
        <v>370.28881193696714</v>
      </c>
      <c r="AX180" s="125">
        <v>93.603227758915281</v>
      </c>
      <c r="AY180" s="125">
        <v>375.74582123238247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255.45076178690806</v>
      </c>
      <c r="E181" s="124">
        <f t="shared" si="4"/>
        <v>901.87654134167531</v>
      </c>
      <c r="F181" s="124">
        <f t="shared" si="4"/>
        <v>406.83838340729994</v>
      </c>
      <c r="G181" s="124">
        <f t="shared" si="4"/>
        <v>478.45949811212768</v>
      </c>
      <c r="H181" s="124">
        <f t="shared" si="4"/>
        <v>706.77850802170144</v>
      </c>
      <c r="I181" s="124">
        <f t="shared" si="4"/>
        <v>590.51564486079042</v>
      </c>
      <c r="J181" s="124">
        <f t="shared" si="4"/>
        <v>502.42657275741391</v>
      </c>
      <c r="K181" s="124">
        <f t="shared" si="4"/>
        <v>478.45949811212768</v>
      </c>
      <c r="L181" s="124">
        <f t="shared" si="4"/>
        <v>250.14048820255394</v>
      </c>
      <c r="M181" s="124">
        <f t="shared" si="4"/>
        <v>706.77850802170144</v>
      </c>
      <c r="N181" s="124">
        <f t="shared" si="4"/>
        <v>250.14048820255394</v>
      </c>
      <c r="O181" s="124">
        <f t="shared" si="4"/>
        <v>706.77850802170144</v>
      </c>
      <c r="P181" s="124">
        <f t="shared" si="4"/>
        <v>251.82235482346283</v>
      </c>
      <c r="Q181" s="124">
        <f t="shared" si="4"/>
        <v>349.26609751110095</v>
      </c>
      <c r="R181" s="124">
        <f t="shared" si="4"/>
        <v>835.97190862272817</v>
      </c>
      <c r="S181" s="124">
        <f t="shared" si="4"/>
        <v>252.54215221121046</v>
      </c>
      <c r="T181" s="124">
        <f t="shared" si="4"/>
        <v>250.14048820255394</v>
      </c>
      <c r="U181" s="124">
        <f t="shared" si="4"/>
        <v>706.77850802170144</v>
      </c>
      <c r="V181" s="124">
        <f t="shared" si="4"/>
        <v>867.70731412452676</v>
      </c>
      <c r="W181" s="124">
        <f t="shared" si="4"/>
        <v>642.33808728481199</v>
      </c>
      <c r="X181" s="124">
        <f t="shared" si="4"/>
        <v>498.38041377858207</v>
      </c>
      <c r="Y181" s="124">
        <f t="shared" si="4"/>
        <v>478.45949811212768</v>
      </c>
      <c r="Z181" s="124">
        <f t="shared" si="4"/>
        <v>250.14048820255394</v>
      </c>
      <c r="AA181" s="124">
        <f t="shared" si="4"/>
        <v>706.77850802170144</v>
      </c>
      <c r="AB181" s="124">
        <f t="shared" si="4"/>
        <v>482.23518733018682</v>
      </c>
      <c r="AC181" s="124">
        <f t="shared" si="4"/>
        <v>478.45949811212768</v>
      </c>
      <c r="AD181" s="124">
        <f t="shared" si="4"/>
        <v>478.45949811212768</v>
      </c>
      <c r="AE181" s="124">
        <f t="shared" si="4"/>
        <v>478.45949811212768</v>
      </c>
      <c r="AF181" s="124">
        <f t="shared" si="4"/>
        <v>250.14048820255394</v>
      </c>
      <c r="AG181" s="124">
        <f t="shared" si="4"/>
        <v>706.77850802170144</v>
      </c>
      <c r="AH181" s="124">
        <f t="shared" si="4"/>
        <v>488.33730241706712</v>
      </c>
      <c r="AI181" s="124">
        <f t="shared" si="4"/>
        <v>120.94708760152717</v>
      </c>
      <c r="AJ181" s="124">
        <f t="shared" si="4"/>
        <v>835.97190862272817</v>
      </c>
      <c r="AK181" s="124">
        <f t="shared" si="4"/>
        <v>206.41368008684566</v>
      </c>
      <c r="AL181" s="124">
        <f t="shared" si="4"/>
        <v>607.65289871315451</v>
      </c>
      <c r="AM181" s="124">
        <f t="shared" si="4"/>
        <v>349.26609751110095</v>
      </c>
      <c r="AN181" s="124">
        <f t="shared" si="4"/>
        <v>250.14048820255394</v>
      </c>
      <c r="AO181" s="124">
        <f t="shared" si="4"/>
        <v>1064.2909185323019</v>
      </c>
      <c r="AP181" s="124">
        <f t="shared" si="4"/>
        <v>415.46118381564094</v>
      </c>
      <c r="AQ181" s="124">
        <f t="shared" si="4"/>
        <v>706.77850802170144</v>
      </c>
      <c r="AR181" s="124">
        <f t="shared" si="4"/>
        <v>573.60393526041003</v>
      </c>
      <c r="AS181" s="124">
        <f t="shared" si="4"/>
        <v>478.45949811212768</v>
      </c>
      <c r="AT181" s="124">
        <f t="shared" si="4"/>
        <v>478.45949811212768</v>
      </c>
      <c r="AU181" s="124">
        <f t="shared" si="4"/>
        <v>478.45949811212768</v>
      </c>
      <c r="AV181" s="124">
        <f t="shared" si="4"/>
        <v>478.45949811212768</v>
      </c>
      <c r="AW181" s="124">
        <f t="shared" si="4"/>
        <v>120.94708760152717</v>
      </c>
      <c r="AX181" s="124">
        <f t="shared" si="4"/>
        <v>485.51063723518087</v>
      </c>
      <c r="AY181" s="124">
        <f t="shared" si="4"/>
        <v>120.94708760152719</v>
      </c>
    </row>
    <row r="182" spans="1:51">
      <c r="A182" s="125"/>
      <c r="B182" s="136" t="s">
        <v>299</v>
      </c>
      <c r="C182" s="125" t="s">
        <v>293</v>
      </c>
      <c r="D182" s="125">
        <v>255.45076178690806</v>
      </c>
      <c r="E182" s="125">
        <v>623.90719541365229</v>
      </c>
      <c r="F182" s="125">
        <v>406.83838340729994</v>
      </c>
      <c r="G182" s="125">
        <v>478.45949811212768</v>
      </c>
      <c r="H182" s="125">
        <v>508</v>
      </c>
      <c r="I182" s="125">
        <v>548</v>
      </c>
      <c r="J182" s="125">
        <v>502.42657275741391</v>
      </c>
      <c r="K182" s="125">
        <v>478.45949811212768</v>
      </c>
      <c r="L182" s="125">
        <v>250.14048820255394</v>
      </c>
      <c r="M182" s="125">
        <v>706.77850802170144</v>
      </c>
      <c r="N182" s="125">
        <v>250.14048820255394</v>
      </c>
      <c r="O182" s="125">
        <v>703.79501316402411</v>
      </c>
      <c r="P182" s="125">
        <v>251.82235482346283</v>
      </c>
      <c r="Q182" s="125">
        <v>349.26609751110095</v>
      </c>
      <c r="R182" s="125">
        <v>602.53294641386185</v>
      </c>
      <c r="S182" s="125">
        <v>252.54215221121046</v>
      </c>
      <c r="T182" s="125">
        <v>250.14048820255394</v>
      </c>
      <c r="U182" s="125">
        <v>650.48247482630245</v>
      </c>
      <c r="V182" s="125">
        <v>577</v>
      </c>
      <c r="W182" s="125">
        <v>607</v>
      </c>
      <c r="X182" s="125">
        <v>498.38041377858207</v>
      </c>
      <c r="Y182" s="125">
        <v>478.45949811212768</v>
      </c>
      <c r="Z182" s="125">
        <v>250.14048820255394</v>
      </c>
      <c r="AA182" s="125">
        <v>700.08074184558245</v>
      </c>
      <c r="AB182" s="125">
        <v>482.23518733018682</v>
      </c>
      <c r="AC182" s="125">
        <v>478.45949811212768</v>
      </c>
      <c r="AD182" s="125">
        <v>478.45949811212768</v>
      </c>
      <c r="AE182" s="125">
        <v>478.45949811212768</v>
      </c>
      <c r="AF182" s="125">
        <v>250.14048820255394</v>
      </c>
      <c r="AG182" s="125">
        <v>689.25608502896512</v>
      </c>
      <c r="AH182" s="125">
        <v>488.33730241706712</v>
      </c>
      <c r="AI182" s="125">
        <v>120.94708760152717</v>
      </c>
      <c r="AJ182" s="125">
        <v>684.36111142089487</v>
      </c>
      <c r="AK182" s="125">
        <v>206.41368008684566</v>
      </c>
      <c r="AL182" s="125">
        <v>607.65289871315451</v>
      </c>
      <c r="AM182" s="125">
        <v>349.26609751110095</v>
      </c>
      <c r="AN182" s="125">
        <v>250.14048820255394</v>
      </c>
      <c r="AO182" s="125">
        <v>771.02542464745648</v>
      </c>
      <c r="AP182" s="125">
        <v>415.46118381564094</v>
      </c>
      <c r="AQ182" s="125">
        <v>538</v>
      </c>
      <c r="AR182" s="125">
        <v>573.60393526041003</v>
      </c>
      <c r="AS182" s="125">
        <v>478.45949811212768</v>
      </c>
      <c r="AT182" s="125">
        <v>478.45949811212768</v>
      </c>
      <c r="AU182" s="125">
        <v>478.45949811212768</v>
      </c>
      <c r="AV182" s="125">
        <v>478.45949811212768</v>
      </c>
      <c r="AW182" s="125">
        <v>120.94708760152717</v>
      </c>
      <c r="AX182" s="125">
        <v>485.51063723518087</v>
      </c>
      <c r="AY182" s="125">
        <v>120.94708760152719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631.389320722192</v>
      </c>
      <c r="D185" s="124">
        <v>350.85242762958933</v>
      </c>
      <c r="E185" s="124">
        <v>413.95128822985453</v>
      </c>
      <c r="F185" s="124">
        <v>465.05014883011972</v>
      </c>
      <c r="G185" s="124">
        <v>492.14900943038492</v>
      </c>
      <c r="H185" s="124">
        <v>589.24787003065012</v>
      </c>
      <c r="I185" s="124">
        <v>319.34673063091532</v>
      </c>
      <c r="J185" s="124">
        <v>376.44559123118052</v>
      </c>
      <c r="K185" s="124">
        <v>353.54445183144571</v>
      </c>
      <c r="L185" s="124">
        <v>370.64331243171091</v>
      </c>
      <c r="M185" s="124">
        <v>389.74217303197611</v>
      </c>
      <c r="N185" s="124">
        <v>345.84103363224131</v>
      </c>
      <c r="O185" s="124">
        <v>509.9398942325065</v>
      </c>
      <c r="P185" s="124">
        <v>379.0387548327717</v>
      </c>
      <c r="Q185" s="124">
        <v>318.1376154330369</v>
      </c>
      <c r="R185" s="124">
        <v>455.2364760333021</v>
      </c>
      <c r="S185" s="124">
        <v>504.33533663356729</v>
      </c>
      <c r="T185" s="124">
        <v>691.43419723383249</v>
      </c>
      <c r="U185" s="124">
        <v>647.53305783409769</v>
      </c>
      <c r="V185" s="124">
        <v>833.63191843436289</v>
      </c>
      <c r="W185" s="124">
        <v>793.73077903462809</v>
      </c>
      <c r="X185" s="124">
        <v>1024.8296396348933</v>
      </c>
      <c r="Y185" s="124">
        <v>1056.9011393997348</v>
      </c>
      <c r="Z185" s="124">
        <v>1056.9011393997348</v>
      </c>
      <c r="AA185" s="124">
        <v>1056.9011393997348</v>
      </c>
      <c r="AB185" s="124">
        <v>1043</v>
      </c>
      <c r="AC185" s="124">
        <v>934.0988606002652</v>
      </c>
      <c r="AD185" s="124">
        <v>1056.9011393997348</v>
      </c>
      <c r="AE185" s="124">
        <v>1041</v>
      </c>
      <c r="AF185" s="124">
        <v>1056.9011393997348</v>
      </c>
      <c r="AG185" s="124">
        <v>1056.9011393997348</v>
      </c>
      <c r="AH185" s="124">
        <v>1056.9011393997348</v>
      </c>
      <c r="AI185" s="124">
        <v>1056.9011393997348</v>
      </c>
      <c r="AJ185" s="124">
        <v>1056.9011393997348</v>
      </c>
      <c r="AK185" s="124">
        <v>1056.9011393997348</v>
      </c>
      <c r="AL185" s="124">
        <v>1056.9011393997348</v>
      </c>
      <c r="AM185" s="124">
        <v>1056.9011393997348</v>
      </c>
      <c r="AN185" s="124">
        <v>1056.9011393997348</v>
      </c>
      <c r="AO185" s="124">
        <v>1056.9011393997348</v>
      </c>
      <c r="AP185" s="124">
        <v>1056.9011393997348</v>
      </c>
      <c r="AQ185" s="124">
        <v>1056.9011393997348</v>
      </c>
      <c r="AR185" s="124">
        <v>1056.9011393997348</v>
      </c>
      <c r="AS185" s="124">
        <v>1056.9011393997348</v>
      </c>
      <c r="AT185" s="124">
        <v>1056.9011393997348</v>
      </c>
      <c r="AU185" s="124">
        <v>996</v>
      </c>
      <c r="AV185" s="124">
        <v>20.845030141967712</v>
      </c>
      <c r="AW185" s="124">
        <v>20.845030141967712</v>
      </c>
      <c r="AX185" s="124">
        <v>20.845030141967712</v>
      </c>
      <c r="AY185" s="124">
        <v>20.845030141967712</v>
      </c>
    </row>
    <row r="186" spans="1:51">
      <c r="A186" s="109"/>
      <c r="B186" s="120">
        <v>2</v>
      </c>
      <c r="C186" s="106">
        <v>458.610679277808</v>
      </c>
      <c r="D186" s="106">
        <v>612.14757237041067</v>
      </c>
      <c r="E186" s="106">
        <v>706.04871177014547</v>
      </c>
      <c r="F186" s="106">
        <v>642.94985116988028</v>
      </c>
      <c r="G186" s="106">
        <v>591.85099056961508</v>
      </c>
      <c r="H186" s="106">
        <v>564.75212996934988</v>
      </c>
      <c r="I186" s="106">
        <v>467.65326936908468</v>
      </c>
      <c r="J186" s="106">
        <v>737.55440876881948</v>
      </c>
      <c r="K186" s="106">
        <v>680.45554816855429</v>
      </c>
      <c r="L186" s="106">
        <v>703.35668756828909</v>
      </c>
      <c r="M186" s="106">
        <v>686.25782696802389</v>
      </c>
      <c r="N186" s="106">
        <v>667.15896636775869</v>
      </c>
      <c r="O186" s="106">
        <v>711.0601057674935</v>
      </c>
      <c r="P186" s="106">
        <v>546.9612451672283</v>
      </c>
      <c r="Q186" s="106">
        <v>677.8623845669631</v>
      </c>
      <c r="R186" s="106">
        <v>738.7635239666979</v>
      </c>
      <c r="S186" s="106">
        <v>601.66466336643271</v>
      </c>
      <c r="T186" s="106">
        <v>552.56580276616751</v>
      </c>
      <c r="U186" s="106">
        <v>365.46694216590231</v>
      </c>
      <c r="V186" s="106">
        <v>409.36808156563711</v>
      </c>
      <c r="W186" s="106">
        <v>223.26922096537191</v>
      </c>
      <c r="X186" s="106">
        <v>263.17036036510672</v>
      </c>
      <c r="Y186" s="106">
        <v>32.071499764841519</v>
      </c>
      <c r="Z186" s="106">
        <v>0</v>
      </c>
      <c r="AA186" s="106">
        <v>0</v>
      </c>
      <c r="AB186" s="106">
        <v>0</v>
      </c>
      <c r="AC186" s="106">
        <v>13.901139399734802</v>
      </c>
      <c r="AD186" s="106">
        <v>122.8022787994696</v>
      </c>
      <c r="AE186" s="106">
        <v>0</v>
      </c>
      <c r="AF186" s="106">
        <v>15.901139399734802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60.901139399734802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176.57980402453353</v>
      </c>
      <c r="D189" s="124">
        <v>125.72510261429261</v>
      </c>
      <c r="E189" s="124">
        <v>13.870401204051745</v>
      </c>
      <c r="F189" s="124">
        <v>0</v>
      </c>
      <c r="G189" s="124">
        <v>319.81267525676174</v>
      </c>
      <c r="H189" s="124">
        <v>0</v>
      </c>
      <c r="I189" s="124">
        <v>0.41994050360881374</v>
      </c>
      <c r="J189" s="124">
        <v>158.34856399117734</v>
      </c>
      <c r="K189" s="124">
        <v>142.27718747874587</v>
      </c>
      <c r="L189" s="124">
        <v>193.2058109663144</v>
      </c>
      <c r="M189" s="124">
        <v>346.13443445388293</v>
      </c>
      <c r="N189" s="124">
        <v>220.82139478414149</v>
      </c>
      <c r="O189" s="124">
        <v>231.75001827171002</v>
      </c>
      <c r="P189" s="124">
        <v>220.82139478414149</v>
      </c>
      <c r="Q189" s="124">
        <v>0</v>
      </c>
      <c r="R189" s="124">
        <v>37.92862348756853</v>
      </c>
      <c r="S189" s="124">
        <v>0</v>
      </c>
      <c r="T189" s="124">
        <v>220.82139478414143</v>
      </c>
      <c r="U189" s="124">
        <v>0</v>
      </c>
      <c r="V189" s="124">
        <v>0</v>
      </c>
      <c r="W189" s="124">
        <v>0</v>
      </c>
      <c r="X189" s="124">
        <v>0</v>
      </c>
      <c r="Y189" s="124">
        <v>23.393135709552553</v>
      </c>
      <c r="Z189" s="124">
        <v>220.82139478414149</v>
      </c>
      <c r="AA189" s="124">
        <v>344.75001827171002</v>
      </c>
      <c r="AB189" s="124">
        <v>466.67864175927855</v>
      </c>
      <c r="AC189" s="124">
        <v>611.07137651243147</v>
      </c>
      <c r="AD189" s="124">
        <v>611.07137651243147</v>
      </c>
      <c r="AE189" s="124">
        <v>611.07137651243147</v>
      </c>
      <c r="AF189" s="124">
        <v>220.82139478414152</v>
      </c>
      <c r="AG189" s="124">
        <v>441.75001827171002</v>
      </c>
      <c r="AH189" s="124">
        <v>583.67864175927855</v>
      </c>
      <c r="AI189" s="124">
        <v>0</v>
      </c>
      <c r="AJ189" s="124">
        <v>0</v>
      </c>
      <c r="AK189" s="124">
        <v>0</v>
      </c>
      <c r="AL189" s="124">
        <v>187.92862348756853</v>
      </c>
      <c r="AM189" s="124">
        <v>0</v>
      </c>
      <c r="AN189" s="124">
        <v>220.82139478414143</v>
      </c>
      <c r="AO189" s="124">
        <v>0</v>
      </c>
      <c r="AP189" s="124">
        <v>0</v>
      </c>
      <c r="AQ189" s="124">
        <v>0</v>
      </c>
      <c r="AR189" s="124">
        <v>0</v>
      </c>
      <c r="AS189" s="124">
        <v>102.39313570955255</v>
      </c>
      <c r="AT189" s="124">
        <v>221.32175919712108</v>
      </c>
      <c r="AU189" s="124">
        <v>368.25038268468961</v>
      </c>
      <c r="AV189" s="124">
        <v>577.17900617225814</v>
      </c>
      <c r="AW189" s="124">
        <v>0</v>
      </c>
      <c r="AX189" s="124">
        <v>12.052027183478799</v>
      </c>
      <c r="AY189" s="124">
        <v>0</v>
      </c>
    </row>
    <row r="190" spans="1:51">
      <c r="A190" s="109"/>
      <c r="B190" s="119">
        <v>2</v>
      </c>
      <c r="C190" s="106">
        <v>432.42019597546647</v>
      </c>
      <c r="D190" s="106">
        <v>550.27489738570739</v>
      </c>
      <c r="E190" s="106">
        <v>601.12959879594825</v>
      </c>
      <c r="F190" s="106">
        <v>616</v>
      </c>
      <c r="G190" s="106">
        <v>220.82139478414152</v>
      </c>
      <c r="H190" s="106">
        <v>290.75001827171002</v>
      </c>
      <c r="I190" s="106">
        <v>611.07137651243147</v>
      </c>
      <c r="J190" s="106">
        <v>610.65143600882266</v>
      </c>
      <c r="K190" s="106">
        <v>452.72281252125413</v>
      </c>
      <c r="L190" s="106">
        <v>468.7941890336856</v>
      </c>
      <c r="M190" s="106">
        <v>417.86556554611707</v>
      </c>
      <c r="N190" s="106">
        <v>264.93694205854854</v>
      </c>
      <c r="O190" s="106">
        <v>390.24998172828998</v>
      </c>
      <c r="P190" s="106">
        <v>379.32135824072145</v>
      </c>
      <c r="Q190" s="106">
        <v>390.24998172828998</v>
      </c>
      <c r="R190" s="106">
        <v>611.07137651243147</v>
      </c>
      <c r="S190" s="106">
        <v>549</v>
      </c>
      <c r="T190" s="106">
        <v>0</v>
      </c>
      <c r="U190" s="106">
        <v>707</v>
      </c>
      <c r="V190" s="106">
        <v>310.67864175927843</v>
      </c>
      <c r="W190" s="106">
        <v>346.60726524684696</v>
      </c>
      <c r="X190" s="106">
        <v>415.53588873441549</v>
      </c>
      <c r="Y190" s="106">
        <v>611.07137651243147</v>
      </c>
      <c r="Z190" s="106">
        <v>587.67824080287892</v>
      </c>
      <c r="AA190" s="106">
        <v>390.24998172828998</v>
      </c>
      <c r="AB190" s="106">
        <v>266.32135824072145</v>
      </c>
      <c r="AC190" s="106">
        <v>144.39273475315292</v>
      </c>
      <c r="AD190" s="106">
        <v>0</v>
      </c>
      <c r="AE190" s="106">
        <v>0</v>
      </c>
      <c r="AF190" s="106">
        <v>0</v>
      </c>
      <c r="AG190" s="106">
        <v>390.24998172828998</v>
      </c>
      <c r="AH190" s="106">
        <v>169.32135824072145</v>
      </c>
      <c r="AI190" s="106">
        <v>27.392734753152922</v>
      </c>
      <c r="AJ190" s="106">
        <v>601</v>
      </c>
      <c r="AK190" s="106">
        <v>611.07137651243147</v>
      </c>
      <c r="AL190" s="106">
        <v>611.07137651243147</v>
      </c>
      <c r="AM190" s="106">
        <v>423.14275302486294</v>
      </c>
      <c r="AN190" s="106">
        <v>0</v>
      </c>
      <c r="AO190" s="106">
        <v>621</v>
      </c>
      <c r="AP190" s="106">
        <v>336.67864175927843</v>
      </c>
      <c r="AQ190" s="106">
        <v>351.60726524684696</v>
      </c>
      <c r="AR190" s="106">
        <v>506.53588873441549</v>
      </c>
      <c r="AS190" s="106">
        <v>611.07137651243147</v>
      </c>
      <c r="AT190" s="106">
        <v>508.67824080287892</v>
      </c>
      <c r="AU190" s="106">
        <v>389.74961731531039</v>
      </c>
      <c r="AV190" s="106">
        <v>242.82099382774186</v>
      </c>
      <c r="AW190" s="106">
        <v>33.892370340173329</v>
      </c>
      <c r="AX190" s="106">
        <v>611.07137651243147</v>
      </c>
      <c r="AY190" s="106">
        <v>1.4210854715202004E-14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144.36592995909677</v>
      </c>
      <c r="H191" s="106">
        <v>390.24998172828998</v>
      </c>
      <c r="I191" s="106">
        <v>0.50868298395971578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24.142753024862941</v>
      </c>
      <c r="U191" s="106">
        <v>0</v>
      </c>
      <c r="V191" s="106">
        <v>294.32135824072157</v>
      </c>
      <c r="W191" s="106">
        <v>300.39273475315304</v>
      </c>
      <c r="X191" s="106">
        <v>264.46411126558451</v>
      </c>
      <c r="Y191" s="106">
        <v>195.53548777801598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10.07137651243147</v>
      </c>
      <c r="AL191" s="106">
        <v>0</v>
      </c>
      <c r="AM191" s="106">
        <v>0</v>
      </c>
      <c r="AN191" s="106">
        <v>0</v>
      </c>
      <c r="AO191" s="106">
        <v>0</v>
      </c>
      <c r="AP191" s="106">
        <v>380.32135824072157</v>
      </c>
      <c r="AQ191" s="106">
        <v>274.39273475315304</v>
      </c>
      <c r="AR191" s="106">
        <v>259.46411126558451</v>
      </c>
      <c r="AS191" s="106">
        <v>104.53548777801598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421</v>
      </c>
      <c r="D197" s="106">
        <v>233.80537689754408</v>
      </c>
      <c r="E197" s="106">
        <v>197.69815305934202</v>
      </c>
      <c r="F197" s="106">
        <v>400</v>
      </c>
      <c r="G197" s="106">
        <v>100.02076805889385</v>
      </c>
      <c r="H197" s="106">
        <v>234.16088496186956</v>
      </c>
      <c r="I197" s="106">
        <v>306.87207302490242</v>
      </c>
      <c r="J197" s="106">
        <v>211.88288152471534</v>
      </c>
      <c r="K197" s="106">
        <v>139.87170831470945</v>
      </c>
      <c r="L197" s="106">
        <v>234.03432616223824</v>
      </c>
      <c r="M197" s="106">
        <v>193.58843237374717</v>
      </c>
      <c r="N197" s="106">
        <v>522.62559239077643</v>
      </c>
      <c r="O197" s="106">
        <v>193.58843237374717</v>
      </c>
      <c r="P197" s="106">
        <v>505.34416101175384</v>
      </c>
      <c r="Q197" s="106">
        <v>194.8900606105156</v>
      </c>
      <c r="R197" s="106">
        <v>270.30360732213524</v>
      </c>
      <c r="S197" s="106">
        <v>484</v>
      </c>
      <c r="T197" s="106">
        <v>195.44712535809833</v>
      </c>
      <c r="U197" s="106">
        <v>193.58843237374717</v>
      </c>
      <c r="V197" s="106">
        <v>448</v>
      </c>
      <c r="W197" s="106">
        <v>458.01080849981292</v>
      </c>
      <c r="X197" s="106">
        <v>259.47578469119344</v>
      </c>
      <c r="Y197" s="106">
        <v>176.35824780238391</v>
      </c>
      <c r="Z197" s="106">
        <v>155.42022249582794</v>
      </c>
      <c r="AA197" s="106">
        <v>193.58843237374717</v>
      </c>
      <c r="AB197" s="106">
        <v>400</v>
      </c>
      <c r="AC197" s="106">
        <v>283.18136142795845</v>
      </c>
      <c r="AD197" s="106">
        <v>370.28881193696714</v>
      </c>
      <c r="AE197" s="106">
        <v>370.28881193696714</v>
      </c>
      <c r="AF197" s="106">
        <v>370.28881193696714</v>
      </c>
      <c r="AG197" s="106">
        <v>193.58843237374717</v>
      </c>
      <c r="AH197" s="106">
        <v>546.98919150018708</v>
      </c>
      <c r="AI197" s="106">
        <v>377.93343062476401</v>
      </c>
      <c r="AJ197" s="106">
        <v>93.603227758915281</v>
      </c>
      <c r="AK197" s="106">
        <v>455.96391174385252</v>
      </c>
      <c r="AL197" s="106">
        <v>159.74743247543012</v>
      </c>
      <c r="AM197" s="106">
        <v>470.27401655179904</v>
      </c>
      <c r="AN197" s="106">
        <v>270.30360732213524</v>
      </c>
      <c r="AO197" s="106">
        <v>193.58843237374717</v>
      </c>
      <c r="AP197" s="106">
        <v>461</v>
      </c>
      <c r="AQ197" s="106">
        <v>60.325224321761084</v>
      </c>
      <c r="AR197" s="106">
        <v>273.79199367625546</v>
      </c>
      <c r="AS197" s="106">
        <v>159.80280217606838</v>
      </c>
      <c r="AT197" s="106">
        <v>309.87991936568221</v>
      </c>
      <c r="AU197" s="106">
        <v>370.28881193696714</v>
      </c>
      <c r="AV197" s="106">
        <v>370.28881193696714</v>
      </c>
      <c r="AW197" s="106">
        <v>370.28881193696714</v>
      </c>
      <c r="AX197" s="106">
        <v>93.603227758915281</v>
      </c>
      <c r="AY197" s="106">
        <v>375.74582123238247</v>
      </c>
    </row>
    <row r="198" spans="1:51">
      <c r="A198" s="109"/>
      <c r="B198" s="119">
        <v>2</v>
      </c>
      <c r="C198" s="106">
        <v>0</v>
      </c>
      <c r="D198" s="106">
        <v>254.19462310245592</v>
      </c>
      <c r="E198" s="106">
        <v>234.72050532328495</v>
      </c>
      <c r="F198" s="106">
        <v>0</v>
      </c>
      <c r="G198" s="106">
        <v>297.97923194110615</v>
      </c>
      <c r="H198" s="106">
        <v>214.83911503813044</v>
      </c>
      <c r="I198" s="106">
        <v>136.12792697509758</v>
      </c>
      <c r="J198" s="106">
        <v>240.11711847528466</v>
      </c>
      <c r="K198" s="106">
        <v>245.12829168529055</v>
      </c>
      <c r="L198" s="106">
        <v>248.96567383776176</v>
      </c>
      <c r="M198" s="106">
        <v>136.25448577472889</v>
      </c>
      <c r="N198" s="106">
        <v>0</v>
      </c>
      <c r="O198" s="106">
        <v>24.363599109410643</v>
      </c>
      <c r="P198" s="106">
        <v>0</v>
      </c>
      <c r="Q198" s="106">
        <v>41.645030488433235</v>
      </c>
      <c r="R198" s="106">
        <v>0</v>
      </c>
      <c r="S198" s="106">
        <v>0</v>
      </c>
      <c r="T198" s="106">
        <v>162.97439611501898</v>
      </c>
      <c r="U198" s="106">
        <v>0</v>
      </c>
      <c r="V198" s="106">
        <v>0</v>
      </c>
      <c r="W198" s="106">
        <v>98.989191500187076</v>
      </c>
      <c r="X198" s="106">
        <v>213.52421530880656</v>
      </c>
      <c r="Y198" s="106">
        <v>237.64175219761609</v>
      </c>
      <c r="Z198" s="106">
        <v>209.34773575294082</v>
      </c>
      <c r="AA198" s="106">
        <v>214.86858944113919</v>
      </c>
      <c r="AB198" s="106">
        <v>0</v>
      </c>
      <c r="AC198" s="106">
        <v>146.98919150018708</v>
      </c>
      <c r="AD198" s="106">
        <v>90.029527467068533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191.01048437116646</v>
      </c>
      <c r="AM198" s="106">
        <v>0</v>
      </c>
      <c r="AN198" s="106">
        <v>0</v>
      </c>
      <c r="AO198" s="106">
        <v>0</v>
      </c>
      <c r="AP198" s="106">
        <v>0</v>
      </c>
      <c r="AQ198" s="106">
        <v>362.67477567823892</v>
      </c>
      <c r="AR198" s="106">
        <v>261.20800632374454</v>
      </c>
      <c r="AS198" s="106">
        <v>273.19719782393162</v>
      </c>
      <c r="AT198" s="106">
        <v>284.12008063431779</v>
      </c>
      <c r="AU198" s="106">
        <v>60.408892571284923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558.98594669315048</v>
      </c>
      <c r="D209" s="124">
        <v>255.45076178690806</v>
      </c>
      <c r="E209" s="124">
        <v>295.95117112588105</v>
      </c>
      <c r="F209" s="124">
        <v>250.14048820255391</v>
      </c>
      <c r="G209" s="124">
        <v>478.45949811212768</v>
      </c>
      <c r="H209" s="124">
        <v>279.68099009042623</v>
      </c>
      <c r="I209" s="124">
        <v>435.94385325133732</v>
      </c>
      <c r="J209" s="124">
        <v>478.45949811212768</v>
      </c>
      <c r="K209" s="124">
        <v>478.45949811212768</v>
      </c>
      <c r="L209" s="124">
        <v>250.14048820255394</v>
      </c>
      <c r="M209" s="124">
        <v>478.45949811212768</v>
      </c>
      <c r="N209" s="124">
        <v>250.14048820255394</v>
      </c>
      <c r="O209" s="124">
        <v>475.47600325445035</v>
      </c>
      <c r="P209" s="124">
        <v>250.14048820255394</v>
      </c>
      <c r="Q209" s="124">
        <v>120.94708760152717</v>
      </c>
      <c r="R209" s="124">
        <v>245.02053590326136</v>
      </c>
      <c r="S209" s="124">
        <v>120.94708760152717</v>
      </c>
      <c r="T209" s="124">
        <v>250.14048820255394</v>
      </c>
      <c r="U209" s="124">
        <v>64.651054406128196</v>
      </c>
      <c r="V209" s="124">
        <v>187.75218398760092</v>
      </c>
      <c r="W209" s="124">
        <v>443.12141082731569</v>
      </c>
      <c r="X209" s="124">
        <v>478.45949811212768</v>
      </c>
      <c r="Y209" s="124">
        <v>478.45949811212768</v>
      </c>
      <c r="Z209" s="124">
        <v>250.14048820255394</v>
      </c>
      <c r="AA209" s="124">
        <v>471.76173193600869</v>
      </c>
      <c r="AB209" s="124">
        <v>478.45949811212768</v>
      </c>
      <c r="AC209" s="124">
        <v>478.45949811212768</v>
      </c>
      <c r="AD209" s="124">
        <v>478.45949811212768</v>
      </c>
      <c r="AE209" s="124">
        <v>478.45949811212768</v>
      </c>
      <c r="AF209" s="124">
        <v>250.14048820255394</v>
      </c>
      <c r="AG209" s="124">
        <v>460.93707511939135</v>
      </c>
      <c r="AH209" s="124">
        <v>478.45949811212768</v>
      </c>
      <c r="AI209" s="124">
        <v>120.94708760152717</v>
      </c>
      <c r="AJ209" s="124">
        <v>326.84870091029438</v>
      </c>
      <c r="AK209" s="124">
        <v>120.94708760152717</v>
      </c>
      <c r="AL209" s="124">
        <v>250.14048820255394</v>
      </c>
      <c r="AM209" s="124">
        <v>120.94708760152717</v>
      </c>
      <c r="AN209" s="124">
        <v>250.14048820255394</v>
      </c>
      <c r="AO209" s="124">
        <v>185.19400422728222</v>
      </c>
      <c r="AP209" s="124">
        <v>250.14048820255391</v>
      </c>
      <c r="AQ209" s="124">
        <v>309.68099009042623</v>
      </c>
      <c r="AR209" s="124">
        <v>478.45949811212768</v>
      </c>
      <c r="AS209" s="124">
        <v>478.45949811212768</v>
      </c>
      <c r="AT209" s="124">
        <v>478.45949811212768</v>
      </c>
      <c r="AU209" s="124">
        <v>478.45949811212768</v>
      </c>
      <c r="AV209" s="124">
        <v>478.45949811212768</v>
      </c>
      <c r="AW209" s="124">
        <v>120.94708760152717</v>
      </c>
      <c r="AX209" s="124">
        <v>127.99822672458038</v>
      </c>
      <c r="AY209" s="124">
        <v>120.94708760152717</v>
      </c>
    </row>
    <row r="210" spans="1:51">
      <c r="A210" s="109"/>
      <c r="B210" s="119">
        <v>2</v>
      </c>
      <c r="C210" s="106">
        <v>50.559709461016595</v>
      </c>
      <c r="D210" s="110">
        <v>0</v>
      </c>
      <c r="E210" s="110">
        <v>327.95602428777124</v>
      </c>
      <c r="F210" s="110">
        <v>156.69789520474603</v>
      </c>
      <c r="G210" s="110">
        <v>1.602198987444609E-14</v>
      </c>
      <c r="H210" s="110">
        <v>0</v>
      </c>
      <c r="I210" s="110">
        <v>112.05614674866268</v>
      </c>
      <c r="J210" s="110">
        <v>23.967074645286253</v>
      </c>
      <c r="K210" s="110">
        <v>0</v>
      </c>
      <c r="L210" s="110">
        <v>0</v>
      </c>
      <c r="M210" s="110">
        <v>228.31900990957374</v>
      </c>
      <c r="N210" s="110">
        <v>0</v>
      </c>
      <c r="O210" s="110">
        <v>228.31900990957374</v>
      </c>
      <c r="P210" s="110">
        <v>1.6818666209088977</v>
      </c>
      <c r="Q210" s="110">
        <v>228.31900990957374</v>
      </c>
      <c r="R210" s="110">
        <v>357.51241051060049</v>
      </c>
      <c r="S210" s="110">
        <v>131.59506460968328</v>
      </c>
      <c r="T210" s="110">
        <v>0</v>
      </c>
      <c r="U210" s="110">
        <v>585.83142042017425</v>
      </c>
      <c r="V210" s="110">
        <v>389.24781601239908</v>
      </c>
      <c r="W210" s="110">
        <v>163.87858917268434</v>
      </c>
      <c r="X210" s="110">
        <v>19.920915666454395</v>
      </c>
      <c r="Y210" s="110">
        <v>0</v>
      </c>
      <c r="Z210" s="110">
        <v>0</v>
      </c>
      <c r="AA210" s="110">
        <v>228.31900990957374</v>
      </c>
      <c r="AB210" s="110">
        <v>3.7756892180591315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228.31900990957374</v>
      </c>
      <c r="AH210" s="110">
        <v>9.8778043049394455</v>
      </c>
      <c r="AI210" s="110">
        <v>0</v>
      </c>
      <c r="AJ210" s="110">
        <v>357.51241051060049</v>
      </c>
      <c r="AK210" s="110">
        <v>85.466592485318486</v>
      </c>
      <c r="AL210" s="110">
        <v>357.51241051060049</v>
      </c>
      <c r="AM210" s="110">
        <v>228.31900990957374</v>
      </c>
      <c r="AN210" s="110">
        <v>0</v>
      </c>
      <c r="AO210" s="110">
        <v>585.83142042017425</v>
      </c>
      <c r="AP210" s="110">
        <v>165.32069561308703</v>
      </c>
      <c r="AQ210" s="110">
        <v>228.31900990957374</v>
      </c>
      <c r="AR210" s="110">
        <v>95.144437148282378</v>
      </c>
      <c r="AS210" s="110">
        <v>0</v>
      </c>
      <c r="AT210" s="110">
        <v>0</v>
      </c>
      <c r="AU210" s="110">
        <v>0</v>
      </c>
      <c r="AV210" s="110">
        <v>0</v>
      </c>
      <c r="AW210" s="110">
        <v>0</v>
      </c>
      <c r="AX210" s="110">
        <v>357.51241051060049</v>
      </c>
      <c r="AY210" s="110">
        <v>8.0109949372230451E-15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228.31900990957374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128503.79948857232</v>
      </c>
      <c r="E259" s="124">
        <f t="shared" ref="E259:AX259" si="5">F$14*$B$259</f>
        <v>453686.50076171901</v>
      </c>
      <c r="F259" s="124">
        <f t="shared" si="5"/>
        <v>204658.92401306579</v>
      </c>
      <c r="G259" s="124">
        <f t="shared" si="5"/>
        <v>240687.72775902864</v>
      </c>
      <c r="H259" s="124">
        <f t="shared" si="5"/>
        <v>355542.97447512159</v>
      </c>
      <c r="I259" s="124">
        <f t="shared" si="5"/>
        <v>297057.26258650381</v>
      </c>
      <c r="J259" s="124">
        <f t="shared" si="5"/>
        <v>252744.29839910628</v>
      </c>
      <c r="K259" s="124">
        <f t="shared" si="5"/>
        <v>240687.72775902864</v>
      </c>
      <c r="L259" s="124">
        <f t="shared" si="5"/>
        <v>125832.48104293566</v>
      </c>
      <c r="M259" s="124">
        <f t="shared" si="5"/>
        <v>355542.97447512159</v>
      </c>
      <c r="N259" s="124">
        <f t="shared" si="5"/>
        <v>125832.48104293566</v>
      </c>
      <c r="O259" s="124">
        <f t="shared" si="5"/>
        <v>355542.97447512159</v>
      </c>
      <c r="P259" s="124">
        <f t="shared" si="5"/>
        <v>126678.53939683514</v>
      </c>
      <c r="Q259" s="124">
        <f t="shared" si="5"/>
        <v>175697.3447593879</v>
      </c>
      <c r="R259" s="124">
        <f t="shared" si="5"/>
        <v>420533.35747476231</v>
      </c>
      <c r="S259" s="124">
        <f t="shared" si="5"/>
        <v>127040.63148276391</v>
      </c>
      <c r="T259" s="124">
        <f t="shared" si="5"/>
        <v>125832.48104293566</v>
      </c>
      <c r="U259" s="124">
        <f t="shared" si="5"/>
        <v>355542.97447512159</v>
      </c>
      <c r="V259" s="124">
        <f t="shared" si="5"/>
        <v>436497.76547560265</v>
      </c>
      <c r="W259" s="124">
        <f t="shared" si="5"/>
        <v>323126.39897772617</v>
      </c>
      <c r="X259" s="124">
        <f t="shared" si="5"/>
        <v>250708.88931096107</v>
      </c>
      <c r="Y259" s="124">
        <f t="shared" si="5"/>
        <v>240687.72775902864</v>
      </c>
      <c r="Z259" s="124">
        <f t="shared" si="5"/>
        <v>125832.48104293566</v>
      </c>
      <c r="AA259" s="124">
        <f t="shared" si="5"/>
        <v>355542.97447512159</v>
      </c>
      <c r="AB259" s="124">
        <f t="shared" si="5"/>
        <v>242587.07778176753</v>
      </c>
      <c r="AC259" s="124">
        <f t="shared" si="5"/>
        <v>240687.72775902864</v>
      </c>
      <c r="AD259" s="124">
        <f t="shared" si="5"/>
        <v>240687.72775902864</v>
      </c>
      <c r="AE259" s="124">
        <f t="shared" si="5"/>
        <v>240687.72775902864</v>
      </c>
      <c r="AF259" s="124">
        <f t="shared" si="5"/>
        <v>125832.48104293566</v>
      </c>
      <c r="AG259" s="124">
        <f t="shared" si="5"/>
        <v>355542.97447512159</v>
      </c>
      <c r="AH259" s="124">
        <f t="shared" si="5"/>
        <v>245656.72990609662</v>
      </c>
      <c r="AI259" s="124">
        <f t="shared" si="5"/>
        <v>60842.098043294936</v>
      </c>
      <c r="AJ259" s="124">
        <f t="shared" si="5"/>
        <v>420533.35747476231</v>
      </c>
      <c r="AK259" s="124">
        <f t="shared" si="5"/>
        <v>103835.83110902958</v>
      </c>
      <c r="AL259" s="124">
        <f t="shared" si="5"/>
        <v>305678.11075866938</v>
      </c>
      <c r="AM259" s="124">
        <f t="shared" si="5"/>
        <v>175697.3447593879</v>
      </c>
      <c r="AN259" s="124">
        <f t="shared" si="5"/>
        <v>125832.48104293566</v>
      </c>
      <c r="AO259" s="124">
        <f t="shared" si="5"/>
        <v>535388.60419085529</v>
      </c>
      <c r="AP259" s="124">
        <f t="shared" si="5"/>
        <v>208996.59991957864</v>
      </c>
      <c r="AQ259" s="124">
        <f t="shared" si="5"/>
        <v>355542.97447512159</v>
      </c>
      <c r="AR259" s="124">
        <f t="shared" si="5"/>
        <v>288549.87382675102</v>
      </c>
      <c r="AS259" s="124">
        <f t="shared" si="5"/>
        <v>240687.72775902864</v>
      </c>
      <c r="AT259" s="124">
        <f t="shared" si="5"/>
        <v>240687.72775902864</v>
      </c>
      <c r="AU259" s="124">
        <f t="shared" si="5"/>
        <v>240687.72775902864</v>
      </c>
      <c r="AV259" s="124">
        <f t="shared" si="5"/>
        <v>240687.72775902864</v>
      </c>
      <c r="AW259" s="124">
        <f t="shared" si="5"/>
        <v>60842.098043294936</v>
      </c>
      <c r="AX259" s="124">
        <f t="shared" si="5"/>
        <v>244234.78380104862</v>
      </c>
      <c r="AY259" s="124">
        <f>AZ$14*$B$259</f>
        <v>60842.098043294944</v>
      </c>
      <c r="AZ259" s="139">
        <f>SUM($D259:$AY259)</f>
        <v>11801291.304958584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61586.730899599803</v>
      </c>
      <c r="E260" s="125">
        <f t="shared" ref="E260:AY260" si="6">(E$175-E$176+E$177-E$178+E$179-E$180+E$181-E$182)*$B$260</f>
        <v>100877.10762342002</v>
      </c>
      <c r="F260" s="125">
        <f t="shared" si="6"/>
        <v>75301.05283523757</v>
      </c>
      <c r="G260" s="125">
        <f t="shared" si="6"/>
        <v>64250.99677578899</v>
      </c>
      <c r="H260" s="125">
        <f t="shared" si="6"/>
        <v>84848.385831736494</v>
      </c>
      <c r="I260" s="125">
        <f t="shared" si="6"/>
        <v>97850.316486823038</v>
      </c>
      <c r="J260" s="125">
        <f t="shared" si="6"/>
        <v>82698.399142505936</v>
      </c>
      <c r="K260" s="125">
        <f t="shared" si="6"/>
        <v>85266.993026384182</v>
      </c>
      <c r="L260" s="125">
        <f t="shared" si="6"/>
        <v>51007.673793634793</v>
      </c>
      <c r="M260" s="125">
        <f t="shared" si="6"/>
        <v>55925.754505578443</v>
      </c>
      <c r="N260" s="125">
        <f t="shared" si="6"/>
        <v>44125.422292614239</v>
      </c>
      <c r="O260" s="125">
        <f t="shared" si="6"/>
        <v>55755.965895937625</v>
      </c>
      <c r="P260" s="125">
        <f t="shared" si="6"/>
        <v>43170.444903323791</v>
      </c>
      <c r="Q260" s="125">
        <f t="shared" si="6"/>
        <v>44325.811438001874</v>
      </c>
      <c r="R260" s="125">
        <f t="shared" si="6"/>
        <v>84494.782716009737</v>
      </c>
      <c r="S260" s="125">
        <f t="shared" si="6"/>
        <v>44380.977114362962</v>
      </c>
      <c r="T260" s="125">
        <f t="shared" si="6"/>
        <v>21928.01652995414</v>
      </c>
      <c r="U260" s="125">
        <f t="shared" si="6"/>
        <v>45599.128380105452</v>
      </c>
      <c r="V260" s="125">
        <f t="shared" si="6"/>
        <v>91465.790271340229</v>
      </c>
      <c r="W260" s="125">
        <f t="shared" si="6"/>
        <v>83254.089044204477</v>
      </c>
      <c r="X260" s="125">
        <f t="shared" si="6"/>
        <v>64579.206975174304</v>
      </c>
      <c r="Y260" s="125">
        <f t="shared" si="6"/>
        <v>47821.558593349189</v>
      </c>
      <c r="Z260" s="125">
        <f t="shared" si="6"/>
        <v>12892.11536646835</v>
      </c>
      <c r="AA260" s="125">
        <f t="shared" si="6"/>
        <v>16381.147465010426</v>
      </c>
      <c r="AB260" s="125">
        <f t="shared" si="6"/>
        <v>18316.983939184487</v>
      </c>
      <c r="AC260" s="125">
        <f t="shared" si="6"/>
        <v>12769.908375992289</v>
      </c>
      <c r="AD260" s="125">
        <f t="shared" si="6"/>
        <v>0</v>
      </c>
      <c r="AE260" s="125">
        <f t="shared" si="6"/>
        <v>954.06836398408814</v>
      </c>
      <c r="AF260" s="125">
        <f t="shared" si="6"/>
        <v>0</v>
      </c>
      <c r="AG260" s="125">
        <f t="shared" si="6"/>
        <v>11210.626874007467</v>
      </c>
      <c r="AH260" s="125">
        <f t="shared" si="6"/>
        <v>1643.5640851891753</v>
      </c>
      <c r="AI260" s="125">
        <f t="shared" si="6"/>
        <v>0</v>
      </c>
      <c r="AJ260" s="125">
        <f t="shared" si="6"/>
        <v>46365.21301360178</v>
      </c>
      <c r="AK260" s="125">
        <f t="shared" si="6"/>
        <v>11460.629062269987</v>
      </c>
      <c r="AL260" s="125">
        <f t="shared" si="6"/>
        <v>1973.5662777943776</v>
      </c>
      <c r="AM260" s="125">
        <f t="shared" si="6"/>
        <v>0</v>
      </c>
      <c r="AN260" s="125">
        <f t="shared" si="6"/>
        <v>0</v>
      </c>
      <c r="AO260" s="125">
        <f t="shared" si="6"/>
        <v>77079.493718279904</v>
      </c>
      <c r="AP260" s="125">
        <f t="shared" si="6"/>
        <v>51473.334312931991</v>
      </c>
      <c r="AQ260" s="125">
        <f t="shared" si="6"/>
        <v>78031.3201274077</v>
      </c>
      <c r="AR260" s="125">
        <f t="shared" si="6"/>
        <v>59328.243726862747</v>
      </c>
      <c r="AS260" s="125">
        <f t="shared" si="6"/>
        <v>47567.899286231797</v>
      </c>
      <c r="AT260" s="125">
        <f t="shared" si="6"/>
        <v>27009.510593195719</v>
      </c>
      <c r="AU260" s="125">
        <f t="shared" si="6"/>
        <v>18223.3279936486</v>
      </c>
      <c r="AV260" s="125">
        <f t="shared" si="6"/>
        <v>2033.5422204103998</v>
      </c>
      <c r="AW260" s="125">
        <f t="shared" si="6"/>
        <v>0</v>
      </c>
      <c r="AX260" s="125">
        <f t="shared" si="6"/>
        <v>0</v>
      </c>
      <c r="AY260" s="125">
        <f t="shared" si="6"/>
        <v>0</v>
      </c>
      <c r="AZ260" s="141">
        <f>SUM($D260:$AY260)</f>
        <v>1925229.0998775589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16</v>
      </c>
      <c r="E6" s="100">
        <v>9254.4</v>
      </c>
      <c r="F6" s="100">
        <v>24</v>
      </c>
      <c r="G6" s="100">
        <v>13881.599999999999</v>
      </c>
      <c r="H6" s="100">
        <v>25</v>
      </c>
      <c r="I6" s="100">
        <v>14460</v>
      </c>
      <c r="J6" s="100">
        <v>21</v>
      </c>
      <c r="K6" s="100">
        <v>12146.4</v>
      </c>
      <c r="L6" s="100">
        <v>23</v>
      </c>
      <c r="M6" s="100">
        <v>13303.199999999999</v>
      </c>
      <c r="N6" s="100">
        <v>16</v>
      </c>
      <c r="O6" s="100">
        <v>9254.4</v>
      </c>
      <c r="P6" s="100">
        <v>23</v>
      </c>
      <c r="Q6" s="100">
        <v>13303.199999999999</v>
      </c>
      <c r="R6" s="100">
        <v>25</v>
      </c>
      <c r="S6" s="100">
        <v>14460</v>
      </c>
      <c r="T6" s="100">
        <v>19</v>
      </c>
      <c r="U6" s="100">
        <v>10989.6</v>
      </c>
      <c r="V6" s="100">
        <v>20</v>
      </c>
      <c r="W6" s="100">
        <v>11568</v>
      </c>
      <c r="X6" s="100">
        <v>17</v>
      </c>
      <c r="Y6" s="100">
        <v>9832.7999999999993</v>
      </c>
      <c r="Z6" s="100">
        <v>26</v>
      </c>
      <c r="AA6" s="100">
        <v>15038.4</v>
      </c>
      <c r="AB6" s="100">
        <v>16</v>
      </c>
      <c r="AC6" s="100">
        <v>9254.4</v>
      </c>
      <c r="AD6" s="100">
        <v>14</v>
      </c>
      <c r="AE6" s="100">
        <v>8097.5999999999995</v>
      </c>
      <c r="AF6" s="100">
        <v>23</v>
      </c>
      <c r="AG6" s="100">
        <v>13303.199999999999</v>
      </c>
      <c r="AH6" s="100">
        <v>23</v>
      </c>
      <c r="AI6" s="100">
        <v>13303.199999999999</v>
      </c>
      <c r="AJ6" s="100">
        <v>28</v>
      </c>
      <c r="AK6" s="100">
        <v>16195.199999999999</v>
      </c>
      <c r="AL6" s="100">
        <v>21</v>
      </c>
      <c r="AM6" s="100">
        <v>12146.4</v>
      </c>
      <c r="AN6" s="100">
        <v>20</v>
      </c>
      <c r="AO6" s="100">
        <v>11568</v>
      </c>
      <c r="AP6" s="100">
        <v>18</v>
      </c>
      <c r="AQ6" s="100">
        <v>10411.199999999999</v>
      </c>
      <c r="AR6" s="100">
        <v>25</v>
      </c>
      <c r="AS6" s="100">
        <v>14460</v>
      </c>
      <c r="AT6" s="100">
        <v>26.010492973676186</v>
      </c>
      <c r="AU6" s="100">
        <v>15044.469135974305</v>
      </c>
      <c r="AV6" s="100">
        <v>18.123756000536968</v>
      </c>
      <c r="AW6" s="100">
        <v>10482.780470710582</v>
      </c>
      <c r="AX6" s="100">
        <v>19.693810050926736</v>
      </c>
      <c r="AY6" s="100">
        <v>11390.899733456023</v>
      </c>
      <c r="AZ6" s="100">
        <v>29</v>
      </c>
      <c r="BA6" s="100">
        <v>16773.599999999999</v>
      </c>
      <c r="BB6" s="100">
        <v>23</v>
      </c>
      <c r="BC6" s="100">
        <v>13303.199999999999</v>
      </c>
      <c r="BD6" s="100">
        <v>25.6457264825914</v>
      </c>
      <c r="BE6" s="100">
        <v>14833.488197530865</v>
      </c>
      <c r="BF6" s="100">
        <v>14</v>
      </c>
      <c r="BG6" s="100">
        <v>8097.5999999999995</v>
      </c>
      <c r="BH6" s="100">
        <v>24.882122434242827</v>
      </c>
      <c r="BI6" s="100">
        <v>14391.819615966051</v>
      </c>
      <c r="BJ6" s="100">
        <v>23.564269829721585</v>
      </c>
      <c r="BK6" s="100">
        <v>13629.573669510964</v>
      </c>
      <c r="BL6" s="100">
        <v>20.236575340987088</v>
      </c>
      <c r="BM6" s="100">
        <v>11704.835177226931</v>
      </c>
      <c r="BN6" s="100">
        <v>16.621016993335331</v>
      </c>
      <c r="BO6" s="100">
        <v>9613.5962289451545</v>
      </c>
      <c r="BP6" s="100">
        <v>17.802412809038085</v>
      </c>
      <c r="BQ6" s="100">
        <v>10296.915568747629</v>
      </c>
      <c r="BR6" s="100">
        <v>22.774406036546562</v>
      </c>
      <c r="BS6" s="100">
        <v>13172.71645153853</v>
      </c>
      <c r="BT6" s="100">
        <v>17.741745745319289</v>
      </c>
      <c r="BU6" s="100">
        <v>10261.825739092676</v>
      </c>
      <c r="BV6" s="100">
        <v>20.381013707432903</v>
      </c>
      <c r="BW6" s="100">
        <v>11788.378328379191</v>
      </c>
      <c r="BX6" s="100">
        <v>20.707310724916436</v>
      </c>
      <c r="BY6" s="100">
        <v>11977.108523291667</v>
      </c>
      <c r="BZ6" s="100">
        <v>24.296577917235282</v>
      </c>
      <c r="CA6" s="100">
        <v>14053.140667328888</v>
      </c>
      <c r="CB6" s="100">
        <v>19.829289669788647</v>
      </c>
      <c r="CC6" s="100">
        <v>11469.261145005752</v>
      </c>
      <c r="CD6" s="100">
        <v>15.733204351834932</v>
      </c>
      <c r="CE6" s="100">
        <v>9100.0853971013239</v>
      </c>
      <c r="CF6" s="100">
        <v>21.654396867134043</v>
      </c>
      <c r="CG6" s="100">
        <v>12524.90314795033</v>
      </c>
      <c r="CH6" s="100">
        <v>16.475465929847775</v>
      </c>
      <c r="CI6" s="100">
        <v>9529.4094938239523</v>
      </c>
      <c r="CJ6" s="100">
        <v>24.457216448919482</v>
      </c>
      <c r="CK6" s="100">
        <v>14146.053994055028</v>
      </c>
      <c r="CL6" s="100">
        <v>17</v>
      </c>
      <c r="CM6" s="100">
        <v>9832.7999999999993</v>
      </c>
      <c r="CN6" s="100">
        <v>1.4463228864420119</v>
      </c>
      <c r="CO6" s="100">
        <v>836.55315751805961</v>
      </c>
      <c r="CP6" s="100">
        <v>0.50043470331593765</v>
      </c>
      <c r="CQ6" s="100">
        <v>289.45143239793833</v>
      </c>
      <c r="CR6" s="100">
        <v>0.46964539314658627</v>
      </c>
      <c r="CS6" s="100">
        <v>271.64289539598548</v>
      </c>
      <c r="CT6" s="100">
        <v>0.54186918321930688</v>
      </c>
      <c r="CU6" s="100">
        <v>313.41713557404711</v>
      </c>
    </row>
    <row r="7" spans="1:99">
      <c r="C7" s="99" t="s">
        <v>173</v>
      </c>
      <c r="D7" s="100">
        <v>17</v>
      </c>
      <c r="E7" s="100">
        <v>13402.8</v>
      </c>
      <c r="F7" s="100">
        <v>24</v>
      </c>
      <c r="G7" s="100">
        <v>18921.599999999999</v>
      </c>
      <c r="H7" s="100">
        <v>24</v>
      </c>
      <c r="I7" s="100">
        <v>18921.599999999999</v>
      </c>
      <c r="J7" s="100">
        <v>21</v>
      </c>
      <c r="K7" s="100">
        <v>16556.399999999998</v>
      </c>
      <c r="L7" s="100">
        <v>20</v>
      </c>
      <c r="M7" s="100">
        <v>15768</v>
      </c>
      <c r="N7" s="100">
        <v>15</v>
      </c>
      <c r="O7" s="100">
        <v>11826</v>
      </c>
      <c r="P7" s="100">
        <v>22</v>
      </c>
      <c r="Q7" s="100">
        <v>17344.8</v>
      </c>
      <c r="R7" s="100">
        <v>20</v>
      </c>
      <c r="S7" s="100">
        <v>15768</v>
      </c>
      <c r="T7" s="100">
        <v>19</v>
      </c>
      <c r="U7" s="100">
        <v>14979.6</v>
      </c>
      <c r="V7" s="100">
        <v>20</v>
      </c>
      <c r="W7" s="100">
        <v>15768</v>
      </c>
      <c r="X7" s="100">
        <v>17</v>
      </c>
      <c r="Y7" s="100">
        <v>13402.8</v>
      </c>
      <c r="Z7" s="100">
        <v>23</v>
      </c>
      <c r="AA7" s="100">
        <v>18133.2</v>
      </c>
      <c r="AB7" s="100">
        <v>15</v>
      </c>
      <c r="AC7" s="100">
        <v>11826</v>
      </c>
      <c r="AD7" s="100">
        <v>14</v>
      </c>
      <c r="AE7" s="100">
        <v>11037.6</v>
      </c>
      <c r="AF7" s="100">
        <v>22</v>
      </c>
      <c r="AG7" s="100">
        <v>17344.8</v>
      </c>
      <c r="AH7" s="100">
        <v>24</v>
      </c>
      <c r="AI7" s="100">
        <v>18921.599999999999</v>
      </c>
      <c r="AJ7" s="100">
        <v>27</v>
      </c>
      <c r="AK7" s="100">
        <v>21286.799999999999</v>
      </c>
      <c r="AL7" s="100">
        <v>18</v>
      </c>
      <c r="AM7" s="100">
        <v>14191.199999999999</v>
      </c>
      <c r="AN7" s="100">
        <v>16</v>
      </c>
      <c r="AO7" s="100">
        <v>12614.4</v>
      </c>
      <c r="AP7" s="100">
        <v>17</v>
      </c>
      <c r="AQ7" s="100">
        <v>13402.8</v>
      </c>
      <c r="AR7" s="100">
        <v>23</v>
      </c>
      <c r="AS7" s="100">
        <v>18133.2</v>
      </c>
      <c r="AT7" s="100">
        <v>22.542427243852693</v>
      </c>
      <c r="AU7" s="100">
        <v>17772.449639053462</v>
      </c>
      <c r="AV7" s="100">
        <v>18.123756000536968</v>
      </c>
      <c r="AW7" s="100">
        <v>14288.769230823345</v>
      </c>
      <c r="AX7" s="100">
        <v>20.631610529542296</v>
      </c>
      <c r="AY7" s="100">
        <v>16265.961741491146</v>
      </c>
      <c r="AZ7" s="100">
        <v>24</v>
      </c>
      <c r="BA7" s="100">
        <v>18921.599999999999</v>
      </c>
      <c r="BB7" s="100">
        <v>20</v>
      </c>
      <c r="BC7" s="100">
        <v>15768</v>
      </c>
      <c r="BD7" s="100">
        <v>23.746043039436479</v>
      </c>
      <c r="BE7" s="100">
        <v>18721.380332291719</v>
      </c>
      <c r="BF7" s="100">
        <v>15</v>
      </c>
      <c r="BG7" s="100">
        <v>11826</v>
      </c>
      <c r="BH7" s="100">
        <v>27.753136561270846</v>
      </c>
      <c r="BI7" s="100">
        <v>21880.572864905935</v>
      </c>
      <c r="BJ7" s="100">
        <v>22.691519095287454</v>
      </c>
      <c r="BK7" s="100">
        <v>17889.993654724629</v>
      </c>
      <c r="BL7" s="100">
        <v>23.915952675712017</v>
      </c>
      <c r="BM7" s="100">
        <v>18855.337089531353</v>
      </c>
      <c r="BN7" s="100">
        <v>17.598723875296233</v>
      </c>
      <c r="BO7" s="100">
        <v>13874.83390328355</v>
      </c>
      <c r="BP7" s="100">
        <v>15.928474618613023</v>
      </c>
      <c r="BQ7" s="100">
        <v>12558.009389314508</v>
      </c>
      <c r="BR7" s="100">
        <v>21.087412996802371</v>
      </c>
      <c r="BS7" s="100">
        <v>16625.31640667899</v>
      </c>
      <c r="BT7" s="100">
        <v>16.896900709827893</v>
      </c>
      <c r="BU7" s="100">
        <v>13321.516519628311</v>
      </c>
      <c r="BV7" s="100">
        <v>20.381013707432903</v>
      </c>
      <c r="BW7" s="100">
        <v>16068.391206940099</v>
      </c>
      <c r="BX7" s="100">
        <v>20.707310724916436</v>
      </c>
      <c r="BY7" s="100">
        <v>16325.643775524117</v>
      </c>
      <c r="BZ7" s="100">
        <v>23.486691986660773</v>
      </c>
      <c r="CA7" s="100">
        <v>18516.907962283352</v>
      </c>
      <c r="CB7" s="100">
        <v>23.795147603746376</v>
      </c>
      <c r="CC7" s="100">
        <v>18760.094370793642</v>
      </c>
      <c r="CD7" s="100">
        <v>14.807721742903466</v>
      </c>
      <c r="CE7" s="100">
        <v>11674.407822105091</v>
      </c>
      <c r="CF7" s="100">
        <v>19.155812613233962</v>
      </c>
      <c r="CG7" s="100">
        <v>15102.442664273656</v>
      </c>
      <c r="CH7" s="100">
        <v>16.475465929847775</v>
      </c>
      <c r="CI7" s="100">
        <v>12989.257339091986</v>
      </c>
      <c r="CJ7" s="100">
        <v>20.089856368755289</v>
      </c>
      <c r="CK7" s="100">
        <v>15838.842761126669</v>
      </c>
      <c r="CL7" s="100">
        <v>19</v>
      </c>
      <c r="CM7" s="100">
        <v>14979.6</v>
      </c>
      <c r="CN7" s="100">
        <v>1.5041758018996925</v>
      </c>
      <c r="CO7" s="100">
        <v>1185.8922022177176</v>
      </c>
      <c r="CP7" s="100">
        <v>0.42344474895963957</v>
      </c>
      <c r="CQ7" s="100">
        <v>333.84384007977985</v>
      </c>
      <c r="CR7" s="100">
        <v>0.45158210879479449</v>
      </c>
      <c r="CS7" s="100">
        <v>356.02733457381595</v>
      </c>
      <c r="CT7" s="100">
        <v>0.49106894729249689</v>
      </c>
      <c r="CU7" s="100">
        <v>387.15875804540457</v>
      </c>
    </row>
    <row r="8" spans="1:99">
      <c r="C8" s="99" t="s">
        <v>174</v>
      </c>
      <c r="D8" s="100">
        <v>16</v>
      </c>
      <c r="E8" s="100">
        <v>4953.5999999999995</v>
      </c>
      <c r="F8" s="100">
        <v>25</v>
      </c>
      <c r="G8" s="100">
        <v>7739.9999999999991</v>
      </c>
      <c r="H8" s="100">
        <v>22</v>
      </c>
      <c r="I8" s="100">
        <v>6811.1999999999989</v>
      </c>
      <c r="J8" s="100">
        <v>24</v>
      </c>
      <c r="K8" s="100">
        <v>7430.4</v>
      </c>
      <c r="L8" s="100">
        <v>21</v>
      </c>
      <c r="M8" s="100">
        <v>6501.5999999999995</v>
      </c>
      <c r="N8" s="100">
        <v>17</v>
      </c>
      <c r="O8" s="100">
        <v>5263.2</v>
      </c>
      <c r="P8" s="100">
        <v>23</v>
      </c>
      <c r="Q8" s="100">
        <v>7120.7999999999993</v>
      </c>
      <c r="R8" s="100">
        <v>23</v>
      </c>
      <c r="S8" s="100">
        <v>7120.7999999999993</v>
      </c>
      <c r="T8" s="100">
        <v>22</v>
      </c>
      <c r="U8" s="100">
        <v>6811.1999999999989</v>
      </c>
      <c r="V8" s="100">
        <v>22</v>
      </c>
      <c r="W8" s="100">
        <v>6811.1999999999989</v>
      </c>
      <c r="X8" s="100">
        <v>17</v>
      </c>
      <c r="Y8" s="100">
        <v>5263.2</v>
      </c>
      <c r="Z8" s="100">
        <v>26</v>
      </c>
      <c r="AA8" s="100">
        <v>8049.5999999999995</v>
      </c>
      <c r="AB8" s="100">
        <v>17</v>
      </c>
      <c r="AC8" s="100">
        <v>5263.2</v>
      </c>
      <c r="AD8" s="100">
        <v>14</v>
      </c>
      <c r="AE8" s="100">
        <v>4334.3999999999996</v>
      </c>
      <c r="AF8" s="100">
        <v>25</v>
      </c>
      <c r="AG8" s="100">
        <v>7739.9999999999991</v>
      </c>
      <c r="AH8" s="100">
        <v>24</v>
      </c>
      <c r="AI8" s="100">
        <v>7430.4</v>
      </c>
      <c r="AJ8" s="100">
        <v>27</v>
      </c>
      <c r="AK8" s="100">
        <v>8359.1999999999989</v>
      </c>
      <c r="AL8" s="100">
        <v>20</v>
      </c>
      <c r="AM8" s="100">
        <v>6191.9999999999991</v>
      </c>
      <c r="AN8" s="100">
        <v>18</v>
      </c>
      <c r="AO8" s="100">
        <v>5572.7999999999993</v>
      </c>
      <c r="AP8" s="100">
        <v>18</v>
      </c>
      <c r="AQ8" s="100">
        <v>5572.7999999999993</v>
      </c>
      <c r="AR8" s="100">
        <v>27</v>
      </c>
      <c r="AS8" s="100">
        <v>8359.1999999999989</v>
      </c>
      <c r="AT8" s="100">
        <v>26.877509406132059</v>
      </c>
      <c r="AU8" s="100">
        <v>8321.2769121384845</v>
      </c>
      <c r="AV8" s="100">
        <v>20.985401684832279</v>
      </c>
      <c r="AW8" s="100">
        <v>6497.0803616240728</v>
      </c>
      <c r="AX8" s="100">
        <v>24.382812444004529</v>
      </c>
      <c r="AY8" s="100">
        <v>7548.9187326638012</v>
      </c>
      <c r="AZ8" s="100">
        <v>28</v>
      </c>
      <c r="BA8" s="100">
        <v>8668.7999999999993</v>
      </c>
      <c r="BB8" s="100">
        <v>21</v>
      </c>
      <c r="BC8" s="100">
        <v>6501.5999999999995</v>
      </c>
      <c r="BD8" s="100">
        <v>24.695884761013939</v>
      </c>
      <c r="BE8" s="100">
        <v>7645.8459220099148</v>
      </c>
      <c r="BF8" s="100">
        <v>14</v>
      </c>
      <c r="BG8" s="100">
        <v>4334.3999999999996</v>
      </c>
      <c r="BH8" s="100">
        <v>25.839127143252167</v>
      </c>
      <c r="BI8" s="100">
        <v>7999.7937635508697</v>
      </c>
      <c r="BJ8" s="100">
        <v>22.691519095287454</v>
      </c>
      <c r="BK8" s="100">
        <v>7025.2943119009951</v>
      </c>
      <c r="BL8" s="100">
        <v>22.996108342030784</v>
      </c>
      <c r="BM8" s="100">
        <v>7119.5951426927295</v>
      </c>
      <c r="BN8" s="100">
        <v>17.598723875296233</v>
      </c>
      <c r="BO8" s="100">
        <v>5448.5649117917128</v>
      </c>
      <c r="BP8" s="100">
        <v>19.676350999463146</v>
      </c>
      <c r="BQ8" s="100">
        <v>6091.7982694337898</v>
      </c>
      <c r="BR8" s="100">
        <v>23.617902556418656</v>
      </c>
      <c r="BS8" s="100">
        <v>7312.1026314672154</v>
      </c>
      <c r="BT8" s="100">
        <v>19.431435816302077</v>
      </c>
      <c r="BU8" s="100">
        <v>6015.9725287271222</v>
      </c>
      <c r="BV8" s="100">
        <v>23.292587094209033</v>
      </c>
      <c r="BW8" s="100">
        <v>7211.3849643671156</v>
      </c>
      <c r="BX8" s="100">
        <v>22.363895582909748</v>
      </c>
      <c r="BY8" s="100">
        <v>6923.8620724688571</v>
      </c>
      <c r="BZ8" s="100">
        <v>26.726235708958811</v>
      </c>
      <c r="CA8" s="100">
        <v>8274.4425754936474</v>
      </c>
      <c r="CB8" s="100">
        <v>21.812218636767508</v>
      </c>
      <c r="CC8" s="100">
        <v>6753.0628899432195</v>
      </c>
      <c r="CD8" s="100">
        <v>16.658686960766399</v>
      </c>
      <c r="CE8" s="100">
        <v>5157.5294830532766</v>
      </c>
      <c r="CF8" s="100">
        <v>19.988674031200659</v>
      </c>
      <c r="CG8" s="100">
        <v>6188.4934800597239</v>
      </c>
      <c r="CH8" s="100">
        <v>16.475465929847775</v>
      </c>
      <c r="CI8" s="100">
        <v>5100.8042518808707</v>
      </c>
      <c r="CJ8" s="100">
        <v>23.583744432886643</v>
      </c>
      <c r="CK8" s="100">
        <v>7301.5272764217043</v>
      </c>
      <c r="CL8" s="100">
        <v>17</v>
      </c>
      <c r="CM8" s="100">
        <v>5263.2</v>
      </c>
      <c r="CN8" s="100">
        <v>1.5620287173573728</v>
      </c>
      <c r="CO8" s="100">
        <v>483.60409089384257</v>
      </c>
      <c r="CP8" s="100">
        <v>0.53892968049408674</v>
      </c>
      <c r="CQ8" s="100">
        <v>166.85262908096922</v>
      </c>
      <c r="CR8" s="100">
        <v>0.48770867749837798</v>
      </c>
      <c r="CS8" s="100">
        <v>150.99460655349782</v>
      </c>
      <c r="CT8" s="100">
        <v>0.57573600717051354</v>
      </c>
      <c r="CU8" s="100">
        <v>178.24786781999097</v>
      </c>
    </row>
    <row r="9" spans="1:99">
      <c r="C9" s="99" t="s">
        <v>175</v>
      </c>
      <c r="D9" s="100">
        <v>16</v>
      </c>
      <c r="E9" s="100">
        <v>11232</v>
      </c>
      <c r="F9" s="100">
        <v>24</v>
      </c>
      <c r="G9" s="100">
        <v>16848</v>
      </c>
      <c r="H9" s="100">
        <v>24</v>
      </c>
      <c r="I9" s="100">
        <v>16848</v>
      </c>
      <c r="J9" s="100">
        <v>21</v>
      </c>
      <c r="K9" s="100">
        <v>14742</v>
      </c>
      <c r="L9" s="100">
        <v>22</v>
      </c>
      <c r="M9" s="100">
        <v>15444</v>
      </c>
      <c r="N9" s="100">
        <v>15</v>
      </c>
      <c r="O9" s="100">
        <v>10530</v>
      </c>
      <c r="P9" s="100">
        <v>23</v>
      </c>
      <c r="Q9" s="100">
        <v>16146</v>
      </c>
      <c r="R9" s="100">
        <v>24</v>
      </c>
      <c r="S9" s="100">
        <v>16848</v>
      </c>
      <c r="T9" s="100">
        <v>21</v>
      </c>
      <c r="U9" s="100">
        <v>14742</v>
      </c>
      <c r="V9" s="100">
        <v>22</v>
      </c>
      <c r="W9" s="100">
        <v>15444</v>
      </c>
      <c r="X9" s="100">
        <v>17</v>
      </c>
      <c r="Y9" s="100">
        <v>11934</v>
      </c>
      <c r="Z9" s="100">
        <v>22</v>
      </c>
      <c r="AA9" s="100">
        <v>15444</v>
      </c>
      <c r="AB9" s="100">
        <v>15</v>
      </c>
      <c r="AC9" s="100">
        <v>10530</v>
      </c>
      <c r="AD9" s="100">
        <v>14</v>
      </c>
      <c r="AE9" s="100">
        <v>9828</v>
      </c>
      <c r="AF9" s="100">
        <v>26</v>
      </c>
      <c r="AG9" s="100">
        <v>18252</v>
      </c>
      <c r="AH9" s="100">
        <v>22</v>
      </c>
      <c r="AI9" s="100">
        <v>15444</v>
      </c>
      <c r="AJ9" s="100">
        <v>25</v>
      </c>
      <c r="AK9" s="100">
        <v>17550</v>
      </c>
      <c r="AL9" s="100">
        <v>19</v>
      </c>
      <c r="AM9" s="100">
        <v>13338</v>
      </c>
      <c r="AN9" s="100">
        <v>18</v>
      </c>
      <c r="AO9" s="100">
        <v>12636</v>
      </c>
      <c r="AP9" s="100">
        <v>18</v>
      </c>
      <c r="AQ9" s="100">
        <v>12636</v>
      </c>
      <c r="AR9" s="100">
        <v>27</v>
      </c>
      <c r="AS9" s="100">
        <v>18954</v>
      </c>
      <c r="AT9" s="100">
        <v>22.542427243852693</v>
      </c>
      <c r="AU9" s="100">
        <v>15824.783925184591</v>
      </c>
      <c r="AV9" s="100">
        <v>20.031519790067176</v>
      </c>
      <c r="AW9" s="100">
        <v>14062.126892627157</v>
      </c>
      <c r="AX9" s="100">
        <v>20.631610529542296</v>
      </c>
      <c r="AY9" s="100">
        <v>14483.390591738693</v>
      </c>
      <c r="AZ9" s="100">
        <v>27</v>
      </c>
      <c r="BA9" s="100">
        <v>18954</v>
      </c>
      <c r="BB9" s="100">
        <v>19</v>
      </c>
      <c r="BC9" s="100">
        <v>13338</v>
      </c>
      <c r="BD9" s="100">
        <v>26.59556820416886</v>
      </c>
      <c r="BE9" s="100">
        <v>18670.08887932654</v>
      </c>
      <c r="BF9" s="100">
        <v>15</v>
      </c>
      <c r="BG9" s="100">
        <v>10530</v>
      </c>
      <c r="BH9" s="100">
        <v>25.839127143252167</v>
      </c>
      <c r="BI9" s="100">
        <v>18139.067254563022</v>
      </c>
      <c r="BJ9" s="100">
        <v>23.564269829721585</v>
      </c>
      <c r="BK9" s="100">
        <v>16542.117420464554</v>
      </c>
      <c r="BL9" s="100">
        <v>22.996108342030784</v>
      </c>
      <c r="BM9" s="100">
        <v>16143.26805610561</v>
      </c>
      <c r="BN9" s="100">
        <v>17.598723875296233</v>
      </c>
      <c r="BO9" s="100">
        <v>12354.304160457956</v>
      </c>
      <c r="BP9" s="100">
        <v>17.802412809038085</v>
      </c>
      <c r="BQ9" s="100">
        <v>12497.293791944736</v>
      </c>
      <c r="BR9" s="100">
        <v>22.774406036546562</v>
      </c>
      <c r="BS9" s="100">
        <v>15987.633037655687</v>
      </c>
      <c r="BT9" s="100">
        <v>17.741745745319289</v>
      </c>
      <c r="BU9" s="100">
        <v>12454.705513214141</v>
      </c>
      <c r="BV9" s="100">
        <v>22.32206263195032</v>
      </c>
      <c r="BW9" s="100">
        <v>15670.087967629124</v>
      </c>
      <c r="BX9" s="100">
        <v>19.05072586692312</v>
      </c>
      <c r="BY9" s="100">
        <v>13373.60955858003</v>
      </c>
      <c r="BZ9" s="100">
        <v>22.676806056086264</v>
      </c>
      <c r="CA9" s="100">
        <v>15919.117851372557</v>
      </c>
      <c r="CB9" s="100">
        <v>21.812218636767508</v>
      </c>
      <c r="CC9" s="100">
        <v>15312.17748301079</v>
      </c>
      <c r="CD9" s="100">
        <v>15.733204351834932</v>
      </c>
      <c r="CE9" s="100">
        <v>11044.709454988122</v>
      </c>
      <c r="CF9" s="100">
        <v>19.155812613233962</v>
      </c>
      <c r="CG9" s="100">
        <v>13447.380454490241</v>
      </c>
      <c r="CH9" s="100">
        <v>14.827919336862998</v>
      </c>
      <c r="CI9" s="100">
        <v>10409.199374477825</v>
      </c>
      <c r="CJ9" s="100">
        <v>20.963328384788131</v>
      </c>
      <c r="CK9" s="100">
        <v>14716.256526121268</v>
      </c>
      <c r="CL9" s="100">
        <v>16</v>
      </c>
      <c r="CM9" s="100">
        <v>11232</v>
      </c>
      <c r="CN9" s="100">
        <v>1.5620287173573728</v>
      </c>
      <c r="CO9" s="100">
        <v>1096.5441595848756</v>
      </c>
      <c r="CP9" s="100">
        <v>0.46193972613778861</v>
      </c>
      <c r="CQ9" s="100">
        <v>324.28168774872762</v>
      </c>
      <c r="CR9" s="100">
        <v>0.54189853055375337</v>
      </c>
      <c r="CS9" s="100">
        <v>380.41276844873488</v>
      </c>
      <c r="CT9" s="100">
        <v>0.54186918321930688</v>
      </c>
      <c r="CU9" s="100">
        <v>380.39216661995346</v>
      </c>
    </row>
    <row r="10" spans="1:99">
      <c r="C10" s="99" t="s">
        <v>176</v>
      </c>
      <c r="D10" s="100">
        <v>18</v>
      </c>
      <c r="E10" s="100">
        <v>9806.4</v>
      </c>
      <c r="F10" s="100">
        <v>25</v>
      </c>
      <c r="G10" s="100">
        <v>13619.999999999998</v>
      </c>
      <c r="H10" s="100">
        <v>24</v>
      </c>
      <c r="I10" s="100">
        <v>13075.199999999999</v>
      </c>
      <c r="J10" s="100">
        <v>23</v>
      </c>
      <c r="K10" s="100">
        <v>12530.4</v>
      </c>
      <c r="L10" s="100">
        <v>19</v>
      </c>
      <c r="M10" s="100">
        <v>10351.199999999999</v>
      </c>
      <c r="N10" s="100">
        <v>17</v>
      </c>
      <c r="O10" s="100">
        <v>9261.5999999999985</v>
      </c>
      <c r="P10" s="100">
        <v>22</v>
      </c>
      <c r="Q10" s="100">
        <v>11985.599999999999</v>
      </c>
      <c r="R10" s="100">
        <v>21</v>
      </c>
      <c r="S10" s="100">
        <v>11440.8</v>
      </c>
      <c r="T10" s="100">
        <v>23</v>
      </c>
      <c r="U10" s="100">
        <v>12530.4</v>
      </c>
      <c r="V10" s="100">
        <v>21</v>
      </c>
      <c r="W10" s="100">
        <v>11440.8</v>
      </c>
      <c r="X10" s="100">
        <v>16</v>
      </c>
      <c r="Y10" s="100">
        <v>8716.7999999999993</v>
      </c>
      <c r="Z10" s="100">
        <v>23</v>
      </c>
      <c r="AA10" s="100">
        <v>12530.4</v>
      </c>
      <c r="AB10" s="100">
        <v>15</v>
      </c>
      <c r="AC10" s="100">
        <v>8171.9999999999991</v>
      </c>
      <c r="AD10" s="100">
        <v>15</v>
      </c>
      <c r="AE10" s="100">
        <v>8171.9999999999991</v>
      </c>
      <c r="AF10" s="100">
        <v>25</v>
      </c>
      <c r="AG10" s="100">
        <v>13619.999999999998</v>
      </c>
      <c r="AH10" s="100">
        <v>24</v>
      </c>
      <c r="AI10" s="100">
        <v>13075.199999999999</v>
      </c>
      <c r="AJ10" s="100">
        <v>28</v>
      </c>
      <c r="AK10" s="100">
        <v>15254.399999999998</v>
      </c>
      <c r="AL10" s="100">
        <v>19</v>
      </c>
      <c r="AM10" s="100">
        <v>10351.199999999999</v>
      </c>
      <c r="AN10" s="100">
        <v>19</v>
      </c>
      <c r="AO10" s="100">
        <v>10351.199999999999</v>
      </c>
      <c r="AP10" s="100">
        <v>17</v>
      </c>
      <c r="AQ10" s="100">
        <v>9261.5999999999985</v>
      </c>
      <c r="AR10" s="100">
        <v>28</v>
      </c>
      <c r="AS10" s="100">
        <v>15254.399999999998</v>
      </c>
      <c r="AT10" s="100">
        <v>24.276460108764439</v>
      </c>
      <c r="AU10" s="100">
        <v>13225.815467254866</v>
      </c>
      <c r="AV10" s="100">
        <v>20.031519790067176</v>
      </c>
      <c r="AW10" s="100">
        <v>10913.171981628597</v>
      </c>
      <c r="AX10" s="100">
        <v>22.507211486773411</v>
      </c>
      <c r="AY10" s="100">
        <v>12261.928817994152</v>
      </c>
      <c r="AZ10" s="100">
        <v>28</v>
      </c>
      <c r="BA10" s="100">
        <v>15254.399999999998</v>
      </c>
      <c r="BB10" s="100">
        <v>20</v>
      </c>
      <c r="BC10" s="100">
        <v>10896</v>
      </c>
      <c r="BD10" s="100">
        <v>23.746043039436479</v>
      </c>
      <c r="BE10" s="100">
        <v>12936.844247884992</v>
      </c>
      <c r="BF10" s="100">
        <v>15</v>
      </c>
      <c r="BG10" s="100">
        <v>8171.9999999999991</v>
      </c>
      <c r="BH10" s="100">
        <v>29.667145979289526</v>
      </c>
      <c r="BI10" s="100">
        <v>16162.661129516931</v>
      </c>
      <c r="BJ10" s="100">
        <v>23.564269829721585</v>
      </c>
      <c r="BK10" s="100">
        <v>12837.814203232319</v>
      </c>
      <c r="BL10" s="100">
        <v>20.236575340987088</v>
      </c>
      <c r="BM10" s="100">
        <v>11024.886245769765</v>
      </c>
      <c r="BN10" s="100">
        <v>17.598723875296233</v>
      </c>
      <c r="BO10" s="100">
        <v>9587.784767261388</v>
      </c>
      <c r="BP10" s="100">
        <v>19.676350999463146</v>
      </c>
      <c r="BQ10" s="100">
        <v>10719.676024507522</v>
      </c>
      <c r="BR10" s="100">
        <v>22.774406036546562</v>
      </c>
      <c r="BS10" s="100">
        <v>12407.496408710565</v>
      </c>
      <c r="BT10" s="100">
        <v>18.586590780810685</v>
      </c>
      <c r="BU10" s="100">
        <v>10125.974657385661</v>
      </c>
      <c r="BV10" s="100">
        <v>20.381013707432903</v>
      </c>
      <c r="BW10" s="100">
        <v>11103.576267809445</v>
      </c>
      <c r="BX10" s="100">
        <v>21.53560315391309</v>
      </c>
      <c r="BY10" s="100">
        <v>11732.59659825185</v>
      </c>
      <c r="BZ10" s="100">
        <v>25.106463847809792</v>
      </c>
      <c r="CA10" s="100">
        <v>13678.001504286773</v>
      </c>
      <c r="CB10" s="100">
        <v>20.820754153278077</v>
      </c>
      <c r="CC10" s="100">
        <v>11343.146862705895</v>
      </c>
      <c r="CD10" s="100">
        <v>15.733204351834932</v>
      </c>
      <c r="CE10" s="100">
        <v>8571.4497308796708</v>
      </c>
      <c r="CF10" s="100">
        <v>19.988674031200659</v>
      </c>
      <c r="CG10" s="100">
        <v>10889.829612198118</v>
      </c>
      <c r="CH10" s="100">
        <v>18.123012522832553</v>
      </c>
      <c r="CI10" s="100">
        <v>9873.417222439175</v>
      </c>
      <c r="CJ10" s="100">
        <v>24.457216448919482</v>
      </c>
      <c r="CK10" s="100">
        <v>13324.291521371333</v>
      </c>
      <c r="CL10" s="100">
        <v>19</v>
      </c>
      <c r="CM10" s="100">
        <v>10351.199999999999</v>
      </c>
      <c r="CN10" s="100">
        <v>1.6198816328150534</v>
      </c>
      <c r="CO10" s="100">
        <v>882.51151355764102</v>
      </c>
      <c r="CP10" s="100">
        <v>0.50043470331593765</v>
      </c>
      <c r="CQ10" s="100">
        <v>272.63682636652283</v>
      </c>
      <c r="CR10" s="100">
        <v>0.52383524620196154</v>
      </c>
      <c r="CS10" s="100">
        <v>285.38544213082861</v>
      </c>
      <c r="CT10" s="100">
        <v>0.55880259519491027</v>
      </c>
      <c r="CU10" s="100">
        <v>304.43565386218711</v>
      </c>
    </row>
    <row r="11" spans="1:99">
      <c r="C11" s="99" t="s">
        <v>177</v>
      </c>
      <c r="D11" s="100">
        <v>15</v>
      </c>
      <c r="E11" s="100">
        <v>7991.9999999999991</v>
      </c>
      <c r="F11" s="100">
        <v>26</v>
      </c>
      <c r="G11" s="100">
        <v>13852.8</v>
      </c>
      <c r="H11" s="100">
        <v>23</v>
      </c>
      <c r="I11" s="100">
        <v>12254.4</v>
      </c>
      <c r="J11" s="100">
        <v>20</v>
      </c>
      <c r="K11" s="100">
        <v>10656</v>
      </c>
      <c r="L11" s="100">
        <v>20</v>
      </c>
      <c r="M11" s="100">
        <v>10656</v>
      </c>
      <c r="N11" s="100">
        <v>17</v>
      </c>
      <c r="O11" s="100">
        <v>9057.5999999999985</v>
      </c>
      <c r="P11" s="100">
        <v>22</v>
      </c>
      <c r="Q11" s="100">
        <v>11721.599999999999</v>
      </c>
      <c r="R11" s="100">
        <v>22</v>
      </c>
      <c r="S11" s="100">
        <v>11721.599999999999</v>
      </c>
      <c r="T11" s="100">
        <v>21</v>
      </c>
      <c r="U11" s="100">
        <v>11188.8</v>
      </c>
      <c r="V11" s="100">
        <v>22</v>
      </c>
      <c r="W11" s="100">
        <v>11721.599999999999</v>
      </c>
      <c r="X11" s="100">
        <v>19</v>
      </c>
      <c r="Y11" s="100">
        <v>10123.199999999999</v>
      </c>
      <c r="Z11" s="100">
        <v>23</v>
      </c>
      <c r="AA11" s="100">
        <v>12254.4</v>
      </c>
      <c r="AB11" s="100">
        <v>14</v>
      </c>
      <c r="AC11" s="100">
        <v>7459.1999999999989</v>
      </c>
      <c r="AD11" s="100">
        <v>15</v>
      </c>
      <c r="AE11" s="100">
        <v>7991.9999999999991</v>
      </c>
      <c r="AF11" s="100">
        <v>27</v>
      </c>
      <c r="AG11" s="100">
        <v>14385.599999999999</v>
      </c>
      <c r="AH11" s="100">
        <v>25</v>
      </c>
      <c r="AI11" s="100">
        <v>13319.999999999998</v>
      </c>
      <c r="AJ11" s="100">
        <v>28</v>
      </c>
      <c r="AK11" s="100">
        <v>14918.399999999998</v>
      </c>
      <c r="AL11" s="100">
        <v>20</v>
      </c>
      <c r="AM11" s="100">
        <v>10656</v>
      </c>
      <c r="AN11" s="100">
        <v>20</v>
      </c>
      <c r="AO11" s="100">
        <v>10656</v>
      </c>
      <c r="AP11" s="100">
        <v>18</v>
      </c>
      <c r="AQ11" s="100">
        <v>9590.4</v>
      </c>
      <c r="AR11" s="100">
        <v>25</v>
      </c>
      <c r="AS11" s="100">
        <v>13319.999999999998</v>
      </c>
      <c r="AT11" s="100">
        <v>23.409443676308566</v>
      </c>
      <c r="AU11" s="100">
        <v>12472.551590737203</v>
      </c>
      <c r="AV11" s="100">
        <v>21.939283579597383</v>
      </c>
      <c r="AW11" s="100">
        <v>11689.250291209484</v>
      </c>
      <c r="AX11" s="100">
        <v>19.693810050926736</v>
      </c>
      <c r="AY11" s="100">
        <v>10492.861995133764</v>
      </c>
      <c r="AZ11" s="100">
        <v>25</v>
      </c>
      <c r="BA11" s="100">
        <v>13319.999999999998</v>
      </c>
      <c r="BB11" s="100">
        <v>21</v>
      </c>
      <c r="BC11" s="100">
        <v>11188.8</v>
      </c>
      <c r="BD11" s="100">
        <v>27.54540992574632</v>
      </c>
      <c r="BE11" s="100">
        <v>14676.194408437637</v>
      </c>
      <c r="BF11" s="100">
        <v>14</v>
      </c>
      <c r="BG11" s="100">
        <v>7459.1999999999989</v>
      </c>
      <c r="BH11" s="100">
        <v>26.796131852261507</v>
      </c>
      <c r="BI11" s="100">
        <v>14276.979050884929</v>
      </c>
      <c r="BJ11" s="100">
        <v>24.437020564155716</v>
      </c>
      <c r="BK11" s="100">
        <v>13020.044556582165</v>
      </c>
      <c r="BL11" s="100">
        <v>22.076264008349554</v>
      </c>
      <c r="BM11" s="100">
        <v>11762.233463648641</v>
      </c>
      <c r="BN11" s="100">
        <v>17.598723875296233</v>
      </c>
      <c r="BO11" s="100">
        <v>9376.600080757833</v>
      </c>
      <c r="BP11" s="100">
        <v>19.676350999463146</v>
      </c>
      <c r="BQ11" s="100">
        <v>10483.559812513964</v>
      </c>
      <c r="BR11" s="100">
        <v>23.617902556418656</v>
      </c>
      <c r="BS11" s="100">
        <v>12583.618482059859</v>
      </c>
      <c r="BT11" s="100">
        <v>19.431435816302077</v>
      </c>
      <c r="BU11" s="100">
        <v>10353.069002925746</v>
      </c>
      <c r="BV11" s="100">
        <v>21.351538169691615</v>
      </c>
      <c r="BW11" s="100">
        <v>11376.099536811691</v>
      </c>
      <c r="BX11" s="100">
        <v>21.53560315391309</v>
      </c>
      <c r="BY11" s="100">
        <v>11474.169360404894</v>
      </c>
      <c r="BZ11" s="100">
        <v>25.106463847809792</v>
      </c>
      <c r="CA11" s="100">
        <v>13376.723938113057</v>
      </c>
      <c r="CB11" s="100">
        <v>21.812218636767508</v>
      </c>
      <c r="CC11" s="100">
        <v>11621.550089669727</v>
      </c>
      <c r="CD11" s="100">
        <v>15.733204351834932</v>
      </c>
      <c r="CE11" s="100">
        <v>8382.6512786576513</v>
      </c>
      <c r="CF11" s="100">
        <v>19.155812613233962</v>
      </c>
      <c r="CG11" s="100">
        <v>10206.216960331054</v>
      </c>
      <c r="CH11" s="100">
        <v>18.123012522832553</v>
      </c>
      <c r="CI11" s="100">
        <v>9655.9410721651839</v>
      </c>
      <c r="CJ11" s="100">
        <v>25.330688464952324</v>
      </c>
      <c r="CK11" s="100">
        <v>13496.190814126598</v>
      </c>
      <c r="CL11" s="100">
        <v>19</v>
      </c>
      <c r="CM11" s="100">
        <v>10123.199999999999</v>
      </c>
      <c r="CN11" s="100">
        <v>1.6777345482727339</v>
      </c>
      <c r="CO11" s="100">
        <v>893.89696731971253</v>
      </c>
      <c r="CP11" s="100">
        <v>0.48118721472686321</v>
      </c>
      <c r="CQ11" s="100">
        <v>256.37654800647272</v>
      </c>
      <c r="CR11" s="100">
        <v>0.52383524620196154</v>
      </c>
      <c r="CS11" s="100">
        <v>279.09941917640509</v>
      </c>
      <c r="CT11" s="100">
        <v>0.50800235926810022</v>
      </c>
      <c r="CU11" s="100">
        <v>270.66365701804375</v>
      </c>
    </row>
    <row r="12" spans="1:99">
      <c r="C12" s="99" t="s">
        <v>178</v>
      </c>
      <c r="D12" s="100">
        <v>16</v>
      </c>
      <c r="E12" s="100">
        <v>9004.7999999999993</v>
      </c>
      <c r="F12" s="100">
        <v>24</v>
      </c>
      <c r="G12" s="100">
        <v>13507.199999999999</v>
      </c>
      <c r="H12" s="100">
        <v>25</v>
      </c>
      <c r="I12" s="100">
        <v>14069.999999999998</v>
      </c>
      <c r="J12" s="100">
        <v>22</v>
      </c>
      <c r="K12" s="100">
        <v>12381.599999999999</v>
      </c>
      <c r="L12" s="100">
        <v>20</v>
      </c>
      <c r="M12" s="100">
        <v>11256</v>
      </c>
      <c r="N12" s="100">
        <v>17</v>
      </c>
      <c r="O12" s="100">
        <v>9567.5999999999985</v>
      </c>
      <c r="P12" s="100">
        <v>25</v>
      </c>
      <c r="Q12" s="100">
        <v>14069.999999999998</v>
      </c>
      <c r="R12" s="100">
        <v>22</v>
      </c>
      <c r="S12" s="100">
        <v>12381.599999999999</v>
      </c>
      <c r="T12" s="100">
        <v>23</v>
      </c>
      <c r="U12" s="100">
        <v>12944.4</v>
      </c>
      <c r="V12" s="100">
        <v>20</v>
      </c>
      <c r="W12" s="100">
        <v>11256</v>
      </c>
      <c r="X12" s="100">
        <v>19</v>
      </c>
      <c r="Y12" s="100">
        <v>10693.199999999999</v>
      </c>
      <c r="Z12" s="100">
        <v>26</v>
      </c>
      <c r="AA12" s="100">
        <v>14632.8</v>
      </c>
      <c r="AB12" s="100">
        <v>17</v>
      </c>
      <c r="AC12" s="100">
        <v>9567.5999999999985</v>
      </c>
      <c r="AD12" s="100">
        <v>14</v>
      </c>
      <c r="AE12" s="100">
        <v>7879.1999999999989</v>
      </c>
      <c r="AF12" s="100">
        <v>25</v>
      </c>
      <c r="AG12" s="100">
        <v>14069.999999999998</v>
      </c>
      <c r="AH12" s="100">
        <v>23</v>
      </c>
      <c r="AI12" s="100">
        <v>12944.4</v>
      </c>
      <c r="AJ12" s="100">
        <v>26</v>
      </c>
      <c r="AK12" s="100">
        <v>14632.8</v>
      </c>
      <c r="AL12" s="100">
        <v>21</v>
      </c>
      <c r="AM12" s="100">
        <v>11818.8</v>
      </c>
      <c r="AN12" s="100">
        <v>17</v>
      </c>
      <c r="AO12" s="100">
        <v>9567.5999999999985</v>
      </c>
      <c r="AP12" s="100">
        <v>16</v>
      </c>
      <c r="AQ12" s="100">
        <v>9004.7999999999993</v>
      </c>
      <c r="AR12" s="100">
        <v>25</v>
      </c>
      <c r="AS12" s="100">
        <v>14069.999999999998</v>
      </c>
      <c r="AT12" s="100">
        <v>22.542427243852693</v>
      </c>
      <c r="AU12" s="100">
        <v>12686.878052840295</v>
      </c>
      <c r="AV12" s="100">
        <v>20.031519790067176</v>
      </c>
      <c r="AW12" s="100">
        <v>11273.739337849805</v>
      </c>
      <c r="AX12" s="100">
        <v>21.56941100815785</v>
      </c>
      <c r="AY12" s="100">
        <v>12139.264515391236</v>
      </c>
      <c r="AZ12" s="100">
        <v>27</v>
      </c>
      <c r="BA12" s="100">
        <v>15195.599999999999</v>
      </c>
      <c r="BB12" s="100">
        <v>21</v>
      </c>
      <c r="BC12" s="100">
        <v>11818.8</v>
      </c>
      <c r="BD12" s="100">
        <v>24.695884761013939</v>
      </c>
      <c r="BE12" s="100">
        <v>13898.843943498643</v>
      </c>
      <c r="BF12" s="100">
        <v>14</v>
      </c>
      <c r="BG12" s="100">
        <v>7879.1999999999989</v>
      </c>
      <c r="BH12" s="100">
        <v>26.796131852261507</v>
      </c>
      <c r="BI12" s="100">
        <v>15080.863006452775</v>
      </c>
      <c r="BJ12" s="100">
        <v>23.564269829721585</v>
      </c>
      <c r="BK12" s="100">
        <v>13261.971060167307</v>
      </c>
      <c r="BL12" s="100">
        <v>21.156419674668321</v>
      </c>
      <c r="BM12" s="100">
        <v>11906.83299290333</v>
      </c>
      <c r="BN12" s="100">
        <v>18.576430757257132</v>
      </c>
      <c r="BO12" s="100">
        <v>10454.815230184313</v>
      </c>
      <c r="BP12" s="100">
        <v>16.865443713825552</v>
      </c>
      <c r="BQ12" s="100">
        <v>9491.8717221410207</v>
      </c>
      <c r="BR12" s="100">
        <v>21.087412996802371</v>
      </c>
      <c r="BS12" s="100">
        <v>11867.996034600374</v>
      </c>
      <c r="BT12" s="100">
        <v>16.896900709827893</v>
      </c>
      <c r="BU12" s="100">
        <v>9509.5757194911366</v>
      </c>
      <c r="BV12" s="100">
        <v>21.351538169691615</v>
      </c>
      <c r="BW12" s="100">
        <v>12016.645681902441</v>
      </c>
      <c r="BX12" s="100">
        <v>19.879018295919778</v>
      </c>
      <c r="BY12" s="100">
        <v>11187.91149694365</v>
      </c>
      <c r="BZ12" s="100">
        <v>25.106463847809792</v>
      </c>
      <c r="CA12" s="100">
        <v>14129.917853547349</v>
      </c>
      <c r="CB12" s="100">
        <v>23.795147603746376</v>
      </c>
      <c r="CC12" s="100">
        <v>13391.90907138846</v>
      </c>
      <c r="CD12" s="100">
        <v>15.733204351834932</v>
      </c>
      <c r="CE12" s="100">
        <v>8854.6474092126991</v>
      </c>
      <c r="CF12" s="100">
        <v>22.48725828510074</v>
      </c>
      <c r="CG12" s="100">
        <v>12655.828962854695</v>
      </c>
      <c r="CH12" s="100">
        <v>15.651692633355387</v>
      </c>
      <c r="CI12" s="100">
        <v>8808.7726140524101</v>
      </c>
      <c r="CJ12" s="100">
        <v>21.836800400820966</v>
      </c>
      <c r="CK12" s="100">
        <v>12289.751265582039</v>
      </c>
      <c r="CL12" s="100">
        <v>17</v>
      </c>
      <c r="CM12" s="100">
        <v>9567.5999999999985</v>
      </c>
      <c r="CN12" s="100">
        <v>1.7355874637304143</v>
      </c>
      <c r="CO12" s="100">
        <v>976.7886245874771</v>
      </c>
      <c r="CP12" s="100">
        <v>0.44269223754871406</v>
      </c>
      <c r="CQ12" s="100">
        <v>249.14719129241627</v>
      </c>
      <c r="CR12" s="100">
        <v>0.52383524620196154</v>
      </c>
      <c r="CS12" s="100">
        <v>294.81447656246394</v>
      </c>
      <c r="CT12" s="100">
        <v>0.54186918321930688</v>
      </c>
      <c r="CU12" s="100">
        <v>304.9639763158259</v>
      </c>
    </row>
    <row r="13" spans="1:99">
      <c r="C13" s="99" t="s">
        <v>179</v>
      </c>
      <c r="D13" s="100">
        <v>18</v>
      </c>
      <c r="E13" s="100">
        <v>1533.6000000000001</v>
      </c>
      <c r="F13" s="100">
        <v>26</v>
      </c>
      <c r="G13" s="100">
        <v>2215.2000000000003</v>
      </c>
      <c r="H13" s="100">
        <v>24</v>
      </c>
      <c r="I13" s="100">
        <v>2044.8000000000002</v>
      </c>
      <c r="J13" s="100">
        <v>26</v>
      </c>
      <c r="K13" s="100">
        <v>2215.2000000000003</v>
      </c>
      <c r="L13" s="100">
        <v>22</v>
      </c>
      <c r="M13" s="100">
        <v>1874.4</v>
      </c>
      <c r="N13" s="100">
        <v>17</v>
      </c>
      <c r="O13" s="100">
        <v>1448.4</v>
      </c>
      <c r="P13" s="100">
        <v>26</v>
      </c>
      <c r="Q13" s="100">
        <v>2215.2000000000003</v>
      </c>
      <c r="R13" s="100">
        <v>24</v>
      </c>
      <c r="S13" s="100">
        <v>2044.8000000000002</v>
      </c>
      <c r="T13" s="100">
        <v>25</v>
      </c>
      <c r="U13" s="100">
        <v>2130</v>
      </c>
      <c r="V13" s="100">
        <v>24</v>
      </c>
      <c r="W13" s="100">
        <v>2044.8000000000002</v>
      </c>
      <c r="X13" s="100">
        <v>19</v>
      </c>
      <c r="Y13" s="100">
        <v>1618.8</v>
      </c>
      <c r="Z13" s="100">
        <v>25</v>
      </c>
      <c r="AA13" s="100">
        <v>2130</v>
      </c>
      <c r="AB13" s="100">
        <v>18</v>
      </c>
      <c r="AC13" s="100">
        <v>1533.6000000000001</v>
      </c>
      <c r="AD13" s="100">
        <v>15</v>
      </c>
      <c r="AE13" s="100">
        <v>1278</v>
      </c>
      <c r="AF13" s="100">
        <v>27</v>
      </c>
      <c r="AG13" s="100">
        <v>2300.4</v>
      </c>
      <c r="AH13" s="100">
        <v>23</v>
      </c>
      <c r="AI13" s="100">
        <v>1959.6000000000001</v>
      </c>
      <c r="AJ13" s="100">
        <v>26</v>
      </c>
      <c r="AK13" s="100">
        <v>2215.2000000000003</v>
      </c>
      <c r="AL13" s="100">
        <v>22</v>
      </c>
      <c r="AM13" s="100">
        <v>1874.4</v>
      </c>
      <c r="AN13" s="100">
        <v>18</v>
      </c>
      <c r="AO13" s="100">
        <v>1533.6000000000001</v>
      </c>
      <c r="AP13" s="100">
        <v>19</v>
      </c>
      <c r="AQ13" s="100">
        <v>1618.8</v>
      </c>
      <c r="AR13" s="100">
        <v>27</v>
      </c>
      <c r="AS13" s="100">
        <v>2300.4</v>
      </c>
      <c r="AT13" s="100">
        <v>26.877509406132059</v>
      </c>
      <c r="AU13" s="100">
        <v>2289.9638014024517</v>
      </c>
      <c r="AV13" s="100">
        <v>20.031519790067176</v>
      </c>
      <c r="AW13" s="100">
        <v>1706.6854861137233</v>
      </c>
      <c r="AX13" s="100">
        <v>24.382812444004529</v>
      </c>
      <c r="AY13" s="100">
        <v>2077.4156202291861</v>
      </c>
      <c r="AZ13" s="100">
        <v>27</v>
      </c>
      <c r="BA13" s="100">
        <v>2300.4</v>
      </c>
      <c r="BB13" s="100">
        <v>23</v>
      </c>
      <c r="BC13" s="100">
        <v>1959.6000000000001</v>
      </c>
      <c r="BD13" s="100">
        <v>27.54540992574632</v>
      </c>
      <c r="BE13" s="100">
        <v>2346.8689256735865</v>
      </c>
      <c r="BF13" s="100">
        <v>17</v>
      </c>
      <c r="BG13" s="100">
        <v>1448.4</v>
      </c>
      <c r="BH13" s="100">
        <v>27.753136561270846</v>
      </c>
      <c r="BI13" s="100">
        <v>2364.5672350202763</v>
      </c>
      <c r="BJ13" s="100">
        <v>27.055272767458117</v>
      </c>
      <c r="BK13" s="100">
        <v>2305.1092397874318</v>
      </c>
      <c r="BL13" s="100">
        <v>23.915952675712017</v>
      </c>
      <c r="BM13" s="100">
        <v>2037.6391679706639</v>
      </c>
      <c r="BN13" s="100">
        <v>18.576430757257132</v>
      </c>
      <c r="BO13" s="100">
        <v>1582.7119005183076</v>
      </c>
      <c r="BP13" s="100">
        <v>17.802412809038085</v>
      </c>
      <c r="BQ13" s="100">
        <v>1516.7655713300448</v>
      </c>
      <c r="BR13" s="100">
        <v>26.991888635907035</v>
      </c>
      <c r="BS13" s="100">
        <v>2299.7089117792793</v>
      </c>
      <c r="BT13" s="100">
        <v>19.431435816302077</v>
      </c>
      <c r="BU13" s="100">
        <v>1655.5583315489371</v>
      </c>
      <c r="BV13" s="100">
        <v>22.32206263195032</v>
      </c>
      <c r="BW13" s="100">
        <v>1901.8397362421674</v>
      </c>
      <c r="BX13" s="100">
        <v>23.192188011906406</v>
      </c>
      <c r="BY13" s="100">
        <v>1975.974418614426</v>
      </c>
      <c r="BZ13" s="100">
        <v>25.106463847809792</v>
      </c>
      <c r="CA13" s="100">
        <v>2139.0707198333944</v>
      </c>
      <c r="CB13" s="100">
        <v>21.812218636767508</v>
      </c>
      <c r="CC13" s="100">
        <v>1858.4010278525918</v>
      </c>
      <c r="CD13" s="100">
        <v>14.807721742903466</v>
      </c>
      <c r="CE13" s="100">
        <v>1261.6178924953754</v>
      </c>
      <c r="CF13" s="100">
        <v>22.48725828510074</v>
      </c>
      <c r="CG13" s="100">
        <v>1915.9144058905831</v>
      </c>
      <c r="CH13" s="100">
        <v>16.475465929847775</v>
      </c>
      <c r="CI13" s="100">
        <v>1403.7096972230306</v>
      </c>
      <c r="CJ13" s="100">
        <v>26.204160480985163</v>
      </c>
      <c r="CK13" s="100">
        <v>2232.5944729799357</v>
      </c>
      <c r="CL13" s="100">
        <v>18</v>
      </c>
      <c r="CM13" s="100">
        <v>1533.6000000000001</v>
      </c>
      <c r="CN13" s="100">
        <v>1.7355874637304143</v>
      </c>
      <c r="CO13" s="100">
        <v>147.8720519098313</v>
      </c>
      <c r="CP13" s="100">
        <v>0.51968219190501219</v>
      </c>
      <c r="CQ13" s="100">
        <v>44.276922750307037</v>
      </c>
      <c r="CR13" s="100">
        <v>0.50577196185016982</v>
      </c>
      <c r="CS13" s="100">
        <v>43.091771149634468</v>
      </c>
      <c r="CT13" s="100">
        <v>0.60960283112172031</v>
      </c>
      <c r="CU13" s="100">
        <v>51.938161211570574</v>
      </c>
    </row>
    <row r="14" spans="1:99">
      <c r="C14" s="99" t="s">
        <v>180</v>
      </c>
      <c r="D14" s="100">
        <v>15</v>
      </c>
      <c r="E14" s="100">
        <v>7326</v>
      </c>
      <c r="F14" s="100">
        <v>28</v>
      </c>
      <c r="G14" s="100">
        <v>13675.199999999999</v>
      </c>
      <c r="H14" s="100">
        <v>22</v>
      </c>
      <c r="I14" s="100">
        <v>10744.8</v>
      </c>
      <c r="J14" s="100">
        <v>22</v>
      </c>
      <c r="K14" s="100">
        <v>10744.8</v>
      </c>
      <c r="L14" s="100">
        <v>22</v>
      </c>
      <c r="M14" s="100">
        <v>10744.8</v>
      </c>
      <c r="N14" s="100">
        <v>16</v>
      </c>
      <c r="O14" s="100">
        <v>7814.4</v>
      </c>
      <c r="P14" s="100">
        <v>25</v>
      </c>
      <c r="Q14" s="100">
        <v>12210</v>
      </c>
      <c r="R14" s="100">
        <v>22</v>
      </c>
      <c r="S14" s="100">
        <v>10744.8</v>
      </c>
      <c r="T14" s="100">
        <v>21</v>
      </c>
      <c r="U14" s="100">
        <v>10256.4</v>
      </c>
      <c r="V14" s="100">
        <v>22</v>
      </c>
      <c r="W14" s="100">
        <v>10744.8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17</v>
      </c>
      <c r="AC14" s="100">
        <v>8302.7999999999993</v>
      </c>
      <c r="AD14" s="100">
        <v>14</v>
      </c>
      <c r="AE14" s="100">
        <v>6837.5999999999995</v>
      </c>
      <c r="AF14" s="100">
        <v>26</v>
      </c>
      <c r="AG14" s="100">
        <v>12698.4</v>
      </c>
      <c r="AH14" s="100">
        <v>26</v>
      </c>
      <c r="AI14" s="100">
        <v>12698.4</v>
      </c>
      <c r="AJ14" s="100">
        <v>28</v>
      </c>
      <c r="AK14" s="100">
        <v>13675.199999999999</v>
      </c>
      <c r="AL14" s="100">
        <v>19</v>
      </c>
      <c r="AM14" s="100">
        <v>9279.6</v>
      </c>
      <c r="AN14" s="100">
        <v>19</v>
      </c>
      <c r="AO14" s="100">
        <v>9279.6</v>
      </c>
      <c r="AP14" s="100">
        <v>18</v>
      </c>
      <c r="AQ14" s="100">
        <v>8791.1999999999989</v>
      </c>
      <c r="AR14" s="100">
        <v>25</v>
      </c>
      <c r="AS14" s="100">
        <v>12210</v>
      </c>
      <c r="AT14" s="100">
        <v>24.276460108764439</v>
      </c>
      <c r="AU14" s="100">
        <v>11856.623117120551</v>
      </c>
      <c r="AV14" s="100">
        <v>21.939283579597383</v>
      </c>
      <c r="AW14" s="100">
        <v>10715.146100275362</v>
      </c>
      <c r="AX14" s="100">
        <v>23.445011965388971</v>
      </c>
      <c r="AY14" s="100">
        <v>11450.543843895974</v>
      </c>
      <c r="AZ14" s="100">
        <v>28</v>
      </c>
      <c r="BA14" s="100">
        <v>13675.199999999999</v>
      </c>
      <c r="BB14" s="100">
        <v>22</v>
      </c>
      <c r="BC14" s="100">
        <v>10744.8</v>
      </c>
      <c r="BD14" s="100">
        <v>26.59556820416886</v>
      </c>
      <c r="BE14" s="100">
        <v>12989.27551091607</v>
      </c>
      <c r="BF14" s="100">
        <v>14</v>
      </c>
      <c r="BG14" s="100">
        <v>6837.5999999999995</v>
      </c>
      <c r="BH14" s="100">
        <v>29.667145979289526</v>
      </c>
      <c r="BI14" s="100">
        <v>14489.434096285004</v>
      </c>
      <c r="BJ14" s="100">
        <v>23.564269829721585</v>
      </c>
      <c r="BK14" s="100">
        <v>11508.789384836022</v>
      </c>
      <c r="BL14" s="100">
        <v>22.996108342030784</v>
      </c>
      <c r="BM14" s="100">
        <v>11231.299314247834</v>
      </c>
      <c r="BN14" s="100">
        <v>19.554137639218034</v>
      </c>
      <c r="BO14" s="100">
        <v>9550.2408229940866</v>
      </c>
      <c r="BP14" s="100">
        <v>16.865443713825552</v>
      </c>
      <c r="BQ14" s="100">
        <v>8237.0827098323989</v>
      </c>
      <c r="BR14" s="100">
        <v>22.774406036546562</v>
      </c>
      <c r="BS14" s="100">
        <v>11123.01990824934</v>
      </c>
      <c r="BT14" s="100">
        <v>20.276280851793473</v>
      </c>
      <c r="BU14" s="100">
        <v>9902.9355680159315</v>
      </c>
      <c r="BV14" s="100">
        <v>21.351538169691615</v>
      </c>
      <c r="BW14" s="100">
        <v>10428.091242077384</v>
      </c>
      <c r="BX14" s="100">
        <v>23.192188011906406</v>
      </c>
      <c r="BY14" s="100">
        <v>11327.064625015088</v>
      </c>
      <c r="BZ14" s="100">
        <v>24.296577917235282</v>
      </c>
      <c r="CA14" s="100">
        <v>11866.448654777711</v>
      </c>
      <c r="CB14" s="100">
        <v>21.812218636767508</v>
      </c>
      <c r="CC14" s="100">
        <v>10653.08758219725</v>
      </c>
      <c r="CD14" s="100">
        <v>15.733204351834932</v>
      </c>
      <c r="CE14" s="100">
        <v>7684.0970054361806</v>
      </c>
      <c r="CF14" s="100">
        <v>20.821535449167353</v>
      </c>
      <c r="CG14" s="100">
        <v>10169.237913373334</v>
      </c>
      <c r="CH14" s="100">
        <v>15.651692633355387</v>
      </c>
      <c r="CI14" s="100">
        <v>7644.2866821307707</v>
      </c>
      <c r="CJ14" s="100">
        <v>24.457216448919482</v>
      </c>
      <c r="CK14" s="100">
        <v>11944.904513652275</v>
      </c>
      <c r="CL14" s="100">
        <v>17</v>
      </c>
      <c r="CM14" s="100">
        <v>8302.7999999999993</v>
      </c>
      <c r="CN14" s="100">
        <v>1.5041758018996925</v>
      </c>
      <c r="CO14" s="100">
        <v>734.63946164780975</v>
      </c>
      <c r="CP14" s="100">
        <v>0.44269223754871406</v>
      </c>
      <c r="CQ14" s="100">
        <v>216.21088881879194</v>
      </c>
      <c r="CR14" s="100">
        <v>0.46964539314658627</v>
      </c>
      <c r="CS14" s="100">
        <v>229.37481001279272</v>
      </c>
      <c r="CT14" s="100">
        <v>0.59266941914611693</v>
      </c>
      <c r="CU14" s="100">
        <v>289.45974431096352</v>
      </c>
    </row>
    <row r="15" spans="1:99">
      <c r="C15" s="99" t="s">
        <v>181</v>
      </c>
      <c r="D15" s="100">
        <v>15</v>
      </c>
      <c r="E15" s="100">
        <v>11447.999999999998</v>
      </c>
      <c r="F15" s="100">
        <v>27</v>
      </c>
      <c r="G15" s="100">
        <v>20606.399999999998</v>
      </c>
      <c r="H15" s="100">
        <v>22</v>
      </c>
      <c r="I15" s="100">
        <v>16790.399999999998</v>
      </c>
      <c r="J15" s="100">
        <v>24</v>
      </c>
      <c r="K15" s="100">
        <v>18316.8</v>
      </c>
      <c r="L15" s="100">
        <v>22</v>
      </c>
      <c r="M15" s="100">
        <v>16790.399999999998</v>
      </c>
      <c r="N15" s="100">
        <v>16</v>
      </c>
      <c r="O15" s="100">
        <v>12211.199999999999</v>
      </c>
      <c r="P15" s="100">
        <v>23</v>
      </c>
      <c r="Q15" s="100">
        <v>17553.599999999999</v>
      </c>
      <c r="R15" s="100">
        <v>24</v>
      </c>
      <c r="S15" s="100">
        <v>18316.8</v>
      </c>
      <c r="T15" s="100">
        <v>19</v>
      </c>
      <c r="U15" s="100">
        <v>14500.8</v>
      </c>
      <c r="V15" s="100">
        <v>19</v>
      </c>
      <c r="W15" s="100">
        <v>14500.8</v>
      </c>
      <c r="X15" s="100">
        <v>18</v>
      </c>
      <c r="Y15" s="100">
        <v>13737.599999999999</v>
      </c>
      <c r="Z15" s="100">
        <v>23</v>
      </c>
      <c r="AA15" s="100">
        <v>17553.599999999999</v>
      </c>
      <c r="AB15" s="100">
        <v>15</v>
      </c>
      <c r="AC15" s="100">
        <v>11447.999999999998</v>
      </c>
      <c r="AD15" s="100">
        <v>14</v>
      </c>
      <c r="AE15" s="100">
        <v>10684.8</v>
      </c>
      <c r="AF15" s="100">
        <v>24</v>
      </c>
      <c r="AG15" s="100">
        <v>18316.8</v>
      </c>
      <c r="AH15" s="100">
        <v>22</v>
      </c>
      <c r="AI15" s="100">
        <v>16790.399999999998</v>
      </c>
      <c r="AJ15" s="100">
        <v>28</v>
      </c>
      <c r="AK15" s="100">
        <v>21369.599999999999</v>
      </c>
      <c r="AL15" s="100">
        <v>21</v>
      </c>
      <c r="AM15" s="100">
        <v>16027.199999999999</v>
      </c>
      <c r="AN15" s="100">
        <v>18</v>
      </c>
      <c r="AO15" s="100">
        <v>13737.599999999999</v>
      </c>
      <c r="AP15" s="100">
        <v>19</v>
      </c>
      <c r="AQ15" s="100">
        <v>14500.8</v>
      </c>
      <c r="AR15" s="100">
        <v>25</v>
      </c>
      <c r="AS15" s="100">
        <v>19080</v>
      </c>
      <c r="AT15" s="100">
        <v>21.675410811396819</v>
      </c>
      <c r="AU15" s="100">
        <v>16542.673531258049</v>
      </c>
      <c r="AV15" s="100">
        <v>19.077637895302072</v>
      </c>
      <c r="AW15" s="100">
        <v>14560.053241694541</v>
      </c>
      <c r="AX15" s="100">
        <v>20.631610529542296</v>
      </c>
      <c r="AY15" s="100">
        <v>15746.04515614668</v>
      </c>
      <c r="AZ15" s="100">
        <v>24</v>
      </c>
      <c r="BA15" s="100">
        <v>18316.8</v>
      </c>
      <c r="BB15" s="100">
        <v>21</v>
      </c>
      <c r="BC15" s="100">
        <v>16027.199999999999</v>
      </c>
      <c r="BD15" s="100">
        <v>24.695884761013939</v>
      </c>
      <c r="BE15" s="100">
        <v>18847.899249605838</v>
      </c>
      <c r="BF15" s="100">
        <v>16</v>
      </c>
      <c r="BG15" s="100">
        <v>12211.199999999999</v>
      </c>
      <c r="BH15" s="100">
        <v>27.753136561270846</v>
      </c>
      <c r="BI15" s="100">
        <v>21181.193823561909</v>
      </c>
      <c r="BJ15" s="100">
        <v>25.309771298589851</v>
      </c>
      <c r="BK15" s="100">
        <v>19316.417455083774</v>
      </c>
      <c r="BL15" s="100">
        <v>21.156419674668321</v>
      </c>
      <c r="BM15" s="100">
        <v>16146.579495706861</v>
      </c>
      <c r="BN15" s="100">
        <v>18.576430757257132</v>
      </c>
      <c r="BO15" s="100">
        <v>14177.531953938642</v>
      </c>
      <c r="BP15" s="100">
        <v>17.802412809038085</v>
      </c>
      <c r="BQ15" s="100">
        <v>13586.801455857865</v>
      </c>
      <c r="BR15" s="100">
        <v>22.774406036546562</v>
      </c>
      <c r="BS15" s="100">
        <v>17381.426687092335</v>
      </c>
      <c r="BT15" s="100">
        <v>19.431435816302077</v>
      </c>
      <c r="BU15" s="100">
        <v>14830.071815001744</v>
      </c>
      <c r="BV15" s="100">
        <v>20.381013707432903</v>
      </c>
      <c r="BW15" s="100">
        <v>15554.78966151279</v>
      </c>
      <c r="BX15" s="100">
        <v>22.363895582909748</v>
      </c>
      <c r="BY15" s="100">
        <v>17068.125108876717</v>
      </c>
      <c r="BZ15" s="100">
        <v>25.106463847809792</v>
      </c>
      <c r="CA15" s="100">
        <v>19161.253208648432</v>
      </c>
      <c r="CB15" s="100">
        <v>19.829289669788647</v>
      </c>
      <c r="CC15" s="100">
        <v>15133.713875982694</v>
      </c>
      <c r="CD15" s="100">
        <v>13.882239133971998</v>
      </c>
      <c r="CE15" s="100">
        <v>10594.924907047429</v>
      </c>
      <c r="CF15" s="100">
        <v>19.155812613233962</v>
      </c>
      <c r="CG15" s="100">
        <v>14619.716186420159</v>
      </c>
      <c r="CH15" s="100">
        <v>16.475465929847775</v>
      </c>
      <c r="CI15" s="100">
        <v>12574.075597659821</v>
      </c>
      <c r="CJ15" s="100">
        <v>21.836800400820966</v>
      </c>
      <c r="CK15" s="100">
        <v>16665.84606590656</v>
      </c>
      <c r="CL15" s="100">
        <v>17</v>
      </c>
      <c r="CM15" s="100">
        <v>12974.4</v>
      </c>
      <c r="CN15" s="100">
        <v>1.5620287173573728</v>
      </c>
      <c r="CO15" s="100">
        <v>1192.1403170871467</v>
      </c>
      <c r="CP15" s="100">
        <v>0.42344474895963957</v>
      </c>
      <c r="CQ15" s="100">
        <v>323.17303240599688</v>
      </c>
      <c r="CR15" s="100">
        <v>0.46964539314658627</v>
      </c>
      <c r="CS15" s="100">
        <v>358.43336404947462</v>
      </c>
      <c r="CT15" s="100">
        <v>0.50800235926810022</v>
      </c>
      <c r="CU15" s="100">
        <v>387.70740059341404</v>
      </c>
    </row>
    <row r="16" spans="1:99">
      <c r="C16" s="99" t="s">
        <v>182</v>
      </c>
      <c r="D16" s="100">
        <v>16</v>
      </c>
      <c r="E16" s="100">
        <v>5452.8</v>
      </c>
      <c r="F16" s="100">
        <v>26</v>
      </c>
      <c r="G16" s="100">
        <v>8860.8000000000011</v>
      </c>
      <c r="H16" s="100">
        <v>23</v>
      </c>
      <c r="I16" s="100">
        <v>7838.4000000000005</v>
      </c>
      <c r="J16" s="100">
        <v>25</v>
      </c>
      <c r="K16" s="100">
        <v>8520</v>
      </c>
      <c r="L16" s="100">
        <v>22</v>
      </c>
      <c r="M16" s="100">
        <v>7497.6</v>
      </c>
      <c r="N16" s="100">
        <v>18</v>
      </c>
      <c r="O16" s="100">
        <v>6134.4000000000005</v>
      </c>
      <c r="P16" s="100">
        <v>26</v>
      </c>
      <c r="Q16" s="100">
        <v>8860.8000000000011</v>
      </c>
      <c r="R16" s="100">
        <v>26</v>
      </c>
      <c r="S16" s="100">
        <v>8860.8000000000011</v>
      </c>
      <c r="T16" s="100">
        <v>21</v>
      </c>
      <c r="U16" s="100">
        <v>7156.8</v>
      </c>
      <c r="V16" s="100">
        <v>20</v>
      </c>
      <c r="W16" s="100">
        <v>6816</v>
      </c>
      <c r="X16" s="100">
        <v>17</v>
      </c>
      <c r="Y16" s="100">
        <v>5793.6</v>
      </c>
      <c r="Z16" s="100">
        <v>24</v>
      </c>
      <c r="AA16" s="100">
        <v>8179.2000000000007</v>
      </c>
      <c r="AB16" s="100">
        <v>17</v>
      </c>
      <c r="AC16" s="100">
        <v>5793.6</v>
      </c>
      <c r="AD16" s="100">
        <v>15</v>
      </c>
      <c r="AE16" s="100">
        <v>5112</v>
      </c>
      <c r="AF16" s="100">
        <v>26</v>
      </c>
      <c r="AG16" s="100">
        <v>8860.8000000000011</v>
      </c>
      <c r="AH16" s="100">
        <v>22</v>
      </c>
      <c r="AI16" s="100">
        <v>7497.6</v>
      </c>
      <c r="AJ16" s="100">
        <v>25</v>
      </c>
      <c r="AK16" s="100">
        <v>8520</v>
      </c>
      <c r="AL16" s="100">
        <v>22</v>
      </c>
      <c r="AM16" s="100">
        <v>7497.6</v>
      </c>
      <c r="AN16" s="100">
        <v>21</v>
      </c>
      <c r="AO16" s="100">
        <v>7156.8</v>
      </c>
      <c r="AP16" s="100">
        <v>17</v>
      </c>
      <c r="AQ16" s="100">
        <v>5793.6</v>
      </c>
      <c r="AR16" s="100">
        <v>25</v>
      </c>
      <c r="AS16" s="100">
        <v>8520</v>
      </c>
      <c r="AT16" s="100">
        <v>27.744525838587933</v>
      </c>
      <c r="AU16" s="100">
        <v>9455.3344057907671</v>
      </c>
      <c r="AV16" s="100">
        <v>20.985401684832279</v>
      </c>
      <c r="AW16" s="100">
        <v>7151.8248941908414</v>
      </c>
      <c r="AX16" s="100">
        <v>21.56941100815785</v>
      </c>
      <c r="AY16" s="100">
        <v>7350.8552715801952</v>
      </c>
      <c r="AZ16" s="100">
        <v>30</v>
      </c>
      <c r="BA16" s="100">
        <v>10224</v>
      </c>
      <c r="BB16" s="100">
        <v>23</v>
      </c>
      <c r="BC16" s="100">
        <v>7838.4000000000005</v>
      </c>
      <c r="BD16" s="100">
        <v>26.59556820416886</v>
      </c>
      <c r="BE16" s="100">
        <v>9063.7696439807478</v>
      </c>
      <c r="BF16" s="100">
        <v>17</v>
      </c>
      <c r="BG16" s="100">
        <v>5793.6</v>
      </c>
      <c r="BH16" s="100">
        <v>26.796131852261507</v>
      </c>
      <c r="BI16" s="100">
        <v>9132.121735250721</v>
      </c>
      <c r="BJ16" s="100">
        <v>21.818768360853323</v>
      </c>
      <c r="BK16" s="100">
        <v>7435.8362573788127</v>
      </c>
      <c r="BL16" s="100">
        <v>24.835797009393247</v>
      </c>
      <c r="BM16" s="100">
        <v>8464.0396208012189</v>
      </c>
      <c r="BN16" s="100">
        <v>20.531844521178936</v>
      </c>
      <c r="BO16" s="100">
        <v>6997.2526128177815</v>
      </c>
      <c r="BP16" s="100">
        <v>19.676350999463146</v>
      </c>
      <c r="BQ16" s="100">
        <v>6705.7004206170404</v>
      </c>
      <c r="BR16" s="100">
        <v>23.617902556418656</v>
      </c>
      <c r="BS16" s="100">
        <v>8048.9811912274781</v>
      </c>
      <c r="BT16" s="100">
        <v>19.431435816302077</v>
      </c>
      <c r="BU16" s="100">
        <v>6622.2333261957483</v>
      </c>
      <c r="BV16" s="100">
        <v>23.292587094209033</v>
      </c>
      <c r="BW16" s="100">
        <v>7938.1136817064389</v>
      </c>
      <c r="BX16" s="100">
        <v>23.192188011906406</v>
      </c>
      <c r="BY16" s="100">
        <v>7903.8976744577039</v>
      </c>
      <c r="BZ16" s="100">
        <v>22.676806056086264</v>
      </c>
      <c r="CA16" s="100">
        <v>7728.2555039141989</v>
      </c>
      <c r="CB16" s="100">
        <v>23.795147603746376</v>
      </c>
      <c r="CC16" s="100">
        <v>8109.386303356765</v>
      </c>
      <c r="CD16" s="100">
        <v>16.658686960766399</v>
      </c>
      <c r="CE16" s="100">
        <v>5677.2805162291888</v>
      </c>
      <c r="CF16" s="100">
        <v>19.988674031200659</v>
      </c>
      <c r="CG16" s="100">
        <v>6812.1401098331853</v>
      </c>
      <c r="CH16" s="100">
        <v>17.299239226340163</v>
      </c>
      <c r="CI16" s="100">
        <v>5895.5807283367276</v>
      </c>
      <c r="CJ16" s="100">
        <v>24.457216448919482</v>
      </c>
      <c r="CK16" s="100">
        <v>8335.0193657917589</v>
      </c>
      <c r="CL16" s="100">
        <v>20</v>
      </c>
      <c r="CM16" s="100">
        <v>6816</v>
      </c>
      <c r="CN16" s="100">
        <v>1.7355874637304143</v>
      </c>
      <c r="CO16" s="100">
        <v>591.4882076393252</v>
      </c>
      <c r="CP16" s="100">
        <v>0.46193972613778861</v>
      </c>
      <c r="CQ16" s="100">
        <v>157.42905866775837</v>
      </c>
      <c r="CR16" s="100">
        <v>0.52383524620196154</v>
      </c>
      <c r="CS16" s="100">
        <v>178.52305190562851</v>
      </c>
      <c r="CT16" s="100">
        <v>0.59266941914611693</v>
      </c>
      <c r="CU16" s="100">
        <v>201.98173804499666</v>
      </c>
    </row>
    <row r="17" spans="2:99">
      <c r="C17" s="99" t="s">
        <v>183</v>
      </c>
      <c r="D17" s="100">
        <v>17</v>
      </c>
      <c r="E17" s="100">
        <v>7180.7999999999993</v>
      </c>
      <c r="F17" s="100">
        <v>26</v>
      </c>
      <c r="G17" s="100">
        <v>10982.4</v>
      </c>
      <c r="H17" s="100">
        <v>24</v>
      </c>
      <c r="I17" s="100">
        <v>10137.599999999999</v>
      </c>
      <c r="J17" s="100">
        <v>22</v>
      </c>
      <c r="K17" s="100">
        <v>9292.7999999999993</v>
      </c>
      <c r="L17" s="100">
        <v>20</v>
      </c>
      <c r="M17" s="100">
        <v>8448</v>
      </c>
      <c r="N17" s="100">
        <v>16</v>
      </c>
      <c r="O17" s="100">
        <v>6758.4</v>
      </c>
      <c r="P17" s="100">
        <v>27</v>
      </c>
      <c r="Q17" s="100">
        <v>11404.8</v>
      </c>
      <c r="R17" s="100">
        <v>25</v>
      </c>
      <c r="S17" s="100">
        <v>10560</v>
      </c>
      <c r="T17" s="100">
        <v>20</v>
      </c>
      <c r="U17" s="100">
        <v>8448</v>
      </c>
      <c r="V17" s="100">
        <v>21</v>
      </c>
      <c r="W17" s="100">
        <v>8870.4</v>
      </c>
      <c r="X17" s="100">
        <v>18</v>
      </c>
      <c r="Y17" s="100">
        <v>7603.2</v>
      </c>
      <c r="Z17" s="100">
        <v>24</v>
      </c>
      <c r="AA17" s="100">
        <v>10137.599999999999</v>
      </c>
      <c r="AB17" s="100">
        <v>15</v>
      </c>
      <c r="AC17" s="100">
        <v>6336</v>
      </c>
      <c r="AD17" s="100">
        <v>15</v>
      </c>
      <c r="AE17" s="100">
        <v>6336</v>
      </c>
      <c r="AF17" s="100">
        <v>26</v>
      </c>
      <c r="AG17" s="100">
        <v>10982.4</v>
      </c>
      <c r="AH17" s="100">
        <v>22</v>
      </c>
      <c r="AI17" s="100">
        <v>9292.7999999999993</v>
      </c>
      <c r="AJ17" s="100">
        <v>29</v>
      </c>
      <c r="AK17" s="100">
        <v>12249.599999999999</v>
      </c>
      <c r="AL17" s="100">
        <v>21</v>
      </c>
      <c r="AM17" s="100">
        <v>8870.4</v>
      </c>
      <c r="AN17" s="100">
        <v>19</v>
      </c>
      <c r="AO17" s="100">
        <v>8025.5999999999995</v>
      </c>
      <c r="AP17" s="100">
        <v>18</v>
      </c>
      <c r="AQ17" s="100">
        <v>7603.2</v>
      </c>
      <c r="AR17" s="100">
        <v>24</v>
      </c>
      <c r="AS17" s="100">
        <v>10137.599999999999</v>
      </c>
      <c r="AT17" s="100">
        <v>26.877509406132059</v>
      </c>
      <c r="AU17" s="100">
        <v>11353.059973150181</v>
      </c>
      <c r="AV17" s="100">
        <v>19.077637895302072</v>
      </c>
      <c r="AW17" s="100">
        <v>8058.3942469755948</v>
      </c>
      <c r="AX17" s="100">
        <v>22.507211486773411</v>
      </c>
      <c r="AY17" s="100">
        <v>9507.0461320130889</v>
      </c>
      <c r="AZ17" s="100">
        <v>26</v>
      </c>
      <c r="BA17" s="100">
        <v>10982.4</v>
      </c>
      <c r="BB17" s="100">
        <v>22</v>
      </c>
      <c r="BC17" s="100">
        <v>9292.7999999999993</v>
      </c>
      <c r="BD17" s="100">
        <v>28.495251647323776</v>
      </c>
      <c r="BE17" s="100">
        <v>12036.394295829563</v>
      </c>
      <c r="BF17" s="100">
        <v>17</v>
      </c>
      <c r="BG17" s="100">
        <v>7180.7999999999993</v>
      </c>
      <c r="BH17" s="100">
        <v>30.624150688298865</v>
      </c>
      <c r="BI17" s="100">
        <v>12935.641250737441</v>
      </c>
      <c r="BJ17" s="100">
        <v>25.309771298589851</v>
      </c>
      <c r="BK17" s="100">
        <v>10690.847396524352</v>
      </c>
      <c r="BL17" s="100">
        <v>23.915952675712017</v>
      </c>
      <c r="BM17" s="100">
        <v>10102.098410220755</v>
      </c>
      <c r="BN17" s="100">
        <v>16.621016993335331</v>
      </c>
      <c r="BO17" s="100">
        <v>7020.717577984844</v>
      </c>
      <c r="BP17" s="100">
        <v>18.739381904250617</v>
      </c>
      <c r="BQ17" s="100">
        <v>7915.5149163554606</v>
      </c>
      <c r="BR17" s="100">
        <v>26.148392116034941</v>
      </c>
      <c r="BS17" s="100">
        <v>11045.080829813158</v>
      </c>
      <c r="BT17" s="100">
        <v>19.431435816302077</v>
      </c>
      <c r="BU17" s="100">
        <v>8207.8384888059973</v>
      </c>
      <c r="BV17" s="100">
        <v>21.351538169691615</v>
      </c>
      <c r="BW17" s="100">
        <v>9018.8897228777369</v>
      </c>
      <c r="BX17" s="100">
        <v>21.53560315391309</v>
      </c>
      <c r="BY17" s="100">
        <v>9096.6387722128893</v>
      </c>
      <c r="BZ17" s="100">
        <v>25.106463847809792</v>
      </c>
      <c r="CA17" s="100">
        <v>10604.970329314856</v>
      </c>
      <c r="CB17" s="100">
        <v>21.812218636767508</v>
      </c>
      <c r="CC17" s="100">
        <v>9213.4811521705942</v>
      </c>
      <c r="CD17" s="100">
        <v>14.807721742903466</v>
      </c>
      <c r="CE17" s="100">
        <v>6254.7816642024236</v>
      </c>
      <c r="CF17" s="100">
        <v>20.821535449167353</v>
      </c>
      <c r="CG17" s="100">
        <v>8795.0165737282896</v>
      </c>
      <c r="CH17" s="100">
        <v>17.299239226340163</v>
      </c>
      <c r="CI17" s="100">
        <v>7307.1986492060842</v>
      </c>
      <c r="CJ17" s="100">
        <v>23.583744432886643</v>
      </c>
      <c r="CK17" s="100">
        <v>9961.7736484513171</v>
      </c>
      <c r="CL17" s="100">
        <v>18</v>
      </c>
      <c r="CM17" s="100">
        <v>7603.2</v>
      </c>
      <c r="CN17" s="100">
        <v>1.4463228864420119</v>
      </c>
      <c r="CO17" s="100">
        <v>610.92678723310576</v>
      </c>
      <c r="CP17" s="100">
        <v>0.44269223754871406</v>
      </c>
      <c r="CQ17" s="100">
        <v>186.99320114057682</v>
      </c>
      <c r="CR17" s="100">
        <v>0.54189853055375337</v>
      </c>
      <c r="CS17" s="100">
        <v>228.8979393059054</v>
      </c>
      <c r="CT17" s="100">
        <v>0.57573600717051354</v>
      </c>
      <c r="CU17" s="100">
        <v>243.1908894288249</v>
      </c>
    </row>
    <row r="18" spans="2:99">
      <c r="C18" s="99" t="s">
        <v>184</v>
      </c>
      <c r="D18" s="100">
        <v>17</v>
      </c>
      <c r="E18" s="100">
        <v>11097.599999999999</v>
      </c>
      <c r="F18" s="100">
        <v>24</v>
      </c>
      <c r="G18" s="100">
        <v>15667.199999999999</v>
      </c>
      <c r="H18" s="100">
        <v>21</v>
      </c>
      <c r="I18" s="100">
        <v>13708.8</v>
      </c>
      <c r="J18" s="100">
        <v>23</v>
      </c>
      <c r="K18" s="100">
        <v>15014.4</v>
      </c>
      <c r="L18" s="100">
        <v>19</v>
      </c>
      <c r="M18" s="100">
        <v>12403.199999999999</v>
      </c>
      <c r="N18" s="100">
        <v>17</v>
      </c>
      <c r="O18" s="100">
        <v>11097.599999999999</v>
      </c>
      <c r="P18" s="100">
        <v>25</v>
      </c>
      <c r="Q18" s="100">
        <v>16319.999999999998</v>
      </c>
      <c r="R18" s="100">
        <v>21</v>
      </c>
      <c r="S18" s="100">
        <v>13708.8</v>
      </c>
      <c r="T18" s="100">
        <v>22</v>
      </c>
      <c r="U18" s="100">
        <v>14361.599999999999</v>
      </c>
      <c r="V18" s="100">
        <v>19</v>
      </c>
      <c r="W18" s="100">
        <v>12403.199999999999</v>
      </c>
      <c r="X18" s="100">
        <v>18</v>
      </c>
      <c r="Y18" s="100">
        <v>11750.4</v>
      </c>
      <c r="Z18" s="100">
        <v>25</v>
      </c>
      <c r="AA18" s="100">
        <v>16319.999999999998</v>
      </c>
      <c r="AB18" s="100">
        <v>17</v>
      </c>
      <c r="AC18" s="100">
        <v>11097.599999999999</v>
      </c>
      <c r="AD18" s="100">
        <v>13</v>
      </c>
      <c r="AE18" s="100">
        <v>8486.4</v>
      </c>
      <c r="AF18" s="100">
        <v>22</v>
      </c>
      <c r="AG18" s="100">
        <v>14361.599999999999</v>
      </c>
      <c r="AH18" s="100">
        <v>23</v>
      </c>
      <c r="AI18" s="100">
        <v>15014.4</v>
      </c>
      <c r="AJ18" s="100">
        <v>26</v>
      </c>
      <c r="AK18" s="100">
        <v>16972.8</v>
      </c>
      <c r="AL18" s="100">
        <v>22</v>
      </c>
      <c r="AM18" s="100">
        <v>14361.599999999999</v>
      </c>
      <c r="AN18" s="100">
        <v>17</v>
      </c>
      <c r="AO18" s="100">
        <v>11097.599999999999</v>
      </c>
      <c r="AP18" s="100">
        <v>17</v>
      </c>
      <c r="AQ18" s="100">
        <v>11097.599999999999</v>
      </c>
      <c r="AR18" s="100">
        <v>23</v>
      </c>
      <c r="AS18" s="100">
        <v>15014.4</v>
      </c>
      <c r="AT18" s="100">
        <v>26.010492973676186</v>
      </c>
      <c r="AU18" s="100">
        <v>16979.649813215812</v>
      </c>
      <c r="AV18" s="100">
        <v>19.077637895302072</v>
      </c>
      <c r="AW18" s="100">
        <v>12453.882018053191</v>
      </c>
      <c r="AX18" s="100">
        <v>20.631610529542296</v>
      </c>
      <c r="AY18" s="100">
        <v>13468.31535368521</v>
      </c>
      <c r="AZ18" s="100">
        <v>25</v>
      </c>
      <c r="BA18" s="100">
        <v>16319.999999999998</v>
      </c>
      <c r="BB18" s="100">
        <v>21</v>
      </c>
      <c r="BC18" s="100">
        <v>13708.8</v>
      </c>
      <c r="BD18" s="100">
        <v>26.59556820416886</v>
      </c>
      <c r="BE18" s="100">
        <v>17361.586923681429</v>
      </c>
      <c r="BF18" s="100">
        <v>14</v>
      </c>
      <c r="BG18" s="100">
        <v>9139.1999999999989</v>
      </c>
      <c r="BH18" s="100">
        <v>24.882122434242827</v>
      </c>
      <c r="BI18" s="100">
        <v>16243.049525073717</v>
      </c>
      <c r="BJ18" s="100">
        <v>23.564269829721585</v>
      </c>
      <c r="BK18" s="100">
        <v>15382.75534484225</v>
      </c>
      <c r="BL18" s="100">
        <v>22.996108342030784</v>
      </c>
      <c r="BM18" s="100">
        <v>15011.859525677695</v>
      </c>
      <c r="BN18" s="100">
        <v>17.598723875296233</v>
      </c>
      <c r="BO18" s="100">
        <v>11488.446945793381</v>
      </c>
      <c r="BP18" s="100">
        <v>19.676350999463146</v>
      </c>
      <c r="BQ18" s="100">
        <v>12844.721932449542</v>
      </c>
      <c r="BR18" s="100">
        <v>24.46139907629075</v>
      </c>
      <c r="BS18" s="100">
        <v>15968.401317002601</v>
      </c>
      <c r="BT18" s="100">
        <v>16.896900709827893</v>
      </c>
      <c r="BU18" s="100">
        <v>11030.296783375648</v>
      </c>
      <c r="BV18" s="100">
        <v>23.292587094209033</v>
      </c>
      <c r="BW18" s="100">
        <v>15205.400855099655</v>
      </c>
      <c r="BX18" s="100">
        <v>19.879018295919778</v>
      </c>
      <c r="BY18" s="100">
        <v>12977.023143576431</v>
      </c>
      <c r="BZ18" s="100">
        <v>25.106463847809792</v>
      </c>
      <c r="CA18" s="100">
        <v>16389.499599850231</v>
      </c>
      <c r="CB18" s="100">
        <v>21.812218636767508</v>
      </c>
      <c r="CC18" s="100">
        <v>14239.016326081828</v>
      </c>
      <c r="CD18" s="100">
        <v>13.882239133971998</v>
      </c>
      <c r="CE18" s="100">
        <v>9062.3257066569204</v>
      </c>
      <c r="CF18" s="100">
        <v>19.155812613233962</v>
      </c>
      <c r="CG18" s="100">
        <v>12504.914473919131</v>
      </c>
      <c r="CH18" s="100">
        <v>15.651692633355387</v>
      </c>
      <c r="CI18" s="100">
        <v>10217.424951054396</v>
      </c>
      <c r="CJ18" s="100">
        <v>21.836800400820966</v>
      </c>
      <c r="CK18" s="100">
        <v>14255.063301655926</v>
      </c>
      <c r="CL18" s="100">
        <v>17</v>
      </c>
      <c r="CM18" s="100">
        <v>11097.599999999999</v>
      </c>
      <c r="CN18" s="100">
        <v>1.5620287173573728</v>
      </c>
      <c r="CO18" s="100">
        <v>1019.6923466908929</v>
      </c>
      <c r="CP18" s="100">
        <v>0.46193972613778861</v>
      </c>
      <c r="CQ18" s="100">
        <v>301.5542532227484</v>
      </c>
      <c r="CR18" s="100">
        <v>0.48770867749837798</v>
      </c>
      <c r="CS18" s="100">
        <v>318.3762246709411</v>
      </c>
      <c r="CT18" s="100">
        <v>0.54186918321930688</v>
      </c>
      <c r="CU18" s="100">
        <v>353.73220280556353</v>
      </c>
    </row>
    <row r="19" spans="2:99">
      <c r="C19" s="99" t="s">
        <v>185</v>
      </c>
      <c r="D19" s="100">
        <v>15</v>
      </c>
      <c r="E19" s="100">
        <v>4950</v>
      </c>
      <c r="F19" s="100">
        <v>27</v>
      </c>
      <c r="G19" s="100">
        <v>8910</v>
      </c>
      <c r="H19" s="100">
        <v>23</v>
      </c>
      <c r="I19" s="100">
        <v>7590</v>
      </c>
      <c r="J19" s="100">
        <v>24</v>
      </c>
      <c r="K19" s="100">
        <v>7920</v>
      </c>
      <c r="L19" s="100">
        <v>23</v>
      </c>
      <c r="M19" s="100">
        <v>7590</v>
      </c>
      <c r="N19" s="100">
        <v>17</v>
      </c>
      <c r="O19" s="100">
        <v>5610</v>
      </c>
      <c r="P19" s="100">
        <v>23</v>
      </c>
      <c r="Q19" s="100">
        <v>7590</v>
      </c>
      <c r="R19" s="100">
        <v>24</v>
      </c>
      <c r="S19" s="100">
        <v>7920</v>
      </c>
      <c r="T19" s="100">
        <v>24</v>
      </c>
      <c r="U19" s="100">
        <v>7920</v>
      </c>
      <c r="V19" s="100">
        <v>22</v>
      </c>
      <c r="W19" s="100">
        <v>7260</v>
      </c>
      <c r="X19" s="100">
        <v>18</v>
      </c>
      <c r="Y19" s="100">
        <v>5940</v>
      </c>
      <c r="Z19" s="100">
        <v>26</v>
      </c>
      <c r="AA19" s="100">
        <v>8580</v>
      </c>
      <c r="AB19" s="100">
        <v>16</v>
      </c>
      <c r="AC19" s="100">
        <v>5280</v>
      </c>
      <c r="AD19" s="100">
        <v>16</v>
      </c>
      <c r="AE19" s="100">
        <v>5280</v>
      </c>
      <c r="AF19" s="100">
        <v>27</v>
      </c>
      <c r="AG19" s="100">
        <v>8910</v>
      </c>
      <c r="AH19" s="100">
        <v>27</v>
      </c>
      <c r="AI19" s="100">
        <v>8910</v>
      </c>
      <c r="AJ19" s="100">
        <v>29</v>
      </c>
      <c r="AK19" s="100">
        <v>9570</v>
      </c>
      <c r="AL19" s="100">
        <v>21</v>
      </c>
      <c r="AM19" s="100">
        <v>6930</v>
      </c>
      <c r="AN19" s="100">
        <v>19</v>
      </c>
      <c r="AO19" s="100">
        <v>6270</v>
      </c>
      <c r="AP19" s="100">
        <v>18</v>
      </c>
      <c r="AQ19" s="100">
        <v>5940</v>
      </c>
      <c r="AR19" s="100">
        <v>28</v>
      </c>
      <c r="AS19" s="100">
        <v>9240</v>
      </c>
      <c r="AT19" s="100">
        <v>26.010492973676186</v>
      </c>
      <c r="AU19" s="100">
        <v>8583.4626813131417</v>
      </c>
      <c r="AV19" s="100">
        <v>20.031519790067176</v>
      </c>
      <c r="AW19" s="100">
        <v>6610.401530722168</v>
      </c>
      <c r="AX19" s="100">
        <v>21.56941100815785</v>
      </c>
      <c r="AY19" s="100">
        <v>7117.9056326920909</v>
      </c>
      <c r="AZ19" s="100">
        <v>28</v>
      </c>
      <c r="BA19" s="100">
        <v>9240</v>
      </c>
      <c r="BB19" s="100">
        <v>22</v>
      </c>
      <c r="BC19" s="100">
        <v>7260</v>
      </c>
      <c r="BD19" s="100">
        <v>24.695884761013939</v>
      </c>
      <c r="BE19" s="100">
        <v>8149.6419711345998</v>
      </c>
      <c r="BF19" s="100">
        <v>16</v>
      </c>
      <c r="BG19" s="100">
        <v>5280</v>
      </c>
      <c r="BH19" s="100">
        <v>26.796131852261507</v>
      </c>
      <c r="BI19" s="100">
        <v>8842.7235112462968</v>
      </c>
      <c r="BJ19" s="100">
        <v>25.309771298589851</v>
      </c>
      <c r="BK19" s="100">
        <v>8352.2245285346507</v>
      </c>
      <c r="BL19" s="100">
        <v>22.996108342030784</v>
      </c>
      <c r="BM19" s="100">
        <v>7588.7157528701582</v>
      </c>
      <c r="BN19" s="100">
        <v>18.576430757257132</v>
      </c>
      <c r="BO19" s="100">
        <v>6130.2221498948538</v>
      </c>
      <c r="BP19" s="100">
        <v>16.865443713825552</v>
      </c>
      <c r="BQ19" s="100">
        <v>5565.5964255624322</v>
      </c>
      <c r="BR19" s="100">
        <v>24.46139907629075</v>
      </c>
      <c r="BS19" s="100">
        <v>8072.2616951759474</v>
      </c>
      <c r="BT19" s="100">
        <v>19.431435816302077</v>
      </c>
      <c r="BU19" s="100">
        <v>6412.3738193796853</v>
      </c>
      <c r="BV19" s="100">
        <v>21.351538169691615</v>
      </c>
      <c r="BW19" s="100">
        <v>7046.0075959982332</v>
      </c>
      <c r="BX19" s="100">
        <v>24.020480440903064</v>
      </c>
      <c r="BY19" s="100">
        <v>7926.7585454980108</v>
      </c>
      <c r="BZ19" s="100">
        <v>25.916349778384301</v>
      </c>
      <c r="CA19" s="100">
        <v>8552.3954268668203</v>
      </c>
      <c r="CB19" s="100">
        <v>20.820754153278077</v>
      </c>
      <c r="CC19" s="100">
        <v>6870.8488705817654</v>
      </c>
      <c r="CD19" s="100">
        <v>15.733204351834932</v>
      </c>
      <c r="CE19" s="100">
        <v>5191.9574361055274</v>
      </c>
      <c r="CF19" s="100">
        <v>22.48725828510074</v>
      </c>
      <c r="CG19" s="100">
        <v>7420.7952340832444</v>
      </c>
      <c r="CH19" s="100">
        <v>17.299239226340163</v>
      </c>
      <c r="CI19" s="100">
        <v>5708.7489446922536</v>
      </c>
      <c r="CJ19" s="100">
        <v>23.583744432886643</v>
      </c>
      <c r="CK19" s="100">
        <v>7782.6356628525918</v>
      </c>
      <c r="CL19" s="100">
        <v>18</v>
      </c>
      <c r="CM19" s="100">
        <v>5940</v>
      </c>
      <c r="CN19" s="100">
        <v>1.5620287173573728</v>
      </c>
      <c r="CO19" s="100">
        <v>515.46947672793306</v>
      </c>
      <c r="CP19" s="100">
        <v>0.46193972613778861</v>
      </c>
      <c r="CQ19" s="100">
        <v>152.44010962547023</v>
      </c>
      <c r="CR19" s="100">
        <v>0.52383524620196154</v>
      </c>
      <c r="CS19" s="100">
        <v>172.8656312466473</v>
      </c>
      <c r="CT19" s="100">
        <v>0.50800235926810022</v>
      </c>
      <c r="CU19" s="100">
        <v>167.64077855847307</v>
      </c>
    </row>
    <row r="20" spans="2:99">
      <c r="B20" s="99" t="s">
        <v>127</v>
      </c>
      <c r="C20" s="99" t="s">
        <v>186</v>
      </c>
      <c r="D20" s="100">
        <v>24</v>
      </c>
      <c r="E20" s="100">
        <v>6883.2000000000007</v>
      </c>
      <c r="F20" s="100">
        <v>20</v>
      </c>
      <c r="G20" s="100">
        <v>5736</v>
      </c>
      <c r="H20" s="100">
        <v>21</v>
      </c>
      <c r="I20" s="100">
        <v>6022.8</v>
      </c>
      <c r="J20" s="100">
        <v>22</v>
      </c>
      <c r="K20" s="100">
        <v>6309.6</v>
      </c>
      <c r="L20" s="100">
        <v>28</v>
      </c>
      <c r="M20" s="100">
        <v>8030.4000000000005</v>
      </c>
      <c r="N20" s="100">
        <v>14</v>
      </c>
      <c r="O20" s="100">
        <v>4015.2000000000003</v>
      </c>
      <c r="P20" s="100">
        <v>25</v>
      </c>
      <c r="Q20" s="100">
        <v>7170</v>
      </c>
      <c r="R20" s="100">
        <v>17</v>
      </c>
      <c r="S20" s="100">
        <v>4875.6000000000004</v>
      </c>
      <c r="T20" s="100">
        <v>18</v>
      </c>
      <c r="U20" s="100">
        <v>5162.4000000000005</v>
      </c>
      <c r="V20" s="100">
        <v>25</v>
      </c>
      <c r="W20" s="100">
        <v>7170</v>
      </c>
      <c r="X20" s="100">
        <v>17</v>
      </c>
      <c r="Y20" s="100">
        <v>4875.6000000000004</v>
      </c>
      <c r="Z20" s="100">
        <v>25</v>
      </c>
      <c r="AA20" s="100">
        <v>7170</v>
      </c>
      <c r="AB20" s="100">
        <v>20</v>
      </c>
      <c r="AC20" s="100">
        <v>5736</v>
      </c>
      <c r="AD20" s="100">
        <v>24</v>
      </c>
      <c r="AE20" s="100">
        <v>6883.2000000000007</v>
      </c>
      <c r="AF20" s="100">
        <v>25</v>
      </c>
      <c r="AG20" s="100">
        <v>7170</v>
      </c>
      <c r="AH20" s="100">
        <v>30</v>
      </c>
      <c r="AI20" s="100">
        <v>8604</v>
      </c>
      <c r="AJ20" s="100">
        <v>26</v>
      </c>
      <c r="AK20" s="100">
        <v>7456.8</v>
      </c>
      <c r="AL20" s="100">
        <v>17</v>
      </c>
      <c r="AM20" s="100">
        <v>4875.6000000000004</v>
      </c>
      <c r="AN20" s="100">
        <v>31</v>
      </c>
      <c r="AO20" s="100">
        <v>8890.8000000000011</v>
      </c>
      <c r="AP20" s="100">
        <v>21</v>
      </c>
      <c r="AQ20" s="100">
        <v>6022.8</v>
      </c>
      <c r="AR20" s="100">
        <v>30</v>
      </c>
      <c r="AS20" s="100">
        <v>8604</v>
      </c>
      <c r="AT20" s="100">
        <v>23.409443676308566</v>
      </c>
      <c r="AU20" s="100">
        <v>6713.8284463652972</v>
      </c>
      <c r="AV20" s="100">
        <v>19.077637895302072</v>
      </c>
      <c r="AW20" s="100">
        <v>5471.466548372634</v>
      </c>
      <c r="AX20" s="100">
        <v>18.756009572311175</v>
      </c>
      <c r="AY20" s="100">
        <v>5379.2235453388448</v>
      </c>
      <c r="AZ20" s="100">
        <v>24</v>
      </c>
      <c r="BA20" s="100">
        <v>6883.2000000000007</v>
      </c>
      <c r="BB20" s="100">
        <v>19</v>
      </c>
      <c r="BC20" s="100">
        <v>5449.2</v>
      </c>
      <c r="BD20" s="100">
        <v>28.495251647323776</v>
      </c>
      <c r="BE20" s="100">
        <v>8172.4381724524592</v>
      </c>
      <c r="BF20" s="100">
        <v>26</v>
      </c>
      <c r="BG20" s="100">
        <v>7456.8</v>
      </c>
      <c r="BH20" s="100">
        <v>22.968113016224148</v>
      </c>
      <c r="BI20" s="100">
        <v>6587.2548130530859</v>
      </c>
      <c r="BJ20" s="100">
        <v>16.582263954248521</v>
      </c>
      <c r="BK20" s="100">
        <v>4755.7933020784758</v>
      </c>
      <c r="BL20" s="100">
        <v>22.996108342030784</v>
      </c>
      <c r="BM20" s="100">
        <v>6595.2838724944286</v>
      </c>
      <c r="BN20" s="100">
        <v>21.509551403139838</v>
      </c>
      <c r="BO20" s="100">
        <v>6168.9393424205055</v>
      </c>
      <c r="BP20" s="100">
        <v>24.361196475525801</v>
      </c>
      <c r="BQ20" s="100">
        <v>6986.7911491807999</v>
      </c>
      <c r="BR20" s="100">
        <v>16.869930397441895</v>
      </c>
      <c r="BS20" s="100">
        <v>4838.2960379863353</v>
      </c>
      <c r="BT20" s="100">
        <v>22.810815958267657</v>
      </c>
      <c r="BU20" s="100">
        <v>6542.1420168311643</v>
      </c>
      <c r="BV20" s="100">
        <v>23.292587094209033</v>
      </c>
      <c r="BW20" s="100">
        <v>6680.3139786191505</v>
      </c>
      <c r="BX20" s="100">
        <v>20.707310724916436</v>
      </c>
      <c r="BY20" s="100">
        <v>5938.856715906034</v>
      </c>
      <c r="BZ20" s="100">
        <v>25.916349778384301</v>
      </c>
      <c r="CA20" s="100">
        <v>7432.8091164406178</v>
      </c>
      <c r="CB20" s="100">
        <v>20.820754153278077</v>
      </c>
      <c r="CC20" s="100">
        <v>5971.392291160153</v>
      </c>
      <c r="CD20" s="100">
        <v>24.988030441149597</v>
      </c>
      <c r="CE20" s="100">
        <v>7166.5671305217047</v>
      </c>
      <c r="CF20" s="100">
        <v>24.152981121034127</v>
      </c>
      <c r="CG20" s="100">
        <v>6927.0749855125878</v>
      </c>
      <c r="CH20" s="100">
        <v>25.536972191264052</v>
      </c>
      <c r="CI20" s="100">
        <v>7324.0036244545308</v>
      </c>
      <c r="CJ20" s="100">
        <v>20.963328384788131</v>
      </c>
      <c r="CK20" s="100">
        <v>6012.2825807572362</v>
      </c>
      <c r="CL20" s="100">
        <v>25</v>
      </c>
      <c r="CM20" s="100">
        <v>7170</v>
      </c>
      <c r="CN20" s="100">
        <v>1.8512932946457754</v>
      </c>
      <c r="CO20" s="100">
        <v>530.95091690440836</v>
      </c>
      <c r="CP20" s="100">
        <v>0.53892968049408674</v>
      </c>
      <c r="CQ20" s="100">
        <v>154.56503236570407</v>
      </c>
      <c r="CR20" s="100">
        <v>0.48770867749837798</v>
      </c>
      <c r="CS20" s="100">
        <v>139.87484870653481</v>
      </c>
      <c r="CT20" s="100">
        <v>0.45720212334129012</v>
      </c>
      <c r="CU20" s="100">
        <v>131.125568974282</v>
      </c>
    </row>
    <row r="21" spans="2:99">
      <c r="C21" s="99" t="s">
        <v>187</v>
      </c>
      <c r="D21" s="100">
        <v>24</v>
      </c>
      <c r="E21" s="100">
        <v>1497.6</v>
      </c>
      <c r="F21" s="100">
        <v>23</v>
      </c>
      <c r="G21" s="100">
        <v>1435.2</v>
      </c>
      <c r="H21" s="100">
        <v>20</v>
      </c>
      <c r="I21" s="100">
        <v>1248</v>
      </c>
      <c r="J21" s="100">
        <v>24</v>
      </c>
      <c r="K21" s="100">
        <v>1497.6</v>
      </c>
      <c r="L21" s="100">
        <v>29</v>
      </c>
      <c r="M21" s="100">
        <v>1809.6</v>
      </c>
      <c r="N21" s="100">
        <v>16</v>
      </c>
      <c r="O21" s="100">
        <v>998.4</v>
      </c>
      <c r="P21" s="100">
        <v>26</v>
      </c>
      <c r="Q21" s="100">
        <v>1622.3999999999999</v>
      </c>
      <c r="R21" s="100">
        <v>18</v>
      </c>
      <c r="S21" s="100">
        <v>1123.2</v>
      </c>
      <c r="T21" s="100">
        <v>17</v>
      </c>
      <c r="U21" s="100">
        <v>1060.8</v>
      </c>
      <c r="V21" s="100">
        <v>22</v>
      </c>
      <c r="W21" s="100">
        <v>1372.8</v>
      </c>
      <c r="X21" s="100">
        <v>16</v>
      </c>
      <c r="Y21" s="100">
        <v>998.4</v>
      </c>
      <c r="Z21" s="100">
        <v>25</v>
      </c>
      <c r="AA21" s="100">
        <v>1560</v>
      </c>
      <c r="AB21" s="100">
        <v>17</v>
      </c>
      <c r="AC21" s="100">
        <v>1060.8</v>
      </c>
      <c r="AD21" s="100">
        <v>23</v>
      </c>
      <c r="AE21" s="100">
        <v>1435.2</v>
      </c>
      <c r="AF21" s="100">
        <v>26</v>
      </c>
      <c r="AG21" s="100">
        <v>1622.3999999999999</v>
      </c>
      <c r="AH21" s="100">
        <v>29</v>
      </c>
      <c r="AI21" s="100">
        <v>1809.6</v>
      </c>
      <c r="AJ21" s="100">
        <v>32</v>
      </c>
      <c r="AK21" s="100">
        <v>1996.8</v>
      </c>
      <c r="AL21" s="100">
        <v>17</v>
      </c>
      <c r="AM21" s="100">
        <v>1060.8</v>
      </c>
      <c r="AN21" s="100">
        <v>30</v>
      </c>
      <c r="AO21" s="100">
        <v>1872</v>
      </c>
      <c r="AP21" s="100">
        <v>20</v>
      </c>
      <c r="AQ21" s="100">
        <v>1248</v>
      </c>
      <c r="AR21" s="100">
        <v>29</v>
      </c>
      <c r="AS21" s="100">
        <v>1809.6</v>
      </c>
      <c r="AT21" s="100">
        <v>25.143476541220313</v>
      </c>
      <c r="AU21" s="100">
        <v>1568.9529361721475</v>
      </c>
      <c r="AV21" s="100">
        <v>20.031519790067176</v>
      </c>
      <c r="AW21" s="100">
        <v>1249.9668349001918</v>
      </c>
      <c r="AX21" s="100">
        <v>18.756009572311175</v>
      </c>
      <c r="AY21" s="100">
        <v>1170.3749973122174</v>
      </c>
      <c r="AZ21" s="100">
        <v>26</v>
      </c>
      <c r="BA21" s="100">
        <v>1622.3999999999999</v>
      </c>
      <c r="BB21" s="100">
        <v>17</v>
      </c>
      <c r="BC21" s="100">
        <v>1060.8</v>
      </c>
      <c r="BD21" s="100">
        <v>31.344776812056157</v>
      </c>
      <c r="BE21" s="100">
        <v>1955.9140730723041</v>
      </c>
      <c r="BF21" s="100">
        <v>27</v>
      </c>
      <c r="BG21" s="100">
        <v>1684.8</v>
      </c>
      <c r="BH21" s="100">
        <v>22.968113016224148</v>
      </c>
      <c r="BI21" s="100">
        <v>1433.2102522123869</v>
      </c>
      <c r="BJ21" s="100">
        <v>18.327765423116787</v>
      </c>
      <c r="BK21" s="100">
        <v>1143.6525624024875</v>
      </c>
      <c r="BL21" s="100">
        <v>25.75564134307448</v>
      </c>
      <c r="BM21" s="100">
        <v>1607.1520198078474</v>
      </c>
      <c r="BN21" s="100">
        <v>23.464965167061642</v>
      </c>
      <c r="BO21" s="100">
        <v>1464.2138264246464</v>
      </c>
      <c r="BP21" s="100">
        <v>23.424227380313273</v>
      </c>
      <c r="BQ21" s="100">
        <v>1461.6717885315481</v>
      </c>
      <c r="BR21" s="100">
        <v>19.40041995705818</v>
      </c>
      <c r="BS21" s="100">
        <v>1210.5862053204303</v>
      </c>
      <c r="BT21" s="100">
        <v>24.500506029250449</v>
      </c>
      <c r="BU21" s="100">
        <v>1528.831576225228</v>
      </c>
      <c r="BV21" s="100">
        <v>22.32206263195032</v>
      </c>
      <c r="BW21" s="100">
        <v>1392.8967082336999</v>
      </c>
      <c r="BX21" s="100">
        <v>24.020480440903064</v>
      </c>
      <c r="BY21" s="100">
        <v>1498.8779795123512</v>
      </c>
      <c r="BZ21" s="100">
        <v>25.106463847809792</v>
      </c>
      <c r="CA21" s="100">
        <v>1566.6433441033309</v>
      </c>
      <c r="CB21" s="100">
        <v>22.803683120256945</v>
      </c>
      <c r="CC21" s="100">
        <v>1422.9498267040333</v>
      </c>
      <c r="CD21" s="100">
        <v>25.913513050081065</v>
      </c>
      <c r="CE21" s="100">
        <v>1617.0032143250585</v>
      </c>
      <c r="CF21" s="100">
        <v>24.985842539000821</v>
      </c>
      <c r="CG21" s="100">
        <v>1559.1165744336511</v>
      </c>
      <c r="CH21" s="100">
        <v>27.184518784248827</v>
      </c>
      <c r="CI21" s="100">
        <v>1696.3139721371267</v>
      </c>
      <c r="CJ21" s="100">
        <v>20.089856368755289</v>
      </c>
      <c r="CK21" s="100">
        <v>1253.6070374103299</v>
      </c>
      <c r="CL21" s="100">
        <v>24</v>
      </c>
      <c r="CM21" s="100">
        <v>1497.6</v>
      </c>
      <c r="CN21" s="100">
        <v>1.8512932946457754</v>
      </c>
      <c r="CO21" s="100">
        <v>115.52070158589639</v>
      </c>
      <c r="CP21" s="100">
        <v>0.50043470331593765</v>
      </c>
      <c r="CQ21" s="100">
        <v>31.22712548691451</v>
      </c>
      <c r="CR21" s="100">
        <v>0.46964539314658627</v>
      </c>
      <c r="CS21" s="100">
        <v>29.305872532346982</v>
      </c>
      <c r="CT21" s="100">
        <v>0.47413553531689351</v>
      </c>
      <c r="CU21" s="100">
        <v>29.586057403774156</v>
      </c>
    </row>
    <row r="22" spans="2:99">
      <c r="C22" s="99" t="s">
        <v>188</v>
      </c>
      <c r="D22" s="100">
        <v>26</v>
      </c>
      <c r="E22" s="100">
        <v>4867.2</v>
      </c>
      <c r="F22" s="100">
        <v>22</v>
      </c>
      <c r="G22" s="100">
        <v>4118.3999999999996</v>
      </c>
      <c r="H22" s="100">
        <v>20</v>
      </c>
      <c r="I22" s="100">
        <v>3744</v>
      </c>
      <c r="J22" s="100">
        <v>24</v>
      </c>
      <c r="K22" s="100">
        <v>4492.7999999999993</v>
      </c>
      <c r="L22" s="100">
        <v>26</v>
      </c>
      <c r="M22" s="100">
        <v>4867.2</v>
      </c>
      <c r="N22" s="100">
        <v>16</v>
      </c>
      <c r="O22" s="100">
        <v>2995.2</v>
      </c>
      <c r="P22" s="100">
        <v>27</v>
      </c>
      <c r="Q22" s="100">
        <v>5054.3999999999996</v>
      </c>
      <c r="R22" s="100">
        <v>18</v>
      </c>
      <c r="S22" s="100">
        <v>3369.6</v>
      </c>
      <c r="T22" s="100">
        <v>15</v>
      </c>
      <c r="U22" s="100">
        <v>2808</v>
      </c>
      <c r="V22" s="100">
        <v>23</v>
      </c>
      <c r="W22" s="100">
        <v>4305.5999999999995</v>
      </c>
      <c r="X22" s="100">
        <v>18</v>
      </c>
      <c r="Y22" s="100">
        <v>3369.6</v>
      </c>
      <c r="Z22" s="100">
        <v>27</v>
      </c>
      <c r="AA22" s="100">
        <v>5054.3999999999996</v>
      </c>
      <c r="AB22" s="100">
        <v>19</v>
      </c>
      <c r="AC22" s="100">
        <v>3556.7999999999997</v>
      </c>
      <c r="AD22" s="100">
        <v>24</v>
      </c>
      <c r="AE22" s="100">
        <v>4492.7999999999993</v>
      </c>
      <c r="AF22" s="100">
        <v>27</v>
      </c>
      <c r="AG22" s="100">
        <v>5054.3999999999996</v>
      </c>
      <c r="AH22" s="100">
        <v>30</v>
      </c>
      <c r="AI22" s="100">
        <v>5616</v>
      </c>
      <c r="AJ22" s="100">
        <v>27</v>
      </c>
      <c r="AK22" s="100">
        <v>5054.3999999999996</v>
      </c>
      <c r="AL22" s="100">
        <v>17</v>
      </c>
      <c r="AM22" s="100">
        <v>3182.3999999999996</v>
      </c>
      <c r="AN22" s="100">
        <v>32</v>
      </c>
      <c r="AO22" s="100">
        <v>5990.4</v>
      </c>
      <c r="AP22" s="100">
        <v>19</v>
      </c>
      <c r="AQ22" s="100">
        <v>3556.7999999999997</v>
      </c>
      <c r="AR22" s="100">
        <v>31</v>
      </c>
      <c r="AS22" s="100">
        <v>5803.2</v>
      </c>
      <c r="AT22" s="100">
        <v>26.877509406132059</v>
      </c>
      <c r="AU22" s="100">
        <v>5031.4697608279212</v>
      </c>
      <c r="AV22" s="100">
        <v>19.077637895302072</v>
      </c>
      <c r="AW22" s="100">
        <v>3571.3338140005476</v>
      </c>
      <c r="AX22" s="100">
        <v>18.756009572311175</v>
      </c>
      <c r="AY22" s="100">
        <v>3511.1249919366519</v>
      </c>
      <c r="AZ22" s="100">
        <v>23</v>
      </c>
      <c r="BA22" s="100">
        <v>4305.5999999999995</v>
      </c>
      <c r="BB22" s="100">
        <v>18</v>
      </c>
      <c r="BC22" s="100">
        <v>3369.6</v>
      </c>
      <c r="BD22" s="100">
        <v>30.394935090478697</v>
      </c>
      <c r="BE22" s="100">
        <v>5689.9318489376119</v>
      </c>
      <c r="BF22" s="100">
        <v>26</v>
      </c>
      <c r="BG22" s="100">
        <v>4867.2</v>
      </c>
      <c r="BH22" s="100">
        <v>24.882122434242827</v>
      </c>
      <c r="BI22" s="100">
        <v>4657.9333196902571</v>
      </c>
      <c r="BJ22" s="100">
        <v>17.455014688682656</v>
      </c>
      <c r="BK22" s="100">
        <v>3267.5787497213928</v>
      </c>
      <c r="BL22" s="100">
        <v>21.156419674668321</v>
      </c>
      <c r="BM22" s="100">
        <v>3960.4817630979096</v>
      </c>
      <c r="BN22" s="100">
        <v>21.509551403139838</v>
      </c>
      <c r="BO22" s="100">
        <v>4026.5880226677773</v>
      </c>
      <c r="BP22" s="100">
        <v>24.361196475525801</v>
      </c>
      <c r="BQ22" s="100">
        <v>4560.4159802184295</v>
      </c>
      <c r="BR22" s="100">
        <v>19.40041995705818</v>
      </c>
      <c r="BS22" s="100">
        <v>3631.7586159612911</v>
      </c>
      <c r="BT22" s="100">
        <v>21.121125887284865</v>
      </c>
      <c r="BU22" s="100">
        <v>3953.8747660997265</v>
      </c>
      <c r="BV22" s="100">
        <v>20.381013707432903</v>
      </c>
      <c r="BW22" s="100">
        <v>3815.3257660314393</v>
      </c>
      <c r="BX22" s="100">
        <v>23.192188011906406</v>
      </c>
      <c r="BY22" s="100">
        <v>4341.5775958288787</v>
      </c>
      <c r="BZ22" s="100">
        <v>25.916349778384301</v>
      </c>
      <c r="CA22" s="100">
        <v>4851.540678513541</v>
      </c>
      <c r="CB22" s="100">
        <v>23.795147603746376</v>
      </c>
      <c r="CC22" s="100">
        <v>4454.4516314213215</v>
      </c>
      <c r="CD22" s="100">
        <v>23.137065223286665</v>
      </c>
      <c r="CE22" s="100">
        <v>4331.2586097992635</v>
      </c>
      <c r="CF22" s="100">
        <v>21.654396867134043</v>
      </c>
      <c r="CG22" s="100">
        <v>4053.7030935274925</v>
      </c>
      <c r="CH22" s="100">
        <v>28.008292080741217</v>
      </c>
      <c r="CI22" s="100">
        <v>5243.152277514756</v>
      </c>
      <c r="CJ22" s="100">
        <v>21.836800400820966</v>
      </c>
      <c r="CK22" s="100">
        <v>4087.8490350336847</v>
      </c>
      <c r="CL22" s="100">
        <v>25</v>
      </c>
      <c r="CM22" s="100">
        <v>4680</v>
      </c>
      <c r="CN22" s="100">
        <v>1.9091462101034555</v>
      </c>
      <c r="CO22" s="100">
        <v>357.39217053136684</v>
      </c>
      <c r="CP22" s="100">
        <v>0.50043470331593765</v>
      </c>
      <c r="CQ22" s="100">
        <v>93.681376460743522</v>
      </c>
      <c r="CR22" s="100">
        <v>0.55996181490554509</v>
      </c>
      <c r="CS22" s="100">
        <v>104.82485175031803</v>
      </c>
      <c r="CT22" s="100">
        <v>0.45720212334129012</v>
      </c>
      <c r="CU22" s="100">
        <v>85.588237489489501</v>
      </c>
    </row>
    <row r="23" spans="2:99">
      <c r="C23" s="99" t="s">
        <v>189</v>
      </c>
      <c r="D23" s="100">
        <v>23</v>
      </c>
      <c r="E23" s="100">
        <v>6762</v>
      </c>
      <c r="F23" s="100">
        <v>23</v>
      </c>
      <c r="G23" s="100">
        <v>6762</v>
      </c>
      <c r="H23" s="100">
        <v>20</v>
      </c>
      <c r="I23" s="100">
        <v>5880</v>
      </c>
      <c r="J23" s="100">
        <v>24</v>
      </c>
      <c r="K23" s="100">
        <v>7056</v>
      </c>
      <c r="L23" s="100">
        <v>24</v>
      </c>
      <c r="M23" s="100">
        <v>7056</v>
      </c>
      <c r="N23" s="100">
        <v>15</v>
      </c>
      <c r="O23" s="100">
        <v>4410</v>
      </c>
      <c r="P23" s="100">
        <v>26</v>
      </c>
      <c r="Q23" s="100">
        <v>7644</v>
      </c>
      <c r="R23" s="100">
        <v>18</v>
      </c>
      <c r="S23" s="100">
        <v>5292</v>
      </c>
      <c r="T23" s="100">
        <v>15</v>
      </c>
      <c r="U23" s="100">
        <v>4410</v>
      </c>
      <c r="V23" s="100">
        <v>23</v>
      </c>
      <c r="W23" s="100">
        <v>6762</v>
      </c>
      <c r="X23" s="100">
        <v>16</v>
      </c>
      <c r="Y23" s="100">
        <v>4704</v>
      </c>
      <c r="Z23" s="100">
        <v>23</v>
      </c>
      <c r="AA23" s="100">
        <v>6762</v>
      </c>
      <c r="AB23" s="100">
        <v>17</v>
      </c>
      <c r="AC23" s="100">
        <v>4998</v>
      </c>
      <c r="AD23" s="100">
        <v>26</v>
      </c>
      <c r="AE23" s="100">
        <v>7644</v>
      </c>
      <c r="AF23" s="100">
        <v>28</v>
      </c>
      <c r="AG23" s="100">
        <v>8232</v>
      </c>
      <c r="AH23" s="100">
        <v>27</v>
      </c>
      <c r="AI23" s="100">
        <v>7938</v>
      </c>
      <c r="AJ23" s="100">
        <v>28</v>
      </c>
      <c r="AK23" s="100">
        <v>8232</v>
      </c>
      <c r="AL23" s="100">
        <v>17</v>
      </c>
      <c r="AM23" s="100">
        <v>4998</v>
      </c>
      <c r="AN23" s="100">
        <v>28</v>
      </c>
      <c r="AO23" s="100">
        <v>8232</v>
      </c>
      <c r="AP23" s="100">
        <v>18</v>
      </c>
      <c r="AQ23" s="100">
        <v>5292</v>
      </c>
      <c r="AR23" s="100">
        <v>29</v>
      </c>
      <c r="AS23" s="100">
        <v>8526</v>
      </c>
      <c r="AT23" s="100">
        <v>26.010492973676186</v>
      </c>
      <c r="AU23" s="100">
        <v>7647.0849342607989</v>
      </c>
      <c r="AV23" s="100">
        <v>18.123756000536968</v>
      </c>
      <c r="AW23" s="100">
        <v>5328.3842641578685</v>
      </c>
      <c r="AX23" s="100">
        <v>18.756009572311175</v>
      </c>
      <c r="AY23" s="100">
        <v>5514.2668142594857</v>
      </c>
      <c r="AZ23" s="100">
        <v>23</v>
      </c>
      <c r="BA23" s="100">
        <v>6762</v>
      </c>
      <c r="BB23" s="100">
        <v>17</v>
      </c>
      <c r="BC23" s="100">
        <v>4998</v>
      </c>
      <c r="BD23" s="100">
        <v>30.394935090478697</v>
      </c>
      <c r="BE23" s="100">
        <v>8936.1109166007373</v>
      </c>
      <c r="BF23" s="100">
        <v>24</v>
      </c>
      <c r="BG23" s="100">
        <v>7056</v>
      </c>
      <c r="BH23" s="100">
        <v>22.968113016224148</v>
      </c>
      <c r="BI23" s="100">
        <v>6752.6252267698992</v>
      </c>
      <c r="BJ23" s="100">
        <v>16.582263954248521</v>
      </c>
      <c r="BK23" s="100">
        <v>4875.1856025490652</v>
      </c>
      <c r="BL23" s="100">
        <v>24.835797009393247</v>
      </c>
      <c r="BM23" s="100">
        <v>7301.7243207616148</v>
      </c>
      <c r="BN23" s="100">
        <v>22.48725828510074</v>
      </c>
      <c r="BO23" s="100">
        <v>6611.2539358196173</v>
      </c>
      <c r="BP23" s="100">
        <v>24.361196475525801</v>
      </c>
      <c r="BQ23" s="100">
        <v>7162.1917638045852</v>
      </c>
      <c r="BR23" s="100">
        <v>20.243916476930277</v>
      </c>
      <c r="BS23" s="100">
        <v>5951.7114442175016</v>
      </c>
      <c r="BT23" s="100">
        <v>24.500506029250449</v>
      </c>
      <c r="BU23" s="100">
        <v>7203.1487725996321</v>
      </c>
      <c r="BV23" s="100">
        <v>21.351538169691615</v>
      </c>
      <c r="BW23" s="100">
        <v>6277.3522218893349</v>
      </c>
      <c r="BX23" s="100">
        <v>20.707310724916436</v>
      </c>
      <c r="BY23" s="100">
        <v>6087.949353125432</v>
      </c>
      <c r="BZ23" s="100">
        <v>25.916349778384301</v>
      </c>
      <c r="CA23" s="100">
        <v>7619.4068348449846</v>
      </c>
      <c r="CB23" s="100">
        <v>22.803683120256945</v>
      </c>
      <c r="CC23" s="100">
        <v>6704.2828373555421</v>
      </c>
      <c r="CD23" s="100">
        <v>24.062547832218129</v>
      </c>
      <c r="CE23" s="100">
        <v>7074.3890626721304</v>
      </c>
      <c r="CF23" s="100">
        <v>20.821535449167353</v>
      </c>
      <c r="CG23" s="100">
        <v>6121.5314220552018</v>
      </c>
      <c r="CH23" s="100">
        <v>25.536972191264052</v>
      </c>
      <c r="CI23" s="100">
        <v>7507.8698242316314</v>
      </c>
      <c r="CJ23" s="100">
        <v>21.836800400820966</v>
      </c>
      <c r="CK23" s="100">
        <v>6420.0193178413638</v>
      </c>
      <c r="CL23" s="100">
        <v>24</v>
      </c>
      <c r="CM23" s="100">
        <v>7056</v>
      </c>
      <c r="CN23" s="100">
        <v>1.9091462101034555</v>
      </c>
      <c r="CO23" s="100">
        <v>561.28898577041593</v>
      </c>
      <c r="CP23" s="100">
        <v>0.48118721472686321</v>
      </c>
      <c r="CQ23" s="100">
        <v>141.46904112969779</v>
      </c>
      <c r="CR23" s="100">
        <v>0.52383524620196154</v>
      </c>
      <c r="CS23" s="100">
        <v>154.00756238337669</v>
      </c>
      <c r="CT23" s="100">
        <v>0.47413553531689351</v>
      </c>
      <c r="CU23" s="100">
        <v>139.39584738316668</v>
      </c>
    </row>
    <row r="24" spans="2:99">
      <c r="C24" s="99" t="s">
        <v>190</v>
      </c>
      <c r="D24" s="100">
        <v>23</v>
      </c>
      <c r="E24" s="100">
        <v>8445.6</v>
      </c>
      <c r="F24" s="100">
        <v>23</v>
      </c>
      <c r="G24" s="100">
        <v>8445.6</v>
      </c>
      <c r="H24" s="100">
        <v>20</v>
      </c>
      <c r="I24" s="100">
        <v>7344</v>
      </c>
      <c r="J24" s="100">
        <v>22</v>
      </c>
      <c r="K24" s="100">
        <v>8078.4</v>
      </c>
      <c r="L24" s="100">
        <v>27</v>
      </c>
      <c r="M24" s="100">
        <v>9914.4</v>
      </c>
      <c r="N24" s="100">
        <v>15</v>
      </c>
      <c r="O24" s="100">
        <v>5508</v>
      </c>
      <c r="P24" s="100">
        <v>26</v>
      </c>
      <c r="Q24" s="100">
        <v>9547.1999999999989</v>
      </c>
      <c r="R24" s="100">
        <v>19</v>
      </c>
      <c r="S24" s="100">
        <v>6976.8</v>
      </c>
      <c r="T24" s="100">
        <v>15</v>
      </c>
      <c r="U24" s="100">
        <v>5508</v>
      </c>
      <c r="V24" s="100">
        <v>23</v>
      </c>
      <c r="W24" s="100">
        <v>8445.6</v>
      </c>
      <c r="X24" s="100">
        <v>16</v>
      </c>
      <c r="Y24" s="100">
        <v>5875.2</v>
      </c>
      <c r="Z24" s="100">
        <v>26</v>
      </c>
      <c r="AA24" s="100">
        <v>9547.1999999999989</v>
      </c>
      <c r="AB24" s="100">
        <v>20</v>
      </c>
      <c r="AC24" s="100">
        <v>7344</v>
      </c>
      <c r="AD24" s="100">
        <v>22</v>
      </c>
      <c r="AE24" s="100">
        <v>8078.4</v>
      </c>
      <c r="AF24" s="100">
        <v>25</v>
      </c>
      <c r="AG24" s="100">
        <v>9180</v>
      </c>
      <c r="AH24" s="100">
        <v>29</v>
      </c>
      <c r="AI24" s="100">
        <v>10648.8</v>
      </c>
      <c r="AJ24" s="100">
        <v>28</v>
      </c>
      <c r="AK24" s="100">
        <v>10281.6</v>
      </c>
      <c r="AL24" s="100">
        <v>16</v>
      </c>
      <c r="AM24" s="100">
        <v>5875.2</v>
      </c>
      <c r="AN24" s="100">
        <v>30</v>
      </c>
      <c r="AO24" s="100">
        <v>11016</v>
      </c>
      <c r="AP24" s="100">
        <v>18</v>
      </c>
      <c r="AQ24" s="100">
        <v>6609.5999999999995</v>
      </c>
      <c r="AR24" s="100">
        <v>29</v>
      </c>
      <c r="AS24" s="100">
        <v>10648.8</v>
      </c>
      <c r="AT24" s="100">
        <v>24.276460108764439</v>
      </c>
      <c r="AU24" s="100">
        <v>8914.3161519383011</v>
      </c>
      <c r="AV24" s="100">
        <v>17.169874105771864</v>
      </c>
      <c r="AW24" s="100">
        <v>6304.7777716394285</v>
      </c>
      <c r="AX24" s="100">
        <v>16.880408615080057</v>
      </c>
      <c r="AY24" s="100">
        <v>6198.4860434573966</v>
      </c>
      <c r="AZ24" s="100">
        <v>24</v>
      </c>
      <c r="BA24" s="100">
        <v>8812.7999999999993</v>
      </c>
      <c r="BB24" s="100">
        <v>19</v>
      </c>
      <c r="BC24" s="100">
        <v>6976.8</v>
      </c>
      <c r="BD24" s="100">
        <v>25.6457264825914</v>
      </c>
      <c r="BE24" s="100">
        <v>9417.1107644075619</v>
      </c>
      <c r="BF24" s="100">
        <v>22</v>
      </c>
      <c r="BG24" s="100">
        <v>8078.4</v>
      </c>
      <c r="BH24" s="100">
        <v>23.925117725233488</v>
      </c>
      <c r="BI24" s="100">
        <v>8785.3032287057358</v>
      </c>
      <c r="BJ24" s="100">
        <v>16.582263954248521</v>
      </c>
      <c r="BK24" s="100">
        <v>6089.0073240000565</v>
      </c>
      <c r="BL24" s="100">
        <v>24.835797009393247</v>
      </c>
      <c r="BM24" s="100">
        <v>9119.7046618492004</v>
      </c>
      <c r="BN24" s="100">
        <v>24.442672049022544</v>
      </c>
      <c r="BO24" s="100">
        <v>8975.3491764010778</v>
      </c>
      <c r="BP24" s="100">
        <v>21.550289189888211</v>
      </c>
      <c r="BQ24" s="100">
        <v>7913.2661905269506</v>
      </c>
      <c r="BR24" s="100">
        <v>19.40041995705818</v>
      </c>
      <c r="BS24" s="100">
        <v>7123.8342082317631</v>
      </c>
      <c r="BT24" s="100">
        <v>21.121125887284865</v>
      </c>
      <c r="BU24" s="100">
        <v>7755.6774258110026</v>
      </c>
      <c r="BV24" s="100">
        <v>19.410489245174194</v>
      </c>
      <c r="BW24" s="100">
        <v>7127.5316508279639</v>
      </c>
      <c r="BX24" s="100">
        <v>20.707310724916436</v>
      </c>
      <c r="BY24" s="100">
        <v>7603.7244981893155</v>
      </c>
      <c r="BZ24" s="100">
        <v>23.486691986660773</v>
      </c>
      <c r="CA24" s="100">
        <v>8624.3132975018361</v>
      </c>
      <c r="CB24" s="100">
        <v>23.795147603746376</v>
      </c>
      <c r="CC24" s="100">
        <v>8737.5782000956697</v>
      </c>
      <c r="CD24" s="100">
        <v>21.28610000542373</v>
      </c>
      <c r="CE24" s="100">
        <v>7816.2559219915938</v>
      </c>
      <c r="CF24" s="100">
        <v>24.152981121034127</v>
      </c>
      <c r="CG24" s="100">
        <v>8868.9746676437317</v>
      </c>
      <c r="CH24" s="100">
        <v>23.889425598279274</v>
      </c>
      <c r="CI24" s="100">
        <v>8772.1970796881487</v>
      </c>
      <c r="CJ24" s="100">
        <v>20.963328384788131</v>
      </c>
      <c r="CK24" s="100">
        <v>7697.7341828942017</v>
      </c>
      <c r="CL24" s="100">
        <v>23</v>
      </c>
      <c r="CM24" s="100">
        <v>8445.6</v>
      </c>
      <c r="CN24" s="100">
        <v>1.9669991255611361</v>
      </c>
      <c r="CO24" s="100">
        <v>722.28207890604915</v>
      </c>
      <c r="CP24" s="100">
        <v>0.48118721472686321</v>
      </c>
      <c r="CQ24" s="100">
        <v>176.69194524770415</v>
      </c>
      <c r="CR24" s="100">
        <v>0.50577196185016982</v>
      </c>
      <c r="CS24" s="100">
        <v>185.71946439138236</v>
      </c>
      <c r="CT24" s="100">
        <v>0.49106894729249689</v>
      </c>
      <c r="CU24" s="100">
        <v>180.32051744580485</v>
      </c>
    </row>
    <row r="25" spans="2:99">
      <c r="C25" s="99" t="s">
        <v>191</v>
      </c>
      <c r="D25" s="100">
        <v>22</v>
      </c>
      <c r="E25" s="100">
        <v>11668.8</v>
      </c>
      <c r="F25" s="100">
        <v>21</v>
      </c>
      <c r="G25" s="100">
        <v>11138.4</v>
      </c>
      <c r="H25" s="100">
        <v>18</v>
      </c>
      <c r="I25" s="100">
        <v>9547.1999999999989</v>
      </c>
      <c r="J25" s="100">
        <v>25</v>
      </c>
      <c r="K25" s="100">
        <v>13260</v>
      </c>
      <c r="L25" s="100">
        <v>28</v>
      </c>
      <c r="M25" s="100">
        <v>14851.199999999999</v>
      </c>
      <c r="N25" s="100">
        <v>14</v>
      </c>
      <c r="O25" s="100">
        <v>7425.5999999999995</v>
      </c>
      <c r="P25" s="100">
        <v>24</v>
      </c>
      <c r="Q25" s="100">
        <v>12729.599999999999</v>
      </c>
      <c r="R25" s="100">
        <v>17</v>
      </c>
      <c r="S25" s="100">
        <v>9016.7999999999993</v>
      </c>
      <c r="T25" s="100">
        <v>17</v>
      </c>
      <c r="U25" s="100">
        <v>9016.7999999999993</v>
      </c>
      <c r="V25" s="100">
        <v>22</v>
      </c>
      <c r="W25" s="100">
        <v>11668.8</v>
      </c>
      <c r="X25" s="100">
        <v>18</v>
      </c>
      <c r="Y25" s="100">
        <v>9547.1999999999989</v>
      </c>
      <c r="Z25" s="100">
        <v>24</v>
      </c>
      <c r="AA25" s="100">
        <v>12729.599999999999</v>
      </c>
      <c r="AB25" s="100">
        <v>17</v>
      </c>
      <c r="AC25" s="100">
        <v>9016.7999999999993</v>
      </c>
      <c r="AD25" s="100">
        <v>25</v>
      </c>
      <c r="AE25" s="100">
        <v>13260</v>
      </c>
      <c r="AF25" s="100">
        <v>27</v>
      </c>
      <c r="AG25" s="100">
        <v>14320.8</v>
      </c>
      <c r="AH25" s="100">
        <v>29</v>
      </c>
      <c r="AI25" s="100">
        <v>15381.599999999999</v>
      </c>
      <c r="AJ25" s="100">
        <v>25</v>
      </c>
      <c r="AK25" s="100">
        <v>13260</v>
      </c>
      <c r="AL25" s="100">
        <v>17</v>
      </c>
      <c r="AM25" s="100">
        <v>9016.7999999999993</v>
      </c>
      <c r="AN25" s="100">
        <v>31</v>
      </c>
      <c r="AO25" s="100">
        <v>16442.399999999998</v>
      </c>
      <c r="AP25" s="100">
        <v>18</v>
      </c>
      <c r="AQ25" s="100">
        <v>9547.1999999999989</v>
      </c>
      <c r="AR25" s="100">
        <v>28</v>
      </c>
      <c r="AS25" s="100">
        <v>14851.199999999999</v>
      </c>
      <c r="AT25" s="100">
        <v>22.542427243852693</v>
      </c>
      <c r="AU25" s="100">
        <v>11956.503410139469</v>
      </c>
      <c r="AV25" s="100">
        <v>17.169874105771864</v>
      </c>
      <c r="AW25" s="100">
        <v>9106.9012257013965</v>
      </c>
      <c r="AX25" s="100">
        <v>16.880408615080057</v>
      </c>
      <c r="AY25" s="100">
        <v>8953.3687294384617</v>
      </c>
      <c r="AZ25" s="100">
        <v>22</v>
      </c>
      <c r="BA25" s="100">
        <v>11668.8</v>
      </c>
      <c r="BB25" s="100">
        <v>18</v>
      </c>
      <c r="BC25" s="100">
        <v>9547.1999999999989</v>
      </c>
      <c r="BD25" s="100">
        <v>24.695884761013939</v>
      </c>
      <c r="BE25" s="100">
        <v>13098.697277241792</v>
      </c>
      <c r="BF25" s="100">
        <v>24</v>
      </c>
      <c r="BG25" s="100">
        <v>12729.599999999999</v>
      </c>
      <c r="BH25" s="100">
        <v>21.054103598205472</v>
      </c>
      <c r="BI25" s="100">
        <v>11167.096548488182</v>
      </c>
      <c r="BJ25" s="100">
        <v>18.327765423116787</v>
      </c>
      <c r="BK25" s="100">
        <v>9721.0467804211439</v>
      </c>
      <c r="BL25" s="100">
        <v>22.996108342030784</v>
      </c>
      <c r="BM25" s="100">
        <v>12197.135864613127</v>
      </c>
      <c r="BN25" s="100">
        <v>23.464965167061642</v>
      </c>
      <c r="BO25" s="100">
        <v>12445.817524609494</v>
      </c>
      <c r="BP25" s="100">
        <v>20.613320094675679</v>
      </c>
      <c r="BQ25" s="100">
        <v>10933.30497821598</v>
      </c>
      <c r="BR25" s="100">
        <v>17.713426917313992</v>
      </c>
      <c r="BS25" s="100">
        <v>9395.2016369433404</v>
      </c>
      <c r="BT25" s="100">
        <v>24.500506029250449</v>
      </c>
      <c r="BU25" s="100">
        <v>12995.068397914438</v>
      </c>
      <c r="BV25" s="100">
        <v>23.292587094209033</v>
      </c>
      <c r="BW25" s="100">
        <v>12354.388194768471</v>
      </c>
      <c r="BX25" s="100">
        <v>20.707310724916436</v>
      </c>
      <c r="BY25" s="100">
        <v>10983.157608495678</v>
      </c>
      <c r="BZ25" s="100">
        <v>23.486691986660773</v>
      </c>
      <c r="CA25" s="100">
        <v>12457.341429724873</v>
      </c>
      <c r="CB25" s="100">
        <v>22.803683120256945</v>
      </c>
      <c r="CC25" s="100">
        <v>12095.073526984283</v>
      </c>
      <c r="CD25" s="100">
        <v>24.988030441149597</v>
      </c>
      <c r="CE25" s="100">
        <v>13253.651345985745</v>
      </c>
      <c r="CF25" s="100">
        <v>20.821535449167353</v>
      </c>
      <c r="CG25" s="100">
        <v>11043.742402238364</v>
      </c>
      <c r="CH25" s="100">
        <v>27.184518784248827</v>
      </c>
      <c r="CI25" s="100">
        <v>14418.668763165577</v>
      </c>
      <c r="CJ25" s="100">
        <v>22.710272416853805</v>
      </c>
      <c r="CK25" s="100">
        <v>12045.528489899258</v>
      </c>
      <c r="CL25" s="100">
        <v>25</v>
      </c>
      <c r="CM25" s="100">
        <v>13260</v>
      </c>
      <c r="CN25" s="100">
        <v>1.7934403791880948</v>
      </c>
      <c r="CO25" s="100">
        <v>951.24077712136545</v>
      </c>
      <c r="CP25" s="100">
        <v>0.48118721472686321</v>
      </c>
      <c r="CQ25" s="100">
        <v>255.22169869112824</v>
      </c>
      <c r="CR25" s="100">
        <v>0.52383524620196154</v>
      </c>
      <c r="CS25" s="100">
        <v>277.84221458552037</v>
      </c>
      <c r="CT25" s="100">
        <v>0.49106894729249689</v>
      </c>
      <c r="CU25" s="100">
        <v>260.46296964394037</v>
      </c>
    </row>
    <row r="26" spans="2:99">
      <c r="C26" s="99" t="s">
        <v>192</v>
      </c>
      <c r="D26" s="100">
        <v>24</v>
      </c>
      <c r="E26" s="100">
        <v>11664</v>
      </c>
      <c r="F26" s="100">
        <v>21</v>
      </c>
      <c r="G26" s="100">
        <v>10206</v>
      </c>
      <c r="H26" s="100">
        <v>19</v>
      </c>
      <c r="I26" s="100">
        <v>9234</v>
      </c>
      <c r="J26" s="100">
        <v>21</v>
      </c>
      <c r="K26" s="100">
        <v>10206</v>
      </c>
      <c r="L26" s="100">
        <v>28</v>
      </c>
      <c r="M26" s="100">
        <v>13608</v>
      </c>
      <c r="N26" s="100">
        <v>16</v>
      </c>
      <c r="O26" s="100">
        <v>7776</v>
      </c>
      <c r="P26" s="100">
        <v>24</v>
      </c>
      <c r="Q26" s="100">
        <v>11664</v>
      </c>
      <c r="R26" s="100">
        <v>19</v>
      </c>
      <c r="S26" s="100">
        <v>9234</v>
      </c>
      <c r="T26" s="100">
        <v>15</v>
      </c>
      <c r="U26" s="100">
        <v>7290</v>
      </c>
      <c r="V26" s="100">
        <v>24</v>
      </c>
      <c r="W26" s="100">
        <v>11664</v>
      </c>
      <c r="X26" s="100">
        <v>16</v>
      </c>
      <c r="Y26" s="100">
        <v>7776</v>
      </c>
      <c r="Z26" s="100">
        <v>22</v>
      </c>
      <c r="AA26" s="100">
        <v>10692</v>
      </c>
      <c r="AB26" s="100">
        <v>17</v>
      </c>
      <c r="AC26" s="100">
        <v>8262</v>
      </c>
      <c r="AD26" s="100">
        <v>25</v>
      </c>
      <c r="AE26" s="100">
        <v>12150</v>
      </c>
      <c r="AF26" s="100">
        <v>25</v>
      </c>
      <c r="AG26" s="100">
        <v>12150</v>
      </c>
      <c r="AH26" s="100">
        <v>25</v>
      </c>
      <c r="AI26" s="100">
        <v>12150</v>
      </c>
      <c r="AJ26" s="100">
        <v>26</v>
      </c>
      <c r="AK26" s="100">
        <v>12636</v>
      </c>
      <c r="AL26" s="100">
        <v>16</v>
      </c>
      <c r="AM26" s="100">
        <v>7776</v>
      </c>
      <c r="AN26" s="100">
        <v>27</v>
      </c>
      <c r="AO26" s="100">
        <v>13122</v>
      </c>
      <c r="AP26" s="100">
        <v>20</v>
      </c>
      <c r="AQ26" s="100">
        <v>9720</v>
      </c>
      <c r="AR26" s="100">
        <v>27</v>
      </c>
      <c r="AS26" s="100">
        <v>13122</v>
      </c>
      <c r="AT26" s="100">
        <v>21.675410811396819</v>
      </c>
      <c r="AU26" s="100">
        <v>10534.249654338853</v>
      </c>
      <c r="AV26" s="100">
        <v>19.077637895302072</v>
      </c>
      <c r="AW26" s="100">
        <v>9271.7320171168067</v>
      </c>
      <c r="AX26" s="100">
        <v>19.693810050926736</v>
      </c>
      <c r="AY26" s="100">
        <v>9571.1916847503944</v>
      </c>
      <c r="AZ26" s="100">
        <v>24</v>
      </c>
      <c r="BA26" s="100">
        <v>11664</v>
      </c>
      <c r="BB26" s="100">
        <v>16</v>
      </c>
      <c r="BC26" s="100">
        <v>7776</v>
      </c>
      <c r="BD26" s="100">
        <v>24.695884761013939</v>
      </c>
      <c r="BE26" s="100">
        <v>12002.199993852775</v>
      </c>
      <c r="BF26" s="100">
        <v>24</v>
      </c>
      <c r="BG26" s="100">
        <v>11664</v>
      </c>
      <c r="BH26" s="100">
        <v>20.097098889196129</v>
      </c>
      <c r="BI26" s="100">
        <v>9767.190060149318</v>
      </c>
      <c r="BJ26" s="100">
        <v>15.70951321981439</v>
      </c>
      <c r="BK26" s="100">
        <v>7634.823424829794</v>
      </c>
      <c r="BL26" s="100">
        <v>23.915952675712017</v>
      </c>
      <c r="BM26" s="100">
        <v>11623.15300039604</v>
      </c>
      <c r="BN26" s="100">
        <v>24.442672049022544</v>
      </c>
      <c r="BO26" s="100">
        <v>11879.138615824957</v>
      </c>
      <c r="BP26" s="100">
        <v>20.613320094675679</v>
      </c>
      <c r="BQ26" s="100">
        <v>10018.073566012379</v>
      </c>
      <c r="BR26" s="100">
        <v>18.556923437186086</v>
      </c>
      <c r="BS26" s="100">
        <v>9018.6647904724377</v>
      </c>
      <c r="BT26" s="100">
        <v>22.810815958267657</v>
      </c>
      <c r="BU26" s="100">
        <v>11086.056555718082</v>
      </c>
      <c r="BV26" s="100">
        <v>21.351538169691615</v>
      </c>
      <c r="BW26" s="100">
        <v>10376.847550470125</v>
      </c>
      <c r="BX26" s="100">
        <v>20.707310724916436</v>
      </c>
      <c r="BY26" s="100">
        <v>10063.753012309387</v>
      </c>
      <c r="BZ26" s="100">
        <v>24.296577917235282</v>
      </c>
      <c r="CA26" s="100">
        <v>11808.136867776348</v>
      </c>
      <c r="CB26" s="100">
        <v>21.812218636767508</v>
      </c>
      <c r="CC26" s="100">
        <v>10600.738257469009</v>
      </c>
      <c r="CD26" s="100">
        <v>24.988030441149597</v>
      </c>
      <c r="CE26" s="100">
        <v>12144.182794398705</v>
      </c>
      <c r="CF26" s="100">
        <v>20.821535449167353</v>
      </c>
      <c r="CG26" s="100">
        <v>10119.266228295333</v>
      </c>
      <c r="CH26" s="100">
        <v>24.713198894771665</v>
      </c>
      <c r="CI26" s="100">
        <v>12010.614662859029</v>
      </c>
      <c r="CJ26" s="100">
        <v>22.710272416853805</v>
      </c>
      <c r="CK26" s="100">
        <v>11037.192394590949</v>
      </c>
      <c r="CL26" s="100">
        <v>23</v>
      </c>
      <c r="CM26" s="100">
        <v>11178</v>
      </c>
      <c r="CN26" s="100">
        <v>1.6198816328150534</v>
      </c>
      <c r="CO26" s="100">
        <v>787.26247354811596</v>
      </c>
      <c r="CP26" s="100">
        <v>0.46193972613778861</v>
      </c>
      <c r="CQ26" s="100">
        <v>224.50270690296526</v>
      </c>
      <c r="CR26" s="100">
        <v>0.48770867749837798</v>
      </c>
      <c r="CS26" s="100">
        <v>237.02641726421169</v>
      </c>
      <c r="CT26" s="100">
        <v>0.47413553531689351</v>
      </c>
      <c r="CU26" s="100">
        <v>230.42987016401025</v>
      </c>
    </row>
    <row r="27" spans="2:99">
      <c r="C27" s="99" t="s">
        <v>193</v>
      </c>
      <c r="D27" s="100">
        <v>26</v>
      </c>
      <c r="E27" s="100">
        <v>11107.199999999999</v>
      </c>
      <c r="F27" s="100">
        <v>22</v>
      </c>
      <c r="G27" s="100">
        <v>9398.4</v>
      </c>
      <c r="H27" s="100">
        <v>21</v>
      </c>
      <c r="I27" s="100">
        <v>8971.1999999999989</v>
      </c>
      <c r="J27" s="100">
        <v>22</v>
      </c>
      <c r="K27" s="100">
        <v>9398.4</v>
      </c>
      <c r="L27" s="100">
        <v>24</v>
      </c>
      <c r="M27" s="100">
        <v>10252.799999999999</v>
      </c>
      <c r="N27" s="100">
        <v>15</v>
      </c>
      <c r="O27" s="100">
        <v>6408</v>
      </c>
      <c r="P27" s="100">
        <v>25</v>
      </c>
      <c r="Q27" s="100">
        <v>10680</v>
      </c>
      <c r="R27" s="100">
        <v>18</v>
      </c>
      <c r="S27" s="100">
        <v>7689.5999999999995</v>
      </c>
      <c r="T27" s="100">
        <v>15</v>
      </c>
      <c r="U27" s="100">
        <v>6408</v>
      </c>
      <c r="V27" s="100">
        <v>22</v>
      </c>
      <c r="W27" s="100">
        <v>9398.4</v>
      </c>
      <c r="X27" s="100">
        <v>15</v>
      </c>
      <c r="Y27" s="100">
        <v>6408</v>
      </c>
      <c r="Z27" s="100">
        <v>24</v>
      </c>
      <c r="AA27" s="100">
        <v>10252.799999999999</v>
      </c>
      <c r="AB27" s="100">
        <v>17</v>
      </c>
      <c r="AC27" s="100">
        <v>7262.4</v>
      </c>
      <c r="AD27" s="100">
        <v>25</v>
      </c>
      <c r="AE27" s="100">
        <v>10680</v>
      </c>
      <c r="AF27" s="100">
        <v>26</v>
      </c>
      <c r="AG27" s="100">
        <v>11107.199999999999</v>
      </c>
      <c r="AH27" s="100">
        <v>29</v>
      </c>
      <c r="AI27" s="100">
        <v>12388.8</v>
      </c>
      <c r="AJ27" s="100">
        <v>27</v>
      </c>
      <c r="AK27" s="100">
        <v>11534.4</v>
      </c>
      <c r="AL27" s="100">
        <v>16</v>
      </c>
      <c r="AM27" s="100">
        <v>6835.2</v>
      </c>
      <c r="AN27" s="100">
        <v>27</v>
      </c>
      <c r="AO27" s="100">
        <v>11534.4</v>
      </c>
      <c r="AP27" s="100">
        <v>18</v>
      </c>
      <c r="AQ27" s="100">
        <v>7689.5999999999995</v>
      </c>
      <c r="AR27" s="100">
        <v>28</v>
      </c>
      <c r="AS27" s="100">
        <v>11961.6</v>
      </c>
      <c r="AT27" s="100">
        <v>26.010492973676186</v>
      </c>
      <c r="AU27" s="100">
        <v>11111.682598354466</v>
      </c>
      <c r="AV27" s="100">
        <v>18.123756000536968</v>
      </c>
      <c r="AW27" s="100">
        <v>7742.4685634293928</v>
      </c>
      <c r="AX27" s="100">
        <v>19.693810050926736</v>
      </c>
      <c r="AY27" s="100">
        <v>8413.1956537559017</v>
      </c>
      <c r="AZ27" s="100">
        <v>21</v>
      </c>
      <c r="BA27" s="100">
        <v>8971.1999999999989</v>
      </c>
      <c r="BB27" s="100">
        <v>16</v>
      </c>
      <c r="BC27" s="100">
        <v>6835.2</v>
      </c>
      <c r="BD27" s="100">
        <v>25.6457264825914</v>
      </c>
      <c r="BE27" s="100">
        <v>10955.854353363045</v>
      </c>
      <c r="BF27" s="100">
        <v>22</v>
      </c>
      <c r="BG27" s="100">
        <v>9398.4</v>
      </c>
      <c r="BH27" s="100">
        <v>22.968113016224148</v>
      </c>
      <c r="BI27" s="100">
        <v>9811.9778805309561</v>
      </c>
      <c r="BJ27" s="100">
        <v>19.200516157550922</v>
      </c>
      <c r="BK27" s="100">
        <v>8202.4605025057535</v>
      </c>
      <c r="BL27" s="100">
        <v>22.076264008349554</v>
      </c>
      <c r="BM27" s="100">
        <v>9430.9799843669298</v>
      </c>
      <c r="BN27" s="100">
        <v>21.509551403139838</v>
      </c>
      <c r="BO27" s="100">
        <v>9188.8803594213387</v>
      </c>
      <c r="BP27" s="100">
        <v>23.424227380313273</v>
      </c>
      <c r="BQ27" s="100">
        <v>10006.82993686983</v>
      </c>
      <c r="BR27" s="100">
        <v>18.556923437186086</v>
      </c>
      <c r="BS27" s="100">
        <v>7927.5176923658955</v>
      </c>
      <c r="BT27" s="100">
        <v>20.276280851793473</v>
      </c>
      <c r="BU27" s="100">
        <v>8662.0271798861722</v>
      </c>
      <c r="BV27" s="100">
        <v>22.32206263195032</v>
      </c>
      <c r="BW27" s="100">
        <v>9535.9851563691773</v>
      </c>
      <c r="BX27" s="100">
        <v>23.192188011906406</v>
      </c>
      <c r="BY27" s="100">
        <v>9907.7027186864161</v>
      </c>
      <c r="BZ27" s="100">
        <v>25.106463847809792</v>
      </c>
      <c r="CA27" s="100">
        <v>10725.481355784343</v>
      </c>
      <c r="CB27" s="100">
        <v>20.820754153278077</v>
      </c>
      <c r="CC27" s="100">
        <v>8894.6261742803945</v>
      </c>
      <c r="CD27" s="100">
        <v>24.062547832218129</v>
      </c>
      <c r="CE27" s="100">
        <v>10279.520433923584</v>
      </c>
      <c r="CF27" s="100">
        <v>23.320119703067434</v>
      </c>
      <c r="CG27" s="100">
        <v>9962.3551371504072</v>
      </c>
      <c r="CH27" s="100">
        <v>27.184518784248827</v>
      </c>
      <c r="CI27" s="100">
        <v>11613.226424631099</v>
      </c>
      <c r="CJ27" s="100">
        <v>19.21638435272245</v>
      </c>
      <c r="CK27" s="100">
        <v>8209.2393954830313</v>
      </c>
      <c r="CL27" s="100">
        <v>26</v>
      </c>
      <c r="CM27" s="100">
        <v>11107.199999999999</v>
      </c>
      <c r="CN27" s="100">
        <v>1.9091462101034555</v>
      </c>
      <c r="CO27" s="100">
        <v>815.58726095619613</v>
      </c>
      <c r="CP27" s="100">
        <v>0.50043470331593765</v>
      </c>
      <c r="CQ27" s="100">
        <v>213.78570525656855</v>
      </c>
      <c r="CR27" s="100">
        <v>0.50577196185016982</v>
      </c>
      <c r="CS27" s="100">
        <v>216.06578210239255</v>
      </c>
      <c r="CT27" s="100">
        <v>0.45720212334129012</v>
      </c>
      <c r="CU27" s="100">
        <v>195.31674709139912</v>
      </c>
    </row>
    <row r="28" spans="2:99">
      <c r="C28" s="99" t="s">
        <v>194</v>
      </c>
      <c r="D28" s="100">
        <v>23</v>
      </c>
      <c r="E28" s="100">
        <v>16974</v>
      </c>
      <c r="F28" s="100">
        <v>22</v>
      </c>
      <c r="G28" s="100">
        <v>16236</v>
      </c>
      <c r="H28" s="100">
        <v>19</v>
      </c>
      <c r="I28" s="100">
        <v>14022</v>
      </c>
      <c r="J28" s="100">
        <v>22</v>
      </c>
      <c r="K28" s="100">
        <v>16236</v>
      </c>
      <c r="L28" s="100">
        <v>25</v>
      </c>
      <c r="M28" s="100">
        <v>18450</v>
      </c>
      <c r="N28" s="100">
        <v>15</v>
      </c>
      <c r="O28" s="100">
        <v>11070</v>
      </c>
      <c r="P28" s="100">
        <v>23</v>
      </c>
      <c r="Q28" s="100">
        <v>16974</v>
      </c>
      <c r="R28" s="100">
        <v>18</v>
      </c>
      <c r="S28" s="100">
        <v>13284</v>
      </c>
      <c r="T28" s="100">
        <v>16</v>
      </c>
      <c r="U28" s="100">
        <v>11808</v>
      </c>
      <c r="V28" s="100">
        <v>24</v>
      </c>
      <c r="W28" s="100">
        <v>17712</v>
      </c>
      <c r="X28" s="100">
        <v>17</v>
      </c>
      <c r="Y28" s="100">
        <v>12546</v>
      </c>
      <c r="Z28" s="100">
        <v>23</v>
      </c>
      <c r="AA28" s="100">
        <v>16974</v>
      </c>
      <c r="AB28" s="100">
        <v>17</v>
      </c>
      <c r="AC28" s="100">
        <v>12546</v>
      </c>
      <c r="AD28" s="100">
        <v>25</v>
      </c>
      <c r="AE28" s="100">
        <v>18450</v>
      </c>
      <c r="AF28" s="100">
        <v>26</v>
      </c>
      <c r="AG28" s="100">
        <v>19188</v>
      </c>
      <c r="AH28" s="100">
        <v>26</v>
      </c>
      <c r="AI28" s="100">
        <v>19188</v>
      </c>
      <c r="AJ28" s="100">
        <v>24</v>
      </c>
      <c r="AK28" s="100">
        <v>17712</v>
      </c>
      <c r="AL28" s="100">
        <v>17</v>
      </c>
      <c r="AM28" s="100">
        <v>12546</v>
      </c>
      <c r="AN28" s="100">
        <v>31</v>
      </c>
      <c r="AO28" s="100">
        <v>22878</v>
      </c>
      <c r="AP28" s="100">
        <v>19</v>
      </c>
      <c r="AQ28" s="100">
        <v>14022</v>
      </c>
      <c r="AR28" s="100">
        <v>26</v>
      </c>
      <c r="AS28" s="100">
        <v>19188</v>
      </c>
      <c r="AT28" s="100">
        <v>22.542427243852693</v>
      </c>
      <c r="AU28" s="100">
        <v>16636.311305963289</v>
      </c>
      <c r="AV28" s="100">
        <v>16.21599221100676</v>
      </c>
      <c r="AW28" s="100">
        <v>11967.40225172299</v>
      </c>
      <c r="AX28" s="100">
        <v>18.756009572311175</v>
      </c>
      <c r="AY28" s="100">
        <v>13841.935064365647</v>
      </c>
      <c r="AZ28" s="100">
        <v>25</v>
      </c>
      <c r="BA28" s="100">
        <v>18450</v>
      </c>
      <c r="BB28" s="100">
        <v>15</v>
      </c>
      <c r="BC28" s="100">
        <v>11070</v>
      </c>
      <c r="BD28" s="100">
        <v>24.695884761013939</v>
      </c>
      <c r="BE28" s="100">
        <v>18225.562953628287</v>
      </c>
      <c r="BF28" s="100">
        <v>23</v>
      </c>
      <c r="BG28" s="100">
        <v>16974</v>
      </c>
      <c r="BH28" s="100">
        <v>22.011108307214812</v>
      </c>
      <c r="BI28" s="100">
        <v>16244.197930724531</v>
      </c>
      <c r="BJ28" s="100">
        <v>15.70951321981439</v>
      </c>
      <c r="BK28" s="100">
        <v>11593.620756223019</v>
      </c>
      <c r="BL28" s="100">
        <v>21.156419674668321</v>
      </c>
      <c r="BM28" s="100">
        <v>15613.437719905221</v>
      </c>
      <c r="BN28" s="100">
        <v>21.509551403139838</v>
      </c>
      <c r="BO28" s="100">
        <v>15874.048935517201</v>
      </c>
      <c r="BP28" s="100">
        <v>19.676350999463146</v>
      </c>
      <c r="BQ28" s="100">
        <v>14521.147037603801</v>
      </c>
      <c r="BR28" s="100">
        <v>18.556923437186086</v>
      </c>
      <c r="BS28" s="100">
        <v>13695.009496643332</v>
      </c>
      <c r="BT28" s="100">
        <v>21.121125887284865</v>
      </c>
      <c r="BU28" s="100">
        <v>15587.390904816231</v>
      </c>
      <c r="BV28" s="100">
        <v>20.381013707432903</v>
      </c>
      <c r="BW28" s="100">
        <v>15041.188116085483</v>
      </c>
      <c r="BX28" s="100">
        <v>19.879018295919778</v>
      </c>
      <c r="BY28" s="100">
        <v>14670.715502388795</v>
      </c>
      <c r="BZ28" s="100">
        <v>25.106463847809792</v>
      </c>
      <c r="CA28" s="100">
        <v>18528.570319683626</v>
      </c>
      <c r="CB28" s="100">
        <v>20.820754153278077</v>
      </c>
      <c r="CC28" s="100">
        <v>15365.716565119221</v>
      </c>
      <c r="CD28" s="100">
        <v>24.062547832218129</v>
      </c>
      <c r="CE28" s="100">
        <v>17758.16030017698</v>
      </c>
      <c r="CF28" s="100">
        <v>20.821535449167353</v>
      </c>
      <c r="CG28" s="100">
        <v>15366.293161485506</v>
      </c>
      <c r="CH28" s="100">
        <v>25.536972191264052</v>
      </c>
      <c r="CI28" s="100">
        <v>18846.285477152869</v>
      </c>
      <c r="CJ28" s="100">
        <v>20.089856368755289</v>
      </c>
      <c r="CK28" s="100">
        <v>14826.314000141403</v>
      </c>
      <c r="CL28" s="100">
        <v>23</v>
      </c>
      <c r="CM28" s="100">
        <v>16974</v>
      </c>
      <c r="CN28" s="100">
        <v>1.7934403791880948</v>
      </c>
      <c r="CO28" s="100">
        <v>1323.5589998408141</v>
      </c>
      <c r="CP28" s="100">
        <v>0.50043470331593765</v>
      </c>
      <c r="CQ28" s="100">
        <v>369.32081104716201</v>
      </c>
      <c r="CR28" s="100">
        <v>0.46964539314658627</v>
      </c>
      <c r="CS28" s="100">
        <v>346.59830014218068</v>
      </c>
      <c r="CT28" s="100">
        <v>0.40640188741448019</v>
      </c>
      <c r="CU28" s="100">
        <v>299.92459291188641</v>
      </c>
    </row>
    <row r="29" spans="2:99">
      <c r="C29" s="99" t="s">
        <v>195</v>
      </c>
      <c r="D29" s="100">
        <v>23</v>
      </c>
      <c r="E29" s="100">
        <v>7783.2</v>
      </c>
      <c r="F29" s="100">
        <v>20</v>
      </c>
      <c r="G29" s="100">
        <v>6768</v>
      </c>
      <c r="H29" s="100">
        <v>18</v>
      </c>
      <c r="I29" s="100">
        <v>6091.2</v>
      </c>
      <c r="J29" s="100">
        <v>22</v>
      </c>
      <c r="K29" s="100">
        <v>7444.7999999999993</v>
      </c>
      <c r="L29" s="100">
        <v>24</v>
      </c>
      <c r="M29" s="100">
        <v>8121.5999999999995</v>
      </c>
      <c r="N29" s="100">
        <v>14</v>
      </c>
      <c r="O29" s="100">
        <v>4737.5999999999995</v>
      </c>
      <c r="P29" s="100">
        <v>27</v>
      </c>
      <c r="Q29" s="100">
        <v>9136.7999999999993</v>
      </c>
      <c r="R29" s="100">
        <v>17</v>
      </c>
      <c r="S29" s="100">
        <v>5752.7999999999993</v>
      </c>
      <c r="T29" s="100">
        <v>17</v>
      </c>
      <c r="U29" s="100">
        <v>5752.7999999999993</v>
      </c>
      <c r="V29" s="100">
        <v>22</v>
      </c>
      <c r="W29" s="100">
        <v>7444.7999999999993</v>
      </c>
      <c r="X29" s="100">
        <v>16</v>
      </c>
      <c r="Y29" s="100">
        <v>5414.4</v>
      </c>
      <c r="Z29" s="100">
        <v>25</v>
      </c>
      <c r="AA29" s="100">
        <v>8460</v>
      </c>
      <c r="AB29" s="100">
        <v>18</v>
      </c>
      <c r="AC29" s="100">
        <v>6091.2</v>
      </c>
      <c r="AD29" s="100">
        <v>22</v>
      </c>
      <c r="AE29" s="100">
        <v>7444.7999999999993</v>
      </c>
      <c r="AF29" s="100">
        <v>26</v>
      </c>
      <c r="AG29" s="100">
        <v>8798.4</v>
      </c>
      <c r="AH29" s="100">
        <v>29</v>
      </c>
      <c r="AI29" s="100">
        <v>9813.5999999999985</v>
      </c>
      <c r="AJ29" s="100">
        <v>26</v>
      </c>
      <c r="AK29" s="100">
        <v>8798.4</v>
      </c>
      <c r="AL29" s="100">
        <v>18</v>
      </c>
      <c r="AM29" s="100">
        <v>6091.2</v>
      </c>
      <c r="AN29" s="100">
        <v>31</v>
      </c>
      <c r="AO29" s="100">
        <v>10490.4</v>
      </c>
      <c r="AP29" s="100">
        <v>19</v>
      </c>
      <c r="AQ29" s="100">
        <v>6429.5999999999995</v>
      </c>
      <c r="AR29" s="100">
        <v>29</v>
      </c>
      <c r="AS29" s="100">
        <v>9813.5999999999985</v>
      </c>
      <c r="AT29" s="100">
        <v>23.409443676308566</v>
      </c>
      <c r="AU29" s="100">
        <v>7921.7557400628184</v>
      </c>
      <c r="AV29" s="100">
        <v>17.169874105771864</v>
      </c>
      <c r="AW29" s="100">
        <v>5810.2853973931988</v>
      </c>
      <c r="AX29" s="100">
        <v>17.818209093695618</v>
      </c>
      <c r="AY29" s="100">
        <v>6029.6819573065968</v>
      </c>
      <c r="AZ29" s="100">
        <v>23</v>
      </c>
      <c r="BA29" s="100">
        <v>7783.2</v>
      </c>
      <c r="BB29" s="100">
        <v>16</v>
      </c>
      <c r="BC29" s="100">
        <v>5414.4</v>
      </c>
      <c r="BD29" s="100">
        <v>28.495251647323776</v>
      </c>
      <c r="BE29" s="100">
        <v>9642.7931574543654</v>
      </c>
      <c r="BF29" s="100">
        <v>23</v>
      </c>
      <c r="BG29" s="100">
        <v>7783.2</v>
      </c>
      <c r="BH29" s="100">
        <v>23.925117725233488</v>
      </c>
      <c r="BI29" s="100">
        <v>8096.2598382190117</v>
      </c>
      <c r="BJ29" s="100">
        <v>16.582263954248521</v>
      </c>
      <c r="BK29" s="100">
        <v>5611.4381221176991</v>
      </c>
      <c r="BL29" s="100">
        <v>21.156419674668321</v>
      </c>
      <c r="BM29" s="100">
        <v>7159.332417907759</v>
      </c>
      <c r="BN29" s="100">
        <v>22.48725828510074</v>
      </c>
      <c r="BO29" s="100">
        <v>7609.6882036780898</v>
      </c>
      <c r="BP29" s="100">
        <v>20.613320094675679</v>
      </c>
      <c r="BQ29" s="100">
        <v>6975.5475200382489</v>
      </c>
      <c r="BR29" s="100">
        <v>18.556923437186086</v>
      </c>
      <c r="BS29" s="100">
        <v>6279.662891143771</v>
      </c>
      <c r="BT29" s="100">
        <v>23.655660993759053</v>
      </c>
      <c r="BU29" s="100">
        <v>8005.0756802880633</v>
      </c>
      <c r="BV29" s="100">
        <v>22.32206263195032</v>
      </c>
      <c r="BW29" s="100">
        <v>7553.7859946519875</v>
      </c>
      <c r="BX29" s="100">
        <v>19.05072586692312</v>
      </c>
      <c r="BY29" s="100">
        <v>6446.7656333667837</v>
      </c>
      <c r="BZ29" s="100">
        <v>25.916349778384301</v>
      </c>
      <c r="CA29" s="100">
        <v>8770.0927650052472</v>
      </c>
      <c r="CB29" s="100">
        <v>21.812218636767508</v>
      </c>
      <c r="CC29" s="100">
        <v>7381.2547866821242</v>
      </c>
      <c r="CD29" s="100">
        <v>23.137065223286665</v>
      </c>
      <c r="CE29" s="100">
        <v>7829.5828715602074</v>
      </c>
      <c r="CF29" s="100">
        <v>23.320119703067434</v>
      </c>
      <c r="CG29" s="100">
        <v>7891.5285075180191</v>
      </c>
      <c r="CH29" s="100">
        <v>23.889425598279274</v>
      </c>
      <c r="CI29" s="100">
        <v>8084.181622457706</v>
      </c>
      <c r="CJ29" s="100">
        <v>22.710272416853805</v>
      </c>
      <c r="CK29" s="100">
        <v>7685.1561858633268</v>
      </c>
      <c r="CL29" s="100">
        <v>24</v>
      </c>
      <c r="CM29" s="100">
        <v>8121.5999999999995</v>
      </c>
      <c r="CN29" s="100">
        <v>1.7934403791880948</v>
      </c>
      <c r="CO29" s="100">
        <v>606.90022431725129</v>
      </c>
      <c r="CP29" s="100">
        <v>0.51968219190501219</v>
      </c>
      <c r="CQ29" s="100">
        <v>175.86045374065611</v>
      </c>
      <c r="CR29" s="100">
        <v>0.48770867749837798</v>
      </c>
      <c r="CS29" s="100">
        <v>165.04061646545111</v>
      </c>
      <c r="CT29" s="100">
        <v>0.45720212334129012</v>
      </c>
      <c r="CU29" s="100">
        <v>154.71719853869257</v>
      </c>
    </row>
    <row r="30" spans="2:99">
      <c r="C30" s="99" t="s">
        <v>196</v>
      </c>
      <c r="D30" s="100">
        <v>23</v>
      </c>
      <c r="E30" s="100">
        <v>3201.6</v>
      </c>
      <c r="F30" s="100">
        <v>21</v>
      </c>
      <c r="G30" s="100">
        <v>2923.2</v>
      </c>
      <c r="H30" s="100">
        <v>20</v>
      </c>
      <c r="I30" s="100">
        <v>2784</v>
      </c>
      <c r="J30" s="100">
        <v>25</v>
      </c>
      <c r="K30" s="100">
        <v>3479.9999999999995</v>
      </c>
      <c r="L30" s="100">
        <v>26</v>
      </c>
      <c r="M30" s="100">
        <v>3619.2</v>
      </c>
      <c r="N30" s="100">
        <v>14</v>
      </c>
      <c r="O30" s="100">
        <v>1948.7999999999997</v>
      </c>
      <c r="P30" s="100">
        <v>26</v>
      </c>
      <c r="Q30" s="100">
        <v>3619.2</v>
      </c>
      <c r="R30" s="100">
        <v>17</v>
      </c>
      <c r="S30" s="100">
        <v>2366.3999999999996</v>
      </c>
      <c r="T30" s="100">
        <v>16</v>
      </c>
      <c r="U30" s="100">
        <v>2227.1999999999998</v>
      </c>
      <c r="V30" s="100">
        <v>22</v>
      </c>
      <c r="W30" s="100">
        <v>3062.3999999999996</v>
      </c>
      <c r="X30" s="100">
        <v>16</v>
      </c>
      <c r="Y30" s="100">
        <v>2227.1999999999998</v>
      </c>
      <c r="Z30" s="100">
        <v>24</v>
      </c>
      <c r="AA30" s="100">
        <v>3340.7999999999997</v>
      </c>
      <c r="AB30" s="100">
        <v>20</v>
      </c>
      <c r="AC30" s="100">
        <v>2784</v>
      </c>
      <c r="AD30" s="100">
        <v>23</v>
      </c>
      <c r="AE30" s="100">
        <v>3201.6</v>
      </c>
      <c r="AF30" s="100">
        <v>25</v>
      </c>
      <c r="AG30" s="100">
        <v>3479.9999999999995</v>
      </c>
      <c r="AH30" s="100">
        <v>26</v>
      </c>
      <c r="AI30" s="100">
        <v>3619.2</v>
      </c>
      <c r="AJ30" s="100">
        <v>27</v>
      </c>
      <c r="AK30" s="100">
        <v>3758.3999999999996</v>
      </c>
      <c r="AL30" s="100">
        <v>18</v>
      </c>
      <c r="AM30" s="100">
        <v>2505.6</v>
      </c>
      <c r="AN30" s="100">
        <v>32</v>
      </c>
      <c r="AO30" s="100">
        <v>4454.3999999999996</v>
      </c>
      <c r="AP30" s="100">
        <v>19</v>
      </c>
      <c r="AQ30" s="100">
        <v>2644.7999999999997</v>
      </c>
      <c r="AR30" s="100">
        <v>30</v>
      </c>
      <c r="AS30" s="100">
        <v>4176</v>
      </c>
      <c r="AT30" s="100">
        <v>23.409443676308566</v>
      </c>
      <c r="AU30" s="100">
        <v>3258.5945597421523</v>
      </c>
      <c r="AV30" s="100">
        <v>19.077637895302072</v>
      </c>
      <c r="AW30" s="100">
        <v>2655.607195026048</v>
      </c>
      <c r="AX30" s="100">
        <v>18.756009572311175</v>
      </c>
      <c r="AY30" s="100">
        <v>2610.8365324657152</v>
      </c>
      <c r="AZ30" s="100">
        <v>22</v>
      </c>
      <c r="BA30" s="100">
        <v>3062.3999999999996</v>
      </c>
      <c r="BB30" s="100">
        <v>16</v>
      </c>
      <c r="BC30" s="100">
        <v>2227.1999999999998</v>
      </c>
      <c r="BD30" s="100">
        <v>29.445093368901237</v>
      </c>
      <c r="BE30" s="100">
        <v>4098.7569969510514</v>
      </c>
      <c r="BF30" s="100">
        <v>26</v>
      </c>
      <c r="BG30" s="100">
        <v>3619.2</v>
      </c>
      <c r="BH30" s="100">
        <v>23.925117725233488</v>
      </c>
      <c r="BI30" s="100">
        <v>3330.3763873525013</v>
      </c>
      <c r="BJ30" s="100">
        <v>19.200516157550922</v>
      </c>
      <c r="BK30" s="100">
        <v>2672.711849131088</v>
      </c>
      <c r="BL30" s="100">
        <v>22.076264008349554</v>
      </c>
      <c r="BM30" s="100">
        <v>3073.0159499622578</v>
      </c>
      <c r="BN30" s="100">
        <v>24.442672049022544</v>
      </c>
      <c r="BO30" s="100">
        <v>3402.4199492239377</v>
      </c>
      <c r="BP30" s="100">
        <v>21.550289189888211</v>
      </c>
      <c r="BQ30" s="100">
        <v>2999.8002552324388</v>
      </c>
      <c r="BR30" s="100">
        <v>17.713426917313992</v>
      </c>
      <c r="BS30" s="100">
        <v>2465.7090268901075</v>
      </c>
      <c r="BT30" s="100">
        <v>24.500506029250449</v>
      </c>
      <c r="BU30" s="100">
        <v>3410.4704392716621</v>
      </c>
      <c r="BV30" s="100">
        <v>20.381013707432903</v>
      </c>
      <c r="BW30" s="100">
        <v>2837.03710807466</v>
      </c>
      <c r="BX30" s="100">
        <v>21.53560315391309</v>
      </c>
      <c r="BY30" s="100">
        <v>2997.755959024702</v>
      </c>
      <c r="BZ30" s="100">
        <v>25.106463847809792</v>
      </c>
      <c r="CA30" s="100">
        <v>3494.8197676151226</v>
      </c>
      <c r="CB30" s="100">
        <v>25.77807657072524</v>
      </c>
      <c r="CC30" s="100">
        <v>3588.3082586449532</v>
      </c>
      <c r="CD30" s="100">
        <v>24.988030441149597</v>
      </c>
      <c r="CE30" s="100">
        <v>3478.3338374080236</v>
      </c>
      <c r="CF30" s="100">
        <v>21.654396867134043</v>
      </c>
      <c r="CG30" s="100">
        <v>3014.2920439050586</v>
      </c>
      <c r="CH30" s="100">
        <v>27.184518784248827</v>
      </c>
      <c r="CI30" s="100">
        <v>3784.0850147674364</v>
      </c>
      <c r="CJ30" s="100">
        <v>23.583744432886643</v>
      </c>
      <c r="CK30" s="100">
        <v>3282.8572250578204</v>
      </c>
      <c r="CL30" s="100">
        <v>27</v>
      </c>
      <c r="CM30" s="100">
        <v>3758.3999999999996</v>
      </c>
      <c r="CN30" s="100">
        <v>1.7355874637304143</v>
      </c>
      <c r="CO30" s="100">
        <v>241.59377495127364</v>
      </c>
      <c r="CP30" s="100">
        <v>0.48118721472686321</v>
      </c>
      <c r="CQ30" s="100">
        <v>66.98126028997936</v>
      </c>
      <c r="CR30" s="100">
        <v>0.48770867749837798</v>
      </c>
      <c r="CS30" s="100">
        <v>67.889047907774213</v>
      </c>
      <c r="CT30" s="100">
        <v>0.47413553531689351</v>
      </c>
      <c r="CU30" s="100">
        <v>65.999666516111574</v>
      </c>
    </row>
    <row r="31" spans="2:99">
      <c r="C31" s="99" t="s">
        <v>197</v>
      </c>
      <c r="D31" s="100">
        <v>23</v>
      </c>
      <c r="E31" s="100">
        <v>7838.4000000000005</v>
      </c>
      <c r="F31" s="100">
        <v>21</v>
      </c>
      <c r="G31" s="100">
        <v>7156.8</v>
      </c>
      <c r="H31" s="100">
        <v>19</v>
      </c>
      <c r="I31" s="100">
        <v>6475.2</v>
      </c>
      <c r="J31" s="100">
        <v>24</v>
      </c>
      <c r="K31" s="100">
        <v>8179.2000000000007</v>
      </c>
      <c r="L31" s="100">
        <v>24</v>
      </c>
      <c r="M31" s="100">
        <v>8179.2000000000007</v>
      </c>
      <c r="N31" s="100">
        <v>14</v>
      </c>
      <c r="O31" s="100">
        <v>4771.2</v>
      </c>
      <c r="P31" s="100">
        <v>25</v>
      </c>
      <c r="Q31" s="100">
        <v>8520</v>
      </c>
      <c r="R31" s="100">
        <v>17</v>
      </c>
      <c r="S31" s="100">
        <v>5793.6</v>
      </c>
      <c r="T31" s="100">
        <v>17</v>
      </c>
      <c r="U31" s="100">
        <v>5793.6</v>
      </c>
      <c r="V31" s="100">
        <v>22</v>
      </c>
      <c r="W31" s="100">
        <v>7497.6</v>
      </c>
      <c r="X31" s="100">
        <v>17</v>
      </c>
      <c r="Y31" s="100">
        <v>5793.6</v>
      </c>
      <c r="Z31" s="100">
        <v>24</v>
      </c>
      <c r="AA31" s="100">
        <v>8179.2000000000007</v>
      </c>
      <c r="AB31" s="100">
        <v>18</v>
      </c>
      <c r="AC31" s="100">
        <v>6134.4000000000005</v>
      </c>
      <c r="AD31" s="100">
        <v>22</v>
      </c>
      <c r="AE31" s="100">
        <v>7497.6</v>
      </c>
      <c r="AF31" s="100">
        <v>28</v>
      </c>
      <c r="AG31" s="100">
        <v>9542.4</v>
      </c>
      <c r="AH31" s="100">
        <v>26</v>
      </c>
      <c r="AI31" s="100">
        <v>8860.8000000000011</v>
      </c>
      <c r="AJ31" s="100">
        <v>27</v>
      </c>
      <c r="AK31" s="100">
        <v>9201.6</v>
      </c>
      <c r="AL31" s="100">
        <v>17</v>
      </c>
      <c r="AM31" s="100">
        <v>5793.6</v>
      </c>
      <c r="AN31" s="100">
        <v>29</v>
      </c>
      <c r="AO31" s="100">
        <v>9883.2000000000007</v>
      </c>
      <c r="AP31" s="100">
        <v>18</v>
      </c>
      <c r="AQ31" s="100">
        <v>6134.4000000000005</v>
      </c>
      <c r="AR31" s="100">
        <v>30</v>
      </c>
      <c r="AS31" s="100">
        <v>10224</v>
      </c>
      <c r="AT31" s="100">
        <v>26.010492973676186</v>
      </c>
      <c r="AU31" s="100">
        <v>8864.376005428845</v>
      </c>
      <c r="AV31" s="100">
        <v>17.169874105771864</v>
      </c>
      <c r="AW31" s="100">
        <v>5851.4930952470513</v>
      </c>
      <c r="AX31" s="100">
        <v>16.880408615080057</v>
      </c>
      <c r="AY31" s="100">
        <v>5752.8432560192841</v>
      </c>
      <c r="AZ31" s="100">
        <v>24</v>
      </c>
      <c r="BA31" s="100">
        <v>8179.2000000000007</v>
      </c>
      <c r="BB31" s="100">
        <v>16</v>
      </c>
      <c r="BC31" s="100">
        <v>5452.8</v>
      </c>
      <c r="BD31" s="100">
        <v>28.495251647323776</v>
      </c>
      <c r="BE31" s="100">
        <v>9711.1817614079428</v>
      </c>
      <c r="BF31" s="100">
        <v>26</v>
      </c>
      <c r="BG31" s="100">
        <v>8860.8000000000011</v>
      </c>
      <c r="BH31" s="100">
        <v>22.011108307214812</v>
      </c>
      <c r="BI31" s="100">
        <v>7501.3857110988083</v>
      </c>
      <c r="BJ31" s="100">
        <v>17.455014688682656</v>
      </c>
      <c r="BK31" s="100">
        <v>5948.6690059030498</v>
      </c>
      <c r="BL31" s="100">
        <v>22.996108342030784</v>
      </c>
      <c r="BM31" s="100">
        <v>7837.0737229640918</v>
      </c>
      <c r="BN31" s="100">
        <v>21.509551403139838</v>
      </c>
      <c r="BO31" s="100">
        <v>7330.455118190057</v>
      </c>
      <c r="BP31" s="100">
        <v>21.550289189888211</v>
      </c>
      <c r="BQ31" s="100">
        <v>7344.3385559139024</v>
      </c>
      <c r="BR31" s="100">
        <v>19.40041995705818</v>
      </c>
      <c r="BS31" s="100">
        <v>6611.6631213654282</v>
      </c>
      <c r="BT31" s="100">
        <v>22.810815958267657</v>
      </c>
      <c r="BU31" s="100">
        <v>7773.9260785776178</v>
      </c>
      <c r="BV31" s="100">
        <v>21.351538169691615</v>
      </c>
      <c r="BW31" s="100">
        <v>7276.6042082309023</v>
      </c>
      <c r="BX31" s="100">
        <v>19.879018295919778</v>
      </c>
      <c r="BY31" s="100">
        <v>6774.7694352494609</v>
      </c>
      <c r="BZ31" s="100">
        <v>25.916349778384301</v>
      </c>
      <c r="CA31" s="100">
        <v>8832.292004473371</v>
      </c>
      <c r="CB31" s="100">
        <v>24.786612087235806</v>
      </c>
      <c r="CC31" s="100">
        <v>8447.2773993299634</v>
      </c>
      <c r="CD31" s="100">
        <v>24.062547832218129</v>
      </c>
      <c r="CE31" s="100">
        <v>8200.5163012199391</v>
      </c>
      <c r="CF31" s="100">
        <v>23.320119703067434</v>
      </c>
      <c r="CG31" s="100">
        <v>7947.4967948053818</v>
      </c>
      <c r="CH31" s="100">
        <v>23.065652301786887</v>
      </c>
      <c r="CI31" s="100">
        <v>7860.7743044489716</v>
      </c>
      <c r="CJ31" s="100">
        <v>20.089856368755289</v>
      </c>
      <c r="CK31" s="100">
        <v>6846.6230504718023</v>
      </c>
      <c r="CL31" s="100">
        <v>23</v>
      </c>
      <c r="CM31" s="100">
        <v>7838.4000000000005</v>
      </c>
      <c r="CN31" s="100">
        <v>1.7934403791880948</v>
      </c>
      <c r="CO31" s="100">
        <v>611.20448122730272</v>
      </c>
      <c r="CP31" s="100">
        <v>0.50043470331593765</v>
      </c>
      <c r="CQ31" s="100">
        <v>170.54814689007156</v>
      </c>
      <c r="CR31" s="100">
        <v>0.45158210879479449</v>
      </c>
      <c r="CS31" s="100">
        <v>153.89918267726597</v>
      </c>
      <c r="CT31" s="100">
        <v>0.50800235926810022</v>
      </c>
      <c r="CU31" s="100">
        <v>173.12720403856855</v>
      </c>
    </row>
    <row r="32" spans="2:99">
      <c r="C32" s="99" t="s">
        <v>198</v>
      </c>
      <c r="D32" s="100">
        <v>22</v>
      </c>
      <c r="E32" s="100">
        <v>18480</v>
      </c>
      <c r="F32" s="100">
        <v>22</v>
      </c>
      <c r="G32" s="100">
        <v>18480</v>
      </c>
      <c r="H32" s="100">
        <v>18</v>
      </c>
      <c r="I32" s="100">
        <v>15120</v>
      </c>
      <c r="J32" s="100">
        <v>22</v>
      </c>
      <c r="K32" s="100">
        <v>18480</v>
      </c>
      <c r="L32" s="100">
        <v>24</v>
      </c>
      <c r="M32" s="100">
        <v>20160</v>
      </c>
      <c r="N32" s="100">
        <v>13</v>
      </c>
      <c r="O32" s="100">
        <v>10920</v>
      </c>
      <c r="P32" s="100">
        <v>24</v>
      </c>
      <c r="Q32" s="100">
        <v>20160</v>
      </c>
      <c r="R32" s="100">
        <v>18</v>
      </c>
      <c r="S32" s="100">
        <v>15120</v>
      </c>
      <c r="T32" s="100">
        <v>16</v>
      </c>
      <c r="U32" s="100">
        <v>13440</v>
      </c>
      <c r="V32" s="100">
        <v>20</v>
      </c>
      <c r="W32" s="100">
        <v>16800</v>
      </c>
      <c r="X32" s="100">
        <v>15</v>
      </c>
      <c r="Y32" s="100">
        <v>12600</v>
      </c>
      <c r="Z32" s="100">
        <v>21</v>
      </c>
      <c r="AA32" s="100">
        <v>17640</v>
      </c>
      <c r="AB32" s="100">
        <v>16</v>
      </c>
      <c r="AC32" s="100">
        <v>13440</v>
      </c>
      <c r="AD32" s="100">
        <v>21</v>
      </c>
      <c r="AE32" s="100">
        <v>17640</v>
      </c>
      <c r="AF32" s="100">
        <v>25</v>
      </c>
      <c r="AG32" s="100">
        <v>21000</v>
      </c>
      <c r="AH32" s="100">
        <v>28</v>
      </c>
      <c r="AI32" s="100">
        <v>23520</v>
      </c>
      <c r="AJ32" s="100">
        <v>29</v>
      </c>
      <c r="AK32" s="100">
        <v>24360</v>
      </c>
      <c r="AL32" s="100">
        <v>15</v>
      </c>
      <c r="AM32" s="100">
        <v>12600</v>
      </c>
      <c r="AN32" s="100">
        <v>30</v>
      </c>
      <c r="AO32" s="100">
        <v>25200</v>
      </c>
      <c r="AP32" s="100">
        <v>17</v>
      </c>
      <c r="AQ32" s="100">
        <v>14280</v>
      </c>
      <c r="AR32" s="100">
        <v>27</v>
      </c>
      <c r="AS32" s="100">
        <v>22680</v>
      </c>
      <c r="AT32" s="100">
        <v>20.80839437894095</v>
      </c>
      <c r="AU32" s="100">
        <v>17479.051278310399</v>
      </c>
      <c r="AV32" s="100">
        <v>18.123756000536968</v>
      </c>
      <c r="AW32" s="100">
        <v>15223.955040451054</v>
      </c>
      <c r="AX32" s="100">
        <v>17.818209093695618</v>
      </c>
      <c r="AY32" s="100">
        <v>14967.29563870432</v>
      </c>
      <c r="AZ32" s="100">
        <v>22</v>
      </c>
      <c r="BA32" s="100">
        <v>18480</v>
      </c>
      <c r="BB32" s="100">
        <v>18</v>
      </c>
      <c r="BC32" s="100">
        <v>15120</v>
      </c>
      <c r="BD32" s="100">
        <v>24.695884761013939</v>
      </c>
      <c r="BE32" s="100">
        <v>20744.543199251708</v>
      </c>
      <c r="BF32" s="100">
        <v>22</v>
      </c>
      <c r="BG32" s="100">
        <v>18480</v>
      </c>
      <c r="BH32" s="100">
        <v>21.054103598205472</v>
      </c>
      <c r="BI32" s="100">
        <v>17685.447022492597</v>
      </c>
      <c r="BJ32" s="100">
        <v>15.70951321981439</v>
      </c>
      <c r="BK32" s="100">
        <v>13195.991104644088</v>
      </c>
      <c r="BL32" s="100">
        <v>22.076264008349554</v>
      </c>
      <c r="BM32" s="100">
        <v>18544.061767013627</v>
      </c>
      <c r="BN32" s="100">
        <v>22.48725828510074</v>
      </c>
      <c r="BO32" s="100">
        <v>18889.296959484622</v>
      </c>
      <c r="BP32" s="100">
        <v>20.613320094675679</v>
      </c>
      <c r="BQ32" s="100">
        <v>17315.18887952757</v>
      </c>
      <c r="BR32" s="100">
        <v>18.556923437186086</v>
      </c>
      <c r="BS32" s="100">
        <v>15587.815687236312</v>
      </c>
      <c r="BT32" s="100">
        <v>23.655660993759053</v>
      </c>
      <c r="BU32" s="100">
        <v>19870.755234757606</v>
      </c>
      <c r="BV32" s="100">
        <v>20.381013707432903</v>
      </c>
      <c r="BW32" s="100">
        <v>17120.051514243638</v>
      </c>
      <c r="BX32" s="100">
        <v>22.363895582909748</v>
      </c>
      <c r="BY32" s="100">
        <v>18785.67228964419</v>
      </c>
      <c r="BZ32" s="100">
        <v>22.676806056086264</v>
      </c>
      <c r="CA32" s="100">
        <v>19048.517087112461</v>
      </c>
      <c r="CB32" s="100">
        <v>22.803683120256945</v>
      </c>
      <c r="CC32" s="100">
        <v>19155.093821015835</v>
      </c>
      <c r="CD32" s="100">
        <v>22.211582614355198</v>
      </c>
      <c r="CE32" s="100">
        <v>18657.729396058367</v>
      </c>
      <c r="CF32" s="100">
        <v>22.48725828510074</v>
      </c>
      <c r="CG32" s="100">
        <v>18889.296959484622</v>
      </c>
      <c r="CH32" s="100">
        <v>22.241879005294496</v>
      </c>
      <c r="CI32" s="100">
        <v>18683.178364447376</v>
      </c>
      <c r="CJ32" s="100">
        <v>20.963328384788131</v>
      </c>
      <c r="CK32" s="100">
        <v>17609.195843222031</v>
      </c>
      <c r="CL32" s="100">
        <v>25</v>
      </c>
      <c r="CM32" s="100">
        <v>21000</v>
      </c>
      <c r="CN32" s="100">
        <v>1.8512932946457754</v>
      </c>
      <c r="CO32" s="100">
        <v>1555.0863675024514</v>
      </c>
      <c r="CP32" s="100">
        <v>0.44269223754871406</v>
      </c>
      <c r="CQ32" s="100">
        <v>371.86147954091979</v>
      </c>
      <c r="CR32" s="100">
        <v>0.43351882444300271</v>
      </c>
      <c r="CS32" s="100">
        <v>364.1558125321223</v>
      </c>
      <c r="CT32" s="100">
        <v>0.45720212334129012</v>
      </c>
      <c r="CU32" s="100">
        <v>384.04978360668372</v>
      </c>
    </row>
    <row r="33" spans="2:99">
      <c r="C33" s="99" t="s">
        <v>199</v>
      </c>
      <c r="D33" s="100">
        <v>23</v>
      </c>
      <c r="E33" s="100">
        <v>10902</v>
      </c>
      <c r="F33" s="100">
        <v>22</v>
      </c>
      <c r="G33" s="100">
        <v>10428</v>
      </c>
      <c r="H33" s="100">
        <v>21</v>
      </c>
      <c r="I33" s="100">
        <v>9954</v>
      </c>
      <c r="J33" s="100">
        <v>22</v>
      </c>
      <c r="K33" s="100">
        <v>10428</v>
      </c>
      <c r="L33" s="100">
        <v>27</v>
      </c>
      <c r="M33" s="100">
        <v>12798</v>
      </c>
      <c r="N33" s="100">
        <v>15</v>
      </c>
      <c r="O33" s="100">
        <v>7110</v>
      </c>
      <c r="P33" s="100">
        <v>24</v>
      </c>
      <c r="Q33" s="100">
        <v>11376</v>
      </c>
      <c r="R33" s="100">
        <v>16</v>
      </c>
      <c r="S33" s="100">
        <v>7584</v>
      </c>
      <c r="T33" s="100">
        <v>15</v>
      </c>
      <c r="U33" s="100">
        <v>7110</v>
      </c>
      <c r="V33" s="100">
        <v>24</v>
      </c>
      <c r="W33" s="100">
        <v>11376</v>
      </c>
      <c r="X33" s="100">
        <v>16</v>
      </c>
      <c r="Y33" s="100">
        <v>7584</v>
      </c>
      <c r="Z33" s="100">
        <v>26</v>
      </c>
      <c r="AA33" s="100">
        <v>12324</v>
      </c>
      <c r="AB33" s="100">
        <v>17</v>
      </c>
      <c r="AC33" s="100">
        <v>8058</v>
      </c>
      <c r="AD33" s="100">
        <v>24</v>
      </c>
      <c r="AE33" s="100">
        <v>11376</v>
      </c>
      <c r="AF33" s="100">
        <v>26</v>
      </c>
      <c r="AG33" s="100">
        <v>12324</v>
      </c>
      <c r="AH33" s="100">
        <v>26</v>
      </c>
      <c r="AI33" s="100">
        <v>12324</v>
      </c>
      <c r="AJ33" s="100">
        <v>28</v>
      </c>
      <c r="AK33" s="100">
        <v>13272</v>
      </c>
      <c r="AL33" s="100">
        <v>17</v>
      </c>
      <c r="AM33" s="100">
        <v>8058</v>
      </c>
      <c r="AN33" s="100">
        <v>27</v>
      </c>
      <c r="AO33" s="100">
        <v>12798</v>
      </c>
      <c r="AP33" s="100">
        <v>19</v>
      </c>
      <c r="AQ33" s="100">
        <v>9006</v>
      </c>
      <c r="AR33" s="100">
        <v>26</v>
      </c>
      <c r="AS33" s="100">
        <v>12324</v>
      </c>
      <c r="AT33" s="100">
        <v>24.276460108764439</v>
      </c>
      <c r="AU33" s="100">
        <v>11507.042091554344</v>
      </c>
      <c r="AV33" s="100">
        <v>17.169874105771864</v>
      </c>
      <c r="AW33" s="100">
        <v>8138.5203261358638</v>
      </c>
      <c r="AX33" s="100">
        <v>19.693810050926736</v>
      </c>
      <c r="AY33" s="100">
        <v>9334.8659641392733</v>
      </c>
      <c r="AZ33" s="100">
        <v>23</v>
      </c>
      <c r="BA33" s="100">
        <v>10902</v>
      </c>
      <c r="BB33" s="100">
        <v>18</v>
      </c>
      <c r="BC33" s="100">
        <v>8532</v>
      </c>
      <c r="BD33" s="100">
        <v>29.445093368901237</v>
      </c>
      <c r="BE33" s="100">
        <v>13956.974256859186</v>
      </c>
      <c r="BF33" s="100">
        <v>23</v>
      </c>
      <c r="BG33" s="100">
        <v>10902</v>
      </c>
      <c r="BH33" s="100">
        <v>20.097098889196129</v>
      </c>
      <c r="BI33" s="100">
        <v>9526.0248734789657</v>
      </c>
      <c r="BJ33" s="100">
        <v>18.327765423116787</v>
      </c>
      <c r="BK33" s="100">
        <v>8687.3608105573567</v>
      </c>
      <c r="BL33" s="100">
        <v>23.915952675712017</v>
      </c>
      <c r="BM33" s="100">
        <v>11336.161568287496</v>
      </c>
      <c r="BN33" s="100">
        <v>21.509551403139838</v>
      </c>
      <c r="BO33" s="100">
        <v>10195.527365088283</v>
      </c>
      <c r="BP33" s="100">
        <v>20.613320094675679</v>
      </c>
      <c r="BQ33" s="100">
        <v>9770.713724876272</v>
      </c>
      <c r="BR33" s="100">
        <v>16.869930397441895</v>
      </c>
      <c r="BS33" s="100">
        <v>7996.3470083874581</v>
      </c>
      <c r="BT33" s="100">
        <v>20.276280851793473</v>
      </c>
      <c r="BU33" s="100">
        <v>9610.9571237501059</v>
      </c>
      <c r="BV33" s="100">
        <v>22.32206263195032</v>
      </c>
      <c r="BW33" s="100">
        <v>10580.657687544452</v>
      </c>
      <c r="BX33" s="100">
        <v>19.05072586692312</v>
      </c>
      <c r="BY33" s="100">
        <v>9030.0440609215584</v>
      </c>
      <c r="BZ33" s="100">
        <v>21.866920125511754</v>
      </c>
      <c r="CA33" s="100">
        <v>10364.920139492571</v>
      </c>
      <c r="CB33" s="100">
        <v>21.812218636767508</v>
      </c>
      <c r="CC33" s="100">
        <v>10338.991633827798</v>
      </c>
      <c r="CD33" s="100">
        <v>22.211582614355198</v>
      </c>
      <c r="CE33" s="100">
        <v>10528.290159204364</v>
      </c>
      <c r="CF33" s="100">
        <v>23.320119703067434</v>
      </c>
      <c r="CG33" s="100">
        <v>11053.736739253964</v>
      </c>
      <c r="CH33" s="100">
        <v>23.065652301786887</v>
      </c>
      <c r="CI33" s="100">
        <v>10933.119191046984</v>
      </c>
      <c r="CJ33" s="100">
        <v>21.836800400820966</v>
      </c>
      <c r="CK33" s="100">
        <v>10350.643389989138</v>
      </c>
      <c r="CL33" s="100">
        <v>22</v>
      </c>
      <c r="CM33" s="100">
        <v>10428</v>
      </c>
      <c r="CN33" s="100">
        <v>1.6777345482727339</v>
      </c>
      <c r="CO33" s="100">
        <v>795.24617588127592</v>
      </c>
      <c r="CP33" s="100">
        <v>0.53892968049408674</v>
      </c>
      <c r="CQ33" s="100">
        <v>255.45266855419712</v>
      </c>
      <c r="CR33" s="100">
        <v>0.50577196185016982</v>
      </c>
      <c r="CS33" s="100">
        <v>239.73590991698049</v>
      </c>
      <c r="CT33" s="100">
        <v>0.45720212334129012</v>
      </c>
      <c r="CU33" s="100">
        <v>216.7138064637715</v>
      </c>
    </row>
    <row r="34" spans="2:99">
      <c r="C34" s="99" t="s">
        <v>200</v>
      </c>
      <c r="D34" s="100">
        <v>24</v>
      </c>
      <c r="E34" s="100">
        <v>13161.599999999999</v>
      </c>
      <c r="F34" s="100">
        <v>23</v>
      </c>
      <c r="G34" s="100">
        <v>12613.199999999999</v>
      </c>
      <c r="H34" s="100">
        <v>19</v>
      </c>
      <c r="I34" s="100">
        <v>10419.6</v>
      </c>
      <c r="J34" s="100">
        <v>22</v>
      </c>
      <c r="K34" s="100">
        <v>12064.8</v>
      </c>
      <c r="L34" s="100">
        <v>26</v>
      </c>
      <c r="M34" s="100">
        <v>14258.4</v>
      </c>
      <c r="N34" s="100">
        <v>15</v>
      </c>
      <c r="O34" s="100">
        <v>8226</v>
      </c>
      <c r="P34" s="100">
        <v>25</v>
      </c>
      <c r="Q34" s="100">
        <v>13710</v>
      </c>
      <c r="R34" s="100">
        <v>19</v>
      </c>
      <c r="S34" s="100">
        <v>10419.6</v>
      </c>
      <c r="T34" s="100">
        <v>15</v>
      </c>
      <c r="U34" s="100">
        <v>8226</v>
      </c>
      <c r="V34" s="100">
        <v>23</v>
      </c>
      <c r="W34" s="100">
        <v>12613.199999999999</v>
      </c>
      <c r="X34" s="100">
        <v>17</v>
      </c>
      <c r="Y34" s="100">
        <v>9322.7999999999993</v>
      </c>
      <c r="Z34" s="100">
        <v>24</v>
      </c>
      <c r="AA34" s="100">
        <v>13161.599999999999</v>
      </c>
      <c r="AB34" s="100">
        <v>18</v>
      </c>
      <c r="AC34" s="100">
        <v>9871.1999999999989</v>
      </c>
      <c r="AD34" s="100">
        <v>22</v>
      </c>
      <c r="AE34" s="100">
        <v>12064.8</v>
      </c>
      <c r="AF34" s="100">
        <v>24</v>
      </c>
      <c r="AG34" s="100">
        <v>13161.599999999999</v>
      </c>
      <c r="AH34" s="100">
        <v>27</v>
      </c>
      <c r="AI34" s="100">
        <v>14806.8</v>
      </c>
      <c r="AJ34" s="100">
        <v>28</v>
      </c>
      <c r="AK34" s="100">
        <v>15355.199999999999</v>
      </c>
      <c r="AL34" s="100">
        <v>18</v>
      </c>
      <c r="AM34" s="100">
        <v>9871.1999999999989</v>
      </c>
      <c r="AN34" s="100">
        <v>27</v>
      </c>
      <c r="AO34" s="100">
        <v>14806.8</v>
      </c>
      <c r="AP34" s="100">
        <v>19</v>
      </c>
      <c r="AQ34" s="100">
        <v>10419.6</v>
      </c>
      <c r="AR34" s="100">
        <v>29</v>
      </c>
      <c r="AS34" s="100">
        <v>15903.599999999999</v>
      </c>
      <c r="AT34" s="100">
        <v>26.010492973676186</v>
      </c>
      <c r="AU34" s="100">
        <v>14264.15434676402</v>
      </c>
      <c r="AV34" s="100">
        <v>19.077637895302072</v>
      </c>
      <c r="AW34" s="100">
        <v>10462.176621783656</v>
      </c>
      <c r="AX34" s="100">
        <v>19.693810050926736</v>
      </c>
      <c r="AY34" s="100">
        <v>10800.085431928221</v>
      </c>
      <c r="AZ34" s="100">
        <v>21</v>
      </c>
      <c r="BA34" s="100">
        <v>11516.4</v>
      </c>
      <c r="BB34" s="100">
        <v>16</v>
      </c>
      <c r="BC34" s="100">
        <v>8774.4</v>
      </c>
      <c r="BD34" s="100">
        <v>26.59556820416886</v>
      </c>
      <c r="BE34" s="100">
        <v>14585.009603166201</v>
      </c>
      <c r="BF34" s="100">
        <v>23</v>
      </c>
      <c r="BG34" s="100">
        <v>12613.199999999999</v>
      </c>
      <c r="BH34" s="100">
        <v>21.054103598205472</v>
      </c>
      <c r="BI34" s="100">
        <v>11546.07041325588</v>
      </c>
      <c r="BJ34" s="100">
        <v>15.70951321981439</v>
      </c>
      <c r="BK34" s="100">
        <v>8615.0970497462113</v>
      </c>
      <c r="BL34" s="100">
        <v>22.076264008349554</v>
      </c>
      <c r="BM34" s="100">
        <v>12106.623182178895</v>
      </c>
      <c r="BN34" s="100">
        <v>21.509551403139838</v>
      </c>
      <c r="BO34" s="100">
        <v>11795.837989481886</v>
      </c>
      <c r="BP34" s="100">
        <v>20.613320094675679</v>
      </c>
      <c r="BQ34" s="100">
        <v>11304.344739920141</v>
      </c>
      <c r="BR34" s="100">
        <v>16.869930397441895</v>
      </c>
      <c r="BS34" s="100">
        <v>9251.4698299571355</v>
      </c>
      <c r="BT34" s="100">
        <v>21.965970922776265</v>
      </c>
      <c r="BU34" s="100">
        <v>12046.138454050502</v>
      </c>
      <c r="BV34" s="100">
        <v>19.410489245174194</v>
      </c>
      <c r="BW34" s="100">
        <v>10644.712302053527</v>
      </c>
      <c r="BX34" s="100">
        <v>22.363895582909748</v>
      </c>
      <c r="BY34" s="100">
        <v>12264.360337667706</v>
      </c>
      <c r="BZ34" s="100">
        <v>23.486691986660773</v>
      </c>
      <c r="CA34" s="100">
        <v>12880.101885484768</v>
      </c>
      <c r="CB34" s="100">
        <v>21.812218636767508</v>
      </c>
      <c r="CC34" s="100">
        <v>11961.820700403301</v>
      </c>
      <c r="CD34" s="100">
        <v>24.062547832218129</v>
      </c>
      <c r="CE34" s="100">
        <v>13195.901231188422</v>
      </c>
      <c r="CF34" s="100">
        <v>24.152981121034127</v>
      </c>
      <c r="CG34" s="100">
        <v>13245.494846775115</v>
      </c>
      <c r="CH34" s="100">
        <v>27.184518784248827</v>
      </c>
      <c r="CI34" s="100">
        <v>14907.990101282056</v>
      </c>
      <c r="CJ34" s="100">
        <v>22.710272416853805</v>
      </c>
      <c r="CK34" s="100">
        <v>12454.313393402626</v>
      </c>
      <c r="CL34" s="100">
        <v>25</v>
      </c>
      <c r="CM34" s="100">
        <v>13710</v>
      </c>
      <c r="CN34" s="100">
        <v>1.7355874637304143</v>
      </c>
      <c r="CO34" s="100">
        <v>951.79616510975916</v>
      </c>
      <c r="CP34" s="100">
        <v>0.46193972613778861</v>
      </c>
      <c r="CQ34" s="100">
        <v>253.32774581396328</v>
      </c>
      <c r="CR34" s="100">
        <v>0.48770867749837798</v>
      </c>
      <c r="CS34" s="100">
        <v>267.4594387401105</v>
      </c>
      <c r="CT34" s="100">
        <v>0.45720212334129012</v>
      </c>
      <c r="CU34" s="100">
        <v>250.7296444403635</v>
      </c>
    </row>
    <row r="35" spans="2:99">
      <c r="C35" s="99" t="s">
        <v>201</v>
      </c>
      <c r="D35" s="100">
        <v>21</v>
      </c>
      <c r="E35" s="100">
        <v>10558.799999999997</v>
      </c>
      <c r="F35" s="100">
        <v>19</v>
      </c>
      <c r="G35" s="100">
        <v>9553.1999999999989</v>
      </c>
      <c r="H35" s="100">
        <v>18</v>
      </c>
      <c r="I35" s="100">
        <v>9050.3999999999978</v>
      </c>
      <c r="J35" s="100">
        <v>25</v>
      </c>
      <c r="K35" s="100">
        <v>12569.999999999998</v>
      </c>
      <c r="L35" s="100">
        <v>24</v>
      </c>
      <c r="M35" s="100">
        <v>12067.199999999997</v>
      </c>
      <c r="N35" s="100">
        <v>16</v>
      </c>
      <c r="O35" s="100">
        <v>8044.7999999999984</v>
      </c>
      <c r="P35" s="100">
        <v>25</v>
      </c>
      <c r="Q35" s="100">
        <v>12569.999999999998</v>
      </c>
      <c r="R35" s="100">
        <v>18</v>
      </c>
      <c r="S35" s="100">
        <v>9050.3999999999978</v>
      </c>
      <c r="T35" s="100">
        <v>17</v>
      </c>
      <c r="U35" s="100">
        <v>8547.5999999999985</v>
      </c>
      <c r="V35" s="100">
        <v>24</v>
      </c>
      <c r="W35" s="100">
        <v>12067.199999999997</v>
      </c>
      <c r="X35" s="100">
        <v>15</v>
      </c>
      <c r="Y35" s="100">
        <v>7541.9999999999982</v>
      </c>
      <c r="Z35" s="100">
        <v>25</v>
      </c>
      <c r="AA35" s="100">
        <v>12569.999999999998</v>
      </c>
      <c r="AB35" s="100">
        <v>19</v>
      </c>
      <c r="AC35" s="100">
        <v>9553.1999999999989</v>
      </c>
      <c r="AD35" s="100">
        <v>26</v>
      </c>
      <c r="AE35" s="100">
        <v>13072.799999999997</v>
      </c>
      <c r="AF35" s="100">
        <v>25</v>
      </c>
      <c r="AG35" s="100">
        <v>12569.999999999998</v>
      </c>
      <c r="AH35" s="100">
        <v>29</v>
      </c>
      <c r="AI35" s="100">
        <v>14581.199999999997</v>
      </c>
      <c r="AJ35" s="100">
        <v>28</v>
      </c>
      <c r="AK35" s="100">
        <v>14078.399999999998</v>
      </c>
      <c r="AL35" s="100">
        <v>16</v>
      </c>
      <c r="AM35" s="100">
        <v>8044.7999999999984</v>
      </c>
      <c r="AN35" s="100">
        <v>27</v>
      </c>
      <c r="AO35" s="100">
        <v>13575.599999999997</v>
      </c>
      <c r="AP35" s="100">
        <v>21</v>
      </c>
      <c r="AQ35" s="100">
        <v>10558.799999999997</v>
      </c>
      <c r="AR35" s="100">
        <v>25</v>
      </c>
      <c r="AS35" s="100">
        <v>12569.999999999998</v>
      </c>
      <c r="AT35" s="100">
        <v>22.542427243852693</v>
      </c>
      <c r="AU35" s="100">
        <v>11334.332418209131</v>
      </c>
      <c r="AV35" s="100">
        <v>19.077637895302072</v>
      </c>
      <c r="AW35" s="100">
        <v>9592.236333757879</v>
      </c>
      <c r="AX35" s="100">
        <v>18.756009572311175</v>
      </c>
      <c r="AY35" s="100">
        <v>9430.5216129580567</v>
      </c>
      <c r="AZ35" s="100">
        <v>24</v>
      </c>
      <c r="BA35" s="100">
        <v>12067.199999999997</v>
      </c>
      <c r="BB35" s="100">
        <v>16</v>
      </c>
      <c r="BC35" s="100">
        <v>8044.7999999999984</v>
      </c>
      <c r="BD35" s="100">
        <v>28.495251647323776</v>
      </c>
      <c r="BE35" s="100">
        <v>14327.412528274392</v>
      </c>
      <c r="BF35" s="100">
        <v>22</v>
      </c>
      <c r="BG35" s="100">
        <v>11061.599999999999</v>
      </c>
      <c r="BH35" s="100">
        <v>21.054103598205472</v>
      </c>
      <c r="BI35" s="100">
        <v>10586.00328917771</v>
      </c>
      <c r="BJ35" s="100">
        <v>18.327765423116787</v>
      </c>
      <c r="BK35" s="100">
        <v>9215.2004547431188</v>
      </c>
      <c r="BL35" s="100">
        <v>24.835797009393247</v>
      </c>
      <c r="BM35" s="100">
        <v>12487.438736322922</v>
      </c>
      <c r="BN35" s="100">
        <v>22.48725828510074</v>
      </c>
      <c r="BO35" s="100">
        <v>11306.59346574865</v>
      </c>
      <c r="BP35" s="100">
        <v>19.676350999463146</v>
      </c>
      <c r="BQ35" s="100">
        <v>9893.2692825300674</v>
      </c>
      <c r="BR35" s="100">
        <v>19.40041995705818</v>
      </c>
      <c r="BS35" s="100">
        <v>9754.5311544088509</v>
      </c>
      <c r="BT35" s="100">
        <v>23.655660993759053</v>
      </c>
      <c r="BU35" s="100">
        <v>11894.06634766205</v>
      </c>
      <c r="BV35" s="100">
        <v>20.381013707432903</v>
      </c>
      <c r="BW35" s="100">
        <v>10247.573692097261</v>
      </c>
      <c r="BX35" s="100">
        <v>19.879018295919778</v>
      </c>
      <c r="BY35" s="100">
        <v>9995.1703991884624</v>
      </c>
      <c r="BZ35" s="100">
        <v>22.676806056086264</v>
      </c>
      <c r="CA35" s="100">
        <v>11401.898085000172</v>
      </c>
      <c r="CB35" s="100">
        <v>21.812218636767508</v>
      </c>
      <c r="CC35" s="100">
        <v>10967.183530566701</v>
      </c>
      <c r="CD35" s="100">
        <v>21.28610000542373</v>
      </c>
      <c r="CE35" s="100">
        <v>10702.651082727049</v>
      </c>
      <c r="CF35" s="100">
        <v>23.320119703067434</v>
      </c>
      <c r="CG35" s="100">
        <v>11725.356186702304</v>
      </c>
      <c r="CH35" s="100">
        <v>27.184518784248827</v>
      </c>
      <c r="CI35" s="100">
        <v>13668.376044720308</v>
      </c>
      <c r="CJ35" s="100">
        <v>20.089856368755289</v>
      </c>
      <c r="CK35" s="100">
        <v>10101.179782210156</v>
      </c>
      <c r="CL35" s="100">
        <v>26</v>
      </c>
      <c r="CM35" s="100">
        <v>13072.799999999997</v>
      </c>
      <c r="CN35" s="100">
        <v>1.8512932946457754</v>
      </c>
      <c r="CO35" s="100">
        <v>930.83026854789568</v>
      </c>
      <c r="CP35" s="100">
        <v>0.46193972613778861</v>
      </c>
      <c r="CQ35" s="100">
        <v>232.26329430208006</v>
      </c>
      <c r="CR35" s="100">
        <v>0.50577196185016982</v>
      </c>
      <c r="CS35" s="100">
        <v>254.30214241826533</v>
      </c>
      <c r="CT35" s="100">
        <v>0.47413553531689351</v>
      </c>
      <c r="CU35" s="100">
        <v>238.39534715733402</v>
      </c>
    </row>
    <row r="36" spans="2:99">
      <c r="C36" s="99" t="s">
        <v>202</v>
      </c>
      <c r="D36" s="100">
        <v>22</v>
      </c>
      <c r="E36" s="100">
        <v>16737.599999999999</v>
      </c>
      <c r="F36" s="100">
        <v>20</v>
      </c>
      <c r="G36" s="100">
        <v>15216</v>
      </c>
      <c r="H36" s="100">
        <v>18</v>
      </c>
      <c r="I36" s="100">
        <v>13694.4</v>
      </c>
      <c r="J36" s="100">
        <v>22</v>
      </c>
      <c r="K36" s="100">
        <v>16737.599999999999</v>
      </c>
      <c r="L36" s="100">
        <v>25</v>
      </c>
      <c r="M36" s="100">
        <v>19020</v>
      </c>
      <c r="N36" s="100">
        <v>14</v>
      </c>
      <c r="O36" s="100">
        <v>10651.199999999999</v>
      </c>
      <c r="P36" s="100">
        <v>24</v>
      </c>
      <c r="Q36" s="100">
        <v>18259.199999999997</v>
      </c>
      <c r="R36" s="100">
        <v>19</v>
      </c>
      <c r="S36" s="100">
        <v>14455.199999999999</v>
      </c>
      <c r="T36" s="100">
        <v>14</v>
      </c>
      <c r="U36" s="100">
        <v>10651.199999999999</v>
      </c>
      <c r="V36" s="100">
        <v>25</v>
      </c>
      <c r="W36" s="100">
        <v>19020</v>
      </c>
      <c r="X36" s="100">
        <v>15</v>
      </c>
      <c r="Y36" s="100">
        <v>11412</v>
      </c>
      <c r="Z36" s="100">
        <v>23</v>
      </c>
      <c r="AA36" s="100">
        <v>17498.399999999998</v>
      </c>
      <c r="AB36" s="100">
        <v>17</v>
      </c>
      <c r="AC36" s="100">
        <v>12933.599999999999</v>
      </c>
      <c r="AD36" s="100">
        <v>22</v>
      </c>
      <c r="AE36" s="100">
        <v>16737.599999999999</v>
      </c>
      <c r="AF36" s="100">
        <v>24</v>
      </c>
      <c r="AG36" s="100">
        <v>18259.199999999997</v>
      </c>
      <c r="AH36" s="100">
        <v>24</v>
      </c>
      <c r="AI36" s="100">
        <v>18259.199999999997</v>
      </c>
      <c r="AJ36" s="100">
        <v>26</v>
      </c>
      <c r="AK36" s="100">
        <v>19780.8</v>
      </c>
      <c r="AL36" s="100">
        <v>15</v>
      </c>
      <c r="AM36" s="100">
        <v>11412</v>
      </c>
      <c r="AN36" s="100">
        <v>30</v>
      </c>
      <c r="AO36" s="100">
        <v>22824</v>
      </c>
      <c r="AP36" s="100">
        <v>20</v>
      </c>
      <c r="AQ36" s="100">
        <v>15216</v>
      </c>
      <c r="AR36" s="100">
        <v>27</v>
      </c>
      <c r="AS36" s="100">
        <v>20541.599999999999</v>
      </c>
      <c r="AT36" s="100">
        <v>21.675410811396819</v>
      </c>
      <c r="AU36" s="100">
        <v>16490.652545310699</v>
      </c>
      <c r="AV36" s="100">
        <v>17.169874105771864</v>
      </c>
      <c r="AW36" s="100">
        <v>13062.840219671234</v>
      </c>
      <c r="AX36" s="100">
        <v>17.818209093695618</v>
      </c>
      <c r="AY36" s="100">
        <v>13556.093478483624</v>
      </c>
      <c r="AZ36" s="100">
        <v>21</v>
      </c>
      <c r="BA36" s="100">
        <v>15976.8</v>
      </c>
      <c r="BB36" s="100">
        <v>17</v>
      </c>
      <c r="BC36" s="100">
        <v>12933.599999999999</v>
      </c>
      <c r="BD36" s="100">
        <v>24.695884761013939</v>
      </c>
      <c r="BE36" s="100">
        <v>18788.629126179403</v>
      </c>
      <c r="BF36" s="100">
        <v>25</v>
      </c>
      <c r="BG36" s="100">
        <v>19020</v>
      </c>
      <c r="BH36" s="100">
        <v>21.054103598205472</v>
      </c>
      <c r="BI36" s="100">
        <v>16017.962017514723</v>
      </c>
      <c r="BJ36" s="100">
        <v>17.455014688682656</v>
      </c>
      <c r="BK36" s="100">
        <v>13279.775175149764</v>
      </c>
      <c r="BL36" s="100">
        <v>21.156419674668321</v>
      </c>
      <c r="BM36" s="100">
        <v>16095.804088487657</v>
      </c>
      <c r="BN36" s="100">
        <v>22.48725828510074</v>
      </c>
      <c r="BO36" s="100">
        <v>17108.306103304643</v>
      </c>
      <c r="BP36" s="100">
        <v>23.424227380313273</v>
      </c>
      <c r="BQ36" s="100">
        <v>17821.152190942335</v>
      </c>
      <c r="BR36" s="100">
        <v>17.713426917313992</v>
      </c>
      <c r="BS36" s="100">
        <v>13476.375198692484</v>
      </c>
      <c r="BT36" s="100">
        <v>22.810815958267657</v>
      </c>
      <c r="BU36" s="100">
        <v>17354.468781050033</v>
      </c>
      <c r="BV36" s="100">
        <v>20.381013707432903</v>
      </c>
      <c r="BW36" s="100">
        <v>15505.875228614952</v>
      </c>
      <c r="BX36" s="100">
        <v>20.707310724916436</v>
      </c>
      <c r="BY36" s="100">
        <v>15754.121999516423</v>
      </c>
      <c r="BZ36" s="100">
        <v>21.057034194937245</v>
      </c>
      <c r="CA36" s="100">
        <v>16020.191615508254</v>
      </c>
      <c r="CB36" s="100">
        <v>23.795147603746376</v>
      </c>
      <c r="CC36" s="100">
        <v>18103.348296930242</v>
      </c>
      <c r="CD36" s="100">
        <v>23.137065223286665</v>
      </c>
      <c r="CE36" s="100">
        <v>17602.679221876493</v>
      </c>
      <c r="CF36" s="100">
        <v>19.988674031200659</v>
      </c>
      <c r="CG36" s="100">
        <v>15207.383202937461</v>
      </c>
      <c r="CH36" s="100">
        <v>22.241879005294496</v>
      </c>
      <c r="CI36" s="100">
        <v>16921.621547228053</v>
      </c>
      <c r="CJ36" s="100">
        <v>20.963328384788131</v>
      </c>
      <c r="CK36" s="100">
        <v>15948.90023514681</v>
      </c>
      <c r="CL36" s="100">
        <v>24</v>
      </c>
      <c r="CM36" s="100">
        <v>18259.199999999997</v>
      </c>
      <c r="CN36" s="100">
        <v>1.6777345482727339</v>
      </c>
      <c r="CO36" s="100">
        <v>1276.4204443258959</v>
      </c>
      <c r="CP36" s="100">
        <v>0.50043470331593765</v>
      </c>
      <c r="CQ36" s="100">
        <v>380.73072228276533</v>
      </c>
      <c r="CR36" s="100">
        <v>0.48770867749837798</v>
      </c>
      <c r="CS36" s="100">
        <v>371.04876184076596</v>
      </c>
      <c r="CT36" s="100">
        <v>0.42333529939008346</v>
      </c>
      <c r="CU36" s="100">
        <v>322.07349577597546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11</v>
      </c>
      <c r="G37" s="100">
        <v>9464.4</v>
      </c>
      <c r="H37" s="100">
        <v>15</v>
      </c>
      <c r="I37" s="100">
        <v>12906</v>
      </c>
      <c r="J37" s="100">
        <v>10</v>
      </c>
      <c r="K37" s="100">
        <v>8604</v>
      </c>
      <c r="L37" s="100">
        <v>17</v>
      </c>
      <c r="M37" s="100">
        <v>14626.8</v>
      </c>
      <c r="N37" s="100">
        <v>12</v>
      </c>
      <c r="O37" s="100">
        <v>10324.799999999999</v>
      </c>
      <c r="P37" s="100">
        <v>17</v>
      </c>
      <c r="Q37" s="100">
        <v>14626.8</v>
      </c>
      <c r="R37" s="100">
        <v>18</v>
      </c>
      <c r="S37" s="100">
        <v>15487.199999999999</v>
      </c>
      <c r="T37" s="100">
        <v>19</v>
      </c>
      <c r="U37" s="100">
        <v>16347.6</v>
      </c>
      <c r="V37" s="100">
        <v>14</v>
      </c>
      <c r="W37" s="100">
        <v>12045.6</v>
      </c>
      <c r="X37" s="100">
        <v>17</v>
      </c>
      <c r="Y37" s="100">
        <v>14626.8</v>
      </c>
      <c r="Z37" s="100">
        <v>14</v>
      </c>
      <c r="AA37" s="100">
        <v>12045.6</v>
      </c>
      <c r="AB37" s="100">
        <v>14</v>
      </c>
      <c r="AC37" s="100">
        <v>12045.6</v>
      </c>
      <c r="AD37" s="100">
        <v>13</v>
      </c>
      <c r="AE37" s="100">
        <v>11185.199999999999</v>
      </c>
      <c r="AF37" s="100">
        <v>15</v>
      </c>
      <c r="AG37" s="100">
        <v>12906</v>
      </c>
      <c r="AH37" s="100">
        <v>12</v>
      </c>
      <c r="AI37" s="100">
        <v>10324.799999999999</v>
      </c>
      <c r="AJ37" s="100">
        <v>15</v>
      </c>
      <c r="AK37" s="100">
        <v>12906</v>
      </c>
      <c r="AL37" s="100">
        <v>16</v>
      </c>
      <c r="AM37" s="100">
        <v>13766.4</v>
      </c>
      <c r="AN37" s="100">
        <v>15</v>
      </c>
      <c r="AO37" s="100">
        <v>12906</v>
      </c>
      <c r="AP37" s="100">
        <v>15</v>
      </c>
      <c r="AQ37" s="100">
        <v>12906</v>
      </c>
      <c r="AR37" s="100">
        <v>20</v>
      </c>
      <c r="AS37" s="100">
        <v>17208</v>
      </c>
      <c r="AT37" s="100">
        <v>10.404197189470475</v>
      </c>
      <c r="AU37" s="100">
        <v>8951.7712618203968</v>
      </c>
      <c r="AV37" s="100">
        <v>15.262110316241658</v>
      </c>
      <c r="AW37" s="100">
        <v>13131.519716094323</v>
      </c>
      <c r="AX37" s="100">
        <v>15.9426081364645</v>
      </c>
      <c r="AY37" s="100">
        <v>13717.020040614056</v>
      </c>
      <c r="AZ37" s="100">
        <v>10</v>
      </c>
      <c r="BA37" s="100">
        <v>8604</v>
      </c>
      <c r="BB37" s="100">
        <v>16</v>
      </c>
      <c r="BC37" s="100">
        <v>13766.4</v>
      </c>
      <c r="BD37" s="100">
        <v>12.34794238050697</v>
      </c>
      <c r="BE37" s="100">
        <v>10624.169624188196</v>
      </c>
      <c r="BF37" s="100">
        <v>11</v>
      </c>
      <c r="BG37" s="100">
        <v>9464.4</v>
      </c>
      <c r="BH37" s="100">
        <v>11.484056508112074</v>
      </c>
      <c r="BI37" s="100">
        <v>9880.8822195796274</v>
      </c>
      <c r="BJ37" s="100">
        <v>15.70951321981439</v>
      </c>
      <c r="BK37" s="100">
        <v>13516.465174328301</v>
      </c>
      <c r="BL37" s="100">
        <v>16.557198006262162</v>
      </c>
      <c r="BM37" s="100">
        <v>14245.813164587964</v>
      </c>
      <c r="BN37" s="100">
        <v>12.710189465491723</v>
      </c>
      <c r="BO37" s="100">
        <v>10935.847016109079</v>
      </c>
      <c r="BP37" s="100">
        <v>18.739381904250617</v>
      </c>
      <c r="BQ37" s="100">
        <v>16123.364190417231</v>
      </c>
      <c r="BR37" s="100">
        <v>15.182937357697705</v>
      </c>
      <c r="BS37" s="100">
        <v>13063.399302563104</v>
      </c>
      <c r="BT37" s="100">
        <v>15.207210638845106</v>
      </c>
      <c r="BU37" s="100">
        <v>13084.284033662329</v>
      </c>
      <c r="BV37" s="100">
        <v>16.498915858398064</v>
      </c>
      <c r="BW37" s="100">
        <v>14195.667204565694</v>
      </c>
      <c r="BX37" s="100">
        <v>17.394141008929804</v>
      </c>
      <c r="BY37" s="100">
        <v>14965.918924083202</v>
      </c>
      <c r="BZ37" s="100">
        <v>14.577946750341169</v>
      </c>
      <c r="CA37" s="100">
        <v>12542.865383993541</v>
      </c>
      <c r="CB37" s="100">
        <v>13.880502768852052</v>
      </c>
      <c r="CC37" s="100">
        <v>11942.784582320306</v>
      </c>
      <c r="CD37" s="100">
        <v>16.658686960766399</v>
      </c>
      <c r="CE37" s="100">
        <v>14333.134261043409</v>
      </c>
      <c r="CF37" s="100">
        <v>13.325782687467106</v>
      </c>
      <c r="CG37" s="100">
        <v>11465.503424296698</v>
      </c>
      <c r="CH37" s="100">
        <v>10.709052854401055</v>
      </c>
      <c r="CI37" s="100">
        <v>9214.0690759266672</v>
      </c>
      <c r="CJ37" s="100">
        <v>13.102080240492581</v>
      </c>
      <c r="CK37" s="100">
        <v>11273.029838919816</v>
      </c>
      <c r="CL37" s="100">
        <v>12</v>
      </c>
      <c r="CM37" s="100">
        <v>10324.799999999999</v>
      </c>
      <c r="CN37" s="100">
        <v>1.0413524782382486</v>
      </c>
      <c r="CO37" s="100">
        <v>895.97967227618904</v>
      </c>
      <c r="CP37" s="100">
        <v>0.2309698630688943</v>
      </c>
      <c r="CQ37" s="100">
        <v>198.72647018447665</v>
      </c>
      <c r="CR37" s="100">
        <v>0.19869612786970955</v>
      </c>
      <c r="CS37" s="100">
        <v>170.95814841909811</v>
      </c>
      <c r="CT37" s="100">
        <v>0.20320094370724009</v>
      </c>
      <c r="CU37" s="100">
        <v>174.83409196570938</v>
      </c>
    </row>
    <row r="38" spans="2:99">
      <c r="C38" s="99" t="s">
        <v>204</v>
      </c>
      <c r="D38" s="100">
        <v>14</v>
      </c>
      <c r="E38" s="100">
        <v>17388</v>
      </c>
      <c r="F38" s="100">
        <v>11</v>
      </c>
      <c r="G38" s="100">
        <v>13662</v>
      </c>
      <c r="H38" s="100">
        <v>15</v>
      </c>
      <c r="I38" s="100">
        <v>18630</v>
      </c>
      <c r="J38" s="100">
        <v>9</v>
      </c>
      <c r="K38" s="100">
        <v>11178</v>
      </c>
      <c r="L38" s="100">
        <v>16</v>
      </c>
      <c r="M38" s="100">
        <v>19872</v>
      </c>
      <c r="N38" s="100">
        <v>11</v>
      </c>
      <c r="O38" s="100">
        <v>13662</v>
      </c>
      <c r="P38" s="100">
        <v>14</v>
      </c>
      <c r="Q38" s="100">
        <v>17388</v>
      </c>
      <c r="R38" s="100">
        <v>18</v>
      </c>
      <c r="S38" s="100">
        <v>22356</v>
      </c>
      <c r="T38" s="100">
        <v>20</v>
      </c>
      <c r="U38" s="100">
        <v>24840</v>
      </c>
      <c r="V38" s="100">
        <v>13</v>
      </c>
      <c r="W38" s="100">
        <v>16146</v>
      </c>
      <c r="X38" s="100">
        <v>17</v>
      </c>
      <c r="Y38" s="100">
        <v>21114</v>
      </c>
      <c r="Z38" s="100">
        <v>13</v>
      </c>
      <c r="AA38" s="100">
        <v>16146</v>
      </c>
      <c r="AB38" s="100">
        <v>11</v>
      </c>
      <c r="AC38" s="100">
        <v>13662</v>
      </c>
      <c r="AD38" s="100">
        <v>12</v>
      </c>
      <c r="AE38" s="100">
        <v>14904</v>
      </c>
      <c r="AF38" s="100">
        <v>15</v>
      </c>
      <c r="AG38" s="100">
        <v>18630</v>
      </c>
      <c r="AH38" s="100">
        <v>12</v>
      </c>
      <c r="AI38" s="100">
        <v>14904</v>
      </c>
      <c r="AJ38" s="100">
        <v>17</v>
      </c>
      <c r="AK38" s="100">
        <v>21114</v>
      </c>
      <c r="AL38" s="100">
        <v>15</v>
      </c>
      <c r="AM38" s="100">
        <v>18630</v>
      </c>
      <c r="AN38" s="100">
        <v>15</v>
      </c>
      <c r="AO38" s="100">
        <v>18630</v>
      </c>
      <c r="AP38" s="100">
        <v>15</v>
      </c>
      <c r="AQ38" s="100">
        <v>18630</v>
      </c>
      <c r="AR38" s="100">
        <v>17</v>
      </c>
      <c r="AS38" s="100">
        <v>21114</v>
      </c>
      <c r="AT38" s="100">
        <v>9.5371807570146014</v>
      </c>
      <c r="AU38" s="100">
        <v>11845.178500212134</v>
      </c>
      <c r="AV38" s="100">
        <v>15.262110316241658</v>
      </c>
      <c r="AW38" s="100">
        <v>18955.541012772141</v>
      </c>
      <c r="AX38" s="100">
        <v>15.9426081364645</v>
      </c>
      <c r="AY38" s="100">
        <v>19800.71930548891</v>
      </c>
      <c r="AZ38" s="100">
        <v>9</v>
      </c>
      <c r="BA38" s="100">
        <v>11178</v>
      </c>
      <c r="BB38" s="100">
        <v>15</v>
      </c>
      <c r="BC38" s="100">
        <v>18630</v>
      </c>
      <c r="BD38" s="100">
        <v>10.448258937352051</v>
      </c>
      <c r="BE38" s="100">
        <v>12976.737600191247</v>
      </c>
      <c r="BF38" s="100">
        <v>9</v>
      </c>
      <c r="BG38" s="100">
        <v>11178</v>
      </c>
      <c r="BH38" s="100">
        <v>11.484056508112074</v>
      </c>
      <c r="BI38" s="100">
        <v>14263.198183075196</v>
      </c>
      <c r="BJ38" s="100">
        <v>13.964011750946124</v>
      </c>
      <c r="BK38" s="100">
        <v>17343.302594675086</v>
      </c>
      <c r="BL38" s="100">
        <v>16.557198006262162</v>
      </c>
      <c r="BM38" s="100">
        <v>20564.039923777604</v>
      </c>
      <c r="BN38" s="100">
        <v>12.710189465491723</v>
      </c>
      <c r="BO38" s="100">
        <v>15786.055316140721</v>
      </c>
      <c r="BP38" s="100">
        <v>17.802412809038085</v>
      </c>
      <c r="BQ38" s="100">
        <v>22110.596708825302</v>
      </c>
      <c r="BR38" s="100">
        <v>12.652447798081424</v>
      </c>
      <c r="BS38" s="100">
        <v>15714.340165217129</v>
      </c>
      <c r="BT38" s="100">
        <v>13.517520567862315</v>
      </c>
      <c r="BU38" s="100">
        <v>16788.760545284997</v>
      </c>
      <c r="BV38" s="100">
        <v>15.528391396139353</v>
      </c>
      <c r="BW38" s="100">
        <v>19286.262114005076</v>
      </c>
      <c r="BX38" s="100">
        <v>15.73755615093649</v>
      </c>
      <c r="BY38" s="100">
        <v>19546.044739463119</v>
      </c>
      <c r="BZ38" s="100">
        <v>13.76806081976666</v>
      </c>
      <c r="CA38" s="100">
        <v>17099.931538150191</v>
      </c>
      <c r="CB38" s="100">
        <v>11.897573801873188</v>
      </c>
      <c r="CC38" s="100">
        <v>14776.786661926499</v>
      </c>
      <c r="CD38" s="100">
        <v>15.733204351834932</v>
      </c>
      <c r="CE38" s="100">
        <v>19540.639804978986</v>
      </c>
      <c r="CF38" s="100">
        <v>11.660059851533717</v>
      </c>
      <c r="CG38" s="100">
        <v>14481.794335604876</v>
      </c>
      <c r="CH38" s="100">
        <v>12.356599447385832</v>
      </c>
      <c r="CI38" s="100">
        <v>15346.896513653204</v>
      </c>
      <c r="CJ38" s="100">
        <v>12.228608224459741</v>
      </c>
      <c r="CK38" s="100">
        <v>15187.931414778997</v>
      </c>
      <c r="CL38" s="100">
        <v>12</v>
      </c>
      <c r="CM38" s="100">
        <v>14904</v>
      </c>
      <c r="CN38" s="100">
        <v>1.099205393695929</v>
      </c>
      <c r="CO38" s="100">
        <v>1365.2130989703437</v>
      </c>
      <c r="CP38" s="100">
        <v>0.26946484024704337</v>
      </c>
      <c r="CQ38" s="100">
        <v>334.67533158682784</v>
      </c>
      <c r="CR38" s="100">
        <v>0.18063284351791778</v>
      </c>
      <c r="CS38" s="100">
        <v>224.34599164925388</v>
      </c>
      <c r="CT38" s="100">
        <v>0.20320094370724009</v>
      </c>
      <c r="CU38" s="100">
        <v>252.37557208439219</v>
      </c>
    </row>
    <row r="39" spans="2:99">
      <c r="C39" s="99" t="s">
        <v>205</v>
      </c>
      <c r="D39" s="100">
        <v>12</v>
      </c>
      <c r="E39" s="100">
        <v>17078.400000000001</v>
      </c>
      <c r="F39" s="100">
        <v>10</v>
      </c>
      <c r="G39" s="100">
        <v>14232</v>
      </c>
      <c r="H39" s="100">
        <v>14</v>
      </c>
      <c r="I39" s="100">
        <v>19924.8</v>
      </c>
      <c r="J39" s="100">
        <v>8</v>
      </c>
      <c r="K39" s="100">
        <v>11385.6</v>
      </c>
      <c r="L39" s="100">
        <v>18</v>
      </c>
      <c r="M39" s="100">
        <v>25617.600000000002</v>
      </c>
      <c r="N39" s="100">
        <v>10</v>
      </c>
      <c r="O39" s="100">
        <v>14232</v>
      </c>
      <c r="P39" s="100">
        <v>17</v>
      </c>
      <c r="Q39" s="100">
        <v>24194.400000000001</v>
      </c>
      <c r="R39" s="100">
        <v>16</v>
      </c>
      <c r="S39" s="100">
        <v>22771.200000000001</v>
      </c>
      <c r="T39" s="100">
        <v>16</v>
      </c>
      <c r="U39" s="100">
        <v>22771.200000000001</v>
      </c>
      <c r="V39" s="100">
        <v>12</v>
      </c>
      <c r="W39" s="100">
        <v>17078.400000000001</v>
      </c>
      <c r="X39" s="100">
        <v>16</v>
      </c>
      <c r="Y39" s="100">
        <v>22771.200000000001</v>
      </c>
      <c r="Z39" s="100">
        <v>13</v>
      </c>
      <c r="AA39" s="100">
        <v>18501.600000000002</v>
      </c>
      <c r="AB39" s="100">
        <v>12</v>
      </c>
      <c r="AC39" s="100">
        <v>17078.400000000001</v>
      </c>
      <c r="AD39" s="100">
        <v>13</v>
      </c>
      <c r="AE39" s="100">
        <v>18501.600000000002</v>
      </c>
      <c r="AF39" s="100">
        <v>17</v>
      </c>
      <c r="AG39" s="100">
        <v>24194.400000000001</v>
      </c>
      <c r="AH39" s="100">
        <v>13</v>
      </c>
      <c r="AI39" s="100">
        <v>18501.600000000002</v>
      </c>
      <c r="AJ39" s="100">
        <v>17</v>
      </c>
      <c r="AK39" s="100">
        <v>24194.400000000001</v>
      </c>
      <c r="AL39" s="100">
        <v>15</v>
      </c>
      <c r="AM39" s="100">
        <v>21348</v>
      </c>
      <c r="AN39" s="100">
        <v>15</v>
      </c>
      <c r="AO39" s="100">
        <v>21348</v>
      </c>
      <c r="AP39" s="100">
        <v>15</v>
      </c>
      <c r="AQ39" s="100">
        <v>21348</v>
      </c>
      <c r="AR39" s="100">
        <v>18</v>
      </c>
      <c r="AS39" s="100">
        <v>25617.600000000002</v>
      </c>
      <c r="AT39" s="100">
        <v>8.6701643245587281</v>
      </c>
      <c r="AU39" s="100">
        <v>12339.377866711982</v>
      </c>
      <c r="AV39" s="100">
        <v>14.308228421476555</v>
      </c>
      <c r="AW39" s="100">
        <v>20363.470689445432</v>
      </c>
      <c r="AX39" s="100">
        <v>15.004807657848941</v>
      </c>
      <c r="AY39" s="100">
        <v>21354.842258650613</v>
      </c>
      <c r="AZ39" s="100">
        <v>9</v>
      </c>
      <c r="BA39" s="100">
        <v>12808.800000000001</v>
      </c>
      <c r="BB39" s="100">
        <v>15</v>
      </c>
      <c r="BC39" s="100">
        <v>21348</v>
      </c>
      <c r="BD39" s="100">
        <v>12.34794238050697</v>
      </c>
      <c r="BE39" s="100">
        <v>17573.59159593752</v>
      </c>
      <c r="BF39" s="100">
        <v>10</v>
      </c>
      <c r="BG39" s="100">
        <v>14232</v>
      </c>
      <c r="BH39" s="100">
        <v>10.527051799102736</v>
      </c>
      <c r="BI39" s="100">
        <v>14982.100120483015</v>
      </c>
      <c r="BJ39" s="100">
        <v>13.964011750946124</v>
      </c>
      <c r="BK39" s="100">
        <v>19873.581523946523</v>
      </c>
      <c r="BL39" s="100">
        <v>15.637353672580932</v>
      </c>
      <c r="BM39" s="100">
        <v>22255.081746817184</v>
      </c>
      <c r="BN39" s="100">
        <v>13.687896347452623</v>
      </c>
      <c r="BO39" s="100">
        <v>19480.614081694574</v>
      </c>
      <c r="BP39" s="100">
        <v>15.928474618613023</v>
      </c>
      <c r="BQ39" s="100">
        <v>22669.405077210056</v>
      </c>
      <c r="BR39" s="100">
        <v>12.652447798081424</v>
      </c>
      <c r="BS39" s="100">
        <v>18006.963706229482</v>
      </c>
      <c r="BT39" s="100">
        <v>15.207210638845106</v>
      </c>
      <c r="BU39" s="100">
        <v>21642.902181204357</v>
      </c>
      <c r="BV39" s="100">
        <v>17.469440320656773</v>
      </c>
      <c r="BW39" s="100">
        <v>24862.507464358721</v>
      </c>
      <c r="BX39" s="100">
        <v>14.080971292943175</v>
      </c>
      <c r="BY39" s="100">
        <v>20040.038344116729</v>
      </c>
      <c r="BZ39" s="100">
        <v>12.148288958617641</v>
      </c>
      <c r="CA39" s="100">
        <v>17289.444845904629</v>
      </c>
      <c r="CB39" s="100">
        <v>11.897573801873188</v>
      </c>
      <c r="CC39" s="100">
        <v>16932.62703482592</v>
      </c>
      <c r="CD39" s="100">
        <v>14.807721742903466</v>
      </c>
      <c r="CE39" s="100">
        <v>21074.349584500214</v>
      </c>
      <c r="CF39" s="100">
        <v>10.827198433567021</v>
      </c>
      <c r="CG39" s="100">
        <v>15409.268810652586</v>
      </c>
      <c r="CH39" s="100">
        <v>10.709052854401055</v>
      </c>
      <c r="CI39" s="100">
        <v>15241.124022383581</v>
      </c>
      <c r="CJ39" s="100">
        <v>11.355136208426902</v>
      </c>
      <c r="CK39" s="100">
        <v>16160.629851833168</v>
      </c>
      <c r="CL39" s="100">
        <v>10</v>
      </c>
      <c r="CM39" s="100">
        <v>14232</v>
      </c>
      <c r="CN39" s="100">
        <v>1.0413524782382486</v>
      </c>
      <c r="CO39" s="100">
        <v>1482.0528470286754</v>
      </c>
      <c r="CP39" s="100">
        <v>0.25021735165796882</v>
      </c>
      <c r="CQ39" s="100">
        <v>356.10933487962126</v>
      </c>
      <c r="CR39" s="100">
        <v>0.19869612786970955</v>
      </c>
      <c r="CS39" s="100">
        <v>282.78432918417064</v>
      </c>
      <c r="CT39" s="100">
        <v>0.22013435568284342</v>
      </c>
      <c r="CU39" s="100">
        <v>313.29521500782278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12</v>
      </c>
      <c r="G40" s="100">
        <v>8697.5999999999985</v>
      </c>
      <c r="H40" s="100">
        <v>16</v>
      </c>
      <c r="I40" s="100">
        <v>11596.8</v>
      </c>
      <c r="J40" s="100">
        <v>9</v>
      </c>
      <c r="K40" s="100">
        <v>6523.2</v>
      </c>
      <c r="L40" s="100">
        <v>18</v>
      </c>
      <c r="M40" s="100">
        <v>13046.4</v>
      </c>
      <c r="N40" s="100">
        <v>11</v>
      </c>
      <c r="O40" s="100">
        <v>7972.7999999999993</v>
      </c>
      <c r="P40" s="100">
        <v>17</v>
      </c>
      <c r="Q40" s="100">
        <v>12321.599999999999</v>
      </c>
      <c r="R40" s="100">
        <v>17</v>
      </c>
      <c r="S40" s="100">
        <v>12321.599999999999</v>
      </c>
      <c r="T40" s="100">
        <v>19</v>
      </c>
      <c r="U40" s="100">
        <v>13771.199999999999</v>
      </c>
      <c r="V40" s="100">
        <v>13</v>
      </c>
      <c r="W40" s="100">
        <v>9422.4</v>
      </c>
      <c r="X40" s="100">
        <v>19</v>
      </c>
      <c r="Y40" s="100">
        <v>13771.199999999999</v>
      </c>
      <c r="Z40" s="100">
        <v>13</v>
      </c>
      <c r="AA40" s="100">
        <v>9422.4</v>
      </c>
      <c r="AB40" s="100">
        <v>14</v>
      </c>
      <c r="AC40" s="100">
        <v>10147.199999999999</v>
      </c>
      <c r="AD40" s="100">
        <v>16</v>
      </c>
      <c r="AE40" s="100">
        <v>11596.8</v>
      </c>
      <c r="AF40" s="100">
        <v>17</v>
      </c>
      <c r="AG40" s="100">
        <v>12321.599999999999</v>
      </c>
      <c r="AH40" s="100">
        <v>12</v>
      </c>
      <c r="AI40" s="100">
        <v>8697.5999999999985</v>
      </c>
      <c r="AJ40" s="100">
        <v>18</v>
      </c>
      <c r="AK40" s="100">
        <v>13046.4</v>
      </c>
      <c r="AL40" s="100">
        <v>17</v>
      </c>
      <c r="AM40" s="100">
        <v>12321.599999999999</v>
      </c>
      <c r="AN40" s="100">
        <v>17</v>
      </c>
      <c r="AO40" s="100">
        <v>12321.599999999999</v>
      </c>
      <c r="AP40" s="100">
        <v>17</v>
      </c>
      <c r="AQ40" s="100">
        <v>12321.599999999999</v>
      </c>
      <c r="AR40" s="100">
        <v>20</v>
      </c>
      <c r="AS40" s="100">
        <v>14496</v>
      </c>
      <c r="AT40" s="100">
        <v>10.404197189470475</v>
      </c>
      <c r="AU40" s="100">
        <v>7540.9621229281993</v>
      </c>
      <c r="AV40" s="100">
        <v>16.21599221100676</v>
      </c>
      <c r="AW40" s="100">
        <v>11753.351154537699</v>
      </c>
      <c r="AX40" s="100">
        <v>18.756009572311175</v>
      </c>
      <c r="AY40" s="100">
        <v>13594.35573801114</v>
      </c>
      <c r="AZ40" s="100">
        <v>10</v>
      </c>
      <c r="BA40" s="100">
        <v>7248</v>
      </c>
      <c r="BB40" s="100">
        <v>15</v>
      </c>
      <c r="BC40" s="100">
        <v>10872</v>
      </c>
      <c r="BD40" s="100">
        <v>12.34794238050697</v>
      </c>
      <c r="BE40" s="100">
        <v>8949.7886373914516</v>
      </c>
      <c r="BF40" s="100">
        <v>10</v>
      </c>
      <c r="BG40" s="100">
        <v>7248</v>
      </c>
      <c r="BH40" s="100">
        <v>10.527051799102736</v>
      </c>
      <c r="BI40" s="100">
        <v>7630.0071439896628</v>
      </c>
      <c r="BJ40" s="100">
        <v>16.582263954248521</v>
      </c>
      <c r="BK40" s="100">
        <v>12018.824914039327</v>
      </c>
      <c r="BL40" s="100">
        <v>16.557198006262162</v>
      </c>
      <c r="BM40" s="100">
        <v>12000.657114938815</v>
      </c>
      <c r="BN40" s="100">
        <v>12.710189465491723</v>
      </c>
      <c r="BO40" s="100">
        <v>9212.3453245884011</v>
      </c>
      <c r="BP40" s="100">
        <v>16.865443713825552</v>
      </c>
      <c r="BQ40" s="100">
        <v>12224.07360378076</v>
      </c>
      <c r="BR40" s="100">
        <v>12.652447798081424</v>
      </c>
      <c r="BS40" s="100">
        <v>9170.4941640494144</v>
      </c>
      <c r="BT40" s="100">
        <v>14.362365603353709</v>
      </c>
      <c r="BU40" s="100">
        <v>10409.842589310767</v>
      </c>
      <c r="BV40" s="100">
        <v>18.439964782915485</v>
      </c>
      <c r="BW40" s="100">
        <v>13365.286474657143</v>
      </c>
      <c r="BX40" s="100">
        <v>14.909263721939833</v>
      </c>
      <c r="BY40" s="100">
        <v>10806.234345661991</v>
      </c>
      <c r="BZ40" s="100">
        <v>14.577946750341169</v>
      </c>
      <c r="CA40" s="100">
        <v>10566.095804647279</v>
      </c>
      <c r="CB40" s="100">
        <v>13.880502768852052</v>
      </c>
      <c r="CC40" s="100">
        <v>10060.588406863966</v>
      </c>
      <c r="CD40" s="100">
        <v>15.733204351834932</v>
      </c>
      <c r="CE40" s="100">
        <v>11403.426514209958</v>
      </c>
      <c r="CF40" s="100">
        <v>12.49292126950041</v>
      </c>
      <c r="CG40" s="100">
        <v>9054.8693361338974</v>
      </c>
      <c r="CH40" s="100">
        <v>12.356599447385832</v>
      </c>
      <c r="CI40" s="100">
        <v>8956.0632794652502</v>
      </c>
      <c r="CJ40" s="100">
        <v>13.102080240492581</v>
      </c>
      <c r="CK40" s="100">
        <v>9496.3877583090216</v>
      </c>
      <c r="CL40" s="100">
        <v>12</v>
      </c>
      <c r="CM40" s="100">
        <v>8697.5999999999985</v>
      </c>
      <c r="CN40" s="100">
        <v>1.1570583091536095</v>
      </c>
      <c r="CO40" s="100">
        <v>838.63586247453611</v>
      </c>
      <c r="CP40" s="100">
        <v>0.26946484024704337</v>
      </c>
      <c r="CQ40" s="100">
        <v>195.30811621105701</v>
      </c>
      <c r="CR40" s="100">
        <v>0.18063284351791778</v>
      </c>
      <c r="CS40" s="100">
        <v>130.9226849817868</v>
      </c>
      <c r="CT40" s="100">
        <v>0.22013435568284342</v>
      </c>
      <c r="CU40" s="100">
        <v>159.55338099892489</v>
      </c>
    </row>
    <row r="41" spans="2:99">
      <c r="C41" s="99" t="s">
        <v>207</v>
      </c>
      <c r="D41" s="100">
        <v>13</v>
      </c>
      <c r="E41" s="100">
        <v>8580</v>
      </c>
      <c r="F41" s="100">
        <v>13</v>
      </c>
      <c r="G41" s="100">
        <v>8580</v>
      </c>
      <c r="H41" s="100">
        <v>15</v>
      </c>
      <c r="I41" s="100">
        <v>9900</v>
      </c>
      <c r="J41" s="100">
        <v>10</v>
      </c>
      <c r="K41" s="100">
        <v>6600</v>
      </c>
      <c r="L41" s="100">
        <v>19</v>
      </c>
      <c r="M41" s="100">
        <v>12540</v>
      </c>
      <c r="N41" s="100">
        <v>11</v>
      </c>
      <c r="O41" s="100">
        <v>7260</v>
      </c>
      <c r="P41" s="100">
        <v>18</v>
      </c>
      <c r="Q41" s="100">
        <v>11880</v>
      </c>
      <c r="R41" s="100">
        <v>20</v>
      </c>
      <c r="S41" s="100">
        <v>13200</v>
      </c>
      <c r="T41" s="100">
        <v>17</v>
      </c>
      <c r="U41" s="100">
        <v>11220</v>
      </c>
      <c r="V41" s="100">
        <v>13</v>
      </c>
      <c r="W41" s="100">
        <v>8580</v>
      </c>
      <c r="X41" s="100">
        <v>18</v>
      </c>
      <c r="Y41" s="100">
        <v>11880</v>
      </c>
      <c r="Z41" s="100">
        <v>14</v>
      </c>
      <c r="AA41" s="100">
        <v>9240</v>
      </c>
      <c r="AB41" s="100">
        <v>13</v>
      </c>
      <c r="AC41" s="100">
        <v>8580</v>
      </c>
      <c r="AD41" s="100">
        <v>14</v>
      </c>
      <c r="AE41" s="100">
        <v>9240</v>
      </c>
      <c r="AF41" s="100">
        <v>17</v>
      </c>
      <c r="AG41" s="100">
        <v>11220</v>
      </c>
      <c r="AH41" s="100">
        <v>12</v>
      </c>
      <c r="AI41" s="100">
        <v>7920</v>
      </c>
      <c r="AJ41" s="100">
        <v>17</v>
      </c>
      <c r="AK41" s="100">
        <v>11220</v>
      </c>
      <c r="AL41" s="100">
        <v>18</v>
      </c>
      <c r="AM41" s="100">
        <v>11880</v>
      </c>
      <c r="AN41" s="100">
        <v>15</v>
      </c>
      <c r="AO41" s="100">
        <v>9900</v>
      </c>
      <c r="AP41" s="100">
        <v>18</v>
      </c>
      <c r="AQ41" s="100">
        <v>11880</v>
      </c>
      <c r="AR41" s="100">
        <v>20</v>
      </c>
      <c r="AS41" s="100">
        <v>13200</v>
      </c>
      <c r="AT41" s="100">
        <v>10.404197189470475</v>
      </c>
      <c r="AU41" s="100">
        <v>6866.7701450505137</v>
      </c>
      <c r="AV41" s="100">
        <v>17.169874105771864</v>
      </c>
      <c r="AW41" s="100">
        <v>11332.116909809431</v>
      </c>
      <c r="AX41" s="100">
        <v>17.818209093695618</v>
      </c>
      <c r="AY41" s="100">
        <v>11760.018001839107</v>
      </c>
      <c r="AZ41" s="100">
        <v>10</v>
      </c>
      <c r="BA41" s="100">
        <v>6600</v>
      </c>
      <c r="BB41" s="100">
        <v>17</v>
      </c>
      <c r="BC41" s="100">
        <v>11220</v>
      </c>
      <c r="BD41" s="100">
        <v>12.34794238050697</v>
      </c>
      <c r="BE41" s="100">
        <v>8149.6419711345998</v>
      </c>
      <c r="BF41" s="100">
        <v>10</v>
      </c>
      <c r="BG41" s="100">
        <v>6600</v>
      </c>
      <c r="BH41" s="100">
        <v>11.484056508112074</v>
      </c>
      <c r="BI41" s="100">
        <v>7579.4772953539687</v>
      </c>
      <c r="BJ41" s="100">
        <v>16.582263954248521</v>
      </c>
      <c r="BK41" s="100">
        <v>10944.294209804024</v>
      </c>
      <c r="BL41" s="100">
        <v>18.396886673624625</v>
      </c>
      <c r="BM41" s="100">
        <v>12141.945204592252</v>
      </c>
      <c r="BN41" s="100">
        <v>11.732482583530821</v>
      </c>
      <c r="BO41" s="100">
        <v>7743.4385051303416</v>
      </c>
      <c r="BP41" s="100">
        <v>16.865443713825552</v>
      </c>
      <c r="BQ41" s="100">
        <v>11131.192851124864</v>
      </c>
      <c r="BR41" s="100">
        <v>13.495944317953517</v>
      </c>
      <c r="BS41" s="100">
        <v>8907.3232498493217</v>
      </c>
      <c r="BT41" s="100">
        <v>14.362365603353709</v>
      </c>
      <c r="BU41" s="100">
        <v>9479.1612982134484</v>
      </c>
      <c r="BV41" s="100">
        <v>18.439964782915485</v>
      </c>
      <c r="BW41" s="100">
        <v>12170.376756724219</v>
      </c>
      <c r="BX41" s="100">
        <v>15.73755615093649</v>
      </c>
      <c r="BY41" s="100">
        <v>10386.787059618084</v>
      </c>
      <c r="BZ41" s="100">
        <v>14.577946750341169</v>
      </c>
      <c r="CA41" s="100">
        <v>9621.4448552251724</v>
      </c>
      <c r="CB41" s="100">
        <v>12.88903828536262</v>
      </c>
      <c r="CC41" s="100">
        <v>8506.7652683393299</v>
      </c>
      <c r="CD41" s="100">
        <v>16.658686960766399</v>
      </c>
      <c r="CE41" s="100">
        <v>10994.733394105824</v>
      </c>
      <c r="CF41" s="100">
        <v>12.49292126950041</v>
      </c>
      <c r="CG41" s="100">
        <v>8245.3280378702711</v>
      </c>
      <c r="CH41" s="100">
        <v>13.180372743878221</v>
      </c>
      <c r="CI41" s="100">
        <v>8699.0460109596261</v>
      </c>
      <c r="CJ41" s="100">
        <v>13.102080240492581</v>
      </c>
      <c r="CK41" s="100">
        <v>8647.3729587251037</v>
      </c>
      <c r="CL41" s="100">
        <v>13</v>
      </c>
      <c r="CM41" s="100">
        <v>8580</v>
      </c>
      <c r="CN41" s="100">
        <v>1.0413524782382486</v>
      </c>
      <c r="CO41" s="100">
        <v>687.29263563724408</v>
      </c>
      <c r="CP41" s="100">
        <v>0.26946484024704337</v>
      </c>
      <c r="CQ41" s="100">
        <v>177.84679456304863</v>
      </c>
      <c r="CR41" s="100">
        <v>0.18063284351791778</v>
      </c>
      <c r="CS41" s="100">
        <v>119.21767672182574</v>
      </c>
      <c r="CT41" s="100">
        <v>0.22013435568284342</v>
      </c>
      <c r="CU41" s="100">
        <v>145.28867475067665</v>
      </c>
    </row>
    <row r="42" spans="2:99">
      <c r="C42" s="99" t="s">
        <v>208</v>
      </c>
      <c r="D42" s="100">
        <v>13</v>
      </c>
      <c r="E42" s="100">
        <v>10998</v>
      </c>
      <c r="F42" s="100">
        <v>12</v>
      </c>
      <c r="G42" s="100">
        <v>10152</v>
      </c>
      <c r="H42" s="100">
        <v>15</v>
      </c>
      <c r="I42" s="100">
        <v>12690</v>
      </c>
      <c r="J42" s="100">
        <v>9</v>
      </c>
      <c r="K42" s="100">
        <v>7614</v>
      </c>
      <c r="L42" s="100">
        <v>20</v>
      </c>
      <c r="M42" s="100">
        <v>16920</v>
      </c>
      <c r="N42" s="100">
        <v>12</v>
      </c>
      <c r="O42" s="100">
        <v>10152</v>
      </c>
      <c r="P42" s="100">
        <v>15</v>
      </c>
      <c r="Q42" s="100">
        <v>12690</v>
      </c>
      <c r="R42" s="100">
        <v>20</v>
      </c>
      <c r="S42" s="100">
        <v>16920</v>
      </c>
      <c r="T42" s="100">
        <v>19</v>
      </c>
      <c r="U42" s="100">
        <v>16074</v>
      </c>
      <c r="V42" s="100">
        <v>14</v>
      </c>
      <c r="W42" s="100">
        <v>11844</v>
      </c>
      <c r="X42" s="100">
        <v>17</v>
      </c>
      <c r="Y42" s="100">
        <v>14382</v>
      </c>
      <c r="Z42" s="100">
        <v>12</v>
      </c>
      <c r="AA42" s="100">
        <v>10152</v>
      </c>
      <c r="AB42" s="100">
        <v>12</v>
      </c>
      <c r="AC42" s="100">
        <v>10152</v>
      </c>
      <c r="AD42" s="100">
        <v>15</v>
      </c>
      <c r="AE42" s="100">
        <v>12690</v>
      </c>
      <c r="AF42" s="100">
        <v>18</v>
      </c>
      <c r="AG42" s="100">
        <v>15228</v>
      </c>
      <c r="AH42" s="100">
        <v>13</v>
      </c>
      <c r="AI42" s="100">
        <v>10998</v>
      </c>
      <c r="AJ42" s="100">
        <v>18</v>
      </c>
      <c r="AK42" s="100">
        <v>15228</v>
      </c>
      <c r="AL42" s="100">
        <v>16</v>
      </c>
      <c r="AM42" s="100">
        <v>13536</v>
      </c>
      <c r="AN42" s="100">
        <v>16</v>
      </c>
      <c r="AO42" s="100">
        <v>13536</v>
      </c>
      <c r="AP42" s="100">
        <v>16</v>
      </c>
      <c r="AQ42" s="100">
        <v>13536</v>
      </c>
      <c r="AR42" s="100">
        <v>18</v>
      </c>
      <c r="AS42" s="100">
        <v>15228</v>
      </c>
      <c r="AT42" s="100">
        <v>10.404197189470475</v>
      </c>
      <c r="AU42" s="100">
        <v>8801.9508222920213</v>
      </c>
      <c r="AV42" s="100">
        <v>16.21599221100676</v>
      </c>
      <c r="AW42" s="100">
        <v>13718.72941051172</v>
      </c>
      <c r="AX42" s="100">
        <v>16.880408615080057</v>
      </c>
      <c r="AY42" s="100">
        <v>14280.825688357729</v>
      </c>
      <c r="AZ42" s="100">
        <v>9</v>
      </c>
      <c r="BA42" s="100">
        <v>7614</v>
      </c>
      <c r="BB42" s="100">
        <v>15</v>
      </c>
      <c r="BC42" s="100">
        <v>12690</v>
      </c>
      <c r="BD42" s="100">
        <v>12.34794238050697</v>
      </c>
      <c r="BE42" s="100">
        <v>10446.359253908897</v>
      </c>
      <c r="BF42" s="100">
        <v>10</v>
      </c>
      <c r="BG42" s="100">
        <v>8460</v>
      </c>
      <c r="BH42" s="100">
        <v>11.484056508112074</v>
      </c>
      <c r="BI42" s="100">
        <v>9715.5118058628141</v>
      </c>
      <c r="BJ42" s="100">
        <v>16.582263954248521</v>
      </c>
      <c r="BK42" s="100">
        <v>14028.59530529425</v>
      </c>
      <c r="BL42" s="100">
        <v>16.557198006262162</v>
      </c>
      <c r="BM42" s="100">
        <v>14007.389513297789</v>
      </c>
      <c r="BN42" s="100">
        <v>13.687896347452623</v>
      </c>
      <c r="BO42" s="100">
        <v>11579.96030994492</v>
      </c>
      <c r="BP42" s="100">
        <v>18.739381904250617</v>
      </c>
      <c r="BQ42" s="100">
        <v>15853.517090996022</v>
      </c>
      <c r="BR42" s="100">
        <v>12.652447798081424</v>
      </c>
      <c r="BS42" s="100">
        <v>10703.970837176885</v>
      </c>
      <c r="BT42" s="100">
        <v>14.362365603353709</v>
      </c>
      <c r="BU42" s="100">
        <v>12150.561300437237</v>
      </c>
      <c r="BV42" s="100">
        <v>18.439964782915485</v>
      </c>
      <c r="BW42" s="100">
        <v>15600.210206346501</v>
      </c>
      <c r="BX42" s="100">
        <v>17.394141008929804</v>
      </c>
      <c r="BY42" s="100">
        <v>14715.443293554614</v>
      </c>
      <c r="BZ42" s="100">
        <v>12.148288958617641</v>
      </c>
      <c r="CA42" s="100">
        <v>10277.452458990525</v>
      </c>
      <c r="CB42" s="100">
        <v>13.880502768852052</v>
      </c>
      <c r="CC42" s="100">
        <v>11742.905342448836</v>
      </c>
      <c r="CD42" s="100">
        <v>15.733204351834932</v>
      </c>
      <c r="CE42" s="100">
        <v>13310.290881652352</v>
      </c>
      <c r="CF42" s="100">
        <v>12.49292126950041</v>
      </c>
      <c r="CG42" s="100">
        <v>10569.011393997347</v>
      </c>
      <c r="CH42" s="100">
        <v>13.180372743878221</v>
      </c>
      <c r="CI42" s="100">
        <v>11150.595341320975</v>
      </c>
      <c r="CJ42" s="100">
        <v>12.228608224459741</v>
      </c>
      <c r="CK42" s="100">
        <v>10345.402557892941</v>
      </c>
      <c r="CL42" s="100">
        <v>12</v>
      </c>
      <c r="CM42" s="100">
        <v>10152</v>
      </c>
      <c r="CN42" s="100">
        <v>1.099205393695929</v>
      </c>
      <c r="CO42" s="100">
        <v>929.92776306675592</v>
      </c>
      <c r="CP42" s="100">
        <v>0.2309698630688943</v>
      </c>
      <c r="CQ42" s="100">
        <v>195.40050415628457</v>
      </c>
      <c r="CR42" s="100">
        <v>0.18063284351791778</v>
      </c>
      <c r="CS42" s="100">
        <v>152.81538561615844</v>
      </c>
      <c r="CT42" s="100">
        <v>0.22013435568284342</v>
      </c>
      <c r="CU42" s="100">
        <v>186.23366490768555</v>
      </c>
    </row>
    <row r="43" spans="2:99">
      <c r="C43" s="99" t="s">
        <v>209</v>
      </c>
      <c r="D43" s="100">
        <v>14</v>
      </c>
      <c r="E43" s="100">
        <v>14313.6</v>
      </c>
      <c r="F43" s="100">
        <v>10</v>
      </c>
      <c r="G43" s="100">
        <v>10224</v>
      </c>
      <c r="H43" s="100">
        <v>14</v>
      </c>
      <c r="I43" s="100">
        <v>14313.6</v>
      </c>
      <c r="J43" s="100">
        <v>10</v>
      </c>
      <c r="K43" s="100">
        <v>10224</v>
      </c>
      <c r="L43" s="100">
        <v>18</v>
      </c>
      <c r="M43" s="100">
        <v>18403.2</v>
      </c>
      <c r="N43" s="100">
        <v>12</v>
      </c>
      <c r="O43" s="100">
        <v>12268.8</v>
      </c>
      <c r="P43" s="100">
        <v>16</v>
      </c>
      <c r="Q43" s="100">
        <v>16358.4</v>
      </c>
      <c r="R43" s="100">
        <v>19</v>
      </c>
      <c r="S43" s="100">
        <v>19425.599999999999</v>
      </c>
      <c r="T43" s="100">
        <v>20</v>
      </c>
      <c r="U43" s="100">
        <v>20448</v>
      </c>
      <c r="V43" s="100">
        <v>13</v>
      </c>
      <c r="W43" s="100">
        <v>13291.199999999999</v>
      </c>
      <c r="X43" s="100">
        <v>17</v>
      </c>
      <c r="Y43" s="100">
        <v>17380.8</v>
      </c>
      <c r="Z43" s="100">
        <v>12</v>
      </c>
      <c r="AA43" s="100">
        <v>12268.8</v>
      </c>
      <c r="AB43" s="100">
        <v>12</v>
      </c>
      <c r="AC43" s="100">
        <v>12268.8</v>
      </c>
      <c r="AD43" s="100">
        <v>13</v>
      </c>
      <c r="AE43" s="100">
        <v>13291.199999999999</v>
      </c>
      <c r="AF43" s="100">
        <v>17</v>
      </c>
      <c r="AG43" s="100">
        <v>17380.8</v>
      </c>
      <c r="AH43" s="100">
        <v>11</v>
      </c>
      <c r="AI43" s="100">
        <v>11246.4</v>
      </c>
      <c r="AJ43" s="100">
        <v>17</v>
      </c>
      <c r="AK43" s="100">
        <v>17380.8</v>
      </c>
      <c r="AL43" s="100">
        <v>16</v>
      </c>
      <c r="AM43" s="100">
        <v>16358.4</v>
      </c>
      <c r="AN43" s="100">
        <v>15</v>
      </c>
      <c r="AO43" s="100">
        <v>15336</v>
      </c>
      <c r="AP43" s="100">
        <v>17</v>
      </c>
      <c r="AQ43" s="100">
        <v>17380.8</v>
      </c>
      <c r="AR43" s="100">
        <v>20</v>
      </c>
      <c r="AS43" s="100">
        <v>20448</v>
      </c>
      <c r="AT43" s="100">
        <v>9.5371807570146014</v>
      </c>
      <c r="AU43" s="100">
        <v>9750.813605971729</v>
      </c>
      <c r="AV43" s="100">
        <v>15.262110316241658</v>
      </c>
      <c r="AW43" s="100">
        <v>15603.981587325472</v>
      </c>
      <c r="AX43" s="100">
        <v>16.880408615080057</v>
      </c>
      <c r="AY43" s="100">
        <v>17258.529768057851</v>
      </c>
      <c r="AZ43" s="100">
        <v>9</v>
      </c>
      <c r="BA43" s="100">
        <v>9201.6</v>
      </c>
      <c r="BB43" s="100">
        <v>14</v>
      </c>
      <c r="BC43" s="100">
        <v>14313.6</v>
      </c>
      <c r="BD43" s="100">
        <v>12.34794238050697</v>
      </c>
      <c r="BE43" s="100">
        <v>12624.536289830325</v>
      </c>
      <c r="BF43" s="100">
        <v>10</v>
      </c>
      <c r="BG43" s="100">
        <v>10224</v>
      </c>
      <c r="BH43" s="100">
        <v>10.527051799102736</v>
      </c>
      <c r="BI43" s="100">
        <v>10762.857759402637</v>
      </c>
      <c r="BJ43" s="100">
        <v>13.964011750946124</v>
      </c>
      <c r="BK43" s="100">
        <v>14276.805614167317</v>
      </c>
      <c r="BL43" s="100">
        <v>18.396886673624625</v>
      </c>
      <c r="BM43" s="100">
        <v>18808.976935113817</v>
      </c>
      <c r="BN43" s="100">
        <v>11.732482583530821</v>
      </c>
      <c r="BO43" s="100">
        <v>11995.290193401912</v>
      </c>
      <c r="BP43" s="100">
        <v>16.865443713825552</v>
      </c>
      <c r="BQ43" s="100">
        <v>17243.229653015245</v>
      </c>
      <c r="BR43" s="100">
        <v>12.652447798081424</v>
      </c>
      <c r="BS43" s="100">
        <v>12935.862628758447</v>
      </c>
      <c r="BT43" s="100">
        <v>14.362365603353709</v>
      </c>
      <c r="BU43" s="100">
        <v>14684.082592868832</v>
      </c>
      <c r="BV43" s="100">
        <v>17.469440320656773</v>
      </c>
      <c r="BW43" s="100">
        <v>17860.755783839482</v>
      </c>
      <c r="BX43" s="100">
        <v>17.394141008929804</v>
      </c>
      <c r="BY43" s="100">
        <v>17783.76976752983</v>
      </c>
      <c r="BZ43" s="100">
        <v>14.577946750341169</v>
      </c>
      <c r="CA43" s="100">
        <v>14904.492757548811</v>
      </c>
      <c r="CB43" s="100">
        <v>11.897573801873188</v>
      </c>
      <c r="CC43" s="100">
        <v>12164.079455035147</v>
      </c>
      <c r="CD43" s="100">
        <v>14.807721742903466</v>
      </c>
      <c r="CE43" s="100">
        <v>15139.414709944504</v>
      </c>
      <c r="CF43" s="100">
        <v>11.660059851533717</v>
      </c>
      <c r="CG43" s="100">
        <v>11921.245192208073</v>
      </c>
      <c r="CH43" s="100">
        <v>11.532826150893444</v>
      </c>
      <c r="CI43" s="100">
        <v>11791.161456673457</v>
      </c>
      <c r="CJ43" s="100">
        <v>14.849024272558259</v>
      </c>
      <c r="CK43" s="100">
        <v>15181.642416263563</v>
      </c>
      <c r="CL43" s="100">
        <v>12</v>
      </c>
      <c r="CM43" s="100">
        <v>12268.8</v>
      </c>
      <c r="CN43" s="100">
        <v>0.98349956278056805</v>
      </c>
      <c r="CO43" s="100">
        <v>1005.5299529868528</v>
      </c>
      <c r="CP43" s="100">
        <v>0.25021735165796882</v>
      </c>
      <c r="CQ43" s="100">
        <v>255.82222033510732</v>
      </c>
      <c r="CR43" s="100">
        <v>0.18063284351791778</v>
      </c>
      <c r="CS43" s="100">
        <v>184.67901921271914</v>
      </c>
      <c r="CT43" s="100">
        <v>0.22013435568284342</v>
      </c>
      <c r="CU43" s="100">
        <v>225.06536525013911</v>
      </c>
    </row>
    <row r="44" spans="2:99">
      <c r="C44" s="99" t="s">
        <v>210</v>
      </c>
      <c r="D44" s="100">
        <v>14</v>
      </c>
      <c r="E44" s="100">
        <v>14313.6</v>
      </c>
      <c r="F44" s="100">
        <v>10</v>
      </c>
      <c r="G44" s="100">
        <v>10224</v>
      </c>
      <c r="H44" s="100">
        <v>14</v>
      </c>
      <c r="I44" s="100">
        <v>14313.6</v>
      </c>
      <c r="J44" s="100">
        <v>9</v>
      </c>
      <c r="K44" s="100">
        <v>9201.6</v>
      </c>
      <c r="L44" s="100">
        <v>17</v>
      </c>
      <c r="M44" s="100">
        <v>17380.8</v>
      </c>
      <c r="N44" s="100">
        <v>11</v>
      </c>
      <c r="O44" s="100">
        <v>11246.4</v>
      </c>
      <c r="P44" s="100">
        <v>15</v>
      </c>
      <c r="Q44" s="100">
        <v>15336</v>
      </c>
      <c r="R44" s="100">
        <v>20</v>
      </c>
      <c r="S44" s="100">
        <v>20448</v>
      </c>
      <c r="T44" s="100">
        <v>19</v>
      </c>
      <c r="U44" s="100">
        <v>19425.599999999999</v>
      </c>
      <c r="V44" s="100">
        <v>13</v>
      </c>
      <c r="W44" s="100">
        <v>13291.199999999999</v>
      </c>
      <c r="X44" s="100">
        <v>18</v>
      </c>
      <c r="Y44" s="100">
        <v>18403.2</v>
      </c>
      <c r="Z44" s="100">
        <v>14</v>
      </c>
      <c r="AA44" s="100">
        <v>14313.6</v>
      </c>
      <c r="AB44" s="100">
        <v>13</v>
      </c>
      <c r="AC44" s="100">
        <v>13291.199999999999</v>
      </c>
      <c r="AD44" s="100">
        <v>14</v>
      </c>
      <c r="AE44" s="100">
        <v>14313.6</v>
      </c>
      <c r="AF44" s="100">
        <v>17</v>
      </c>
      <c r="AG44" s="100">
        <v>17380.8</v>
      </c>
      <c r="AH44" s="100">
        <v>14</v>
      </c>
      <c r="AI44" s="100">
        <v>14313.6</v>
      </c>
      <c r="AJ44" s="100">
        <v>16</v>
      </c>
      <c r="AK44" s="100">
        <v>16358.4</v>
      </c>
      <c r="AL44" s="100">
        <v>19</v>
      </c>
      <c r="AM44" s="100">
        <v>19425.599999999999</v>
      </c>
      <c r="AN44" s="100">
        <v>16</v>
      </c>
      <c r="AO44" s="100">
        <v>16358.4</v>
      </c>
      <c r="AP44" s="100">
        <v>17</v>
      </c>
      <c r="AQ44" s="100">
        <v>17380.8</v>
      </c>
      <c r="AR44" s="100">
        <v>18</v>
      </c>
      <c r="AS44" s="100">
        <v>18403.2</v>
      </c>
      <c r="AT44" s="100">
        <v>9.5371807570146014</v>
      </c>
      <c r="AU44" s="100">
        <v>9750.813605971729</v>
      </c>
      <c r="AV44" s="100">
        <v>15.262110316241658</v>
      </c>
      <c r="AW44" s="100">
        <v>15603.981587325472</v>
      </c>
      <c r="AX44" s="100">
        <v>16.880408615080057</v>
      </c>
      <c r="AY44" s="100">
        <v>17258.529768057851</v>
      </c>
      <c r="AZ44" s="100">
        <v>11</v>
      </c>
      <c r="BA44" s="100">
        <v>11246.4</v>
      </c>
      <c r="BB44" s="100">
        <v>15</v>
      </c>
      <c r="BC44" s="100">
        <v>15336</v>
      </c>
      <c r="BD44" s="100">
        <v>10.448258937352051</v>
      </c>
      <c r="BE44" s="100">
        <v>10682.299937548736</v>
      </c>
      <c r="BF44" s="100">
        <v>11</v>
      </c>
      <c r="BG44" s="100">
        <v>11246.4</v>
      </c>
      <c r="BH44" s="100">
        <v>10.527051799102736</v>
      </c>
      <c r="BI44" s="100">
        <v>10762.857759402637</v>
      </c>
      <c r="BJ44" s="100">
        <v>15.70951321981439</v>
      </c>
      <c r="BK44" s="100">
        <v>16061.406315938231</v>
      </c>
      <c r="BL44" s="100">
        <v>18.396886673624625</v>
      </c>
      <c r="BM44" s="100">
        <v>18808.976935113817</v>
      </c>
      <c r="BN44" s="100">
        <v>11.732482583530821</v>
      </c>
      <c r="BO44" s="100">
        <v>11995.290193401912</v>
      </c>
      <c r="BP44" s="100">
        <v>17.802412809038085</v>
      </c>
      <c r="BQ44" s="100">
        <v>18201.186855960539</v>
      </c>
      <c r="BR44" s="100">
        <v>12.652447798081424</v>
      </c>
      <c r="BS44" s="100">
        <v>12935.862628758447</v>
      </c>
      <c r="BT44" s="100">
        <v>14.362365603353709</v>
      </c>
      <c r="BU44" s="100">
        <v>14684.082592868832</v>
      </c>
      <c r="BV44" s="100">
        <v>16.498915858398064</v>
      </c>
      <c r="BW44" s="100">
        <v>16868.491573626179</v>
      </c>
      <c r="BX44" s="100">
        <v>16.565848579933146</v>
      </c>
      <c r="BY44" s="100">
        <v>16936.923588123649</v>
      </c>
      <c r="BZ44" s="100">
        <v>12.148288958617641</v>
      </c>
      <c r="CA44" s="100">
        <v>12420.410631290677</v>
      </c>
      <c r="CB44" s="100">
        <v>11.897573801873188</v>
      </c>
      <c r="CC44" s="100">
        <v>12164.079455035147</v>
      </c>
      <c r="CD44" s="100">
        <v>15.733204351834932</v>
      </c>
      <c r="CE44" s="100">
        <v>16085.628129316034</v>
      </c>
      <c r="CF44" s="100">
        <v>11.660059851533717</v>
      </c>
      <c r="CG44" s="100">
        <v>11921.245192208073</v>
      </c>
      <c r="CH44" s="100">
        <v>10.709052854401055</v>
      </c>
      <c r="CI44" s="100">
        <v>10948.935638339637</v>
      </c>
      <c r="CJ44" s="100">
        <v>13.102080240492581</v>
      </c>
      <c r="CK44" s="100">
        <v>13395.566837879614</v>
      </c>
      <c r="CL44" s="100">
        <v>11</v>
      </c>
      <c r="CM44" s="100">
        <v>11246.4</v>
      </c>
      <c r="CN44" s="100">
        <v>1.0413524782382486</v>
      </c>
      <c r="CO44" s="100">
        <v>1064.6787737507855</v>
      </c>
      <c r="CP44" s="100">
        <v>0.2309698630688943</v>
      </c>
      <c r="CQ44" s="100">
        <v>236.14358800163754</v>
      </c>
      <c r="CR44" s="100">
        <v>0.18063284351791778</v>
      </c>
      <c r="CS44" s="100">
        <v>184.67901921271914</v>
      </c>
      <c r="CT44" s="100">
        <v>0.20320094370724009</v>
      </c>
      <c r="CU44" s="100">
        <v>207.75264484628227</v>
      </c>
    </row>
    <row r="45" spans="2:99">
      <c r="C45" s="99" t="s">
        <v>211</v>
      </c>
      <c r="D45" s="100">
        <v>14</v>
      </c>
      <c r="E45" s="100">
        <v>17488.8</v>
      </c>
      <c r="F45" s="100">
        <v>11</v>
      </c>
      <c r="G45" s="100">
        <v>13741.2</v>
      </c>
      <c r="H45" s="100">
        <v>14</v>
      </c>
      <c r="I45" s="100">
        <v>17488.8</v>
      </c>
      <c r="J45" s="100">
        <v>10</v>
      </c>
      <c r="K45" s="100">
        <v>12492</v>
      </c>
      <c r="L45" s="100">
        <v>17</v>
      </c>
      <c r="M45" s="100">
        <v>21236.400000000001</v>
      </c>
      <c r="N45" s="100">
        <v>11</v>
      </c>
      <c r="O45" s="100">
        <v>13741.2</v>
      </c>
      <c r="P45" s="100">
        <v>14</v>
      </c>
      <c r="Q45" s="100">
        <v>17488.8</v>
      </c>
      <c r="R45" s="100">
        <v>18</v>
      </c>
      <c r="S45" s="100">
        <v>22485.600000000002</v>
      </c>
      <c r="T45" s="100">
        <v>18</v>
      </c>
      <c r="U45" s="100">
        <v>22485.600000000002</v>
      </c>
      <c r="V45" s="100">
        <v>12</v>
      </c>
      <c r="W45" s="100">
        <v>14990.400000000001</v>
      </c>
      <c r="X45" s="100">
        <v>16</v>
      </c>
      <c r="Y45" s="100">
        <v>19987.2</v>
      </c>
      <c r="Z45" s="100">
        <v>12</v>
      </c>
      <c r="AA45" s="100">
        <v>14990.400000000001</v>
      </c>
      <c r="AB45" s="100">
        <v>13</v>
      </c>
      <c r="AC45" s="100">
        <v>16239.6</v>
      </c>
      <c r="AD45" s="100">
        <v>14</v>
      </c>
      <c r="AE45" s="100">
        <v>17488.8</v>
      </c>
      <c r="AF45" s="100">
        <v>15</v>
      </c>
      <c r="AG45" s="100">
        <v>18738</v>
      </c>
      <c r="AH45" s="100">
        <v>12</v>
      </c>
      <c r="AI45" s="100">
        <v>14990.400000000001</v>
      </c>
      <c r="AJ45" s="100">
        <v>17</v>
      </c>
      <c r="AK45" s="100">
        <v>21236.400000000001</v>
      </c>
      <c r="AL45" s="100">
        <v>18</v>
      </c>
      <c r="AM45" s="100">
        <v>22485.600000000002</v>
      </c>
      <c r="AN45" s="100">
        <v>16</v>
      </c>
      <c r="AO45" s="100">
        <v>19987.2</v>
      </c>
      <c r="AP45" s="100">
        <v>14</v>
      </c>
      <c r="AQ45" s="100">
        <v>17488.8</v>
      </c>
      <c r="AR45" s="100">
        <v>16</v>
      </c>
      <c r="AS45" s="100">
        <v>19987.2</v>
      </c>
      <c r="AT45" s="100">
        <v>10.404197189470475</v>
      </c>
      <c r="AU45" s="100">
        <v>12996.923129086517</v>
      </c>
      <c r="AV45" s="100">
        <v>14.308228421476555</v>
      </c>
      <c r="AW45" s="100">
        <v>17873.838944108513</v>
      </c>
      <c r="AX45" s="100">
        <v>15.9426081364645</v>
      </c>
      <c r="AY45" s="100">
        <v>19915.506084071454</v>
      </c>
      <c r="AZ45" s="100">
        <v>10</v>
      </c>
      <c r="BA45" s="100">
        <v>12492</v>
      </c>
      <c r="BB45" s="100">
        <v>15</v>
      </c>
      <c r="BC45" s="100">
        <v>18738</v>
      </c>
      <c r="BD45" s="100">
        <v>12.34794238050697</v>
      </c>
      <c r="BE45" s="100">
        <v>15425.049621729308</v>
      </c>
      <c r="BF45" s="100">
        <v>9</v>
      </c>
      <c r="BG45" s="100">
        <v>11242.800000000001</v>
      </c>
      <c r="BH45" s="100">
        <v>9.5700470900933947</v>
      </c>
      <c r="BI45" s="100">
        <v>11954.902824944669</v>
      </c>
      <c r="BJ45" s="100">
        <v>15.70951321981439</v>
      </c>
      <c r="BK45" s="100">
        <v>19624.323914192137</v>
      </c>
      <c r="BL45" s="100">
        <v>15.637353672580932</v>
      </c>
      <c r="BM45" s="100">
        <v>19534.182207788101</v>
      </c>
      <c r="BN45" s="100">
        <v>11.732482583530821</v>
      </c>
      <c r="BO45" s="100">
        <v>14656.217243346702</v>
      </c>
      <c r="BP45" s="100">
        <v>15.928474618613023</v>
      </c>
      <c r="BQ45" s="100">
        <v>19897.85049357139</v>
      </c>
      <c r="BR45" s="100">
        <v>13.495944317953517</v>
      </c>
      <c r="BS45" s="100">
        <v>16859.133641987533</v>
      </c>
      <c r="BT45" s="100">
        <v>15.207210638845106</v>
      </c>
      <c r="BU45" s="100">
        <v>18996.847530045306</v>
      </c>
      <c r="BV45" s="100">
        <v>18.439964782915485</v>
      </c>
      <c r="BW45" s="100">
        <v>23035.204006818025</v>
      </c>
      <c r="BX45" s="100">
        <v>14.080971292943175</v>
      </c>
      <c r="BY45" s="100">
        <v>17589.949339144616</v>
      </c>
      <c r="BZ45" s="100">
        <v>12.958174889192151</v>
      </c>
      <c r="CA45" s="100">
        <v>16187.352071578835</v>
      </c>
      <c r="CB45" s="100">
        <v>12.88903828536262</v>
      </c>
      <c r="CC45" s="100">
        <v>16100.986626074986</v>
      </c>
      <c r="CD45" s="100">
        <v>13.882239133971998</v>
      </c>
      <c r="CE45" s="100">
        <v>17341.693126157821</v>
      </c>
      <c r="CF45" s="100">
        <v>13.325782687467106</v>
      </c>
      <c r="CG45" s="100">
        <v>16646.567733183911</v>
      </c>
      <c r="CH45" s="100">
        <v>12.356599447385832</v>
      </c>
      <c r="CI45" s="100">
        <v>15435.864029674383</v>
      </c>
      <c r="CJ45" s="100">
        <v>12.228608224459741</v>
      </c>
      <c r="CK45" s="100">
        <v>15275.977393995108</v>
      </c>
      <c r="CL45" s="100">
        <v>12</v>
      </c>
      <c r="CM45" s="100">
        <v>14990.400000000001</v>
      </c>
      <c r="CN45" s="100">
        <v>1.0413524782382486</v>
      </c>
      <c r="CO45" s="100">
        <v>1300.8575158152203</v>
      </c>
      <c r="CP45" s="100">
        <v>0.2309698630688943</v>
      </c>
      <c r="CQ45" s="100">
        <v>288.52755294566276</v>
      </c>
      <c r="CR45" s="100">
        <v>0.18063284351791778</v>
      </c>
      <c r="CS45" s="100">
        <v>225.64654812258289</v>
      </c>
      <c r="CT45" s="100">
        <v>0.20320094370724009</v>
      </c>
      <c r="CU45" s="100">
        <v>253.83861887908432</v>
      </c>
    </row>
    <row r="46" spans="2:99">
      <c r="C46" s="99" t="s">
        <v>212</v>
      </c>
      <c r="D46" s="100">
        <v>13</v>
      </c>
      <c r="E46" s="100">
        <v>15756</v>
      </c>
      <c r="F46" s="100">
        <v>10</v>
      </c>
      <c r="G46" s="100">
        <v>12120</v>
      </c>
      <c r="H46" s="100">
        <v>15</v>
      </c>
      <c r="I46" s="100">
        <v>18180</v>
      </c>
      <c r="J46" s="100">
        <v>9</v>
      </c>
      <c r="K46" s="100">
        <v>10908</v>
      </c>
      <c r="L46" s="100">
        <v>19</v>
      </c>
      <c r="M46" s="100">
        <v>23028</v>
      </c>
      <c r="N46" s="100">
        <v>12</v>
      </c>
      <c r="O46" s="100">
        <v>14544</v>
      </c>
      <c r="P46" s="100">
        <v>17</v>
      </c>
      <c r="Q46" s="100">
        <v>20604</v>
      </c>
      <c r="R46" s="100">
        <v>18</v>
      </c>
      <c r="S46" s="100">
        <v>21816</v>
      </c>
      <c r="T46" s="100">
        <v>19</v>
      </c>
      <c r="U46" s="100">
        <v>23028</v>
      </c>
      <c r="V46" s="100">
        <v>14</v>
      </c>
      <c r="W46" s="100">
        <v>16968</v>
      </c>
      <c r="X46" s="100">
        <v>18</v>
      </c>
      <c r="Y46" s="100">
        <v>21816</v>
      </c>
      <c r="Z46" s="100">
        <v>13</v>
      </c>
      <c r="AA46" s="100">
        <v>15756</v>
      </c>
      <c r="AB46" s="100">
        <v>13</v>
      </c>
      <c r="AC46" s="100">
        <v>15756</v>
      </c>
      <c r="AD46" s="100">
        <v>14</v>
      </c>
      <c r="AE46" s="100">
        <v>16968</v>
      </c>
      <c r="AF46" s="100">
        <v>15</v>
      </c>
      <c r="AG46" s="100">
        <v>18180</v>
      </c>
      <c r="AH46" s="100">
        <v>13</v>
      </c>
      <c r="AI46" s="100">
        <v>15756</v>
      </c>
      <c r="AJ46" s="100">
        <v>17</v>
      </c>
      <c r="AK46" s="100">
        <v>20604</v>
      </c>
      <c r="AL46" s="100">
        <v>18</v>
      </c>
      <c r="AM46" s="100">
        <v>21816</v>
      </c>
      <c r="AN46" s="100">
        <v>17</v>
      </c>
      <c r="AO46" s="100">
        <v>20604</v>
      </c>
      <c r="AP46" s="100">
        <v>14</v>
      </c>
      <c r="AQ46" s="100">
        <v>16968</v>
      </c>
      <c r="AR46" s="100">
        <v>18</v>
      </c>
      <c r="AS46" s="100">
        <v>21816</v>
      </c>
      <c r="AT46" s="100">
        <v>10.404197189470475</v>
      </c>
      <c r="AU46" s="100">
        <v>12609.886993638216</v>
      </c>
      <c r="AV46" s="100">
        <v>14.308228421476555</v>
      </c>
      <c r="AW46" s="100">
        <v>17341.572846829586</v>
      </c>
      <c r="AX46" s="100">
        <v>15.9426081364645</v>
      </c>
      <c r="AY46" s="100">
        <v>19322.441061394973</v>
      </c>
      <c r="AZ46" s="100">
        <v>9</v>
      </c>
      <c r="BA46" s="100">
        <v>10908</v>
      </c>
      <c r="BB46" s="100">
        <v>16</v>
      </c>
      <c r="BC46" s="100">
        <v>19392</v>
      </c>
      <c r="BD46" s="100">
        <v>10.448258937352051</v>
      </c>
      <c r="BE46" s="100">
        <v>12663.289832070686</v>
      </c>
      <c r="BF46" s="100">
        <v>10</v>
      </c>
      <c r="BG46" s="100">
        <v>12120</v>
      </c>
      <c r="BH46" s="100">
        <v>9.5700470900933947</v>
      </c>
      <c r="BI46" s="100">
        <v>11598.897073193195</v>
      </c>
      <c r="BJ46" s="100">
        <v>14.836762485380257</v>
      </c>
      <c r="BK46" s="100">
        <v>17982.15613228087</v>
      </c>
      <c r="BL46" s="100">
        <v>15.637353672580932</v>
      </c>
      <c r="BM46" s="100">
        <v>18952.472651168089</v>
      </c>
      <c r="BN46" s="100">
        <v>11.732482583530821</v>
      </c>
      <c r="BO46" s="100">
        <v>14219.768891239355</v>
      </c>
      <c r="BP46" s="100">
        <v>16.865443713825552</v>
      </c>
      <c r="BQ46" s="100">
        <v>20440.917781156568</v>
      </c>
      <c r="BR46" s="100">
        <v>14.339440837825613</v>
      </c>
      <c r="BS46" s="100">
        <v>17379.402295444645</v>
      </c>
      <c r="BT46" s="100">
        <v>15.207210638845106</v>
      </c>
      <c r="BU46" s="100">
        <v>18431.13929428027</v>
      </c>
      <c r="BV46" s="100">
        <v>15.528391396139353</v>
      </c>
      <c r="BW46" s="100">
        <v>18820.410372120896</v>
      </c>
      <c r="BX46" s="100">
        <v>16.565848579933146</v>
      </c>
      <c r="BY46" s="100">
        <v>20077.808478878971</v>
      </c>
      <c r="BZ46" s="100">
        <v>12.148288958617641</v>
      </c>
      <c r="CA46" s="100">
        <v>14723.726217844582</v>
      </c>
      <c r="CB46" s="100">
        <v>11.897573801873188</v>
      </c>
      <c r="CC46" s="100">
        <v>14419.859447870303</v>
      </c>
      <c r="CD46" s="100">
        <v>16.658686960766399</v>
      </c>
      <c r="CE46" s="100">
        <v>20190.328596448875</v>
      </c>
      <c r="CF46" s="100">
        <v>13.325782687467106</v>
      </c>
      <c r="CG46" s="100">
        <v>16150.848617210133</v>
      </c>
      <c r="CH46" s="100">
        <v>10.709052854401055</v>
      </c>
      <c r="CI46" s="100">
        <v>12979.372059534078</v>
      </c>
      <c r="CJ46" s="100">
        <v>12.228608224459741</v>
      </c>
      <c r="CK46" s="100">
        <v>14821.073168045206</v>
      </c>
      <c r="CL46" s="100">
        <v>13</v>
      </c>
      <c r="CM46" s="100">
        <v>15756</v>
      </c>
      <c r="CN46" s="100">
        <v>0.98349956278056805</v>
      </c>
      <c r="CO46" s="100">
        <v>1192.0014700900485</v>
      </c>
      <c r="CP46" s="100">
        <v>0.2309698630688943</v>
      </c>
      <c r="CQ46" s="100">
        <v>279.93547403949992</v>
      </c>
      <c r="CR46" s="100">
        <v>0.19869612786970955</v>
      </c>
      <c r="CS46" s="100">
        <v>240.81970697808799</v>
      </c>
      <c r="CT46" s="100">
        <v>0.22013435568284342</v>
      </c>
      <c r="CU46" s="100">
        <v>266.80283908760623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11</v>
      </c>
      <c r="G47" s="100">
        <v>16803.599999999999</v>
      </c>
      <c r="H47" s="100">
        <v>14</v>
      </c>
      <c r="I47" s="100">
        <v>21386.399999999998</v>
      </c>
      <c r="J47" s="100">
        <v>10</v>
      </c>
      <c r="K47" s="100">
        <v>15276</v>
      </c>
      <c r="L47" s="100">
        <v>16</v>
      </c>
      <c r="M47" s="100">
        <v>24441.599999999999</v>
      </c>
      <c r="N47" s="100">
        <v>11</v>
      </c>
      <c r="O47" s="100">
        <v>16803.599999999999</v>
      </c>
      <c r="P47" s="100">
        <v>15</v>
      </c>
      <c r="Q47" s="100">
        <v>22914</v>
      </c>
      <c r="R47" s="100">
        <v>16</v>
      </c>
      <c r="S47" s="100">
        <v>24441.599999999999</v>
      </c>
      <c r="T47" s="100">
        <v>18</v>
      </c>
      <c r="U47" s="100">
        <v>27496.799999999999</v>
      </c>
      <c r="V47" s="100">
        <v>12</v>
      </c>
      <c r="W47" s="100">
        <v>18331.199999999997</v>
      </c>
      <c r="X47" s="100">
        <v>16</v>
      </c>
      <c r="Y47" s="100">
        <v>24441.599999999999</v>
      </c>
      <c r="Z47" s="100">
        <v>14</v>
      </c>
      <c r="AA47" s="100">
        <v>21386.399999999998</v>
      </c>
      <c r="AB47" s="100">
        <v>13</v>
      </c>
      <c r="AC47" s="100">
        <v>19858.8</v>
      </c>
      <c r="AD47" s="100">
        <v>12</v>
      </c>
      <c r="AE47" s="100">
        <v>18331.199999999997</v>
      </c>
      <c r="AF47" s="100">
        <v>14</v>
      </c>
      <c r="AG47" s="100">
        <v>21386.399999999998</v>
      </c>
      <c r="AH47" s="100">
        <v>12</v>
      </c>
      <c r="AI47" s="100">
        <v>18331.199999999997</v>
      </c>
      <c r="AJ47" s="100">
        <v>14</v>
      </c>
      <c r="AK47" s="100">
        <v>21386.399999999998</v>
      </c>
      <c r="AL47" s="100">
        <v>16</v>
      </c>
      <c r="AM47" s="100">
        <v>24441.599999999999</v>
      </c>
      <c r="AN47" s="100">
        <v>16</v>
      </c>
      <c r="AO47" s="100">
        <v>24441.599999999999</v>
      </c>
      <c r="AP47" s="100">
        <v>17</v>
      </c>
      <c r="AQ47" s="100">
        <v>25969.199999999997</v>
      </c>
      <c r="AR47" s="100">
        <v>17</v>
      </c>
      <c r="AS47" s="100">
        <v>25969.199999999997</v>
      </c>
      <c r="AT47" s="100">
        <v>8.6701643245587281</v>
      </c>
      <c r="AU47" s="100">
        <v>13244.543022195912</v>
      </c>
      <c r="AV47" s="100">
        <v>13.354346526711449</v>
      </c>
      <c r="AW47" s="100">
        <v>20400.09975420441</v>
      </c>
      <c r="AX47" s="100">
        <v>16.880408615080057</v>
      </c>
      <c r="AY47" s="100">
        <v>25786.512200396293</v>
      </c>
      <c r="AZ47" s="100">
        <v>9</v>
      </c>
      <c r="BA47" s="100">
        <v>13748.4</v>
      </c>
      <c r="BB47" s="100">
        <v>14</v>
      </c>
      <c r="BC47" s="100">
        <v>21386.399999999998</v>
      </c>
      <c r="BD47" s="100">
        <v>10.448258937352051</v>
      </c>
      <c r="BE47" s="100">
        <v>15960.760352698991</v>
      </c>
      <c r="BF47" s="100">
        <v>10</v>
      </c>
      <c r="BG47" s="100">
        <v>15276</v>
      </c>
      <c r="BH47" s="100">
        <v>9.5700470900933947</v>
      </c>
      <c r="BI47" s="100">
        <v>14619.203934826668</v>
      </c>
      <c r="BJ47" s="100">
        <v>13.964011750946124</v>
      </c>
      <c r="BK47" s="100">
        <v>21331.424350745299</v>
      </c>
      <c r="BL47" s="100">
        <v>17.477042339943395</v>
      </c>
      <c r="BM47" s="100">
        <v>26697.929878497529</v>
      </c>
      <c r="BN47" s="100">
        <v>11.732482583530821</v>
      </c>
      <c r="BO47" s="100">
        <v>17922.540394601681</v>
      </c>
      <c r="BP47" s="100">
        <v>17.802412809038085</v>
      </c>
      <c r="BQ47" s="100">
        <v>27194.965807086577</v>
      </c>
      <c r="BR47" s="100">
        <v>12.652447798081424</v>
      </c>
      <c r="BS47" s="100">
        <v>19327.879256349181</v>
      </c>
      <c r="BT47" s="100">
        <v>14.362365603353709</v>
      </c>
      <c r="BU47" s="100">
        <v>21939.949695683124</v>
      </c>
      <c r="BV47" s="100">
        <v>15.528391396139353</v>
      </c>
      <c r="BW47" s="100">
        <v>23721.170696742476</v>
      </c>
      <c r="BX47" s="100">
        <v>14.080971292943175</v>
      </c>
      <c r="BY47" s="100">
        <v>21510.091747099992</v>
      </c>
      <c r="BZ47" s="100">
        <v>13.76806081976666</v>
      </c>
      <c r="CA47" s="100">
        <v>21032.089708275547</v>
      </c>
      <c r="CB47" s="100">
        <v>12.88903828536262</v>
      </c>
      <c r="CC47" s="100">
        <v>19689.294884719937</v>
      </c>
      <c r="CD47" s="100">
        <v>15.733204351834932</v>
      </c>
      <c r="CE47" s="100">
        <v>24034.042967863039</v>
      </c>
      <c r="CF47" s="100">
        <v>12.49292126950041</v>
      </c>
      <c r="CG47" s="100">
        <v>19084.186531288826</v>
      </c>
      <c r="CH47" s="100">
        <v>10.709052854401055</v>
      </c>
      <c r="CI47" s="100">
        <v>16359.14914038305</v>
      </c>
      <c r="CJ47" s="100">
        <v>11.355136208426902</v>
      </c>
      <c r="CK47" s="100">
        <v>17346.106071992934</v>
      </c>
      <c r="CL47" s="100">
        <v>11</v>
      </c>
      <c r="CM47" s="100">
        <v>16803.599999999999</v>
      </c>
      <c r="CN47" s="100">
        <v>1.0413524782382486</v>
      </c>
      <c r="CO47" s="100">
        <v>1590.7700457567485</v>
      </c>
      <c r="CP47" s="100">
        <v>0.2309698630688943</v>
      </c>
      <c r="CQ47" s="100">
        <v>352.82956282404291</v>
      </c>
      <c r="CR47" s="100">
        <v>0.19869612786970955</v>
      </c>
      <c r="CS47" s="100">
        <v>303.52820493376828</v>
      </c>
      <c r="CT47" s="100">
        <v>0.20320094370724009</v>
      </c>
      <c r="CU47" s="100">
        <v>310.40976160717997</v>
      </c>
    </row>
    <row r="48" spans="2:99">
      <c r="C48" s="99" t="s">
        <v>214</v>
      </c>
      <c r="D48" s="100">
        <v>14</v>
      </c>
      <c r="E48" s="100">
        <v>12146.4</v>
      </c>
      <c r="F48" s="100">
        <v>11</v>
      </c>
      <c r="G48" s="100">
        <v>9543.6</v>
      </c>
      <c r="H48" s="100">
        <v>15</v>
      </c>
      <c r="I48" s="100">
        <v>13014</v>
      </c>
      <c r="J48" s="100">
        <v>10</v>
      </c>
      <c r="K48" s="100">
        <v>8676</v>
      </c>
      <c r="L48" s="100">
        <v>17</v>
      </c>
      <c r="M48" s="100">
        <v>14749.2</v>
      </c>
      <c r="N48" s="100">
        <v>11</v>
      </c>
      <c r="O48" s="100">
        <v>9543.6</v>
      </c>
      <c r="P48" s="100">
        <v>17</v>
      </c>
      <c r="Q48" s="100">
        <v>14749.2</v>
      </c>
      <c r="R48" s="100">
        <v>19</v>
      </c>
      <c r="S48" s="100">
        <v>16484.400000000001</v>
      </c>
      <c r="T48" s="100">
        <v>18</v>
      </c>
      <c r="U48" s="100">
        <v>15616.800000000001</v>
      </c>
      <c r="V48" s="100">
        <v>14</v>
      </c>
      <c r="W48" s="100">
        <v>12146.4</v>
      </c>
      <c r="X48" s="100">
        <v>17</v>
      </c>
      <c r="Y48" s="100">
        <v>14749.2</v>
      </c>
      <c r="Z48" s="100">
        <v>12</v>
      </c>
      <c r="AA48" s="100">
        <v>10411.200000000001</v>
      </c>
      <c r="AB48" s="100">
        <v>13</v>
      </c>
      <c r="AC48" s="100">
        <v>11278.800000000001</v>
      </c>
      <c r="AD48" s="100">
        <v>14</v>
      </c>
      <c r="AE48" s="100">
        <v>12146.4</v>
      </c>
      <c r="AF48" s="100">
        <v>16</v>
      </c>
      <c r="AG48" s="100">
        <v>13881.6</v>
      </c>
      <c r="AH48" s="100">
        <v>12</v>
      </c>
      <c r="AI48" s="100">
        <v>10411.200000000001</v>
      </c>
      <c r="AJ48" s="100">
        <v>15</v>
      </c>
      <c r="AK48" s="100">
        <v>13014</v>
      </c>
      <c r="AL48" s="100">
        <v>19</v>
      </c>
      <c r="AM48" s="100">
        <v>16484.400000000001</v>
      </c>
      <c r="AN48" s="100">
        <v>18</v>
      </c>
      <c r="AO48" s="100">
        <v>15616.800000000001</v>
      </c>
      <c r="AP48" s="100">
        <v>16</v>
      </c>
      <c r="AQ48" s="100">
        <v>13881.6</v>
      </c>
      <c r="AR48" s="100">
        <v>17</v>
      </c>
      <c r="AS48" s="100">
        <v>14749.2</v>
      </c>
      <c r="AT48" s="100">
        <v>10.404197189470475</v>
      </c>
      <c r="AU48" s="100">
        <v>9026.6814815845846</v>
      </c>
      <c r="AV48" s="100">
        <v>15.262110316241658</v>
      </c>
      <c r="AW48" s="100">
        <v>13241.406910371263</v>
      </c>
      <c r="AX48" s="100">
        <v>15.004807657848941</v>
      </c>
      <c r="AY48" s="100">
        <v>13018.171123949742</v>
      </c>
      <c r="AZ48" s="100">
        <v>10</v>
      </c>
      <c r="BA48" s="100">
        <v>8676</v>
      </c>
      <c r="BB48" s="100">
        <v>14</v>
      </c>
      <c r="BC48" s="100">
        <v>12146.4</v>
      </c>
      <c r="BD48" s="100">
        <v>12.34794238050697</v>
      </c>
      <c r="BE48" s="100">
        <v>10713.074809327847</v>
      </c>
      <c r="BF48" s="100">
        <v>10</v>
      </c>
      <c r="BG48" s="100">
        <v>8676</v>
      </c>
      <c r="BH48" s="100">
        <v>11.484056508112074</v>
      </c>
      <c r="BI48" s="100">
        <v>9963.5674264380359</v>
      </c>
      <c r="BJ48" s="100">
        <v>16.582263954248521</v>
      </c>
      <c r="BK48" s="100">
        <v>14386.772206706017</v>
      </c>
      <c r="BL48" s="100">
        <v>17.477042339943395</v>
      </c>
      <c r="BM48" s="100">
        <v>15163.081934134891</v>
      </c>
      <c r="BN48" s="100">
        <v>11.732482583530821</v>
      </c>
      <c r="BO48" s="100">
        <v>10179.10188947134</v>
      </c>
      <c r="BP48" s="100">
        <v>17.802412809038085</v>
      </c>
      <c r="BQ48" s="100">
        <v>15445.373353121442</v>
      </c>
      <c r="BR48" s="100">
        <v>12.652447798081424</v>
      </c>
      <c r="BS48" s="100">
        <v>10977.263709615443</v>
      </c>
      <c r="BT48" s="100">
        <v>15.207210638845106</v>
      </c>
      <c r="BU48" s="100">
        <v>13193.775950262016</v>
      </c>
      <c r="BV48" s="100">
        <v>17.469440320656773</v>
      </c>
      <c r="BW48" s="100">
        <v>15156.486422201817</v>
      </c>
      <c r="BX48" s="100">
        <v>15.73755615093649</v>
      </c>
      <c r="BY48" s="100">
        <v>13653.903716552499</v>
      </c>
      <c r="BZ48" s="100">
        <v>12.958174889192151</v>
      </c>
      <c r="CA48" s="100">
        <v>11242.51253386311</v>
      </c>
      <c r="CB48" s="100">
        <v>13.880502768852052</v>
      </c>
      <c r="CC48" s="100">
        <v>12042.72420225604</v>
      </c>
      <c r="CD48" s="100">
        <v>13.882239133971998</v>
      </c>
      <c r="CE48" s="100">
        <v>12044.230672634107</v>
      </c>
      <c r="CF48" s="100">
        <v>12.49292126950041</v>
      </c>
      <c r="CG48" s="100">
        <v>10838.858493418556</v>
      </c>
      <c r="CH48" s="100">
        <v>12.356599447385832</v>
      </c>
      <c r="CI48" s="100">
        <v>10720.585680551949</v>
      </c>
      <c r="CJ48" s="100">
        <v>14.849024272558259</v>
      </c>
      <c r="CK48" s="100">
        <v>12883.013458871546</v>
      </c>
      <c r="CL48" s="100">
        <v>11</v>
      </c>
      <c r="CM48" s="100">
        <v>9543.6</v>
      </c>
      <c r="CN48" s="100">
        <v>1.1570583091536095</v>
      </c>
      <c r="CO48" s="100">
        <v>1003.8637890216717</v>
      </c>
      <c r="CP48" s="100">
        <v>0.25021735165796882</v>
      </c>
      <c r="CQ48" s="100">
        <v>217.08857429845375</v>
      </c>
      <c r="CR48" s="100">
        <v>0.19869612786970955</v>
      </c>
      <c r="CS48" s="100">
        <v>172.38876053976003</v>
      </c>
      <c r="CT48" s="100">
        <v>0.23706776765844675</v>
      </c>
      <c r="CU48" s="100">
        <v>205.67999522046841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15</v>
      </c>
      <c r="G49" s="100">
        <v>14777.999999999998</v>
      </c>
      <c r="H49" s="100">
        <v>14</v>
      </c>
      <c r="I49" s="100">
        <v>13792.8</v>
      </c>
      <c r="J49" s="100">
        <v>15</v>
      </c>
      <c r="K49" s="100">
        <v>14777.999999999998</v>
      </c>
      <c r="L49" s="100">
        <v>12</v>
      </c>
      <c r="M49" s="100">
        <v>11822.4</v>
      </c>
      <c r="N49" s="100">
        <v>8</v>
      </c>
      <c r="O49" s="100">
        <v>7881.5999999999995</v>
      </c>
      <c r="P49" s="100">
        <v>9</v>
      </c>
      <c r="Q49" s="100">
        <v>8866.7999999999993</v>
      </c>
      <c r="R49" s="100">
        <v>11</v>
      </c>
      <c r="S49" s="100">
        <v>10837.199999999999</v>
      </c>
      <c r="T49" s="100">
        <v>15</v>
      </c>
      <c r="U49" s="100">
        <v>14777.999999999998</v>
      </c>
      <c r="V49" s="100">
        <v>13</v>
      </c>
      <c r="W49" s="100">
        <v>12807.599999999999</v>
      </c>
      <c r="X49" s="100">
        <v>14</v>
      </c>
      <c r="Y49" s="100">
        <v>13792.8</v>
      </c>
      <c r="Z49" s="100">
        <v>16</v>
      </c>
      <c r="AA49" s="100">
        <v>15763.199999999999</v>
      </c>
      <c r="AB49" s="100">
        <v>14</v>
      </c>
      <c r="AC49" s="100">
        <v>13792.8</v>
      </c>
      <c r="AD49" s="100">
        <v>12</v>
      </c>
      <c r="AE49" s="100">
        <v>11822.4</v>
      </c>
      <c r="AF49" s="100">
        <v>12</v>
      </c>
      <c r="AG49" s="100">
        <v>11822.4</v>
      </c>
      <c r="AH49" s="100">
        <v>9</v>
      </c>
      <c r="AI49" s="100">
        <v>8866.7999999999993</v>
      </c>
      <c r="AJ49" s="100">
        <v>11</v>
      </c>
      <c r="AK49" s="100">
        <v>10837.199999999999</v>
      </c>
      <c r="AL49" s="100">
        <v>13</v>
      </c>
      <c r="AM49" s="100">
        <v>12807.599999999999</v>
      </c>
      <c r="AN49" s="100">
        <v>17</v>
      </c>
      <c r="AO49" s="100">
        <v>16748.399999999998</v>
      </c>
      <c r="AP49" s="100">
        <v>14</v>
      </c>
      <c r="AQ49" s="100">
        <v>13792.8</v>
      </c>
      <c r="AR49" s="100">
        <v>13</v>
      </c>
      <c r="AS49" s="100">
        <v>12807.599999999999</v>
      </c>
      <c r="AT49" s="100">
        <v>14</v>
      </c>
      <c r="AU49" s="100">
        <v>13792.8</v>
      </c>
      <c r="AV49" s="100">
        <v>15</v>
      </c>
      <c r="AW49" s="100">
        <v>14777.999999999998</v>
      </c>
      <c r="AX49" s="100">
        <v>13</v>
      </c>
      <c r="AY49" s="100">
        <v>12807.599999999999</v>
      </c>
      <c r="AZ49" s="100">
        <v>9</v>
      </c>
      <c r="BA49" s="100">
        <v>8866.7999999999993</v>
      </c>
      <c r="BB49" s="100">
        <v>11</v>
      </c>
      <c r="BC49" s="100">
        <v>10837.199999999999</v>
      </c>
      <c r="BD49" s="100">
        <v>13</v>
      </c>
      <c r="BE49" s="100">
        <v>12807.599999999999</v>
      </c>
      <c r="BF49" s="100">
        <v>18</v>
      </c>
      <c r="BG49" s="100">
        <v>17733.599999999999</v>
      </c>
      <c r="BH49" s="100">
        <v>11</v>
      </c>
      <c r="BI49" s="100">
        <v>10837.199999999999</v>
      </c>
      <c r="BJ49" s="100">
        <v>15</v>
      </c>
      <c r="BK49" s="100">
        <v>14777.999999999998</v>
      </c>
      <c r="BL49" s="100">
        <v>8</v>
      </c>
      <c r="BM49" s="100">
        <v>7881.5999999999995</v>
      </c>
      <c r="BN49" s="100">
        <v>15</v>
      </c>
      <c r="BO49" s="100">
        <v>14777.999999999998</v>
      </c>
      <c r="BP49" s="100">
        <v>13</v>
      </c>
      <c r="BQ49" s="100">
        <v>12807.599999999999</v>
      </c>
      <c r="BR49" s="100">
        <v>17</v>
      </c>
      <c r="BS49" s="100">
        <v>16748.399999999998</v>
      </c>
      <c r="BT49" s="100">
        <v>15</v>
      </c>
      <c r="BU49" s="100">
        <v>14777.999999999998</v>
      </c>
      <c r="BV49" s="100">
        <v>10</v>
      </c>
      <c r="BW49" s="100">
        <v>9852</v>
      </c>
      <c r="BX49" s="100">
        <v>14</v>
      </c>
      <c r="BY49" s="100">
        <v>13792.8</v>
      </c>
      <c r="BZ49" s="100">
        <v>10</v>
      </c>
      <c r="CA49" s="100">
        <v>9852</v>
      </c>
      <c r="CB49" s="100">
        <v>11</v>
      </c>
      <c r="CC49" s="100">
        <v>10837.199999999999</v>
      </c>
      <c r="CD49" s="100">
        <v>15</v>
      </c>
      <c r="CE49" s="100">
        <v>14777.999999999998</v>
      </c>
      <c r="CF49" s="100">
        <v>17</v>
      </c>
      <c r="CG49" s="100">
        <v>16748.399999999998</v>
      </c>
      <c r="CH49" s="100">
        <v>15</v>
      </c>
      <c r="CI49" s="100">
        <v>14777.999999999998</v>
      </c>
      <c r="CJ49" s="100">
        <v>13</v>
      </c>
      <c r="CK49" s="100">
        <v>12807.599999999999</v>
      </c>
      <c r="CL49" s="100">
        <v>10</v>
      </c>
      <c r="CM49" s="100">
        <v>9852</v>
      </c>
      <c r="CN49" s="100">
        <v>14</v>
      </c>
      <c r="CO49" s="100">
        <v>13792.8</v>
      </c>
      <c r="CP49" s="100">
        <v>9</v>
      </c>
      <c r="CQ49" s="100">
        <v>8866.7999999999993</v>
      </c>
      <c r="CR49" s="100">
        <v>9</v>
      </c>
      <c r="CS49" s="100">
        <v>8866.7999999999993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10</v>
      </c>
      <c r="E50" s="100">
        <v>2820</v>
      </c>
      <c r="F50" s="100">
        <v>15</v>
      </c>
      <c r="G50" s="100">
        <v>4230</v>
      </c>
      <c r="H50" s="100">
        <v>16</v>
      </c>
      <c r="I50" s="100">
        <v>4512</v>
      </c>
      <c r="J50" s="100">
        <v>16</v>
      </c>
      <c r="K50" s="100">
        <v>4512</v>
      </c>
      <c r="L50" s="100">
        <v>12</v>
      </c>
      <c r="M50" s="100">
        <v>3384</v>
      </c>
      <c r="N50" s="100">
        <v>10</v>
      </c>
      <c r="O50" s="100">
        <v>2820</v>
      </c>
      <c r="P50" s="100">
        <v>10</v>
      </c>
      <c r="Q50" s="100">
        <v>2820</v>
      </c>
      <c r="R50" s="100">
        <v>11</v>
      </c>
      <c r="S50" s="100">
        <v>3102</v>
      </c>
      <c r="T50" s="100">
        <v>16</v>
      </c>
      <c r="U50" s="100">
        <v>4512</v>
      </c>
      <c r="V50" s="100">
        <v>13</v>
      </c>
      <c r="W50" s="100">
        <v>3666</v>
      </c>
      <c r="X50" s="100">
        <v>18</v>
      </c>
      <c r="Y50" s="100">
        <v>5076</v>
      </c>
      <c r="Z50" s="100">
        <v>19</v>
      </c>
      <c r="AA50" s="100">
        <v>5358</v>
      </c>
      <c r="AB50" s="100">
        <v>14</v>
      </c>
      <c r="AC50" s="100">
        <v>3948</v>
      </c>
      <c r="AD50" s="100">
        <v>12</v>
      </c>
      <c r="AE50" s="100">
        <v>3384</v>
      </c>
      <c r="AF50" s="100">
        <v>13</v>
      </c>
      <c r="AG50" s="100">
        <v>3666</v>
      </c>
      <c r="AH50" s="100">
        <v>9</v>
      </c>
      <c r="AI50" s="100">
        <v>2538</v>
      </c>
      <c r="AJ50" s="100">
        <v>12</v>
      </c>
      <c r="AK50" s="100">
        <v>3384</v>
      </c>
      <c r="AL50" s="100">
        <v>15</v>
      </c>
      <c r="AM50" s="100">
        <v>4230</v>
      </c>
      <c r="AN50" s="100">
        <v>18</v>
      </c>
      <c r="AO50" s="100">
        <v>5076</v>
      </c>
      <c r="AP50" s="100">
        <v>14</v>
      </c>
      <c r="AQ50" s="100">
        <v>3948</v>
      </c>
      <c r="AR50" s="100">
        <v>14</v>
      </c>
      <c r="AS50" s="100">
        <v>3948</v>
      </c>
      <c r="AT50" s="100">
        <v>12.13823005438222</v>
      </c>
      <c r="AU50" s="100">
        <v>3422.9808753357861</v>
      </c>
      <c r="AV50" s="100">
        <v>17.169874105771864</v>
      </c>
      <c r="AW50" s="100">
        <v>4841.9044978276661</v>
      </c>
      <c r="AX50" s="100">
        <v>14.067007179233382</v>
      </c>
      <c r="AY50" s="100">
        <v>3966.8960245438138</v>
      </c>
      <c r="AZ50" s="100">
        <v>9</v>
      </c>
      <c r="BA50" s="100">
        <v>2538</v>
      </c>
      <c r="BB50" s="100">
        <v>10</v>
      </c>
      <c r="BC50" s="100">
        <v>2820</v>
      </c>
      <c r="BD50" s="100">
        <v>12.34794238050697</v>
      </c>
      <c r="BE50" s="100">
        <v>3482.1197513029656</v>
      </c>
      <c r="BF50" s="100">
        <v>18</v>
      </c>
      <c r="BG50" s="100">
        <v>5076</v>
      </c>
      <c r="BH50" s="100">
        <v>10.527051799102736</v>
      </c>
      <c r="BI50" s="100">
        <v>2968.6286073469714</v>
      </c>
      <c r="BJ50" s="100">
        <v>13.091261016511993</v>
      </c>
      <c r="BK50" s="100">
        <v>3691.7356066563821</v>
      </c>
      <c r="BL50" s="100">
        <v>9.1984433368123124</v>
      </c>
      <c r="BM50" s="100">
        <v>2593.9610209810721</v>
      </c>
      <c r="BN50" s="100">
        <v>15.643310111374429</v>
      </c>
      <c r="BO50" s="100">
        <v>4411.4134514075895</v>
      </c>
      <c r="BP50" s="100">
        <v>13.117567332975433</v>
      </c>
      <c r="BQ50" s="100">
        <v>3699.153987899072</v>
      </c>
      <c r="BR50" s="100">
        <v>16.026433877569801</v>
      </c>
      <c r="BS50" s="100">
        <v>4519.4543534746836</v>
      </c>
      <c r="BT50" s="100">
        <v>12.672675532370921</v>
      </c>
      <c r="BU50" s="100">
        <v>3573.6945001285994</v>
      </c>
      <c r="BV50" s="100">
        <v>9.705244622587097</v>
      </c>
      <c r="BW50" s="100">
        <v>2736.8789835695616</v>
      </c>
      <c r="BX50" s="100">
        <v>12.424386434949861</v>
      </c>
      <c r="BY50" s="100">
        <v>3503.6769746558607</v>
      </c>
      <c r="BZ50" s="100">
        <v>8.9087452363196036</v>
      </c>
      <c r="CA50" s="100">
        <v>2512.2661566421284</v>
      </c>
      <c r="CB50" s="100">
        <v>12.88903828536262</v>
      </c>
      <c r="CC50" s="100">
        <v>3634.7087964722587</v>
      </c>
      <c r="CD50" s="100">
        <v>13.882239133971998</v>
      </c>
      <c r="CE50" s="100">
        <v>3914.7914357801033</v>
      </c>
      <c r="CF50" s="100">
        <v>14.991505523400493</v>
      </c>
      <c r="CG50" s="100">
        <v>4227.6045575989392</v>
      </c>
      <c r="CH50" s="100">
        <v>14.827919336862998</v>
      </c>
      <c r="CI50" s="100">
        <v>4181.4732529953653</v>
      </c>
      <c r="CJ50" s="100">
        <v>12.228608224459741</v>
      </c>
      <c r="CK50" s="100">
        <v>3448.467519297647</v>
      </c>
      <c r="CL50" s="100">
        <v>11</v>
      </c>
      <c r="CM50" s="100">
        <v>3102</v>
      </c>
      <c r="CN50" s="100">
        <v>0.98349956278056805</v>
      </c>
      <c r="CO50" s="100">
        <v>277.34687670412018</v>
      </c>
      <c r="CP50" s="100">
        <v>0.17322739730167075</v>
      </c>
      <c r="CQ50" s="100">
        <v>48.850126039071149</v>
      </c>
      <c r="CR50" s="100">
        <v>0.162569559166126</v>
      </c>
      <c r="CS50" s="100">
        <v>45.844615684847533</v>
      </c>
      <c r="CT50" s="100">
        <v>0.13546729580482672</v>
      </c>
      <c r="CU50" s="100">
        <v>38.201777416961136</v>
      </c>
    </row>
    <row r="51" spans="2:99">
      <c r="C51" s="99" t="s">
        <v>217</v>
      </c>
      <c r="D51" s="100">
        <v>10</v>
      </c>
      <c r="E51" s="100">
        <v>8544</v>
      </c>
      <c r="F51" s="100">
        <v>13</v>
      </c>
      <c r="G51" s="100">
        <v>11107.199999999999</v>
      </c>
      <c r="H51" s="100">
        <v>17</v>
      </c>
      <c r="I51" s="100">
        <v>14524.8</v>
      </c>
      <c r="J51" s="100">
        <v>14</v>
      </c>
      <c r="K51" s="100">
        <v>11961.6</v>
      </c>
      <c r="L51" s="100">
        <v>12</v>
      </c>
      <c r="M51" s="100">
        <v>10252.799999999999</v>
      </c>
      <c r="N51" s="100">
        <v>9</v>
      </c>
      <c r="O51" s="100">
        <v>7689.5999999999995</v>
      </c>
      <c r="P51" s="100">
        <v>9</v>
      </c>
      <c r="Q51" s="100">
        <v>7689.5999999999995</v>
      </c>
      <c r="R51" s="100">
        <v>11</v>
      </c>
      <c r="S51" s="100">
        <v>9398.4</v>
      </c>
      <c r="T51" s="100">
        <v>15</v>
      </c>
      <c r="U51" s="100">
        <v>12816</v>
      </c>
      <c r="V51" s="100">
        <v>12</v>
      </c>
      <c r="W51" s="100">
        <v>10252.799999999999</v>
      </c>
      <c r="X51" s="100">
        <v>14</v>
      </c>
      <c r="Y51" s="100">
        <v>11961.6</v>
      </c>
      <c r="Z51" s="100">
        <v>16</v>
      </c>
      <c r="AA51" s="100">
        <v>13670.4</v>
      </c>
      <c r="AB51" s="100">
        <v>14</v>
      </c>
      <c r="AC51" s="100">
        <v>11961.6</v>
      </c>
      <c r="AD51" s="100">
        <v>13</v>
      </c>
      <c r="AE51" s="100">
        <v>11107.199999999999</v>
      </c>
      <c r="AF51" s="100">
        <v>11</v>
      </c>
      <c r="AG51" s="100">
        <v>9398.4</v>
      </c>
      <c r="AH51" s="100">
        <v>9</v>
      </c>
      <c r="AI51" s="100">
        <v>7689.5999999999995</v>
      </c>
      <c r="AJ51" s="100">
        <v>12</v>
      </c>
      <c r="AK51" s="100">
        <v>10252.799999999999</v>
      </c>
      <c r="AL51" s="100">
        <v>14</v>
      </c>
      <c r="AM51" s="100">
        <v>11961.6</v>
      </c>
      <c r="AN51" s="100">
        <v>16</v>
      </c>
      <c r="AO51" s="100">
        <v>13670.4</v>
      </c>
      <c r="AP51" s="100">
        <v>14</v>
      </c>
      <c r="AQ51" s="100">
        <v>11961.6</v>
      </c>
      <c r="AR51" s="100">
        <v>13</v>
      </c>
      <c r="AS51" s="100">
        <v>11107.199999999999</v>
      </c>
      <c r="AT51" s="100">
        <v>11.271213621926346</v>
      </c>
      <c r="AU51" s="100">
        <v>9630.1249185738707</v>
      </c>
      <c r="AV51" s="100">
        <v>17.169874105771864</v>
      </c>
      <c r="AW51" s="100">
        <v>14669.940435971481</v>
      </c>
      <c r="AX51" s="100">
        <v>13.129206700617823</v>
      </c>
      <c r="AY51" s="100">
        <v>11217.594205007868</v>
      </c>
      <c r="AZ51" s="100">
        <v>10</v>
      </c>
      <c r="BA51" s="100">
        <v>8544</v>
      </c>
      <c r="BB51" s="100">
        <v>10</v>
      </c>
      <c r="BC51" s="100">
        <v>8544</v>
      </c>
      <c r="BD51" s="100">
        <v>12.34794238050697</v>
      </c>
      <c r="BE51" s="100">
        <v>10550.081969905155</v>
      </c>
      <c r="BF51" s="100">
        <v>16</v>
      </c>
      <c r="BG51" s="100">
        <v>13670.4</v>
      </c>
      <c r="BH51" s="100">
        <v>9.5700470900933947</v>
      </c>
      <c r="BI51" s="100">
        <v>8176.6482337757961</v>
      </c>
      <c r="BJ51" s="100">
        <v>13.964011750946124</v>
      </c>
      <c r="BK51" s="100">
        <v>11930.851640008368</v>
      </c>
      <c r="BL51" s="100">
        <v>8.278599003131081</v>
      </c>
      <c r="BM51" s="100">
        <v>7073.2349882751951</v>
      </c>
      <c r="BN51" s="100">
        <v>14.665603229413525</v>
      </c>
      <c r="BO51" s="100">
        <v>12530.291399210915</v>
      </c>
      <c r="BP51" s="100">
        <v>12.180598237762901</v>
      </c>
      <c r="BQ51" s="100">
        <v>10407.103134344623</v>
      </c>
      <c r="BR51" s="100">
        <v>14.339440837825613</v>
      </c>
      <c r="BS51" s="100">
        <v>12251.618251838203</v>
      </c>
      <c r="BT51" s="100">
        <v>12.672675532370921</v>
      </c>
      <c r="BU51" s="100">
        <v>10827.533974857713</v>
      </c>
      <c r="BV51" s="100">
        <v>9.705244622587097</v>
      </c>
      <c r="BW51" s="100">
        <v>8292.1610055384153</v>
      </c>
      <c r="BX51" s="100">
        <v>10.767801576956545</v>
      </c>
      <c r="BY51" s="100">
        <v>9200.0096673516728</v>
      </c>
      <c r="BZ51" s="100">
        <v>7.2889733751705847</v>
      </c>
      <c r="CA51" s="100">
        <v>6227.6988517457476</v>
      </c>
      <c r="CB51" s="100">
        <v>11.897573801873188</v>
      </c>
      <c r="CC51" s="100">
        <v>10165.287056320451</v>
      </c>
      <c r="CD51" s="100">
        <v>12.956756525040532</v>
      </c>
      <c r="CE51" s="100">
        <v>11070.252774994631</v>
      </c>
      <c r="CF51" s="100">
        <v>12.49292126950041</v>
      </c>
      <c r="CG51" s="100">
        <v>10673.95193266115</v>
      </c>
      <c r="CH51" s="100">
        <v>14.004146040370609</v>
      </c>
      <c r="CI51" s="100">
        <v>11965.142376892647</v>
      </c>
      <c r="CJ51" s="100">
        <v>11.355136208426902</v>
      </c>
      <c r="CK51" s="100">
        <v>9701.8283764799453</v>
      </c>
      <c r="CL51" s="100">
        <v>11</v>
      </c>
      <c r="CM51" s="100">
        <v>9398.4</v>
      </c>
      <c r="CN51" s="100">
        <v>0.80994081640752669</v>
      </c>
      <c r="CO51" s="100">
        <v>692.01343353859079</v>
      </c>
      <c r="CP51" s="100">
        <v>0.1539799087125962</v>
      </c>
      <c r="CQ51" s="100">
        <v>131.56043400404218</v>
      </c>
      <c r="CR51" s="100">
        <v>0.18063284351791778</v>
      </c>
      <c r="CS51" s="100">
        <v>154.33270150170895</v>
      </c>
      <c r="CT51" s="100">
        <v>0.13546729580482672</v>
      </c>
      <c r="CU51" s="100">
        <v>115.74325753564395</v>
      </c>
    </row>
    <row r="52" spans="2:99">
      <c r="C52" s="99" t="s">
        <v>218</v>
      </c>
      <c r="D52" s="100">
        <v>10</v>
      </c>
      <c r="E52" s="100">
        <v>5400</v>
      </c>
      <c r="F52" s="100">
        <v>14</v>
      </c>
      <c r="G52" s="100">
        <v>7560</v>
      </c>
      <c r="H52" s="100">
        <v>14</v>
      </c>
      <c r="I52" s="100">
        <v>7560</v>
      </c>
      <c r="J52" s="100">
        <v>16</v>
      </c>
      <c r="K52" s="100">
        <v>8640</v>
      </c>
      <c r="L52" s="100">
        <v>11</v>
      </c>
      <c r="M52" s="100">
        <v>5940</v>
      </c>
      <c r="N52" s="100">
        <v>10</v>
      </c>
      <c r="O52" s="100">
        <v>5400</v>
      </c>
      <c r="P52" s="100">
        <v>9</v>
      </c>
      <c r="Q52" s="100">
        <v>4860</v>
      </c>
      <c r="R52" s="100">
        <v>11</v>
      </c>
      <c r="S52" s="100">
        <v>5940</v>
      </c>
      <c r="T52" s="100">
        <v>15</v>
      </c>
      <c r="U52" s="100">
        <v>8100</v>
      </c>
      <c r="V52" s="100">
        <v>12</v>
      </c>
      <c r="W52" s="100">
        <v>6480</v>
      </c>
      <c r="X52" s="100">
        <v>16</v>
      </c>
      <c r="Y52" s="100">
        <v>8640</v>
      </c>
      <c r="Z52" s="100">
        <v>18</v>
      </c>
      <c r="AA52" s="100">
        <v>9720</v>
      </c>
      <c r="AB52" s="100">
        <v>15</v>
      </c>
      <c r="AC52" s="100">
        <v>8100</v>
      </c>
      <c r="AD52" s="100">
        <v>12</v>
      </c>
      <c r="AE52" s="100">
        <v>6480</v>
      </c>
      <c r="AF52" s="100">
        <v>13</v>
      </c>
      <c r="AG52" s="100">
        <v>7020</v>
      </c>
      <c r="AH52" s="100">
        <v>9</v>
      </c>
      <c r="AI52" s="100">
        <v>4860</v>
      </c>
      <c r="AJ52" s="100">
        <v>11</v>
      </c>
      <c r="AK52" s="100">
        <v>5940</v>
      </c>
      <c r="AL52" s="100">
        <v>13</v>
      </c>
      <c r="AM52" s="100">
        <v>7020</v>
      </c>
      <c r="AN52" s="100">
        <v>15</v>
      </c>
      <c r="AO52" s="100">
        <v>8100</v>
      </c>
      <c r="AP52" s="100">
        <v>15</v>
      </c>
      <c r="AQ52" s="100">
        <v>8100</v>
      </c>
      <c r="AR52" s="100">
        <v>13</v>
      </c>
      <c r="AS52" s="100">
        <v>7020</v>
      </c>
      <c r="AT52" s="100">
        <v>12.13823005438222</v>
      </c>
      <c r="AU52" s="100">
        <v>6554.6442293663986</v>
      </c>
      <c r="AV52" s="100">
        <v>14.308228421476555</v>
      </c>
      <c r="AW52" s="100">
        <v>7726.4433475973392</v>
      </c>
      <c r="AX52" s="100">
        <v>14.067007179233382</v>
      </c>
      <c r="AY52" s="100">
        <v>7596.1838767860263</v>
      </c>
      <c r="AZ52" s="100">
        <v>8</v>
      </c>
      <c r="BA52" s="100">
        <v>4320</v>
      </c>
      <c r="BB52" s="100">
        <v>9</v>
      </c>
      <c r="BC52" s="100">
        <v>4860</v>
      </c>
      <c r="BD52" s="100">
        <v>11.398100658929511</v>
      </c>
      <c r="BE52" s="100">
        <v>6154.9743558219361</v>
      </c>
      <c r="BF52" s="100">
        <v>18</v>
      </c>
      <c r="BG52" s="100">
        <v>9720</v>
      </c>
      <c r="BH52" s="100">
        <v>10.527051799102736</v>
      </c>
      <c r="BI52" s="100">
        <v>5684.6079715154774</v>
      </c>
      <c r="BJ52" s="100">
        <v>14.836762485380257</v>
      </c>
      <c r="BK52" s="100">
        <v>8011.8517421053384</v>
      </c>
      <c r="BL52" s="100">
        <v>8.278599003131081</v>
      </c>
      <c r="BM52" s="100">
        <v>4470.4434616907838</v>
      </c>
      <c r="BN52" s="100">
        <v>15.643310111374429</v>
      </c>
      <c r="BO52" s="100">
        <v>8447.3874601421921</v>
      </c>
      <c r="BP52" s="100">
        <v>11.24362914255037</v>
      </c>
      <c r="BQ52" s="100">
        <v>6071.5597369771995</v>
      </c>
      <c r="BR52" s="100">
        <v>14.339440837825613</v>
      </c>
      <c r="BS52" s="100">
        <v>7743.298052425831</v>
      </c>
      <c r="BT52" s="100">
        <v>14.362365603353709</v>
      </c>
      <c r="BU52" s="100">
        <v>7755.6774258110026</v>
      </c>
      <c r="BV52" s="100">
        <v>10.675769084845808</v>
      </c>
      <c r="BW52" s="100">
        <v>5764.9153058167358</v>
      </c>
      <c r="BX52" s="100">
        <v>12.424386434949861</v>
      </c>
      <c r="BY52" s="100">
        <v>6709.1686748729253</v>
      </c>
      <c r="BZ52" s="100">
        <v>8.0988593057450942</v>
      </c>
      <c r="CA52" s="100">
        <v>4373.3840251023512</v>
      </c>
      <c r="CB52" s="100">
        <v>12.88903828536262</v>
      </c>
      <c r="CC52" s="100">
        <v>6960.0806740958151</v>
      </c>
      <c r="CD52" s="100">
        <v>14.807721742903466</v>
      </c>
      <c r="CE52" s="100">
        <v>7996.1697411678715</v>
      </c>
      <c r="CF52" s="100">
        <v>14.158644105433799</v>
      </c>
      <c r="CG52" s="100">
        <v>7645.6678169342513</v>
      </c>
      <c r="CH52" s="100">
        <v>14.827919336862998</v>
      </c>
      <c r="CI52" s="100">
        <v>8007.0764419060188</v>
      </c>
      <c r="CJ52" s="100">
        <v>11.355136208426902</v>
      </c>
      <c r="CK52" s="100">
        <v>6131.7735525505268</v>
      </c>
      <c r="CL52" s="100">
        <v>11</v>
      </c>
      <c r="CM52" s="100">
        <v>5940</v>
      </c>
      <c r="CN52" s="100">
        <v>0.92564664732288771</v>
      </c>
      <c r="CO52" s="100">
        <v>499.84918955435938</v>
      </c>
      <c r="CP52" s="100">
        <v>0.17322739730167075</v>
      </c>
      <c r="CQ52" s="100">
        <v>93.5427945429022</v>
      </c>
      <c r="CR52" s="100">
        <v>0.162569559166126</v>
      </c>
      <c r="CS52" s="100">
        <v>87.787561949708049</v>
      </c>
      <c r="CT52" s="100">
        <v>0.13546729580482672</v>
      </c>
      <c r="CU52" s="100">
        <v>73.152339734606429</v>
      </c>
    </row>
    <row r="53" spans="2:99">
      <c r="C53" s="99" t="s">
        <v>219</v>
      </c>
      <c r="D53" s="100">
        <v>10</v>
      </c>
      <c r="E53" s="100">
        <v>4068</v>
      </c>
      <c r="F53" s="100">
        <v>14</v>
      </c>
      <c r="G53" s="100">
        <v>5695.2</v>
      </c>
      <c r="H53" s="100">
        <v>15</v>
      </c>
      <c r="I53" s="100">
        <v>6102</v>
      </c>
      <c r="J53" s="100">
        <v>15</v>
      </c>
      <c r="K53" s="100">
        <v>6102</v>
      </c>
      <c r="L53" s="100">
        <v>13</v>
      </c>
      <c r="M53" s="100">
        <v>5288.4000000000005</v>
      </c>
      <c r="N53" s="100">
        <v>10</v>
      </c>
      <c r="O53" s="100">
        <v>4068</v>
      </c>
      <c r="P53" s="100">
        <v>9</v>
      </c>
      <c r="Q53" s="100">
        <v>3661.2000000000003</v>
      </c>
      <c r="R53" s="100">
        <v>11</v>
      </c>
      <c r="S53" s="100">
        <v>4474.8</v>
      </c>
      <c r="T53" s="100">
        <v>18</v>
      </c>
      <c r="U53" s="100">
        <v>7322.4000000000005</v>
      </c>
      <c r="V53" s="100">
        <v>14</v>
      </c>
      <c r="W53" s="100">
        <v>5695.2</v>
      </c>
      <c r="X53" s="100">
        <v>17</v>
      </c>
      <c r="Y53" s="100">
        <v>6915.6</v>
      </c>
      <c r="Z53" s="100">
        <v>17</v>
      </c>
      <c r="AA53" s="100">
        <v>6915.6</v>
      </c>
      <c r="AB53" s="100">
        <v>14</v>
      </c>
      <c r="AC53" s="100">
        <v>5695.2</v>
      </c>
      <c r="AD53" s="100">
        <v>13</v>
      </c>
      <c r="AE53" s="100">
        <v>5288.4000000000005</v>
      </c>
      <c r="AF53" s="100">
        <v>12</v>
      </c>
      <c r="AG53" s="100">
        <v>4881.6000000000004</v>
      </c>
      <c r="AH53" s="100">
        <v>10</v>
      </c>
      <c r="AI53" s="100">
        <v>4068</v>
      </c>
      <c r="AJ53" s="100">
        <v>11</v>
      </c>
      <c r="AK53" s="100">
        <v>4474.8</v>
      </c>
      <c r="AL53" s="100">
        <v>15</v>
      </c>
      <c r="AM53" s="100">
        <v>6102</v>
      </c>
      <c r="AN53" s="100">
        <v>17</v>
      </c>
      <c r="AO53" s="100">
        <v>6915.6</v>
      </c>
      <c r="AP53" s="100">
        <v>14</v>
      </c>
      <c r="AQ53" s="100">
        <v>5695.2</v>
      </c>
      <c r="AR53" s="100">
        <v>13</v>
      </c>
      <c r="AS53" s="100">
        <v>5288.4000000000005</v>
      </c>
      <c r="AT53" s="100">
        <v>12.13823005438222</v>
      </c>
      <c r="AU53" s="100">
        <v>4937.8319861226873</v>
      </c>
      <c r="AV53" s="100">
        <v>16.21599221100676</v>
      </c>
      <c r="AW53" s="100">
        <v>6596.6656314375505</v>
      </c>
      <c r="AX53" s="100">
        <v>15.004807657848941</v>
      </c>
      <c r="AY53" s="100">
        <v>6103.955755212949</v>
      </c>
      <c r="AZ53" s="100">
        <v>9</v>
      </c>
      <c r="BA53" s="100">
        <v>3661.2000000000003</v>
      </c>
      <c r="BB53" s="100">
        <v>11</v>
      </c>
      <c r="BC53" s="100">
        <v>4474.8</v>
      </c>
      <c r="BD53" s="100">
        <v>11.398100658929511</v>
      </c>
      <c r="BE53" s="100">
        <v>4636.747348052525</v>
      </c>
      <c r="BF53" s="100">
        <v>17</v>
      </c>
      <c r="BG53" s="100">
        <v>6915.6</v>
      </c>
      <c r="BH53" s="100">
        <v>9.5700470900933947</v>
      </c>
      <c r="BI53" s="100">
        <v>3893.0951562499931</v>
      </c>
      <c r="BJ53" s="100">
        <v>14.836762485380257</v>
      </c>
      <c r="BK53" s="100">
        <v>6035.5949790526884</v>
      </c>
      <c r="BL53" s="100">
        <v>8.278599003131081</v>
      </c>
      <c r="BM53" s="100">
        <v>3367.7340744737239</v>
      </c>
      <c r="BN53" s="100">
        <v>14.665603229413525</v>
      </c>
      <c r="BO53" s="100">
        <v>5965.967393725422</v>
      </c>
      <c r="BP53" s="100">
        <v>13.117567332975433</v>
      </c>
      <c r="BQ53" s="100">
        <v>5336.2263910544061</v>
      </c>
      <c r="BR53" s="100">
        <v>13.495944317953517</v>
      </c>
      <c r="BS53" s="100">
        <v>5490.150148543491</v>
      </c>
      <c r="BT53" s="100">
        <v>12.672675532370921</v>
      </c>
      <c r="BU53" s="100">
        <v>5155.2444065684904</v>
      </c>
      <c r="BV53" s="100">
        <v>10.675769084845808</v>
      </c>
      <c r="BW53" s="100">
        <v>4342.9028637152751</v>
      </c>
      <c r="BX53" s="100">
        <v>12.424386434949861</v>
      </c>
      <c r="BY53" s="100">
        <v>5054.2404017376039</v>
      </c>
      <c r="BZ53" s="100">
        <v>8.0988593057450942</v>
      </c>
      <c r="CA53" s="100">
        <v>3294.6159655771044</v>
      </c>
      <c r="CB53" s="100">
        <v>12.88903828536262</v>
      </c>
      <c r="CC53" s="100">
        <v>5243.260774485514</v>
      </c>
      <c r="CD53" s="100">
        <v>15.733204351834932</v>
      </c>
      <c r="CE53" s="100">
        <v>6400.2675303264505</v>
      </c>
      <c r="CF53" s="100">
        <v>14.158644105433799</v>
      </c>
      <c r="CG53" s="100">
        <v>5759.7364220904701</v>
      </c>
      <c r="CH53" s="100">
        <v>13.180372743878221</v>
      </c>
      <c r="CI53" s="100">
        <v>5361.7756322096602</v>
      </c>
      <c r="CJ53" s="100">
        <v>12.228608224459741</v>
      </c>
      <c r="CK53" s="100">
        <v>4974.5978257102224</v>
      </c>
      <c r="CL53" s="100">
        <v>11</v>
      </c>
      <c r="CM53" s="100">
        <v>4474.8</v>
      </c>
      <c r="CN53" s="100">
        <v>0.92564664732288771</v>
      </c>
      <c r="CO53" s="100">
        <v>376.55305613095072</v>
      </c>
      <c r="CP53" s="100">
        <v>0.19247488589074527</v>
      </c>
      <c r="CQ53" s="100">
        <v>78.298783580355177</v>
      </c>
      <c r="CR53" s="100">
        <v>0.19869612786970955</v>
      </c>
      <c r="CS53" s="100">
        <v>80.829584817397844</v>
      </c>
      <c r="CT53" s="100">
        <v>0.15240070778043008</v>
      </c>
      <c r="CU53" s="100">
        <v>61.996607925078955</v>
      </c>
    </row>
    <row r="54" spans="2:99">
      <c r="C54" s="99" t="s">
        <v>220</v>
      </c>
      <c r="D54" s="100">
        <v>10</v>
      </c>
      <c r="E54" s="100">
        <v>3348</v>
      </c>
      <c r="F54" s="100">
        <v>15</v>
      </c>
      <c r="G54" s="100">
        <v>5022</v>
      </c>
      <c r="H54" s="100">
        <v>17</v>
      </c>
      <c r="I54" s="100">
        <v>5691.6</v>
      </c>
      <c r="J54" s="100">
        <v>15</v>
      </c>
      <c r="K54" s="100">
        <v>5022</v>
      </c>
      <c r="L54" s="100">
        <v>12</v>
      </c>
      <c r="M54" s="100">
        <v>4017.6000000000004</v>
      </c>
      <c r="N54" s="100">
        <v>10</v>
      </c>
      <c r="O54" s="100">
        <v>3348</v>
      </c>
      <c r="P54" s="100">
        <v>9</v>
      </c>
      <c r="Q54" s="100">
        <v>3013.2000000000003</v>
      </c>
      <c r="R54" s="100">
        <v>10</v>
      </c>
      <c r="S54" s="100">
        <v>3348</v>
      </c>
      <c r="T54" s="100">
        <v>16</v>
      </c>
      <c r="U54" s="100">
        <v>5356.8</v>
      </c>
      <c r="V54" s="100">
        <v>15</v>
      </c>
      <c r="W54" s="100">
        <v>5022</v>
      </c>
      <c r="X54" s="100">
        <v>17</v>
      </c>
      <c r="Y54" s="100">
        <v>5691.6</v>
      </c>
      <c r="Z54" s="100">
        <v>18</v>
      </c>
      <c r="AA54" s="100">
        <v>6026.4000000000005</v>
      </c>
      <c r="AB54" s="100">
        <v>14</v>
      </c>
      <c r="AC54" s="100">
        <v>4687.2</v>
      </c>
      <c r="AD54" s="100">
        <v>13</v>
      </c>
      <c r="AE54" s="100">
        <v>4352.4000000000005</v>
      </c>
      <c r="AF54" s="100">
        <v>12</v>
      </c>
      <c r="AG54" s="100">
        <v>4017.6000000000004</v>
      </c>
      <c r="AH54" s="100">
        <v>9</v>
      </c>
      <c r="AI54" s="100">
        <v>3013.2000000000003</v>
      </c>
      <c r="AJ54" s="100">
        <v>12</v>
      </c>
      <c r="AK54" s="100">
        <v>4017.6000000000004</v>
      </c>
      <c r="AL54" s="100">
        <v>13</v>
      </c>
      <c r="AM54" s="100">
        <v>4352.4000000000005</v>
      </c>
      <c r="AN54" s="100">
        <v>16</v>
      </c>
      <c r="AO54" s="100">
        <v>5356.8</v>
      </c>
      <c r="AP54" s="100">
        <v>14</v>
      </c>
      <c r="AQ54" s="100">
        <v>4687.2</v>
      </c>
      <c r="AR54" s="100">
        <v>13</v>
      </c>
      <c r="AS54" s="100">
        <v>4352.4000000000005</v>
      </c>
      <c r="AT54" s="100">
        <v>13.005246486838093</v>
      </c>
      <c r="AU54" s="100">
        <v>4354.1565237933937</v>
      </c>
      <c r="AV54" s="100">
        <v>16.21599221100676</v>
      </c>
      <c r="AW54" s="100">
        <v>5429.1141922450634</v>
      </c>
      <c r="AX54" s="100">
        <v>14.067007179233382</v>
      </c>
      <c r="AY54" s="100">
        <v>4709.6340036073361</v>
      </c>
      <c r="AZ54" s="100">
        <v>9</v>
      </c>
      <c r="BA54" s="100">
        <v>3013.2000000000003</v>
      </c>
      <c r="BB54" s="100">
        <v>11</v>
      </c>
      <c r="BC54" s="100">
        <v>3682.8</v>
      </c>
      <c r="BD54" s="100">
        <v>11.398100658929511</v>
      </c>
      <c r="BE54" s="100">
        <v>3816.0841006096007</v>
      </c>
      <c r="BF54" s="100">
        <v>18</v>
      </c>
      <c r="BG54" s="100">
        <v>6026.4000000000005</v>
      </c>
      <c r="BH54" s="100">
        <v>10.527051799102736</v>
      </c>
      <c r="BI54" s="100">
        <v>3524.456942339596</v>
      </c>
      <c r="BJ54" s="100">
        <v>14.836762485380257</v>
      </c>
      <c r="BK54" s="100">
        <v>4967.3480801053101</v>
      </c>
      <c r="BL54" s="100">
        <v>8.278599003131081</v>
      </c>
      <c r="BM54" s="100">
        <v>2771.6749462482862</v>
      </c>
      <c r="BN54" s="100">
        <v>17.598723875296233</v>
      </c>
      <c r="BO54" s="100">
        <v>5892.0527534491794</v>
      </c>
      <c r="BP54" s="100">
        <v>12.180598237762901</v>
      </c>
      <c r="BQ54" s="100">
        <v>4078.0642900030193</v>
      </c>
      <c r="BR54" s="100">
        <v>14.339440837825613</v>
      </c>
      <c r="BS54" s="100">
        <v>4800.8447925040155</v>
      </c>
      <c r="BT54" s="100">
        <v>12.672675532370921</v>
      </c>
      <c r="BU54" s="100">
        <v>4242.8117682377842</v>
      </c>
      <c r="BV54" s="100">
        <v>11.646293547104516</v>
      </c>
      <c r="BW54" s="100">
        <v>3899.1790795705924</v>
      </c>
      <c r="BX54" s="100">
        <v>12.424386434949861</v>
      </c>
      <c r="BY54" s="100">
        <v>4159.6845784212137</v>
      </c>
      <c r="BZ54" s="100">
        <v>8.0988593057450942</v>
      </c>
      <c r="CA54" s="100">
        <v>2711.4980955634578</v>
      </c>
      <c r="CB54" s="100">
        <v>12.88903828536262</v>
      </c>
      <c r="CC54" s="100">
        <v>4315.2500179394056</v>
      </c>
      <c r="CD54" s="100">
        <v>13.882239133971998</v>
      </c>
      <c r="CE54" s="100">
        <v>4647.7736620538253</v>
      </c>
      <c r="CF54" s="100">
        <v>13.325782687467106</v>
      </c>
      <c r="CG54" s="100">
        <v>4461.4720437639871</v>
      </c>
      <c r="CH54" s="100">
        <v>14.827919336862998</v>
      </c>
      <c r="CI54" s="100">
        <v>4964.3873939817322</v>
      </c>
      <c r="CJ54" s="100">
        <v>13.102080240492581</v>
      </c>
      <c r="CK54" s="100">
        <v>4386.5764645169165</v>
      </c>
      <c r="CL54" s="100">
        <v>12</v>
      </c>
      <c r="CM54" s="100">
        <v>4017.6000000000004</v>
      </c>
      <c r="CN54" s="100">
        <v>0.98349956278056805</v>
      </c>
      <c r="CO54" s="100">
        <v>329.2756536189342</v>
      </c>
      <c r="CP54" s="100">
        <v>0.17322739730167075</v>
      </c>
      <c r="CQ54" s="100">
        <v>57.996532616599367</v>
      </c>
      <c r="CR54" s="100">
        <v>0.19869612786970955</v>
      </c>
      <c r="CS54" s="100">
        <v>66.523463610778762</v>
      </c>
      <c r="CT54" s="100">
        <v>0.16933411975603338</v>
      </c>
      <c r="CU54" s="100">
        <v>56.693063294319977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16</v>
      </c>
      <c r="G55" s="100">
        <v>10617.6</v>
      </c>
      <c r="H55" s="100">
        <v>15</v>
      </c>
      <c r="I55" s="100">
        <v>9954</v>
      </c>
      <c r="J55" s="100">
        <v>15</v>
      </c>
      <c r="K55" s="100">
        <v>9954</v>
      </c>
      <c r="L55" s="100">
        <v>12</v>
      </c>
      <c r="M55" s="100">
        <v>7963.2000000000007</v>
      </c>
      <c r="N55" s="100">
        <v>9</v>
      </c>
      <c r="O55" s="100">
        <v>5972.4000000000005</v>
      </c>
      <c r="P55" s="100">
        <v>8</v>
      </c>
      <c r="Q55" s="100">
        <v>5308.8</v>
      </c>
      <c r="R55" s="100">
        <v>10</v>
      </c>
      <c r="S55" s="100">
        <v>6636</v>
      </c>
      <c r="T55" s="100">
        <v>16</v>
      </c>
      <c r="U55" s="100">
        <v>10617.6</v>
      </c>
      <c r="V55" s="100">
        <v>13</v>
      </c>
      <c r="W55" s="100">
        <v>8626.8000000000011</v>
      </c>
      <c r="X55" s="100">
        <v>17</v>
      </c>
      <c r="Y55" s="100">
        <v>11281.2</v>
      </c>
      <c r="Z55" s="100">
        <v>18</v>
      </c>
      <c r="AA55" s="100">
        <v>11944.800000000001</v>
      </c>
      <c r="AB55" s="100">
        <v>13</v>
      </c>
      <c r="AC55" s="100">
        <v>8626.8000000000011</v>
      </c>
      <c r="AD55" s="100">
        <v>13</v>
      </c>
      <c r="AE55" s="100">
        <v>8626.8000000000011</v>
      </c>
      <c r="AF55" s="100">
        <v>12</v>
      </c>
      <c r="AG55" s="100">
        <v>7963.2000000000007</v>
      </c>
      <c r="AH55" s="100">
        <v>9</v>
      </c>
      <c r="AI55" s="100">
        <v>5972.4000000000005</v>
      </c>
      <c r="AJ55" s="100">
        <v>11</v>
      </c>
      <c r="AK55" s="100">
        <v>7299.6</v>
      </c>
      <c r="AL55" s="100">
        <v>13</v>
      </c>
      <c r="AM55" s="100">
        <v>8626.8000000000011</v>
      </c>
      <c r="AN55" s="100">
        <v>17</v>
      </c>
      <c r="AO55" s="100">
        <v>11281.2</v>
      </c>
      <c r="AP55" s="100">
        <v>13</v>
      </c>
      <c r="AQ55" s="100">
        <v>8626.8000000000011</v>
      </c>
      <c r="AR55" s="100">
        <v>12</v>
      </c>
      <c r="AS55" s="100">
        <v>7963.2000000000007</v>
      </c>
      <c r="AT55" s="100">
        <v>11.271213621926346</v>
      </c>
      <c r="AU55" s="100">
        <v>7479.5773595103237</v>
      </c>
      <c r="AV55" s="100">
        <v>17.169874105771864</v>
      </c>
      <c r="AW55" s="100">
        <v>11393.928456590209</v>
      </c>
      <c r="AX55" s="100">
        <v>12.191406222002264</v>
      </c>
      <c r="AY55" s="100">
        <v>8090.2171689207025</v>
      </c>
      <c r="AZ55" s="100">
        <v>10</v>
      </c>
      <c r="BA55" s="100">
        <v>6636</v>
      </c>
      <c r="BB55" s="100">
        <v>10</v>
      </c>
      <c r="BC55" s="100">
        <v>6636</v>
      </c>
      <c r="BD55" s="100">
        <v>11.398100658929511</v>
      </c>
      <c r="BE55" s="100">
        <v>7563.779597265624</v>
      </c>
      <c r="BF55" s="100">
        <v>17</v>
      </c>
      <c r="BG55" s="100">
        <v>11281.2</v>
      </c>
      <c r="BH55" s="100">
        <v>10.527051799102736</v>
      </c>
      <c r="BI55" s="100">
        <v>6985.7515738845759</v>
      </c>
      <c r="BJ55" s="100">
        <v>14.836762485380257</v>
      </c>
      <c r="BK55" s="100">
        <v>9845.6755852983388</v>
      </c>
      <c r="BL55" s="100">
        <v>8.278599003131081</v>
      </c>
      <c r="BM55" s="100">
        <v>5493.6782984777856</v>
      </c>
      <c r="BN55" s="100">
        <v>14.665603229413525</v>
      </c>
      <c r="BO55" s="100">
        <v>9732.0943030388153</v>
      </c>
      <c r="BP55" s="100">
        <v>13.117567332975433</v>
      </c>
      <c r="BQ55" s="100">
        <v>8704.8176821624984</v>
      </c>
      <c r="BR55" s="100">
        <v>14.339440837825613</v>
      </c>
      <c r="BS55" s="100">
        <v>9515.652939981077</v>
      </c>
      <c r="BT55" s="100">
        <v>13.517520567862315</v>
      </c>
      <c r="BU55" s="100">
        <v>8970.2266488334317</v>
      </c>
      <c r="BV55" s="100">
        <v>10.675769084845808</v>
      </c>
      <c r="BW55" s="100">
        <v>7084.4403647036779</v>
      </c>
      <c r="BX55" s="100">
        <v>12.424386434949861</v>
      </c>
      <c r="BY55" s="100">
        <v>8244.8228382327288</v>
      </c>
      <c r="BZ55" s="100">
        <v>8.0988593057450942</v>
      </c>
      <c r="CA55" s="100">
        <v>5374.4030352924447</v>
      </c>
      <c r="CB55" s="100">
        <v>10.906109318383754</v>
      </c>
      <c r="CC55" s="100">
        <v>7237.294143679459</v>
      </c>
      <c r="CD55" s="100">
        <v>14.807721742903466</v>
      </c>
      <c r="CE55" s="100">
        <v>9826.4041485907401</v>
      </c>
      <c r="CF55" s="100">
        <v>13.325782687467106</v>
      </c>
      <c r="CG55" s="100">
        <v>8842.9893914031709</v>
      </c>
      <c r="CH55" s="100">
        <v>14.827919336862998</v>
      </c>
      <c r="CI55" s="100">
        <v>9839.8072719422853</v>
      </c>
      <c r="CJ55" s="100">
        <v>12.228608224459741</v>
      </c>
      <c r="CK55" s="100">
        <v>8114.9044177514843</v>
      </c>
      <c r="CL55" s="100">
        <v>11</v>
      </c>
      <c r="CM55" s="100">
        <v>7299.6</v>
      </c>
      <c r="CN55" s="100">
        <v>0.92564664732288771</v>
      </c>
      <c r="CO55" s="100">
        <v>614.25911516346832</v>
      </c>
      <c r="CP55" s="100">
        <v>0.17322739730167075</v>
      </c>
      <c r="CQ55" s="100">
        <v>114.95370084938871</v>
      </c>
      <c r="CR55" s="100">
        <v>0.18063284351791778</v>
      </c>
      <c r="CS55" s="100">
        <v>119.86795495849024</v>
      </c>
      <c r="CT55" s="100">
        <v>0.16933411975603338</v>
      </c>
      <c r="CU55" s="100">
        <v>112.37012187010376</v>
      </c>
    </row>
    <row r="56" spans="2:99">
      <c r="C56" s="99" t="s">
        <v>222</v>
      </c>
      <c r="D56" s="100">
        <v>10</v>
      </c>
      <c r="E56" s="100">
        <v>9816</v>
      </c>
      <c r="F56" s="100">
        <v>14</v>
      </c>
      <c r="G56" s="100">
        <v>13742.399999999998</v>
      </c>
      <c r="H56" s="100">
        <v>15</v>
      </c>
      <c r="I56" s="100">
        <v>14723.999999999998</v>
      </c>
      <c r="J56" s="100">
        <v>15</v>
      </c>
      <c r="K56" s="100">
        <v>14723.999999999998</v>
      </c>
      <c r="L56" s="100">
        <v>11</v>
      </c>
      <c r="M56" s="100">
        <v>10797.599999999999</v>
      </c>
      <c r="N56" s="100">
        <v>8</v>
      </c>
      <c r="O56" s="100">
        <v>7852.7999999999993</v>
      </c>
      <c r="P56" s="100">
        <v>8</v>
      </c>
      <c r="Q56" s="100">
        <v>7852.7999999999993</v>
      </c>
      <c r="R56" s="100">
        <v>10</v>
      </c>
      <c r="S56" s="100">
        <v>9816</v>
      </c>
      <c r="T56" s="100">
        <v>16</v>
      </c>
      <c r="U56" s="100">
        <v>15705.599999999999</v>
      </c>
      <c r="V56" s="100">
        <v>12</v>
      </c>
      <c r="W56" s="100">
        <v>11779.199999999999</v>
      </c>
      <c r="X56" s="100">
        <v>14</v>
      </c>
      <c r="Y56" s="100">
        <v>13742.399999999998</v>
      </c>
      <c r="Z56" s="100">
        <v>17</v>
      </c>
      <c r="AA56" s="100">
        <v>16687.199999999997</v>
      </c>
      <c r="AB56" s="100">
        <v>14</v>
      </c>
      <c r="AC56" s="100">
        <v>13742.399999999998</v>
      </c>
      <c r="AD56" s="100">
        <v>12</v>
      </c>
      <c r="AE56" s="100">
        <v>11779.199999999999</v>
      </c>
      <c r="AF56" s="100">
        <v>12</v>
      </c>
      <c r="AG56" s="100">
        <v>11779.199999999999</v>
      </c>
      <c r="AH56" s="100">
        <v>1.0587534172539337E-22</v>
      </c>
      <c r="AI56" s="100">
        <v>1.0392723543764612E-19</v>
      </c>
      <c r="AJ56" s="100">
        <v>11</v>
      </c>
      <c r="AK56" s="100">
        <v>10797.599999999999</v>
      </c>
      <c r="AL56" s="100">
        <v>14</v>
      </c>
      <c r="AM56" s="100">
        <v>13742.399999999998</v>
      </c>
      <c r="AN56" s="100">
        <v>15</v>
      </c>
      <c r="AO56" s="100">
        <v>14723.999999999998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17</v>
      </c>
      <c r="AW56" s="100">
        <v>16687.199999999997</v>
      </c>
      <c r="AX56" s="100">
        <v>14</v>
      </c>
      <c r="AY56" s="100">
        <v>13742.399999999998</v>
      </c>
      <c r="AZ56" s="100">
        <v>9</v>
      </c>
      <c r="BA56" s="100">
        <v>8834.4</v>
      </c>
      <c r="BB56" s="100">
        <v>10</v>
      </c>
      <c r="BC56" s="100">
        <v>9816</v>
      </c>
      <c r="BD56" s="100">
        <v>11</v>
      </c>
      <c r="BE56" s="100">
        <v>10797.599999999999</v>
      </c>
      <c r="BF56" s="100">
        <v>18</v>
      </c>
      <c r="BG56" s="100">
        <v>17668.8</v>
      </c>
      <c r="BH56" s="100">
        <v>10</v>
      </c>
      <c r="BI56" s="100">
        <v>9816</v>
      </c>
      <c r="BJ56" s="100">
        <v>14</v>
      </c>
      <c r="BK56" s="100">
        <v>13742.399999999998</v>
      </c>
      <c r="BL56" s="100">
        <v>8</v>
      </c>
      <c r="BM56" s="100">
        <v>7852.7999999999993</v>
      </c>
      <c r="BN56" s="100">
        <v>16</v>
      </c>
      <c r="BO56" s="100">
        <v>15705.599999999999</v>
      </c>
      <c r="BP56" s="100">
        <v>12</v>
      </c>
      <c r="BQ56" s="100">
        <v>11779.199999999999</v>
      </c>
      <c r="BR56" s="100">
        <v>16</v>
      </c>
      <c r="BS56" s="100">
        <v>15705.599999999999</v>
      </c>
      <c r="BT56" s="100">
        <v>16</v>
      </c>
      <c r="BU56" s="100">
        <v>15705.599999999999</v>
      </c>
      <c r="BV56" s="100">
        <v>10</v>
      </c>
      <c r="BW56" s="100">
        <v>9816</v>
      </c>
      <c r="BX56" s="100">
        <v>13</v>
      </c>
      <c r="BY56" s="100">
        <v>12760.8</v>
      </c>
      <c r="BZ56" s="100">
        <v>10</v>
      </c>
      <c r="CA56" s="100">
        <v>9816</v>
      </c>
      <c r="CB56" s="100">
        <v>11</v>
      </c>
      <c r="CC56" s="100">
        <v>10797.599999999999</v>
      </c>
      <c r="CD56" s="100">
        <v>16</v>
      </c>
      <c r="CE56" s="100">
        <v>15705.599999999999</v>
      </c>
      <c r="CF56" s="100">
        <v>14</v>
      </c>
      <c r="CG56" s="100">
        <v>13742.399999999998</v>
      </c>
      <c r="CH56" s="100">
        <v>16</v>
      </c>
      <c r="CI56" s="100">
        <v>15705.599999999999</v>
      </c>
      <c r="CJ56" s="100">
        <v>13</v>
      </c>
      <c r="CK56" s="100">
        <v>12760.8</v>
      </c>
      <c r="CL56" s="100">
        <v>10</v>
      </c>
      <c r="CM56" s="100">
        <v>9816</v>
      </c>
      <c r="CN56" s="100">
        <v>16</v>
      </c>
      <c r="CO56" s="100">
        <v>15705.599999999999</v>
      </c>
      <c r="CP56" s="100">
        <v>9</v>
      </c>
      <c r="CQ56" s="100">
        <v>8834.4</v>
      </c>
      <c r="CR56" s="100">
        <v>9</v>
      </c>
      <c r="CS56" s="100">
        <v>8834.4</v>
      </c>
      <c r="CT56" s="100">
        <v>8</v>
      </c>
      <c r="CU56" s="100">
        <v>7852.7999999999993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15</v>
      </c>
      <c r="G57" s="100">
        <v>21168</v>
      </c>
      <c r="H57" s="100">
        <v>15</v>
      </c>
      <c r="I57" s="100">
        <v>21168</v>
      </c>
      <c r="J57" s="100">
        <v>13</v>
      </c>
      <c r="K57" s="100">
        <v>18345.600000000002</v>
      </c>
      <c r="L57" s="100">
        <v>11</v>
      </c>
      <c r="M57" s="100">
        <v>15523.2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10</v>
      </c>
      <c r="S57" s="100">
        <v>14112</v>
      </c>
      <c r="T57" s="100">
        <v>15</v>
      </c>
      <c r="U57" s="100">
        <v>21168</v>
      </c>
      <c r="V57" s="100">
        <v>12</v>
      </c>
      <c r="W57" s="100">
        <v>16934.400000000001</v>
      </c>
      <c r="X57" s="100">
        <v>15</v>
      </c>
      <c r="Y57" s="100">
        <v>21168</v>
      </c>
      <c r="Z57" s="100">
        <v>15</v>
      </c>
      <c r="AA57" s="100">
        <v>21168</v>
      </c>
      <c r="AB57" s="100">
        <v>13</v>
      </c>
      <c r="AC57" s="100">
        <v>18345.600000000002</v>
      </c>
      <c r="AD57" s="100">
        <v>11</v>
      </c>
      <c r="AE57" s="100">
        <v>15523.2</v>
      </c>
      <c r="AF57" s="100">
        <v>12</v>
      </c>
      <c r="AG57" s="100">
        <v>16934.400000000001</v>
      </c>
      <c r="AH57" s="100">
        <v>8</v>
      </c>
      <c r="AI57" s="100">
        <v>11289.6</v>
      </c>
      <c r="AJ57" s="100">
        <v>10</v>
      </c>
      <c r="AK57" s="100">
        <v>14112</v>
      </c>
      <c r="AL57" s="100">
        <v>11</v>
      </c>
      <c r="AM57" s="100">
        <v>15523.2</v>
      </c>
      <c r="AN57" s="100">
        <v>15</v>
      </c>
      <c r="AO57" s="100">
        <v>21168</v>
      </c>
      <c r="AP57" s="100">
        <v>14</v>
      </c>
      <c r="AQ57" s="100">
        <v>19756.8</v>
      </c>
      <c r="AR57" s="100">
        <v>11</v>
      </c>
      <c r="AS57" s="100">
        <v>15523.2</v>
      </c>
      <c r="AT57" s="100">
        <v>12.13823005438222</v>
      </c>
      <c r="AU57" s="100">
        <v>17129.470252744188</v>
      </c>
      <c r="AV57" s="100">
        <v>15.262110316241658</v>
      </c>
      <c r="AW57" s="100">
        <v>21537.89007828023</v>
      </c>
      <c r="AX57" s="100">
        <v>13.129206700617823</v>
      </c>
      <c r="AY57" s="100">
        <v>18527.936495911872</v>
      </c>
      <c r="AZ57" s="100">
        <v>8</v>
      </c>
      <c r="BA57" s="100">
        <v>11289.6</v>
      </c>
      <c r="BB57" s="100">
        <v>9</v>
      </c>
      <c r="BC57" s="100">
        <v>12700.800000000001</v>
      </c>
      <c r="BD57" s="100">
        <v>11.398100658929511</v>
      </c>
      <c r="BE57" s="100">
        <v>16084.999649881327</v>
      </c>
      <c r="BF57" s="100">
        <v>16</v>
      </c>
      <c r="BG57" s="100">
        <v>22579.200000000001</v>
      </c>
      <c r="BH57" s="100">
        <v>9.5700470900933947</v>
      </c>
      <c r="BI57" s="100">
        <v>13505.250453539798</v>
      </c>
      <c r="BJ57" s="100">
        <v>12.218510282077858</v>
      </c>
      <c r="BK57" s="100">
        <v>17242.761710068273</v>
      </c>
      <c r="BL57" s="100">
        <v>7.3587546694498505</v>
      </c>
      <c r="BM57" s="100">
        <v>10384.674589527629</v>
      </c>
      <c r="BN57" s="100">
        <v>13.687896347452623</v>
      </c>
      <c r="BO57" s="100">
        <v>19316.359325525144</v>
      </c>
      <c r="BP57" s="100">
        <v>12.180598237762901</v>
      </c>
      <c r="BQ57" s="100">
        <v>17189.260233131004</v>
      </c>
      <c r="BR57" s="100">
        <v>12.652447798081424</v>
      </c>
      <c r="BS57" s="100">
        <v>17855.134332652506</v>
      </c>
      <c r="BT57" s="100">
        <v>13.517520567862315</v>
      </c>
      <c r="BU57" s="100">
        <v>19075.925025367298</v>
      </c>
      <c r="BV57" s="100">
        <v>8.7347201603283864</v>
      </c>
      <c r="BW57" s="100">
        <v>12326.43709025542</v>
      </c>
      <c r="BX57" s="100">
        <v>9.9395091479598889</v>
      </c>
      <c r="BY57" s="100">
        <v>14026.635309600995</v>
      </c>
      <c r="BZ57" s="100">
        <v>6.4790874445960753</v>
      </c>
      <c r="CA57" s="100">
        <v>9143.2882018139826</v>
      </c>
      <c r="CB57" s="100">
        <v>9.9146448348943235</v>
      </c>
      <c r="CC57" s="100">
        <v>13991.546791002869</v>
      </c>
      <c r="CD57" s="100">
        <v>13.882239133971998</v>
      </c>
      <c r="CE57" s="100">
        <v>19590.615865861284</v>
      </c>
      <c r="CF57" s="100">
        <v>11.660059851533717</v>
      </c>
      <c r="CG57" s="100">
        <v>16454.676462484382</v>
      </c>
      <c r="CH57" s="100">
        <v>12.356599447385832</v>
      </c>
      <c r="CI57" s="100">
        <v>17437.633140150887</v>
      </c>
      <c r="CJ57" s="100">
        <v>10.481664192394065</v>
      </c>
      <c r="CK57" s="100">
        <v>14791.724508306506</v>
      </c>
      <c r="CL57" s="100">
        <v>9</v>
      </c>
      <c r="CM57" s="100">
        <v>12700.800000000001</v>
      </c>
      <c r="CN57" s="100">
        <v>0.80994081640752669</v>
      </c>
      <c r="CO57" s="100">
        <v>1142.9884801143016</v>
      </c>
      <c r="CP57" s="100">
        <v>0.1539799087125962</v>
      </c>
      <c r="CQ57" s="100">
        <v>217.29644717521577</v>
      </c>
      <c r="CR57" s="100">
        <v>0.162569559166126</v>
      </c>
      <c r="CS57" s="100">
        <v>229.41816189523703</v>
      </c>
      <c r="CT57" s="100">
        <v>0.13546729580482672</v>
      </c>
      <c r="CU57" s="100">
        <v>191.17144783977147</v>
      </c>
    </row>
    <row r="58" spans="2:99">
      <c r="C58" s="99" t="s">
        <v>224</v>
      </c>
      <c r="D58" s="100">
        <v>10</v>
      </c>
      <c r="E58" s="100">
        <v>11772</v>
      </c>
      <c r="F58" s="100">
        <v>14</v>
      </c>
      <c r="G58" s="100">
        <v>16480.8</v>
      </c>
      <c r="H58" s="100">
        <v>14</v>
      </c>
      <c r="I58" s="100">
        <v>16480.8</v>
      </c>
      <c r="J58" s="100">
        <v>14</v>
      </c>
      <c r="K58" s="100">
        <v>16480.8</v>
      </c>
      <c r="L58" s="100">
        <v>11</v>
      </c>
      <c r="M58" s="100">
        <v>12949.2</v>
      </c>
      <c r="N58" s="100">
        <v>10</v>
      </c>
      <c r="O58" s="100">
        <v>11772</v>
      </c>
      <c r="P58" s="100">
        <v>8</v>
      </c>
      <c r="Q58" s="100">
        <v>9417.6</v>
      </c>
      <c r="R58" s="100">
        <v>10</v>
      </c>
      <c r="S58" s="100">
        <v>11772</v>
      </c>
      <c r="T58" s="100">
        <v>16</v>
      </c>
      <c r="U58" s="100">
        <v>18835.2</v>
      </c>
      <c r="V58" s="100">
        <v>14</v>
      </c>
      <c r="W58" s="100">
        <v>16480.8</v>
      </c>
      <c r="X58" s="100">
        <v>16</v>
      </c>
      <c r="Y58" s="100">
        <v>18835.2</v>
      </c>
      <c r="Z58" s="100">
        <v>15</v>
      </c>
      <c r="AA58" s="100">
        <v>17658</v>
      </c>
      <c r="AB58" s="100">
        <v>13</v>
      </c>
      <c r="AC58" s="100">
        <v>15303.6</v>
      </c>
      <c r="AD58" s="100">
        <v>12</v>
      </c>
      <c r="AE58" s="100">
        <v>14126.400000000001</v>
      </c>
      <c r="AF58" s="100">
        <v>12</v>
      </c>
      <c r="AG58" s="100">
        <v>14126.400000000001</v>
      </c>
      <c r="AH58" s="100">
        <v>9</v>
      </c>
      <c r="AI58" s="100">
        <v>10594.800000000001</v>
      </c>
      <c r="AJ58" s="100">
        <v>12</v>
      </c>
      <c r="AK58" s="100">
        <v>14126.400000000001</v>
      </c>
      <c r="AL58" s="100">
        <v>13</v>
      </c>
      <c r="AM58" s="100">
        <v>15303.6</v>
      </c>
      <c r="AN58" s="100">
        <v>16</v>
      </c>
      <c r="AO58" s="100">
        <v>18835.2</v>
      </c>
      <c r="AP58" s="100">
        <v>15</v>
      </c>
      <c r="AQ58" s="100">
        <v>17658</v>
      </c>
      <c r="AR58" s="100">
        <v>14</v>
      </c>
      <c r="AS58" s="100">
        <v>16480.8</v>
      </c>
      <c r="AT58" s="100">
        <v>12</v>
      </c>
      <c r="AU58" s="100">
        <v>14126.400000000001</v>
      </c>
      <c r="AV58" s="100">
        <v>17</v>
      </c>
      <c r="AW58" s="100">
        <v>20012.400000000001</v>
      </c>
      <c r="AX58" s="100">
        <v>15</v>
      </c>
      <c r="AY58" s="100">
        <v>17658</v>
      </c>
      <c r="AZ58" s="100">
        <v>9</v>
      </c>
      <c r="BA58" s="100">
        <v>10594.800000000001</v>
      </c>
      <c r="BB58" s="100">
        <v>11</v>
      </c>
      <c r="BC58" s="100">
        <v>12949.2</v>
      </c>
      <c r="BD58" s="100">
        <v>12</v>
      </c>
      <c r="BE58" s="100">
        <v>14126.400000000001</v>
      </c>
      <c r="BF58" s="100">
        <v>17</v>
      </c>
      <c r="BG58" s="100">
        <v>20012.400000000001</v>
      </c>
      <c r="BH58" s="100">
        <v>10</v>
      </c>
      <c r="BI58" s="100">
        <v>11772</v>
      </c>
      <c r="BJ58" s="100">
        <v>15</v>
      </c>
      <c r="BK58" s="100">
        <v>17658</v>
      </c>
      <c r="BL58" s="100">
        <v>8</v>
      </c>
      <c r="BM58" s="100">
        <v>9417.6</v>
      </c>
      <c r="BN58" s="100">
        <v>14</v>
      </c>
      <c r="BO58" s="100">
        <v>16480.8</v>
      </c>
      <c r="BP58" s="100">
        <v>12</v>
      </c>
      <c r="BQ58" s="100">
        <v>14126.400000000001</v>
      </c>
      <c r="BR58" s="100">
        <v>16</v>
      </c>
      <c r="BS58" s="100">
        <v>18835.2</v>
      </c>
      <c r="BT58" s="100">
        <v>14</v>
      </c>
      <c r="BU58" s="100">
        <v>16480.8</v>
      </c>
      <c r="BV58" s="100">
        <v>11</v>
      </c>
      <c r="BW58" s="100">
        <v>12949.2</v>
      </c>
      <c r="BX58" s="100">
        <v>14</v>
      </c>
      <c r="BY58" s="100">
        <v>16480.8</v>
      </c>
      <c r="BZ58" s="100">
        <v>8</v>
      </c>
      <c r="CA58" s="100">
        <v>9417.6</v>
      </c>
      <c r="CB58" s="100">
        <v>11</v>
      </c>
      <c r="CC58" s="100">
        <v>12949.2</v>
      </c>
      <c r="CD58" s="100">
        <v>15</v>
      </c>
      <c r="CE58" s="100">
        <v>17658</v>
      </c>
      <c r="CF58" s="100">
        <v>16</v>
      </c>
      <c r="CG58" s="100">
        <v>18835.2</v>
      </c>
      <c r="CH58" s="100">
        <v>17</v>
      </c>
      <c r="CI58" s="100">
        <v>20012.400000000001</v>
      </c>
      <c r="CJ58" s="100">
        <v>13</v>
      </c>
      <c r="CK58" s="100">
        <v>15303.6</v>
      </c>
      <c r="CL58" s="100">
        <v>10</v>
      </c>
      <c r="CM58" s="100">
        <v>11772</v>
      </c>
      <c r="CN58" s="100">
        <v>15</v>
      </c>
      <c r="CO58" s="100">
        <v>17658</v>
      </c>
      <c r="CP58" s="100">
        <v>8</v>
      </c>
      <c r="CQ58" s="100">
        <v>9417.6</v>
      </c>
      <c r="CR58" s="100">
        <v>9</v>
      </c>
      <c r="CS58" s="100">
        <v>10594.800000000001</v>
      </c>
      <c r="CT58" s="100">
        <v>8</v>
      </c>
      <c r="CU58" s="100">
        <v>9417.6</v>
      </c>
    </row>
    <row r="59" spans="2:99">
      <c r="C59" s="99" t="s">
        <v>225</v>
      </c>
      <c r="D59" s="100">
        <v>11</v>
      </c>
      <c r="E59" s="100">
        <v>3339.5999999999995</v>
      </c>
      <c r="F59" s="100">
        <v>16</v>
      </c>
      <c r="G59" s="100">
        <v>4857.5999999999995</v>
      </c>
      <c r="H59" s="100">
        <v>16</v>
      </c>
      <c r="I59" s="100">
        <v>4857.5999999999995</v>
      </c>
      <c r="J59" s="100">
        <v>15</v>
      </c>
      <c r="K59" s="100">
        <v>4553.9999999999991</v>
      </c>
      <c r="L59" s="100">
        <v>13</v>
      </c>
      <c r="M59" s="100">
        <v>3946.7999999999997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10</v>
      </c>
      <c r="S59" s="100">
        <v>3035.9999999999995</v>
      </c>
      <c r="T59" s="100">
        <v>15</v>
      </c>
      <c r="U59" s="100">
        <v>4553.9999999999991</v>
      </c>
      <c r="V59" s="100">
        <v>13</v>
      </c>
      <c r="W59" s="100">
        <v>3946.7999999999997</v>
      </c>
      <c r="X59" s="100">
        <v>16</v>
      </c>
      <c r="Y59" s="100">
        <v>4857.5999999999995</v>
      </c>
      <c r="Z59" s="100">
        <v>18</v>
      </c>
      <c r="AA59" s="100">
        <v>5464.7999999999993</v>
      </c>
      <c r="AB59" s="100">
        <v>14</v>
      </c>
      <c r="AC59" s="100">
        <v>4250.3999999999996</v>
      </c>
      <c r="AD59" s="100">
        <v>14</v>
      </c>
      <c r="AE59" s="100">
        <v>4250.3999999999996</v>
      </c>
      <c r="AF59" s="100">
        <v>13</v>
      </c>
      <c r="AG59" s="100">
        <v>3946.7999999999997</v>
      </c>
      <c r="AH59" s="100">
        <v>9</v>
      </c>
      <c r="AI59" s="100">
        <v>2732.3999999999996</v>
      </c>
      <c r="AJ59" s="100">
        <v>11</v>
      </c>
      <c r="AK59" s="100">
        <v>3339.5999999999995</v>
      </c>
      <c r="AL59" s="100">
        <v>13</v>
      </c>
      <c r="AM59" s="100">
        <v>3946.7999999999997</v>
      </c>
      <c r="AN59" s="100">
        <v>17</v>
      </c>
      <c r="AO59" s="100">
        <v>5161.2</v>
      </c>
      <c r="AP59" s="100">
        <v>15</v>
      </c>
      <c r="AQ59" s="100">
        <v>4553.9999999999991</v>
      </c>
      <c r="AR59" s="100">
        <v>14</v>
      </c>
      <c r="AS59" s="100">
        <v>4250.3999999999996</v>
      </c>
      <c r="AT59" s="100">
        <v>13.005246486838093</v>
      </c>
      <c r="AU59" s="100">
        <v>3948.3928334040447</v>
      </c>
      <c r="AV59" s="100">
        <v>15.262110316241658</v>
      </c>
      <c r="AW59" s="100">
        <v>4633.5766920109672</v>
      </c>
      <c r="AX59" s="100">
        <v>14.067007179233382</v>
      </c>
      <c r="AY59" s="100">
        <v>4270.7433796152545</v>
      </c>
      <c r="AZ59" s="100">
        <v>9</v>
      </c>
      <c r="BA59" s="100">
        <v>2732.3999999999996</v>
      </c>
      <c r="BB59" s="100">
        <v>12</v>
      </c>
      <c r="BC59" s="100">
        <v>3643.2</v>
      </c>
      <c r="BD59" s="100">
        <v>11.398100658929511</v>
      </c>
      <c r="BE59" s="100">
        <v>3460.4633600509992</v>
      </c>
      <c r="BF59" s="100">
        <v>19</v>
      </c>
      <c r="BG59" s="100">
        <v>5768.4</v>
      </c>
      <c r="BH59" s="100">
        <v>11.484056508112074</v>
      </c>
      <c r="BI59" s="100">
        <v>3486.5595558628252</v>
      </c>
      <c r="BJ59" s="100">
        <v>13.964011750946124</v>
      </c>
      <c r="BK59" s="100">
        <v>4239.4739675872424</v>
      </c>
      <c r="BL59" s="100">
        <v>8.278599003131081</v>
      </c>
      <c r="BM59" s="100">
        <v>2513.3826573505958</v>
      </c>
      <c r="BN59" s="100">
        <v>14.665603229413525</v>
      </c>
      <c r="BO59" s="100">
        <v>4452.4771404499461</v>
      </c>
      <c r="BP59" s="100">
        <v>14.054536428187962</v>
      </c>
      <c r="BQ59" s="100">
        <v>4266.9572595978652</v>
      </c>
      <c r="BR59" s="100">
        <v>16.026433877569801</v>
      </c>
      <c r="BS59" s="100">
        <v>4865.6253252301913</v>
      </c>
      <c r="BT59" s="100">
        <v>13.517520567862315</v>
      </c>
      <c r="BU59" s="100">
        <v>4103.9192444029986</v>
      </c>
      <c r="BV59" s="100">
        <v>10.675769084845808</v>
      </c>
      <c r="BW59" s="100">
        <v>3241.1634941591869</v>
      </c>
      <c r="BX59" s="100">
        <v>11.596094005953203</v>
      </c>
      <c r="BY59" s="100">
        <v>3520.5741402073922</v>
      </c>
      <c r="BZ59" s="100">
        <v>7.2889733751705847</v>
      </c>
      <c r="CA59" s="100">
        <v>2212.9323167017892</v>
      </c>
      <c r="CB59" s="100">
        <v>12.88903828536262</v>
      </c>
      <c r="CC59" s="100">
        <v>3913.112023436091</v>
      </c>
      <c r="CD59" s="100">
        <v>15.733204351834932</v>
      </c>
      <c r="CE59" s="100">
        <v>4776.600841217085</v>
      </c>
      <c r="CF59" s="100">
        <v>14.158644105433799</v>
      </c>
      <c r="CG59" s="100">
        <v>4298.5643504097006</v>
      </c>
      <c r="CH59" s="100">
        <v>14.004146040370609</v>
      </c>
      <c r="CI59" s="100">
        <v>4251.6587378565164</v>
      </c>
      <c r="CJ59" s="100">
        <v>13.102080240492581</v>
      </c>
      <c r="CK59" s="100">
        <v>3977.7915610135474</v>
      </c>
      <c r="CL59" s="100">
        <v>10</v>
      </c>
      <c r="CM59" s="100">
        <v>3035.9999999999995</v>
      </c>
      <c r="CN59" s="100">
        <v>0.92564664732288771</v>
      </c>
      <c r="CO59" s="100">
        <v>281.0263221272287</v>
      </c>
      <c r="CP59" s="100">
        <v>0.17322739730167075</v>
      </c>
      <c r="CQ59" s="100">
        <v>52.591837820787234</v>
      </c>
      <c r="CR59" s="100">
        <v>0.18063284351791778</v>
      </c>
      <c r="CS59" s="100">
        <v>54.840131292039828</v>
      </c>
      <c r="CT59" s="100">
        <v>0.16933411975603338</v>
      </c>
      <c r="CU59" s="100">
        <v>51.40983875793173</v>
      </c>
    </row>
    <row r="60" spans="2:99">
      <c r="C60" s="99" t="s">
        <v>226</v>
      </c>
      <c r="D60" s="100">
        <v>11</v>
      </c>
      <c r="E60" s="100">
        <v>7167.6</v>
      </c>
      <c r="F60" s="100">
        <v>16</v>
      </c>
      <c r="G60" s="100">
        <v>10425.6</v>
      </c>
      <c r="H60" s="100">
        <v>17</v>
      </c>
      <c r="I60" s="100">
        <v>11077.2</v>
      </c>
      <c r="J60" s="100">
        <v>16</v>
      </c>
      <c r="K60" s="100">
        <v>10425.6</v>
      </c>
      <c r="L60" s="100">
        <v>11</v>
      </c>
      <c r="M60" s="100">
        <v>7167.6</v>
      </c>
      <c r="N60" s="100">
        <v>9</v>
      </c>
      <c r="O60" s="100">
        <v>5864.4000000000005</v>
      </c>
      <c r="P60" s="100">
        <v>10</v>
      </c>
      <c r="Q60" s="100">
        <v>6516</v>
      </c>
      <c r="R60" s="100">
        <v>10</v>
      </c>
      <c r="S60" s="100">
        <v>6516</v>
      </c>
      <c r="T60" s="100">
        <v>15</v>
      </c>
      <c r="U60" s="100">
        <v>9774</v>
      </c>
      <c r="V60" s="100">
        <v>14</v>
      </c>
      <c r="W60" s="100">
        <v>9122.4</v>
      </c>
      <c r="X60" s="100">
        <v>14</v>
      </c>
      <c r="Y60" s="100">
        <v>9122.4</v>
      </c>
      <c r="Z60" s="100">
        <v>19</v>
      </c>
      <c r="AA60" s="100">
        <v>12380.4</v>
      </c>
      <c r="AB60" s="100">
        <v>14</v>
      </c>
      <c r="AC60" s="100">
        <v>9122.4</v>
      </c>
      <c r="AD60" s="100">
        <v>13</v>
      </c>
      <c r="AE60" s="100">
        <v>8470.8000000000011</v>
      </c>
      <c r="AF60" s="100">
        <v>11</v>
      </c>
      <c r="AG60" s="100">
        <v>7167.6</v>
      </c>
      <c r="AH60" s="100">
        <v>9</v>
      </c>
      <c r="AI60" s="100">
        <v>5864.4000000000005</v>
      </c>
      <c r="AJ60" s="100">
        <v>11</v>
      </c>
      <c r="AK60" s="100">
        <v>7167.6</v>
      </c>
      <c r="AL60" s="100">
        <v>14</v>
      </c>
      <c r="AM60" s="100">
        <v>9122.4</v>
      </c>
      <c r="AN60" s="100">
        <v>18</v>
      </c>
      <c r="AO60" s="100">
        <v>11728.800000000001</v>
      </c>
      <c r="AP60" s="100">
        <v>15</v>
      </c>
      <c r="AQ60" s="100">
        <v>9774</v>
      </c>
      <c r="AR60" s="100">
        <v>14</v>
      </c>
      <c r="AS60" s="100">
        <v>9122.4</v>
      </c>
      <c r="AT60" s="100">
        <v>11.271213621926346</v>
      </c>
      <c r="AU60" s="100">
        <v>7344.3227960472077</v>
      </c>
      <c r="AV60" s="100">
        <v>17.169874105771864</v>
      </c>
      <c r="AW60" s="100">
        <v>11187.889967320947</v>
      </c>
      <c r="AX60" s="100">
        <v>12.191406222002264</v>
      </c>
      <c r="AY60" s="100">
        <v>7943.9202942566753</v>
      </c>
      <c r="AZ60" s="100">
        <v>9</v>
      </c>
      <c r="BA60" s="100">
        <v>5864.4000000000005</v>
      </c>
      <c r="BB60" s="100">
        <v>10</v>
      </c>
      <c r="BC60" s="100">
        <v>6516</v>
      </c>
      <c r="BD60" s="100">
        <v>12.34794238050697</v>
      </c>
      <c r="BE60" s="100">
        <v>8045.9192551383421</v>
      </c>
      <c r="BF60" s="100">
        <v>15</v>
      </c>
      <c r="BG60" s="100">
        <v>9774</v>
      </c>
      <c r="BH60" s="100">
        <v>10.527051799102736</v>
      </c>
      <c r="BI60" s="100">
        <v>6859.4269522953427</v>
      </c>
      <c r="BJ60" s="100">
        <v>13.091261016511993</v>
      </c>
      <c r="BK60" s="100">
        <v>8530.2656783592156</v>
      </c>
      <c r="BL60" s="100">
        <v>9.1984433368123124</v>
      </c>
      <c r="BM60" s="100">
        <v>5993.7056782669033</v>
      </c>
      <c r="BN60" s="100">
        <v>14.665603229413525</v>
      </c>
      <c r="BO60" s="100">
        <v>9556.107064285854</v>
      </c>
      <c r="BP60" s="100">
        <v>12.180598237762901</v>
      </c>
      <c r="BQ60" s="100">
        <v>7936.8778117263064</v>
      </c>
      <c r="BR60" s="100">
        <v>14.339440837825613</v>
      </c>
      <c r="BS60" s="100">
        <v>9343.5796499271692</v>
      </c>
      <c r="BT60" s="100">
        <v>13.517520567862315</v>
      </c>
      <c r="BU60" s="100">
        <v>8808.0164020190841</v>
      </c>
      <c r="BV60" s="100">
        <v>10.675769084845808</v>
      </c>
      <c r="BW60" s="100">
        <v>6956.3311356855284</v>
      </c>
      <c r="BX60" s="100">
        <v>10.767801576956545</v>
      </c>
      <c r="BY60" s="100">
        <v>7016.2995075448853</v>
      </c>
      <c r="BZ60" s="100">
        <v>8.0988593057450942</v>
      </c>
      <c r="CA60" s="100">
        <v>5277.2167236235036</v>
      </c>
      <c r="CB60" s="100">
        <v>11.897573801873188</v>
      </c>
      <c r="CC60" s="100">
        <v>7752.4590893005698</v>
      </c>
      <c r="CD60" s="100">
        <v>12.956756525040532</v>
      </c>
      <c r="CE60" s="100">
        <v>8442.6225517164112</v>
      </c>
      <c r="CF60" s="100">
        <v>13.325782687467106</v>
      </c>
      <c r="CG60" s="100">
        <v>8683.079999153566</v>
      </c>
      <c r="CH60" s="100">
        <v>14.004146040370609</v>
      </c>
      <c r="CI60" s="100">
        <v>9125.1015599054881</v>
      </c>
      <c r="CJ60" s="100">
        <v>12.228608224459741</v>
      </c>
      <c r="CK60" s="100">
        <v>7968.1611190579679</v>
      </c>
      <c r="CL60" s="100">
        <v>11</v>
      </c>
      <c r="CM60" s="100">
        <v>7167.6</v>
      </c>
      <c r="CN60" s="100">
        <v>0.86779373186520714</v>
      </c>
      <c r="CO60" s="100">
        <v>565.45439568336894</v>
      </c>
      <c r="CP60" s="100">
        <v>0.17322739730167075</v>
      </c>
      <c r="CQ60" s="100">
        <v>112.87497208176866</v>
      </c>
      <c r="CR60" s="100">
        <v>0.18063284351791778</v>
      </c>
      <c r="CS60" s="100">
        <v>117.70036083627522</v>
      </c>
      <c r="CT60" s="100">
        <v>0.13546729580482672</v>
      </c>
      <c r="CU60" s="100">
        <v>88.270489946425087</v>
      </c>
    </row>
    <row r="61" spans="2:99">
      <c r="C61" s="99" t="s">
        <v>227</v>
      </c>
      <c r="D61" s="100">
        <v>10</v>
      </c>
      <c r="E61" s="100">
        <v>9516</v>
      </c>
      <c r="F61" s="100">
        <v>15</v>
      </c>
      <c r="G61" s="100">
        <v>14273.999999999998</v>
      </c>
      <c r="H61" s="100">
        <v>14</v>
      </c>
      <c r="I61" s="100">
        <v>13322.399999999998</v>
      </c>
      <c r="J61" s="100">
        <v>14</v>
      </c>
      <c r="K61" s="100">
        <v>13322.399999999998</v>
      </c>
      <c r="L61" s="100">
        <v>13</v>
      </c>
      <c r="M61" s="100">
        <v>12370.8</v>
      </c>
      <c r="N61" s="100">
        <v>8</v>
      </c>
      <c r="O61" s="100">
        <v>7612.7999999999993</v>
      </c>
      <c r="P61" s="100">
        <v>9</v>
      </c>
      <c r="Q61" s="100">
        <v>8564.4</v>
      </c>
      <c r="R61" s="100">
        <v>11</v>
      </c>
      <c r="S61" s="100">
        <v>10467.599999999999</v>
      </c>
      <c r="T61" s="100">
        <v>15</v>
      </c>
      <c r="U61" s="100">
        <v>14273.999999999998</v>
      </c>
      <c r="V61" s="100">
        <v>12</v>
      </c>
      <c r="W61" s="100">
        <v>11419.199999999999</v>
      </c>
      <c r="X61" s="100">
        <v>16</v>
      </c>
      <c r="Y61" s="100">
        <v>15225.599999999999</v>
      </c>
      <c r="Z61" s="100">
        <v>16</v>
      </c>
      <c r="AA61" s="100">
        <v>15225.599999999999</v>
      </c>
      <c r="AB61" s="100">
        <v>13</v>
      </c>
      <c r="AC61" s="100">
        <v>12370.8</v>
      </c>
      <c r="AD61" s="100">
        <v>13</v>
      </c>
      <c r="AE61" s="100">
        <v>12370.8</v>
      </c>
      <c r="AF61" s="100">
        <v>11</v>
      </c>
      <c r="AG61" s="100">
        <v>10467.599999999999</v>
      </c>
      <c r="AH61" s="100">
        <v>9</v>
      </c>
      <c r="AI61" s="100">
        <v>8564.4</v>
      </c>
      <c r="AJ61" s="100">
        <v>11</v>
      </c>
      <c r="AK61" s="100">
        <v>10467.599999999999</v>
      </c>
      <c r="AL61" s="100">
        <v>13</v>
      </c>
      <c r="AM61" s="100">
        <v>12370.8</v>
      </c>
      <c r="AN61" s="100">
        <v>15</v>
      </c>
      <c r="AO61" s="100">
        <v>14273.999999999998</v>
      </c>
      <c r="AP61" s="100">
        <v>15</v>
      </c>
      <c r="AQ61" s="100">
        <v>14273.999999999998</v>
      </c>
      <c r="AR61" s="100">
        <v>12</v>
      </c>
      <c r="AS61" s="100">
        <v>11419.199999999999</v>
      </c>
      <c r="AT61" s="100">
        <v>11.271213621926346</v>
      </c>
      <c r="AU61" s="100">
        <v>10725.68688262511</v>
      </c>
      <c r="AV61" s="100">
        <v>16.21599221100676</v>
      </c>
      <c r="AW61" s="100">
        <v>15431.138187994031</v>
      </c>
      <c r="AX61" s="100">
        <v>15.004807657848941</v>
      </c>
      <c r="AY61" s="100">
        <v>14278.574967209051</v>
      </c>
      <c r="AZ61" s="100">
        <v>9</v>
      </c>
      <c r="BA61" s="100">
        <v>8564.4</v>
      </c>
      <c r="BB61" s="100">
        <v>11</v>
      </c>
      <c r="BC61" s="100">
        <v>10467.599999999999</v>
      </c>
      <c r="BD61" s="100">
        <v>11.398100658929511</v>
      </c>
      <c r="BE61" s="100">
        <v>10846.432587037321</v>
      </c>
      <c r="BF61" s="100">
        <v>17</v>
      </c>
      <c r="BG61" s="100">
        <v>16177.199999999999</v>
      </c>
      <c r="BH61" s="100">
        <v>10.527051799102736</v>
      </c>
      <c r="BI61" s="100">
        <v>10017.542492026163</v>
      </c>
      <c r="BJ61" s="100">
        <v>13.091261016511993</v>
      </c>
      <c r="BK61" s="100">
        <v>12457.643983312812</v>
      </c>
      <c r="BL61" s="100">
        <v>8.278599003131081</v>
      </c>
      <c r="BM61" s="100">
        <v>7877.9148113795363</v>
      </c>
      <c r="BN61" s="100">
        <v>13.687896347452623</v>
      </c>
      <c r="BO61" s="100">
        <v>13025.402164235915</v>
      </c>
      <c r="BP61" s="100">
        <v>11.24362914255037</v>
      </c>
      <c r="BQ61" s="100">
        <v>10699.437492050931</v>
      </c>
      <c r="BR61" s="100">
        <v>15.182937357697705</v>
      </c>
      <c r="BS61" s="100">
        <v>14448.083189585135</v>
      </c>
      <c r="BT61" s="100">
        <v>12.672675532370921</v>
      </c>
      <c r="BU61" s="100">
        <v>12059.318036604167</v>
      </c>
      <c r="BV61" s="100">
        <v>10.675769084845808</v>
      </c>
      <c r="BW61" s="100">
        <v>10159.061861139269</v>
      </c>
      <c r="BX61" s="100">
        <v>10.767801576956545</v>
      </c>
      <c r="BY61" s="100">
        <v>10246.639980631848</v>
      </c>
      <c r="BZ61" s="100">
        <v>7.2889733751705847</v>
      </c>
      <c r="CA61" s="100">
        <v>6936.1870638123282</v>
      </c>
      <c r="CB61" s="100">
        <v>10.906109318383754</v>
      </c>
      <c r="CC61" s="100">
        <v>10378.253627373979</v>
      </c>
      <c r="CD61" s="100">
        <v>14.807721742903466</v>
      </c>
      <c r="CE61" s="100">
        <v>14091.028010546937</v>
      </c>
      <c r="CF61" s="100">
        <v>14.158644105433799</v>
      </c>
      <c r="CG61" s="100">
        <v>13473.365730730802</v>
      </c>
      <c r="CH61" s="100">
        <v>13.180372743878221</v>
      </c>
      <c r="CI61" s="100">
        <v>12542.442703074514</v>
      </c>
      <c r="CJ61" s="100">
        <v>10.481664192394065</v>
      </c>
      <c r="CK61" s="100">
        <v>9974.3516454821911</v>
      </c>
      <c r="CL61" s="100">
        <v>11</v>
      </c>
      <c r="CM61" s="100">
        <v>10467.599999999999</v>
      </c>
      <c r="CN61" s="100">
        <v>0.86779373186520714</v>
      </c>
      <c r="CO61" s="100">
        <v>825.79251524293102</v>
      </c>
      <c r="CP61" s="100">
        <v>0.17322739730167075</v>
      </c>
      <c r="CQ61" s="100">
        <v>164.84319127226988</v>
      </c>
      <c r="CR61" s="100">
        <v>0.162569559166126</v>
      </c>
      <c r="CS61" s="100">
        <v>154.7011925024855</v>
      </c>
      <c r="CT61" s="100">
        <v>0.13546729580482672</v>
      </c>
      <c r="CU61" s="100">
        <v>128.91067868787309</v>
      </c>
    </row>
    <row r="62" spans="2:99">
      <c r="C62" s="99" t="s">
        <v>228</v>
      </c>
      <c r="D62" s="100">
        <v>10</v>
      </c>
      <c r="E62" s="100">
        <v>16692</v>
      </c>
      <c r="F62" s="100">
        <v>15</v>
      </c>
      <c r="G62" s="100">
        <v>25038</v>
      </c>
      <c r="H62" s="100">
        <v>13</v>
      </c>
      <c r="I62" s="100">
        <v>21699.600000000002</v>
      </c>
      <c r="J62" s="100">
        <v>15</v>
      </c>
      <c r="K62" s="100">
        <v>25038</v>
      </c>
      <c r="L62" s="100">
        <v>11</v>
      </c>
      <c r="M62" s="100">
        <v>18361.2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10</v>
      </c>
      <c r="S62" s="100">
        <v>16692</v>
      </c>
      <c r="T62" s="100">
        <v>15</v>
      </c>
      <c r="U62" s="100">
        <v>25038</v>
      </c>
      <c r="V62" s="100">
        <v>11</v>
      </c>
      <c r="W62" s="100">
        <v>18361.2</v>
      </c>
      <c r="X62" s="100">
        <v>15</v>
      </c>
      <c r="Y62" s="100">
        <v>25038</v>
      </c>
      <c r="Z62" s="100">
        <v>14</v>
      </c>
      <c r="AA62" s="100">
        <v>23368.799999999999</v>
      </c>
      <c r="AB62" s="100">
        <v>14</v>
      </c>
      <c r="AC62" s="100">
        <v>23368.799999999999</v>
      </c>
      <c r="AD62" s="100">
        <v>12</v>
      </c>
      <c r="AE62" s="100">
        <v>20030.400000000001</v>
      </c>
      <c r="AF62" s="100">
        <v>10</v>
      </c>
      <c r="AG62" s="100">
        <v>16692</v>
      </c>
      <c r="AH62" s="100">
        <v>9.4111414867016324E-23</v>
      </c>
      <c r="AI62" s="100">
        <v>1.5709077369602365E-19</v>
      </c>
      <c r="AJ62" s="100">
        <v>11</v>
      </c>
      <c r="AK62" s="100">
        <v>18361.2</v>
      </c>
      <c r="AL62" s="100">
        <v>12</v>
      </c>
      <c r="AM62" s="100">
        <v>20030.400000000001</v>
      </c>
      <c r="AN62" s="100">
        <v>14</v>
      </c>
      <c r="AO62" s="100">
        <v>23368.799999999999</v>
      </c>
      <c r="AP62" s="100">
        <v>12</v>
      </c>
      <c r="AQ62" s="100">
        <v>20030.400000000001</v>
      </c>
      <c r="AR62" s="100">
        <v>12</v>
      </c>
      <c r="AS62" s="100">
        <v>20030.400000000001</v>
      </c>
      <c r="AT62" s="100">
        <v>12</v>
      </c>
      <c r="AU62" s="100">
        <v>20030.400000000001</v>
      </c>
      <c r="AV62" s="100">
        <v>15</v>
      </c>
      <c r="AW62" s="100">
        <v>25038</v>
      </c>
      <c r="AX62" s="100">
        <v>14</v>
      </c>
      <c r="AY62" s="100">
        <v>23368.799999999999</v>
      </c>
      <c r="AZ62" s="100">
        <v>7</v>
      </c>
      <c r="BA62" s="100">
        <v>11684.4</v>
      </c>
      <c r="BB62" s="100">
        <v>9</v>
      </c>
      <c r="BC62" s="100">
        <v>15022.800000000001</v>
      </c>
      <c r="BD62" s="100">
        <v>11</v>
      </c>
      <c r="BE62" s="100">
        <v>18361.2</v>
      </c>
      <c r="BF62" s="100">
        <v>15</v>
      </c>
      <c r="BG62" s="100">
        <v>25038</v>
      </c>
      <c r="BH62" s="100">
        <v>10</v>
      </c>
      <c r="BI62" s="100">
        <v>16692</v>
      </c>
      <c r="BJ62" s="100">
        <v>13</v>
      </c>
      <c r="BK62" s="100">
        <v>21699.600000000002</v>
      </c>
      <c r="BL62" s="100">
        <v>8</v>
      </c>
      <c r="BM62" s="100">
        <v>13353.6</v>
      </c>
      <c r="BN62" s="100">
        <v>14</v>
      </c>
      <c r="BO62" s="100">
        <v>23368.799999999999</v>
      </c>
      <c r="BP62" s="100">
        <v>13</v>
      </c>
      <c r="BQ62" s="100">
        <v>21699.600000000002</v>
      </c>
      <c r="BR62" s="100">
        <v>16</v>
      </c>
      <c r="BS62" s="100">
        <v>26707.200000000001</v>
      </c>
      <c r="BT62" s="100">
        <v>13</v>
      </c>
      <c r="BU62" s="100">
        <v>21699.600000000002</v>
      </c>
      <c r="BV62" s="100">
        <v>11</v>
      </c>
      <c r="BW62" s="100">
        <v>18361.2</v>
      </c>
      <c r="BX62" s="100">
        <v>14</v>
      </c>
      <c r="BY62" s="100">
        <v>23368.799999999999</v>
      </c>
      <c r="BZ62" s="100">
        <v>8</v>
      </c>
      <c r="CA62" s="100">
        <v>13353.6</v>
      </c>
      <c r="CB62" s="100">
        <v>12</v>
      </c>
      <c r="CC62" s="100">
        <v>20030.400000000001</v>
      </c>
      <c r="CD62" s="100">
        <v>14</v>
      </c>
      <c r="CE62" s="100">
        <v>23368.799999999999</v>
      </c>
      <c r="CF62" s="100">
        <v>13</v>
      </c>
      <c r="CG62" s="100">
        <v>21699.600000000002</v>
      </c>
      <c r="CH62" s="100">
        <v>17</v>
      </c>
      <c r="CI62" s="100">
        <v>28376.400000000001</v>
      </c>
      <c r="CJ62" s="100">
        <v>12</v>
      </c>
      <c r="CK62" s="100">
        <v>20030.400000000001</v>
      </c>
      <c r="CL62" s="100">
        <v>10</v>
      </c>
      <c r="CM62" s="100">
        <v>16692</v>
      </c>
      <c r="CN62" s="100">
        <v>15</v>
      </c>
      <c r="CO62" s="100">
        <v>25038</v>
      </c>
      <c r="CP62" s="100">
        <v>8</v>
      </c>
      <c r="CQ62" s="100">
        <v>13353.6</v>
      </c>
      <c r="CR62" s="100">
        <v>8</v>
      </c>
      <c r="CS62" s="100">
        <v>13353.6</v>
      </c>
      <c r="CT62" s="100">
        <v>8</v>
      </c>
      <c r="CU62" s="100">
        <v>13353.6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14</v>
      </c>
      <c r="G63" s="100">
        <v>11138.4</v>
      </c>
      <c r="H63" s="100">
        <v>16</v>
      </c>
      <c r="I63" s="100">
        <v>12729.6</v>
      </c>
      <c r="J63" s="100">
        <v>14</v>
      </c>
      <c r="K63" s="100">
        <v>11138.4</v>
      </c>
      <c r="L63" s="100">
        <v>11</v>
      </c>
      <c r="M63" s="100">
        <v>8751.6</v>
      </c>
      <c r="N63" s="100">
        <v>9</v>
      </c>
      <c r="O63" s="100">
        <v>7160.4000000000005</v>
      </c>
      <c r="P63" s="100">
        <v>9</v>
      </c>
      <c r="Q63" s="100">
        <v>7160.4000000000005</v>
      </c>
      <c r="R63" s="100">
        <v>11</v>
      </c>
      <c r="S63" s="100">
        <v>8751.6</v>
      </c>
      <c r="T63" s="100">
        <v>16</v>
      </c>
      <c r="U63" s="100">
        <v>12729.6</v>
      </c>
      <c r="V63" s="100">
        <v>12</v>
      </c>
      <c r="W63" s="100">
        <v>9547.2000000000007</v>
      </c>
      <c r="X63" s="100">
        <v>16</v>
      </c>
      <c r="Y63" s="100">
        <v>12729.6</v>
      </c>
      <c r="Z63" s="100">
        <v>18</v>
      </c>
      <c r="AA63" s="100">
        <v>14320.800000000001</v>
      </c>
      <c r="AB63" s="100">
        <v>13</v>
      </c>
      <c r="AC63" s="100">
        <v>10342.800000000001</v>
      </c>
      <c r="AD63" s="100">
        <v>13</v>
      </c>
      <c r="AE63" s="100">
        <v>10342.800000000001</v>
      </c>
      <c r="AF63" s="100">
        <v>12</v>
      </c>
      <c r="AG63" s="100">
        <v>9547.2000000000007</v>
      </c>
      <c r="AH63" s="100">
        <v>9</v>
      </c>
      <c r="AI63" s="100">
        <v>7160.4000000000005</v>
      </c>
      <c r="AJ63" s="100">
        <v>11</v>
      </c>
      <c r="AK63" s="100">
        <v>8751.6</v>
      </c>
      <c r="AL63" s="100">
        <v>13</v>
      </c>
      <c r="AM63" s="100">
        <v>10342.800000000001</v>
      </c>
      <c r="AN63" s="100">
        <v>16</v>
      </c>
      <c r="AO63" s="100">
        <v>12729.6</v>
      </c>
      <c r="AP63" s="100">
        <v>14</v>
      </c>
      <c r="AQ63" s="100">
        <v>11138.4</v>
      </c>
      <c r="AR63" s="100">
        <v>12</v>
      </c>
      <c r="AS63" s="100">
        <v>9547.2000000000007</v>
      </c>
      <c r="AT63" s="100">
        <v>12.13823005438222</v>
      </c>
      <c r="AU63" s="100">
        <v>9657.1758312664952</v>
      </c>
      <c r="AV63" s="100">
        <v>16.21599221100676</v>
      </c>
      <c r="AW63" s="100">
        <v>12901.443403076979</v>
      </c>
      <c r="AX63" s="100">
        <v>13.129206700617823</v>
      </c>
      <c r="AY63" s="100">
        <v>10445.59685101154</v>
      </c>
      <c r="AZ63" s="100">
        <v>9</v>
      </c>
      <c r="BA63" s="100">
        <v>7160.4000000000005</v>
      </c>
      <c r="BB63" s="100">
        <v>9</v>
      </c>
      <c r="BC63" s="100">
        <v>7160.4000000000005</v>
      </c>
      <c r="BD63" s="100">
        <v>12.34794238050697</v>
      </c>
      <c r="BE63" s="100">
        <v>9824.0229579313454</v>
      </c>
      <c r="BF63" s="100">
        <v>18</v>
      </c>
      <c r="BG63" s="100">
        <v>14320.800000000001</v>
      </c>
      <c r="BH63" s="100">
        <v>9.5700470900933947</v>
      </c>
      <c r="BI63" s="100">
        <v>7613.9294648783052</v>
      </c>
      <c r="BJ63" s="100">
        <v>12.218510282077858</v>
      </c>
      <c r="BK63" s="100">
        <v>9721.0467804211439</v>
      </c>
      <c r="BL63" s="100">
        <v>7.3587546694498505</v>
      </c>
      <c r="BM63" s="100">
        <v>5854.6252150143009</v>
      </c>
      <c r="BN63" s="100">
        <v>15.643310111374429</v>
      </c>
      <c r="BO63" s="100">
        <v>12445.817524609496</v>
      </c>
      <c r="BP63" s="100">
        <v>13.117567332975433</v>
      </c>
      <c r="BQ63" s="100">
        <v>10436.336570115254</v>
      </c>
      <c r="BR63" s="100">
        <v>14.339440837825613</v>
      </c>
      <c r="BS63" s="100">
        <v>11408.459130574058</v>
      </c>
      <c r="BT63" s="100">
        <v>11.827830496879526</v>
      </c>
      <c r="BU63" s="100">
        <v>9410.2219433173523</v>
      </c>
      <c r="BV63" s="100">
        <v>10.675769084845808</v>
      </c>
      <c r="BW63" s="100">
        <v>8493.6418839033249</v>
      </c>
      <c r="BX63" s="100">
        <v>12.424386434949861</v>
      </c>
      <c r="BY63" s="100">
        <v>9884.8418476461102</v>
      </c>
      <c r="BZ63" s="100">
        <v>7.2889733751705847</v>
      </c>
      <c r="CA63" s="100">
        <v>5799.1072172857175</v>
      </c>
      <c r="CB63" s="100">
        <v>10.906109318383754</v>
      </c>
      <c r="CC63" s="100">
        <v>8676.9005737061143</v>
      </c>
      <c r="CD63" s="100">
        <v>12.956756525040532</v>
      </c>
      <c r="CE63" s="100">
        <v>10308.395491322248</v>
      </c>
      <c r="CF63" s="100">
        <v>12.49292126950041</v>
      </c>
      <c r="CG63" s="100">
        <v>9939.3681620145271</v>
      </c>
      <c r="CH63" s="100">
        <v>14.827919336862998</v>
      </c>
      <c r="CI63" s="100">
        <v>11797.092624408202</v>
      </c>
      <c r="CJ63" s="100">
        <v>11.355136208426902</v>
      </c>
      <c r="CK63" s="100">
        <v>9034.1463674244442</v>
      </c>
      <c r="CL63" s="100">
        <v>10</v>
      </c>
      <c r="CM63" s="100">
        <v>7956</v>
      </c>
      <c r="CN63" s="100">
        <v>0.80994081640752669</v>
      </c>
      <c r="CO63" s="100">
        <v>644.38891353382826</v>
      </c>
      <c r="CP63" s="100">
        <v>0.1539799087125962</v>
      </c>
      <c r="CQ63" s="100">
        <v>122.50641537174154</v>
      </c>
      <c r="CR63" s="100">
        <v>0.162569559166126</v>
      </c>
      <c r="CS63" s="100">
        <v>129.34034127256984</v>
      </c>
      <c r="CT63" s="100">
        <v>0.15240070778043008</v>
      </c>
      <c r="CU63" s="100">
        <v>121.25000311011017</v>
      </c>
    </row>
    <row r="64" spans="2:99">
      <c r="C64" s="99" t="s">
        <v>230</v>
      </c>
      <c r="D64" s="100">
        <v>10</v>
      </c>
      <c r="E64" s="100">
        <v>10091.999999999998</v>
      </c>
      <c r="F64" s="100">
        <v>15</v>
      </c>
      <c r="G64" s="100">
        <v>15137.999999999996</v>
      </c>
      <c r="H64" s="100">
        <v>14</v>
      </c>
      <c r="I64" s="100">
        <v>14128.799999999997</v>
      </c>
      <c r="J64" s="100">
        <v>13</v>
      </c>
      <c r="K64" s="100">
        <v>13119.599999999999</v>
      </c>
      <c r="L64" s="100">
        <v>11</v>
      </c>
      <c r="M64" s="100">
        <v>11101.199999999997</v>
      </c>
      <c r="N64" s="100">
        <v>10</v>
      </c>
      <c r="O64" s="100">
        <v>10091.999999999998</v>
      </c>
      <c r="P64" s="100">
        <v>8</v>
      </c>
      <c r="Q64" s="100">
        <v>8073.5999999999985</v>
      </c>
      <c r="R64" s="100">
        <v>9</v>
      </c>
      <c r="S64" s="100">
        <v>9082.7999999999993</v>
      </c>
      <c r="T64" s="100">
        <v>16</v>
      </c>
      <c r="U64" s="100">
        <v>16147.199999999997</v>
      </c>
      <c r="V64" s="100">
        <v>14</v>
      </c>
      <c r="W64" s="100">
        <v>14128.799999999997</v>
      </c>
      <c r="X64" s="100">
        <v>15</v>
      </c>
      <c r="Y64" s="100">
        <v>15137.999999999996</v>
      </c>
      <c r="Z64" s="100">
        <v>18</v>
      </c>
      <c r="AA64" s="100">
        <v>18165.599999999999</v>
      </c>
      <c r="AB64" s="100">
        <v>13</v>
      </c>
      <c r="AC64" s="100">
        <v>13119.599999999999</v>
      </c>
      <c r="AD64" s="100">
        <v>13</v>
      </c>
      <c r="AE64" s="100">
        <v>13119.599999999999</v>
      </c>
      <c r="AF64" s="100">
        <v>11</v>
      </c>
      <c r="AG64" s="100">
        <v>11101.199999999997</v>
      </c>
      <c r="AH64" s="100">
        <v>8</v>
      </c>
      <c r="AI64" s="100">
        <v>8073.5999999999985</v>
      </c>
      <c r="AJ64" s="100">
        <v>11</v>
      </c>
      <c r="AK64" s="100">
        <v>11101.199999999997</v>
      </c>
      <c r="AL64" s="100">
        <v>14</v>
      </c>
      <c r="AM64" s="100">
        <v>14128.799999999997</v>
      </c>
      <c r="AN64" s="100">
        <v>16</v>
      </c>
      <c r="AO64" s="100">
        <v>16147.199999999997</v>
      </c>
      <c r="AP64" s="100">
        <v>13</v>
      </c>
      <c r="AQ64" s="100">
        <v>13119.599999999999</v>
      </c>
      <c r="AR64" s="100">
        <v>14</v>
      </c>
      <c r="AS64" s="100">
        <v>14128.799999999997</v>
      </c>
      <c r="AT64" s="100">
        <v>11.271213621926346</v>
      </c>
      <c r="AU64" s="100">
        <v>11374.908787248067</v>
      </c>
      <c r="AV64" s="100">
        <v>16.21599221100676</v>
      </c>
      <c r="AW64" s="100">
        <v>16365.17933934802</v>
      </c>
      <c r="AX64" s="100">
        <v>12.191406222002264</v>
      </c>
      <c r="AY64" s="100">
        <v>12303.567159244683</v>
      </c>
      <c r="AZ64" s="100">
        <v>9</v>
      </c>
      <c r="BA64" s="100">
        <v>9082.7999999999993</v>
      </c>
      <c r="BB64" s="100">
        <v>10</v>
      </c>
      <c r="BC64" s="100">
        <v>10091.999999999998</v>
      </c>
      <c r="BD64" s="100">
        <v>12.34794238050697</v>
      </c>
      <c r="BE64" s="100">
        <v>12461.543450407631</v>
      </c>
      <c r="BF64" s="100">
        <v>17</v>
      </c>
      <c r="BG64" s="100">
        <v>17156.399999999998</v>
      </c>
      <c r="BH64" s="100">
        <v>10.527051799102736</v>
      </c>
      <c r="BI64" s="100">
        <v>10623.900675654479</v>
      </c>
      <c r="BJ64" s="100">
        <v>13.964011750946124</v>
      </c>
      <c r="BK64" s="100">
        <v>14092.480659054825</v>
      </c>
      <c r="BL64" s="100">
        <v>8.278599003131081</v>
      </c>
      <c r="BM64" s="100">
        <v>8354.762113959885</v>
      </c>
      <c r="BN64" s="100">
        <v>15.643310111374429</v>
      </c>
      <c r="BO64" s="100">
        <v>15787.228564399071</v>
      </c>
      <c r="BP64" s="100">
        <v>11.24362914255037</v>
      </c>
      <c r="BQ64" s="100">
        <v>11347.070530661831</v>
      </c>
      <c r="BR64" s="100">
        <v>12.652447798081424</v>
      </c>
      <c r="BS64" s="100">
        <v>12768.85031782377</v>
      </c>
      <c r="BT64" s="100">
        <v>12.672675532370921</v>
      </c>
      <c r="BU64" s="100">
        <v>12789.26414726873</v>
      </c>
      <c r="BV64" s="100">
        <v>9.705244622587097</v>
      </c>
      <c r="BW64" s="100">
        <v>9794.5328731148966</v>
      </c>
      <c r="BX64" s="100">
        <v>10.767801576956545</v>
      </c>
      <c r="BY64" s="100">
        <v>10866.865351464543</v>
      </c>
      <c r="BZ64" s="100">
        <v>8.0988593057450942</v>
      </c>
      <c r="CA64" s="100">
        <v>8173.3688113579474</v>
      </c>
      <c r="CB64" s="100">
        <v>11.897573801873188</v>
      </c>
      <c r="CC64" s="100">
        <v>12007.031480850419</v>
      </c>
      <c r="CD64" s="100">
        <v>14.807721742903466</v>
      </c>
      <c r="CE64" s="100">
        <v>14943.952782938175</v>
      </c>
      <c r="CF64" s="100">
        <v>12.49292126950041</v>
      </c>
      <c r="CG64" s="100">
        <v>12607.856145179812</v>
      </c>
      <c r="CH64" s="100">
        <v>14.827919336862998</v>
      </c>
      <c r="CI64" s="100">
        <v>14964.336194762134</v>
      </c>
      <c r="CJ64" s="100">
        <v>12.228608224459741</v>
      </c>
      <c r="CK64" s="100">
        <v>12341.111420124769</v>
      </c>
      <c r="CL64" s="100">
        <v>11</v>
      </c>
      <c r="CM64" s="100">
        <v>11101.199999999997</v>
      </c>
      <c r="CN64" s="100">
        <v>0.92564664732288771</v>
      </c>
      <c r="CO64" s="100">
        <v>934.16259647825814</v>
      </c>
      <c r="CP64" s="100">
        <v>0.1539799087125962</v>
      </c>
      <c r="CQ64" s="100">
        <v>155.39652387275206</v>
      </c>
      <c r="CR64" s="100">
        <v>0.18063284351791778</v>
      </c>
      <c r="CS64" s="100">
        <v>182.2946656782826</v>
      </c>
      <c r="CT64" s="100">
        <v>0.15240070778043008</v>
      </c>
      <c r="CU64" s="100">
        <v>153.80279429201002</v>
      </c>
    </row>
    <row r="65" spans="2:99">
      <c r="C65" s="99" t="s">
        <v>231</v>
      </c>
      <c r="D65" s="100">
        <v>10</v>
      </c>
      <c r="E65" s="100">
        <v>10260</v>
      </c>
      <c r="F65" s="100">
        <v>16</v>
      </c>
      <c r="G65" s="100">
        <v>16416</v>
      </c>
      <c r="H65" s="100">
        <v>14</v>
      </c>
      <c r="I65" s="100">
        <v>14364</v>
      </c>
      <c r="J65" s="100">
        <v>15</v>
      </c>
      <c r="K65" s="100">
        <v>15390</v>
      </c>
      <c r="L65" s="100">
        <v>11</v>
      </c>
      <c r="M65" s="100">
        <v>11286</v>
      </c>
      <c r="N65" s="100">
        <v>10</v>
      </c>
      <c r="O65" s="100">
        <v>10260</v>
      </c>
      <c r="P65" s="100">
        <v>8</v>
      </c>
      <c r="Q65" s="100">
        <v>8208</v>
      </c>
      <c r="R65" s="100">
        <v>11</v>
      </c>
      <c r="S65" s="100">
        <v>11286</v>
      </c>
      <c r="T65" s="100">
        <v>15</v>
      </c>
      <c r="U65" s="100">
        <v>15390</v>
      </c>
      <c r="V65" s="100">
        <v>14</v>
      </c>
      <c r="W65" s="100">
        <v>14364</v>
      </c>
      <c r="X65" s="100">
        <v>15</v>
      </c>
      <c r="Y65" s="100">
        <v>15390</v>
      </c>
      <c r="Z65" s="100">
        <v>18</v>
      </c>
      <c r="AA65" s="100">
        <v>18468</v>
      </c>
      <c r="AB65" s="100">
        <v>14</v>
      </c>
      <c r="AC65" s="100">
        <v>14364</v>
      </c>
      <c r="AD65" s="100">
        <v>12</v>
      </c>
      <c r="AE65" s="100">
        <v>12312</v>
      </c>
      <c r="AF65" s="100">
        <v>11</v>
      </c>
      <c r="AG65" s="100">
        <v>11286</v>
      </c>
      <c r="AH65" s="100">
        <v>9</v>
      </c>
      <c r="AI65" s="100">
        <v>9234</v>
      </c>
      <c r="AJ65" s="100">
        <v>12</v>
      </c>
      <c r="AK65" s="100">
        <v>12312</v>
      </c>
      <c r="AL65" s="100">
        <v>14</v>
      </c>
      <c r="AM65" s="100">
        <v>14364</v>
      </c>
      <c r="AN65" s="100">
        <v>17</v>
      </c>
      <c r="AO65" s="100">
        <v>17442</v>
      </c>
      <c r="AP65" s="100">
        <v>15</v>
      </c>
      <c r="AQ65" s="100">
        <v>15390</v>
      </c>
      <c r="AR65" s="100">
        <v>13</v>
      </c>
      <c r="AS65" s="100">
        <v>13338</v>
      </c>
      <c r="AT65" s="100">
        <v>12.13823005438222</v>
      </c>
      <c r="AU65" s="100">
        <v>12453.824035796157</v>
      </c>
      <c r="AV65" s="100">
        <v>14.308228421476555</v>
      </c>
      <c r="AW65" s="100">
        <v>14680.242360434946</v>
      </c>
      <c r="AX65" s="100">
        <v>12.191406222002264</v>
      </c>
      <c r="AY65" s="100">
        <v>12508.382783774323</v>
      </c>
      <c r="AZ65" s="100">
        <v>8</v>
      </c>
      <c r="BA65" s="100">
        <v>8208</v>
      </c>
      <c r="BB65" s="100">
        <v>9</v>
      </c>
      <c r="BC65" s="100">
        <v>9234</v>
      </c>
      <c r="BD65" s="100">
        <v>12.34794238050697</v>
      </c>
      <c r="BE65" s="100">
        <v>12668.98888240015</v>
      </c>
      <c r="BF65" s="100">
        <v>15</v>
      </c>
      <c r="BG65" s="100">
        <v>15390</v>
      </c>
      <c r="BH65" s="100">
        <v>10.527051799102736</v>
      </c>
      <c r="BI65" s="100">
        <v>10800.755145879408</v>
      </c>
      <c r="BJ65" s="100">
        <v>13.091261016511993</v>
      </c>
      <c r="BK65" s="100">
        <v>13431.633802941305</v>
      </c>
      <c r="BL65" s="100">
        <v>8.278599003131081</v>
      </c>
      <c r="BM65" s="100">
        <v>8493.8425772124883</v>
      </c>
      <c r="BN65" s="100">
        <v>14.665603229413525</v>
      </c>
      <c r="BO65" s="100">
        <v>15046.908913378276</v>
      </c>
      <c r="BP65" s="100">
        <v>11.24362914255037</v>
      </c>
      <c r="BQ65" s="100">
        <v>11535.963500256679</v>
      </c>
      <c r="BR65" s="100">
        <v>13.495944317953517</v>
      </c>
      <c r="BS65" s="100">
        <v>13846.838870220308</v>
      </c>
      <c r="BT65" s="100">
        <v>13.517520567862315</v>
      </c>
      <c r="BU65" s="100">
        <v>13868.976102626735</v>
      </c>
      <c r="BV65" s="100">
        <v>9.705244622587097</v>
      </c>
      <c r="BW65" s="100">
        <v>9957.5809827743615</v>
      </c>
      <c r="BX65" s="100">
        <v>11.596094005953203</v>
      </c>
      <c r="BY65" s="100">
        <v>11897.592450107986</v>
      </c>
      <c r="BZ65" s="100">
        <v>6.4790874445960753</v>
      </c>
      <c r="CA65" s="100">
        <v>6647.5437181555735</v>
      </c>
      <c r="CB65" s="100">
        <v>11.897573801873188</v>
      </c>
      <c r="CC65" s="100">
        <v>12206.910720721891</v>
      </c>
      <c r="CD65" s="100">
        <v>12.956756525040532</v>
      </c>
      <c r="CE65" s="100">
        <v>13293.632194691587</v>
      </c>
      <c r="CF65" s="100">
        <v>13.325782687467106</v>
      </c>
      <c r="CG65" s="100">
        <v>13672.25303734125</v>
      </c>
      <c r="CH65" s="100">
        <v>14.004146040370609</v>
      </c>
      <c r="CI65" s="100">
        <v>14368.253837420245</v>
      </c>
      <c r="CJ65" s="100">
        <v>10.481664192394065</v>
      </c>
      <c r="CK65" s="100">
        <v>10754.187461396312</v>
      </c>
      <c r="CL65" s="100">
        <v>10</v>
      </c>
      <c r="CM65" s="100">
        <v>10260</v>
      </c>
      <c r="CN65" s="100">
        <v>0.92564664732288771</v>
      </c>
      <c r="CO65" s="100">
        <v>949.71346015328277</v>
      </c>
      <c r="CP65" s="100">
        <v>0.1539799087125962</v>
      </c>
      <c r="CQ65" s="100">
        <v>157.98338633912371</v>
      </c>
      <c r="CR65" s="100">
        <v>0.18063284351791778</v>
      </c>
      <c r="CS65" s="100">
        <v>185.32929744938363</v>
      </c>
      <c r="CT65" s="100">
        <v>0.15240070778043008</v>
      </c>
      <c r="CU65" s="100">
        <v>156.36312618272126</v>
      </c>
    </row>
    <row r="66" spans="2:99">
      <c r="C66" s="99" t="s">
        <v>232</v>
      </c>
      <c r="D66" s="100">
        <v>10</v>
      </c>
      <c r="E66" s="100">
        <v>11903.999999999998</v>
      </c>
      <c r="F66" s="100">
        <v>15</v>
      </c>
      <c r="G66" s="100">
        <v>17855.999999999996</v>
      </c>
      <c r="H66" s="100">
        <v>13</v>
      </c>
      <c r="I66" s="100">
        <v>15475.199999999999</v>
      </c>
      <c r="J66" s="100">
        <v>14</v>
      </c>
      <c r="K66" s="100">
        <v>16665.599999999999</v>
      </c>
      <c r="L66" s="100">
        <v>11</v>
      </c>
      <c r="M66" s="100">
        <v>13094.399999999998</v>
      </c>
      <c r="N66" s="100">
        <v>9</v>
      </c>
      <c r="O66" s="100">
        <v>10713.599999999999</v>
      </c>
      <c r="P66" s="100">
        <v>9</v>
      </c>
      <c r="Q66" s="100">
        <v>10713.599999999999</v>
      </c>
      <c r="R66" s="100">
        <v>11</v>
      </c>
      <c r="S66" s="100">
        <v>13094.399999999998</v>
      </c>
      <c r="T66" s="100">
        <v>14</v>
      </c>
      <c r="U66" s="100">
        <v>16665.599999999999</v>
      </c>
      <c r="V66" s="100">
        <v>13</v>
      </c>
      <c r="W66" s="100">
        <v>15475.199999999999</v>
      </c>
      <c r="X66" s="100">
        <v>15</v>
      </c>
      <c r="Y66" s="100">
        <v>17855.999999999996</v>
      </c>
      <c r="Z66" s="100">
        <v>17</v>
      </c>
      <c r="AA66" s="100">
        <v>20236.8</v>
      </c>
      <c r="AB66" s="100">
        <v>13</v>
      </c>
      <c r="AC66" s="100">
        <v>15475.199999999999</v>
      </c>
      <c r="AD66" s="100">
        <v>12</v>
      </c>
      <c r="AE66" s="100">
        <v>14284.8</v>
      </c>
      <c r="AF66" s="100">
        <v>12</v>
      </c>
      <c r="AG66" s="100">
        <v>14284.8</v>
      </c>
      <c r="AH66" s="100">
        <v>8</v>
      </c>
      <c r="AI66" s="100">
        <v>9523.1999999999989</v>
      </c>
      <c r="AJ66" s="100">
        <v>11</v>
      </c>
      <c r="AK66" s="100">
        <v>13094.399999999998</v>
      </c>
      <c r="AL66" s="100">
        <v>14</v>
      </c>
      <c r="AM66" s="100">
        <v>16665.599999999999</v>
      </c>
      <c r="AN66" s="100">
        <v>16</v>
      </c>
      <c r="AO66" s="100">
        <v>19046.399999999998</v>
      </c>
      <c r="AP66" s="100">
        <v>13</v>
      </c>
      <c r="AQ66" s="100">
        <v>15475.199999999999</v>
      </c>
      <c r="AR66" s="100">
        <v>13</v>
      </c>
      <c r="AS66" s="100">
        <v>15475.199999999999</v>
      </c>
      <c r="AT66" s="100">
        <v>12.13823005438222</v>
      </c>
      <c r="AU66" s="100">
        <v>14449.349056736593</v>
      </c>
      <c r="AV66" s="100">
        <v>14.308228421476555</v>
      </c>
      <c r="AW66" s="100">
        <v>17032.515112925688</v>
      </c>
      <c r="AX66" s="100">
        <v>13.129206700617823</v>
      </c>
      <c r="AY66" s="100">
        <v>15629.007656415455</v>
      </c>
      <c r="AZ66" s="100">
        <v>9</v>
      </c>
      <c r="BA66" s="100">
        <v>10713.599999999999</v>
      </c>
      <c r="BB66" s="100">
        <v>10</v>
      </c>
      <c r="BC66" s="100">
        <v>11903.999999999998</v>
      </c>
      <c r="BD66" s="100">
        <v>12.34794238050697</v>
      </c>
      <c r="BE66" s="100">
        <v>14698.990609755496</v>
      </c>
      <c r="BF66" s="100">
        <v>16</v>
      </c>
      <c r="BG66" s="100">
        <v>19046.399999999998</v>
      </c>
      <c r="BH66" s="100">
        <v>10.527051799102736</v>
      </c>
      <c r="BI66" s="100">
        <v>12531.402461651896</v>
      </c>
      <c r="BJ66" s="100">
        <v>12.218510282077858</v>
      </c>
      <c r="BK66" s="100">
        <v>14544.91463978548</v>
      </c>
      <c r="BL66" s="100">
        <v>8.278599003131081</v>
      </c>
      <c r="BM66" s="100">
        <v>9854.8442533272373</v>
      </c>
      <c r="BN66" s="100">
        <v>14.665603229413525</v>
      </c>
      <c r="BO66" s="100">
        <v>17457.934084293858</v>
      </c>
      <c r="BP66" s="100">
        <v>12.180598237762901</v>
      </c>
      <c r="BQ66" s="100">
        <v>14499.784142232955</v>
      </c>
      <c r="BR66" s="100">
        <v>14.339440837825613</v>
      </c>
      <c r="BS66" s="100">
        <v>17069.670373347606</v>
      </c>
      <c r="BT66" s="100">
        <v>11.827830496879526</v>
      </c>
      <c r="BU66" s="100">
        <v>14079.849423485386</v>
      </c>
      <c r="BV66" s="100">
        <v>10.675769084845808</v>
      </c>
      <c r="BW66" s="100">
        <v>12708.435518600449</v>
      </c>
      <c r="BX66" s="100">
        <v>10.767801576956545</v>
      </c>
      <c r="BY66" s="100">
        <v>12817.99099720907</v>
      </c>
      <c r="BZ66" s="100">
        <v>6.4790874445960753</v>
      </c>
      <c r="CA66" s="100">
        <v>7712.7056940471675</v>
      </c>
      <c r="CB66" s="100">
        <v>10.906109318383754</v>
      </c>
      <c r="CC66" s="100">
        <v>12982.632532604019</v>
      </c>
      <c r="CD66" s="100">
        <v>13.882239133971998</v>
      </c>
      <c r="CE66" s="100">
        <v>16525.417465080263</v>
      </c>
      <c r="CF66" s="100">
        <v>12.49292126950041</v>
      </c>
      <c r="CG66" s="100">
        <v>14871.573479213286</v>
      </c>
      <c r="CH66" s="100">
        <v>12.356599447385832</v>
      </c>
      <c r="CI66" s="100">
        <v>14709.295982168092</v>
      </c>
      <c r="CJ66" s="100">
        <v>12.228608224459741</v>
      </c>
      <c r="CK66" s="100">
        <v>14556.935230396874</v>
      </c>
      <c r="CL66" s="100">
        <v>10</v>
      </c>
      <c r="CM66" s="100">
        <v>11903.999999999998</v>
      </c>
      <c r="CN66" s="100">
        <v>0.80994081640752669</v>
      </c>
      <c r="CO66" s="100">
        <v>964.15354785151965</v>
      </c>
      <c r="CP66" s="100">
        <v>0.1539799087125962</v>
      </c>
      <c r="CQ66" s="100">
        <v>183.2976833314745</v>
      </c>
      <c r="CR66" s="100">
        <v>0.18063284351791778</v>
      </c>
      <c r="CS66" s="100">
        <v>215.0253369237293</v>
      </c>
      <c r="CT66" s="100">
        <v>0.15240070778043008</v>
      </c>
      <c r="CU66" s="100">
        <v>181.41780254182393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13</v>
      </c>
      <c r="G67" s="100">
        <v>14601.6</v>
      </c>
      <c r="H67" s="100">
        <v>14</v>
      </c>
      <c r="I67" s="100">
        <v>15724.800000000001</v>
      </c>
      <c r="J67" s="100">
        <v>14</v>
      </c>
      <c r="K67" s="100">
        <v>15724.800000000001</v>
      </c>
      <c r="L67" s="100">
        <v>11</v>
      </c>
      <c r="M67" s="100">
        <v>12355.2</v>
      </c>
      <c r="N67" s="100">
        <v>9</v>
      </c>
      <c r="O67" s="100">
        <v>10108.800000000001</v>
      </c>
      <c r="P67" s="100">
        <v>9</v>
      </c>
      <c r="Q67" s="100">
        <v>10108.800000000001</v>
      </c>
      <c r="R67" s="100">
        <v>11</v>
      </c>
      <c r="S67" s="100">
        <v>12355.2</v>
      </c>
      <c r="T67" s="100">
        <v>16</v>
      </c>
      <c r="U67" s="100">
        <v>17971.2</v>
      </c>
      <c r="V67" s="100">
        <v>13</v>
      </c>
      <c r="W67" s="100">
        <v>14601.6</v>
      </c>
      <c r="X67" s="100">
        <v>15</v>
      </c>
      <c r="Y67" s="100">
        <v>16848</v>
      </c>
      <c r="Z67" s="100">
        <v>17</v>
      </c>
      <c r="AA67" s="100">
        <v>19094.400000000001</v>
      </c>
      <c r="AB67" s="100">
        <v>12</v>
      </c>
      <c r="AC67" s="100">
        <v>13478.400000000001</v>
      </c>
      <c r="AD67" s="100">
        <v>12</v>
      </c>
      <c r="AE67" s="100">
        <v>13478.400000000001</v>
      </c>
      <c r="AF67" s="100">
        <v>11</v>
      </c>
      <c r="AG67" s="100">
        <v>12355.2</v>
      </c>
      <c r="AH67" s="100">
        <v>8</v>
      </c>
      <c r="AI67" s="100">
        <v>8985.6</v>
      </c>
      <c r="AJ67" s="100">
        <v>12</v>
      </c>
      <c r="AK67" s="100">
        <v>13478.400000000001</v>
      </c>
      <c r="AL67" s="100">
        <v>12</v>
      </c>
      <c r="AM67" s="100">
        <v>13478.400000000001</v>
      </c>
      <c r="AN67" s="100">
        <v>16</v>
      </c>
      <c r="AO67" s="100">
        <v>17971.2</v>
      </c>
      <c r="AP67" s="100">
        <v>14</v>
      </c>
      <c r="AQ67" s="100">
        <v>15724.800000000001</v>
      </c>
      <c r="AR67" s="100">
        <v>12</v>
      </c>
      <c r="AS67" s="100">
        <v>13478.400000000001</v>
      </c>
      <c r="AT67" s="100">
        <v>12.13823005438222</v>
      </c>
      <c r="AU67" s="100">
        <v>13633.65999708211</v>
      </c>
      <c r="AV67" s="100">
        <v>15.262110316241658</v>
      </c>
      <c r="AW67" s="100">
        <v>17142.402307202632</v>
      </c>
      <c r="AX67" s="100">
        <v>14.067007179233382</v>
      </c>
      <c r="AY67" s="100">
        <v>15800.062463714936</v>
      </c>
      <c r="AZ67" s="100">
        <v>9</v>
      </c>
      <c r="BA67" s="100">
        <v>10108.800000000001</v>
      </c>
      <c r="BB67" s="100">
        <v>9</v>
      </c>
      <c r="BC67" s="100">
        <v>10108.800000000001</v>
      </c>
      <c r="BD67" s="100">
        <v>10.448258937352051</v>
      </c>
      <c r="BE67" s="100">
        <v>11735.484438433825</v>
      </c>
      <c r="BF67" s="100">
        <v>15</v>
      </c>
      <c r="BG67" s="100">
        <v>16848</v>
      </c>
      <c r="BH67" s="100">
        <v>9.5700470900933947</v>
      </c>
      <c r="BI67" s="100">
        <v>10749.076891592902</v>
      </c>
      <c r="BJ67" s="100">
        <v>11.345759547643727</v>
      </c>
      <c r="BK67" s="100">
        <v>12743.557123913435</v>
      </c>
      <c r="BL67" s="100">
        <v>7.3587546694498505</v>
      </c>
      <c r="BM67" s="100">
        <v>8265.3532447260732</v>
      </c>
      <c r="BN67" s="100">
        <v>14.665603229413525</v>
      </c>
      <c r="BO67" s="100">
        <v>16472.405547277271</v>
      </c>
      <c r="BP67" s="100">
        <v>12.180598237762901</v>
      </c>
      <c r="BQ67" s="100">
        <v>13681.24794065529</v>
      </c>
      <c r="BR67" s="100">
        <v>14.339440837825613</v>
      </c>
      <c r="BS67" s="100">
        <v>16106.05994904573</v>
      </c>
      <c r="BT67" s="100">
        <v>13.517520567862315</v>
      </c>
      <c r="BU67" s="100">
        <v>15182.879101822953</v>
      </c>
      <c r="BV67" s="100">
        <v>9.705244622587097</v>
      </c>
      <c r="BW67" s="100">
        <v>10900.930760089828</v>
      </c>
      <c r="BX67" s="100">
        <v>9.9395091479598889</v>
      </c>
      <c r="BY67" s="100">
        <v>11164.056674988547</v>
      </c>
      <c r="BZ67" s="100">
        <v>8.0988593057450942</v>
      </c>
      <c r="CA67" s="100">
        <v>9096.6387722128893</v>
      </c>
      <c r="CB67" s="100">
        <v>11.897573801873188</v>
      </c>
      <c r="CC67" s="100">
        <v>13363.354894263965</v>
      </c>
      <c r="CD67" s="100">
        <v>12.956756525040532</v>
      </c>
      <c r="CE67" s="100">
        <v>14553.028928925527</v>
      </c>
      <c r="CF67" s="100">
        <v>13.325782687467106</v>
      </c>
      <c r="CG67" s="100">
        <v>14967.519114563054</v>
      </c>
      <c r="CH67" s="100">
        <v>13.180372743878221</v>
      </c>
      <c r="CI67" s="100">
        <v>14804.194665924018</v>
      </c>
      <c r="CJ67" s="100">
        <v>11.355136208426902</v>
      </c>
      <c r="CK67" s="100">
        <v>12754.088989305097</v>
      </c>
      <c r="CL67" s="100">
        <v>11</v>
      </c>
      <c r="CM67" s="100">
        <v>12355.2</v>
      </c>
      <c r="CN67" s="100">
        <v>0.92564664732288771</v>
      </c>
      <c r="CO67" s="100">
        <v>1039.6863142730674</v>
      </c>
      <c r="CP67" s="100">
        <v>0.1539799087125962</v>
      </c>
      <c r="CQ67" s="100">
        <v>172.95023346598805</v>
      </c>
      <c r="CR67" s="100">
        <v>0.162569559166126</v>
      </c>
      <c r="CS67" s="100">
        <v>182.59812885539273</v>
      </c>
      <c r="CT67" s="100">
        <v>0.15240070778043008</v>
      </c>
      <c r="CU67" s="100">
        <v>171.17647497897906</v>
      </c>
    </row>
    <row r="68" spans="2:99">
      <c r="C68" s="99" t="s">
        <v>234</v>
      </c>
      <c r="D68" s="100">
        <v>10</v>
      </c>
      <c r="E68" s="100">
        <v>10332</v>
      </c>
      <c r="F68" s="100">
        <v>16</v>
      </c>
      <c r="G68" s="100">
        <v>16531.2</v>
      </c>
      <c r="H68" s="100">
        <v>17</v>
      </c>
      <c r="I68" s="100">
        <v>17564.400000000001</v>
      </c>
      <c r="J68" s="100">
        <v>15</v>
      </c>
      <c r="K68" s="100">
        <v>15498</v>
      </c>
      <c r="L68" s="100">
        <v>11</v>
      </c>
      <c r="M68" s="100">
        <v>11365.2</v>
      </c>
      <c r="N68" s="100">
        <v>10</v>
      </c>
      <c r="O68" s="100">
        <v>10332</v>
      </c>
      <c r="P68" s="100">
        <v>9</v>
      </c>
      <c r="Q68" s="100">
        <v>9298.8000000000011</v>
      </c>
      <c r="R68" s="100">
        <v>11</v>
      </c>
      <c r="S68" s="100">
        <v>11365.2</v>
      </c>
      <c r="T68" s="100">
        <v>17</v>
      </c>
      <c r="U68" s="100">
        <v>17564.400000000001</v>
      </c>
      <c r="V68" s="100">
        <v>12</v>
      </c>
      <c r="W68" s="100">
        <v>12398.400000000001</v>
      </c>
      <c r="X68" s="100">
        <v>16</v>
      </c>
      <c r="Y68" s="100">
        <v>16531.2</v>
      </c>
      <c r="Z68" s="100">
        <v>18</v>
      </c>
      <c r="AA68" s="100">
        <v>18597.600000000002</v>
      </c>
      <c r="AB68" s="100">
        <v>13</v>
      </c>
      <c r="AC68" s="100">
        <v>13431.6</v>
      </c>
      <c r="AD68" s="100">
        <v>13</v>
      </c>
      <c r="AE68" s="100">
        <v>13431.6</v>
      </c>
      <c r="AF68" s="100">
        <v>12</v>
      </c>
      <c r="AG68" s="100">
        <v>12398.400000000001</v>
      </c>
      <c r="AH68" s="100">
        <v>8</v>
      </c>
      <c r="AI68" s="100">
        <v>8265.6</v>
      </c>
      <c r="AJ68" s="100">
        <v>11</v>
      </c>
      <c r="AK68" s="100">
        <v>11365.2</v>
      </c>
      <c r="AL68" s="100">
        <v>13</v>
      </c>
      <c r="AM68" s="100">
        <v>13431.6</v>
      </c>
      <c r="AN68" s="100">
        <v>15</v>
      </c>
      <c r="AO68" s="100">
        <v>15498</v>
      </c>
      <c r="AP68" s="100">
        <v>13</v>
      </c>
      <c r="AQ68" s="100">
        <v>13431.6</v>
      </c>
      <c r="AR68" s="100">
        <v>13</v>
      </c>
      <c r="AS68" s="100">
        <v>13431.6</v>
      </c>
      <c r="AT68" s="100">
        <v>11.271213621926346</v>
      </c>
      <c r="AU68" s="100">
        <v>11645.417914174301</v>
      </c>
      <c r="AV68" s="100">
        <v>16.21599221100676</v>
      </c>
      <c r="AW68" s="100">
        <v>16754.363152412185</v>
      </c>
      <c r="AX68" s="100">
        <v>13.129206700617823</v>
      </c>
      <c r="AY68" s="100">
        <v>13565.096363078335</v>
      </c>
      <c r="AZ68" s="100">
        <v>9</v>
      </c>
      <c r="BA68" s="100">
        <v>9298.8000000000011</v>
      </c>
      <c r="BB68" s="100">
        <v>9</v>
      </c>
      <c r="BC68" s="100">
        <v>9298.8000000000011</v>
      </c>
      <c r="BD68" s="100">
        <v>10.448258937352051</v>
      </c>
      <c r="BE68" s="100">
        <v>10795.141134072139</v>
      </c>
      <c r="BF68" s="100">
        <v>18</v>
      </c>
      <c r="BG68" s="100">
        <v>18597.600000000002</v>
      </c>
      <c r="BH68" s="100">
        <v>10.527051799102736</v>
      </c>
      <c r="BI68" s="100">
        <v>10876.549918832947</v>
      </c>
      <c r="BJ68" s="100">
        <v>12.218510282077858</v>
      </c>
      <c r="BK68" s="100">
        <v>12624.164823442843</v>
      </c>
      <c r="BL68" s="100">
        <v>8.278599003131081</v>
      </c>
      <c r="BM68" s="100">
        <v>8553.4484900350326</v>
      </c>
      <c r="BN68" s="100">
        <v>15.643310111374429</v>
      </c>
      <c r="BO68" s="100">
        <v>16162.668007072061</v>
      </c>
      <c r="BP68" s="100">
        <v>12.180598237762901</v>
      </c>
      <c r="BQ68" s="100">
        <v>12584.99409925663</v>
      </c>
      <c r="BR68" s="100">
        <v>13.495944317953517</v>
      </c>
      <c r="BS68" s="100">
        <v>13944.009669309575</v>
      </c>
      <c r="BT68" s="100">
        <v>13.517520567862315</v>
      </c>
      <c r="BU68" s="100">
        <v>13966.302250715344</v>
      </c>
      <c r="BV68" s="100">
        <v>11.646293547104516</v>
      </c>
      <c r="BW68" s="100">
        <v>12032.950492868387</v>
      </c>
      <c r="BX68" s="100">
        <v>11.596094005953203</v>
      </c>
      <c r="BY68" s="100">
        <v>11981.08432695085</v>
      </c>
      <c r="BZ68" s="100">
        <v>8.0988593057450942</v>
      </c>
      <c r="CA68" s="100">
        <v>8367.7414346958321</v>
      </c>
      <c r="CB68" s="100">
        <v>11.897573801873188</v>
      </c>
      <c r="CC68" s="100">
        <v>12292.573252095379</v>
      </c>
      <c r="CD68" s="100">
        <v>12.956756525040532</v>
      </c>
      <c r="CE68" s="100">
        <v>13386.920841671879</v>
      </c>
      <c r="CF68" s="100">
        <v>12.49292126950041</v>
      </c>
      <c r="CG68" s="100">
        <v>12907.686255647825</v>
      </c>
      <c r="CH68" s="100">
        <v>14.004146040370609</v>
      </c>
      <c r="CI68" s="100">
        <v>14469.083688910914</v>
      </c>
      <c r="CJ68" s="100">
        <v>12.228608224459741</v>
      </c>
      <c r="CK68" s="100">
        <v>12634.598017511806</v>
      </c>
      <c r="CL68" s="100">
        <v>11</v>
      </c>
      <c r="CM68" s="100">
        <v>11365.2</v>
      </c>
      <c r="CN68" s="100">
        <v>0.80994081640752669</v>
      </c>
      <c r="CO68" s="100">
        <v>836.83085151225657</v>
      </c>
      <c r="CP68" s="100">
        <v>0.17322739730167075</v>
      </c>
      <c r="CQ68" s="100">
        <v>178.97854689208623</v>
      </c>
      <c r="CR68" s="100">
        <v>0.162569559166126</v>
      </c>
      <c r="CS68" s="100">
        <v>167.96686853044139</v>
      </c>
      <c r="CT68" s="100">
        <v>0.15240070778043008</v>
      </c>
      <c r="CU68" s="100">
        <v>157.46041127874037</v>
      </c>
    </row>
    <row r="69" spans="2:99">
      <c r="C69" s="99" t="s">
        <v>235</v>
      </c>
      <c r="D69" s="100">
        <v>10</v>
      </c>
      <c r="E69" s="100">
        <v>7584</v>
      </c>
      <c r="F69" s="100">
        <v>14</v>
      </c>
      <c r="G69" s="100">
        <v>10617.6</v>
      </c>
      <c r="H69" s="100">
        <v>17</v>
      </c>
      <c r="I69" s="100">
        <v>12892.8</v>
      </c>
      <c r="J69" s="100">
        <v>14</v>
      </c>
      <c r="K69" s="100">
        <v>10617.6</v>
      </c>
      <c r="L69" s="100">
        <v>11</v>
      </c>
      <c r="M69" s="100">
        <v>8342.4</v>
      </c>
      <c r="N69" s="100">
        <v>10</v>
      </c>
      <c r="O69" s="100">
        <v>7584</v>
      </c>
      <c r="P69" s="100">
        <v>9</v>
      </c>
      <c r="Q69" s="100">
        <v>6825.5999999999995</v>
      </c>
      <c r="R69" s="100">
        <v>10</v>
      </c>
      <c r="S69" s="100">
        <v>7584</v>
      </c>
      <c r="T69" s="100">
        <v>17</v>
      </c>
      <c r="U69" s="100">
        <v>12892.8</v>
      </c>
      <c r="V69" s="100">
        <v>13</v>
      </c>
      <c r="W69" s="100">
        <v>9859.1999999999989</v>
      </c>
      <c r="X69" s="100">
        <v>15</v>
      </c>
      <c r="Y69" s="100">
        <v>11376</v>
      </c>
      <c r="Z69" s="100">
        <v>16</v>
      </c>
      <c r="AA69" s="100">
        <v>12134.4</v>
      </c>
      <c r="AB69" s="100">
        <v>15</v>
      </c>
      <c r="AC69" s="100">
        <v>11376</v>
      </c>
      <c r="AD69" s="100">
        <v>13</v>
      </c>
      <c r="AE69" s="100">
        <v>9859.1999999999989</v>
      </c>
      <c r="AF69" s="100">
        <v>11</v>
      </c>
      <c r="AG69" s="100">
        <v>8342.4</v>
      </c>
      <c r="AH69" s="100">
        <v>9</v>
      </c>
      <c r="AI69" s="100">
        <v>6825.5999999999995</v>
      </c>
      <c r="AJ69" s="100">
        <v>12</v>
      </c>
      <c r="AK69" s="100">
        <v>9100.7999999999993</v>
      </c>
      <c r="AL69" s="100">
        <v>14</v>
      </c>
      <c r="AM69" s="100">
        <v>10617.6</v>
      </c>
      <c r="AN69" s="100">
        <v>16</v>
      </c>
      <c r="AO69" s="100">
        <v>12134.4</v>
      </c>
      <c r="AP69" s="100">
        <v>15</v>
      </c>
      <c r="AQ69" s="100">
        <v>11376</v>
      </c>
      <c r="AR69" s="100">
        <v>13</v>
      </c>
      <c r="AS69" s="100">
        <v>9859.1999999999989</v>
      </c>
      <c r="AT69" s="100">
        <v>12.13823005438222</v>
      </c>
      <c r="AU69" s="100">
        <v>9205.6336732434756</v>
      </c>
      <c r="AV69" s="100">
        <v>16.21599221100676</v>
      </c>
      <c r="AW69" s="100">
        <v>12298.208492827527</v>
      </c>
      <c r="AX69" s="100">
        <v>14.067007179233382</v>
      </c>
      <c r="AY69" s="100">
        <v>10668.418244730598</v>
      </c>
      <c r="AZ69" s="100">
        <v>8</v>
      </c>
      <c r="BA69" s="100">
        <v>6067.2</v>
      </c>
      <c r="BB69" s="100">
        <v>10</v>
      </c>
      <c r="BC69" s="100">
        <v>7584</v>
      </c>
      <c r="BD69" s="100">
        <v>12.34794238050697</v>
      </c>
      <c r="BE69" s="100">
        <v>9364.6795013764859</v>
      </c>
      <c r="BF69" s="100">
        <v>15</v>
      </c>
      <c r="BG69" s="100">
        <v>11376</v>
      </c>
      <c r="BH69" s="100">
        <v>10.527051799102736</v>
      </c>
      <c r="BI69" s="100">
        <v>7983.7160844395148</v>
      </c>
      <c r="BJ69" s="100">
        <v>14.836762485380257</v>
      </c>
      <c r="BK69" s="100">
        <v>11252.200668912386</v>
      </c>
      <c r="BL69" s="100">
        <v>7.3587546694498505</v>
      </c>
      <c r="BM69" s="100">
        <v>5580.8795413107664</v>
      </c>
      <c r="BN69" s="100">
        <v>16.621016993335331</v>
      </c>
      <c r="BO69" s="100">
        <v>12605.379287745514</v>
      </c>
      <c r="BP69" s="100">
        <v>13.117567332975433</v>
      </c>
      <c r="BQ69" s="100">
        <v>9948.3630653285691</v>
      </c>
      <c r="BR69" s="100">
        <v>13.495944317953517</v>
      </c>
      <c r="BS69" s="100">
        <v>10235.324170735947</v>
      </c>
      <c r="BT69" s="100">
        <v>11.827830496879526</v>
      </c>
      <c r="BU69" s="100">
        <v>8970.2266488334335</v>
      </c>
      <c r="BV69" s="100">
        <v>10.675769084845808</v>
      </c>
      <c r="BW69" s="100">
        <v>8096.5032739470598</v>
      </c>
      <c r="BX69" s="100">
        <v>11.596094005953203</v>
      </c>
      <c r="BY69" s="100">
        <v>8794.4776941149084</v>
      </c>
      <c r="BZ69" s="100">
        <v>7.2889733751705847</v>
      </c>
      <c r="CA69" s="100">
        <v>5527.957407729371</v>
      </c>
      <c r="CB69" s="100">
        <v>10.906109318383754</v>
      </c>
      <c r="CC69" s="100">
        <v>8271.1933070622381</v>
      </c>
      <c r="CD69" s="100">
        <v>14.807721742903466</v>
      </c>
      <c r="CE69" s="100">
        <v>11230.176169817989</v>
      </c>
      <c r="CF69" s="100">
        <v>14.158644105433799</v>
      </c>
      <c r="CG69" s="100">
        <v>10737.915689560992</v>
      </c>
      <c r="CH69" s="100">
        <v>14.004146040370609</v>
      </c>
      <c r="CI69" s="100">
        <v>10620.744357017069</v>
      </c>
      <c r="CJ69" s="100">
        <v>12.228608224459741</v>
      </c>
      <c r="CK69" s="100">
        <v>9274.1764774302665</v>
      </c>
      <c r="CL69" s="100">
        <v>10</v>
      </c>
      <c r="CM69" s="100">
        <v>7584</v>
      </c>
      <c r="CN69" s="100">
        <v>0.86779373186520714</v>
      </c>
      <c r="CO69" s="100">
        <v>658.13476624657312</v>
      </c>
      <c r="CP69" s="100">
        <v>0.17322739730167075</v>
      </c>
      <c r="CQ69" s="100">
        <v>131.37565811358709</v>
      </c>
      <c r="CR69" s="100">
        <v>0.19869612786970955</v>
      </c>
      <c r="CS69" s="100">
        <v>150.69114337638771</v>
      </c>
      <c r="CT69" s="100">
        <v>0.15240070778043008</v>
      </c>
      <c r="CU69" s="100">
        <v>115.58069678067817</v>
      </c>
    </row>
    <row r="70" spans="2:99">
      <c r="C70" s="99" t="s">
        <v>236</v>
      </c>
      <c r="D70" s="100">
        <v>11</v>
      </c>
      <c r="E70" s="100">
        <v>5887.1999999999989</v>
      </c>
      <c r="F70" s="100">
        <v>15</v>
      </c>
      <c r="G70" s="100">
        <v>8027.9999999999991</v>
      </c>
      <c r="H70" s="100">
        <v>16</v>
      </c>
      <c r="I70" s="100">
        <v>8563.1999999999989</v>
      </c>
      <c r="J70" s="100">
        <v>15</v>
      </c>
      <c r="K70" s="100">
        <v>8027.9999999999991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10</v>
      </c>
      <c r="S70" s="100">
        <v>5351.9999999999991</v>
      </c>
      <c r="T70" s="100">
        <v>15</v>
      </c>
      <c r="U70" s="100">
        <v>8027.9999999999991</v>
      </c>
      <c r="V70" s="100">
        <v>14</v>
      </c>
      <c r="W70" s="100">
        <v>7492.7999999999993</v>
      </c>
      <c r="X70" s="100">
        <v>16</v>
      </c>
      <c r="Y70" s="100">
        <v>8563.1999999999989</v>
      </c>
      <c r="Z70" s="100">
        <v>18</v>
      </c>
      <c r="AA70" s="100">
        <v>9633.5999999999985</v>
      </c>
      <c r="AB70" s="100">
        <v>14</v>
      </c>
      <c r="AC70" s="100">
        <v>7492.7999999999993</v>
      </c>
      <c r="AD70" s="100">
        <v>14</v>
      </c>
      <c r="AE70" s="100">
        <v>7492.7999999999993</v>
      </c>
      <c r="AF70" s="100">
        <v>12</v>
      </c>
      <c r="AG70" s="100">
        <v>6422.4</v>
      </c>
      <c r="AH70" s="100">
        <v>10</v>
      </c>
      <c r="AI70" s="100">
        <v>5351.9999999999991</v>
      </c>
      <c r="AJ70" s="100">
        <v>12</v>
      </c>
      <c r="AK70" s="100">
        <v>6422.4</v>
      </c>
      <c r="AL70" s="100">
        <v>12</v>
      </c>
      <c r="AM70" s="100">
        <v>6422.4</v>
      </c>
      <c r="AN70" s="100">
        <v>17</v>
      </c>
      <c r="AO70" s="100">
        <v>9098.4</v>
      </c>
      <c r="AP70" s="100">
        <v>15</v>
      </c>
      <c r="AQ70" s="100">
        <v>8027.9999999999991</v>
      </c>
      <c r="AR70" s="100">
        <v>13</v>
      </c>
      <c r="AS70" s="100">
        <v>6957.5999999999995</v>
      </c>
      <c r="AT70" s="100">
        <v>13.005246486838093</v>
      </c>
      <c r="AU70" s="100">
        <v>6960.4079197557467</v>
      </c>
      <c r="AV70" s="100">
        <v>16.21599221100676</v>
      </c>
      <c r="AW70" s="100">
        <v>8678.7990313308164</v>
      </c>
      <c r="AX70" s="100">
        <v>12.191406222002264</v>
      </c>
      <c r="AY70" s="100">
        <v>6524.8406100156108</v>
      </c>
      <c r="AZ70" s="100">
        <v>9</v>
      </c>
      <c r="BA70" s="100">
        <v>4816.7999999999993</v>
      </c>
      <c r="BB70" s="100">
        <v>11</v>
      </c>
      <c r="BC70" s="100">
        <v>5887.1999999999989</v>
      </c>
      <c r="BD70" s="100">
        <v>11.398100658929511</v>
      </c>
      <c r="BE70" s="100">
        <v>6100.2634726590741</v>
      </c>
      <c r="BF70" s="100">
        <v>16</v>
      </c>
      <c r="BG70" s="100">
        <v>8563.1999999999989</v>
      </c>
      <c r="BH70" s="100">
        <v>9.5700470900933947</v>
      </c>
      <c r="BI70" s="100">
        <v>5121.8892026179838</v>
      </c>
      <c r="BJ70" s="100">
        <v>14.836762485380257</v>
      </c>
      <c r="BK70" s="100">
        <v>7940.6352821755127</v>
      </c>
      <c r="BL70" s="100">
        <v>8.278599003131081</v>
      </c>
      <c r="BM70" s="100">
        <v>4430.7061864757543</v>
      </c>
      <c r="BN70" s="100">
        <v>15.643310111374429</v>
      </c>
      <c r="BO70" s="100">
        <v>8372.299571607593</v>
      </c>
      <c r="BP70" s="100">
        <v>13.117567332975433</v>
      </c>
      <c r="BQ70" s="100">
        <v>7020.5220366084513</v>
      </c>
      <c r="BR70" s="100">
        <v>15.182937357697705</v>
      </c>
      <c r="BS70" s="100">
        <v>8125.9080738398106</v>
      </c>
      <c r="BT70" s="100">
        <v>13.517520567862315</v>
      </c>
      <c r="BU70" s="100">
        <v>7234.5770079199101</v>
      </c>
      <c r="BV70" s="100">
        <v>10.675769084845808</v>
      </c>
      <c r="BW70" s="100">
        <v>5713.6716142094756</v>
      </c>
      <c r="BX70" s="100">
        <v>10.767801576956545</v>
      </c>
      <c r="BY70" s="100">
        <v>5762.9274039871425</v>
      </c>
      <c r="BZ70" s="100">
        <v>8.0988593057450942</v>
      </c>
      <c r="CA70" s="100">
        <v>4334.5095004347741</v>
      </c>
      <c r="CB70" s="100">
        <v>12.88903828536262</v>
      </c>
      <c r="CC70" s="100">
        <v>6898.2132903260735</v>
      </c>
      <c r="CD70" s="100">
        <v>13.882239133971998</v>
      </c>
      <c r="CE70" s="100">
        <v>7429.7743845018122</v>
      </c>
      <c r="CF70" s="100">
        <v>12.49292126950041</v>
      </c>
      <c r="CG70" s="100">
        <v>6686.2114634366189</v>
      </c>
      <c r="CH70" s="100">
        <v>15.651692633355387</v>
      </c>
      <c r="CI70" s="100">
        <v>8376.7858973718012</v>
      </c>
      <c r="CJ70" s="100">
        <v>12.228608224459741</v>
      </c>
      <c r="CK70" s="100">
        <v>6544.7511217308529</v>
      </c>
      <c r="CL70" s="100">
        <v>11</v>
      </c>
      <c r="CM70" s="100">
        <v>5887.1999999999989</v>
      </c>
      <c r="CN70" s="100">
        <v>0.98349956278056805</v>
      </c>
      <c r="CO70" s="100">
        <v>526.36896600015996</v>
      </c>
      <c r="CP70" s="100">
        <v>0.1539799087125962</v>
      </c>
      <c r="CQ70" s="100">
        <v>82.410047142981483</v>
      </c>
      <c r="CR70" s="100">
        <v>0.162569559166126</v>
      </c>
      <c r="CS70" s="100">
        <v>87.007228065710621</v>
      </c>
      <c r="CT70" s="100">
        <v>0.15240070778043008</v>
      </c>
      <c r="CU70" s="100">
        <v>81.564858804086171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8</v>
      </c>
      <c r="G71" s="100">
        <v>4512</v>
      </c>
      <c r="H71" s="100">
        <v>8</v>
      </c>
      <c r="I71" s="100">
        <v>4512</v>
      </c>
      <c r="J71" s="100">
        <v>7</v>
      </c>
      <c r="K71" s="100">
        <v>3948</v>
      </c>
      <c r="L71" s="100">
        <v>8</v>
      </c>
      <c r="M71" s="100">
        <v>4512</v>
      </c>
      <c r="N71" s="100">
        <v>10</v>
      </c>
      <c r="O71" s="100">
        <v>5640</v>
      </c>
      <c r="P71" s="100">
        <v>10</v>
      </c>
      <c r="Q71" s="100">
        <v>5640</v>
      </c>
      <c r="R71" s="100">
        <v>7</v>
      </c>
      <c r="S71" s="100">
        <v>3948</v>
      </c>
      <c r="T71" s="100">
        <v>8</v>
      </c>
      <c r="U71" s="100">
        <v>4512</v>
      </c>
      <c r="V71" s="100">
        <v>8</v>
      </c>
      <c r="W71" s="100">
        <v>4512</v>
      </c>
      <c r="X71" s="100">
        <v>10</v>
      </c>
      <c r="Y71" s="100">
        <v>5640</v>
      </c>
      <c r="Z71" s="100">
        <v>7</v>
      </c>
      <c r="AA71" s="100">
        <v>3948</v>
      </c>
      <c r="AB71" s="100">
        <v>8</v>
      </c>
      <c r="AC71" s="100">
        <v>4512</v>
      </c>
      <c r="AD71" s="100">
        <v>5</v>
      </c>
      <c r="AE71" s="100">
        <v>2820</v>
      </c>
      <c r="AF71" s="100">
        <v>7</v>
      </c>
      <c r="AG71" s="100">
        <v>3948</v>
      </c>
      <c r="AH71" s="100">
        <v>6</v>
      </c>
      <c r="AI71" s="100">
        <v>3384</v>
      </c>
      <c r="AJ71" s="100">
        <v>5</v>
      </c>
      <c r="AK71" s="100">
        <v>2820</v>
      </c>
      <c r="AL71" s="100">
        <v>10</v>
      </c>
      <c r="AM71" s="100">
        <v>5640</v>
      </c>
      <c r="AN71" s="100">
        <v>6</v>
      </c>
      <c r="AO71" s="100">
        <v>3384</v>
      </c>
      <c r="AP71" s="100">
        <v>8</v>
      </c>
      <c r="AQ71" s="100">
        <v>4512</v>
      </c>
      <c r="AR71" s="100">
        <v>8</v>
      </c>
      <c r="AS71" s="100">
        <v>4512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7</v>
      </c>
      <c r="AY71" s="100">
        <v>3948</v>
      </c>
      <c r="AZ71" s="100">
        <v>8</v>
      </c>
      <c r="BA71" s="100">
        <v>4512</v>
      </c>
      <c r="BB71" s="100">
        <v>7</v>
      </c>
      <c r="BC71" s="100">
        <v>3948</v>
      </c>
      <c r="BD71" s="100">
        <v>5</v>
      </c>
      <c r="BE71" s="100">
        <v>2820</v>
      </c>
      <c r="BF71" s="100">
        <v>9</v>
      </c>
      <c r="BG71" s="100">
        <v>5076</v>
      </c>
      <c r="BH71" s="100">
        <v>9</v>
      </c>
      <c r="BI71" s="100">
        <v>5076</v>
      </c>
      <c r="BJ71" s="100">
        <v>11</v>
      </c>
      <c r="BK71" s="100">
        <v>6204</v>
      </c>
      <c r="BL71" s="100">
        <v>6</v>
      </c>
      <c r="BM71" s="100">
        <v>3384</v>
      </c>
      <c r="BN71" s="100">
        <v>11</v>
      </c>
      <c r="BO71" s="100">
        <v>6204</v>
      </c>
      <c r="BP71" s="100">
        <v>9</v>
      </c>
      <c r="BQ71" s="100">
        <v>5076</v>
      </c>
      <c r="BR71" s="100">
        <v>11</v>
      </c>
      <c r="BS71" s="100">
        <v>6204</v>
      </c>
      <c r="BT71" s="100">
        <v>5</v>
      </c>
      <c r="BU71" s="100">
        <v>2820</v>
      </c>
      <c r="BV71" s="100">
        <v>10</v>
      </c>
      <c r="BW71" s="100">
        <v>5640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5</v>
      </c>
      <c r="CC71" s="100">
        <v>2820</v>
      </c>
      <c r="CD71" s="100">
        <v>9</v>
      </c>
      <c r="CE71" s="100">
        <v>5076</v>
      </c>
      <c r="CF71" s="100">
        <v>11</v>
      </c>
      <c r="CG71" s="100">
        <v>6204</v>
      </c>
      <c r="CH71" s="100">
        <v>10</v>
      </c>
      <c r="CI71" s="100">
        <v>5640</v>
      </c>
      <c r="CJ71" s="100">
        <v>9</v>
      </c>
      <c r="CK71" s="100">
        <v>5076</v>
      </c>
      <c r="CL71" s="100">
        <v>10</v>
      </c>
      <c r="CM71" s="100">
        <v>5640</v>
      </c>
      <c r="CN71" s="100">
        <v>9</v>
      </c>
      <c r="CO71" s="100">
        <v>5076</v>
      </c>
      <c r="CP71" s="100">
        <v>6</v>
      </c>
      <c r="CQ71" s="100">
        <v>3384</v>
      </c>
      <c r="CR71" s="100">
        <v>7</v>
      </c>
      <c r="CS71" s="100">
        <v>3948</v>
      </c>
      <c r="CT71" s="100">
        <v>10</v>
      </c>
      <c r="CU71" s="100">
        <v>5640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9</v>
      </c>
      <c r="G72" s="100">
        <v>669.59999999999991</v>
      </c>
      <c r="H72" s="100">
        <v>8</v>
      </c>
      <c r="I72" s="100">
        <v>595.19999999999993</v>
      </c>
      <c r="J72" s="100">
        <v>8</v>
      </c>
      <c r="K72" s="100">
        <v>595.19999999999993</v>
      </c>
      <c r="L72" s="100">
        <v>7</v>
      </c>
      <c r="M72" s="100">
        <v>520.79999999999995</v>
      </c>
      <c r="N72" s="100">
        <v>10</v>
      </c>
      <c r="O72" s="100">
        <v>743.99999999999989</v>
      </c>
      <c r="P72" s="100">
        <v>10</v>
      </c>
      <c r="Q72" s="100">
        <v>743.99999999999989</v>
      </c>
      <c r="R72" s="100">
        <v>7</v>
      </c>
      <c r="S72" s="100">
        <v>520.79999999999995</v>
      </c>
      <c r="T72" s="100">
        <v>9</v>
      </c>
      <c r="U72" s="100">
        <v>669.59999999999991</v>
      </c>
      <c r="V72" s="100">
        <v>8</v>
      </c>
      <c r="W72" s="100">
        <v>595.19999999999993</v>
      </c>
      <c r="X72" s="100">
        <v>9</v>
      </c>
      <c r="Y72" s="100">
        <v>669.59999999999991</v>
      </c>
      <c r="Z72" s="100">
        <v>8</v>
      </c>
      <c r="AA72" s="100">
        <v>595.19999999999993</v>
      </c>
      <c r="AB72" s="100">
        <v>9</v>
      </c>
      <c r="AC72" s="100">
        <v>669.59999999999991</v>
      </c>
      <c r="AD72" s="100">
        <v>6</v>
      </c>
      <c r="AE72" s="100">
        <v>446.4</v>
      </c>
      <c r="AF72" s="100">
        <v>8</v>
      </c>
      <c r="AG72" s="100">
        <v>595.19999999999993</v>
      </c>
      <c r="AH72" s="100">
        <v>7</v>
      </c>
      <c r="AI72" s="100">
        <v>520.79999999999995</v>
      </c>
      <c r="AJ72" s="100">
        <v>5</v>
      </c>
      <c r="AK72" s="100">
        <v>371.99999999999994</v>
      </c>
      <c r="AL72" s="100">
        <v>9</v>
      </c>
      <c r="AM72" s="100">
        <v>669.59999999999991</v>
      </c>
      <c r="AN72" s="100">
        <v>6</v>
      </c>
      <c r="AO72" s="100">
        <v>446.4</v>
      </c>
      <c r="AP72" s="100">
        <v>9</v>
      </c>
      <c r="AQ72" s="100">
        <v>669.59999999999991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9</v>
      </c>
      <c r="AY72" s="100">
        <v>669.59999999999991</v>
      </c>
      <c r="AZ72" s="100">
        <v>8</v>
      </c>
      <c r="BA72" s="100">
        <v>595.19999999999993</v>
      </c>
      <c r="BB72" s="100">
        <v>8</v>
      </c>
      <c r="BC72" s="100">
        <v>595.19999999999993</v>
      </c>
      <c r="BD72" s="100">
        <v>6</v>
      </c>
      <c r="BE72" s="100">
        <v>446.4</v>
      </c>
      <c r="BF72" s="100">
        <v>10</v>
      </c>
      <c r="BG72" s="100">
        <v>743.99999999999989</v>
      </c>
      <c r="BH72" s="100">
        <v>9</v>
      </c>
      <c r="BI72" s="100">
        <v>669.59999999999991</v>
      </c>
      <c r="BJ72" s="100">
        <v>10</v>
      </c>
      <c r="BK72" s="100">
        <v>743.99999999999989</v>
      </c>
      <c r="BL72" s="100">
        <v>6</v>
      </c>
      <c r="BM72" s="100">
        <v>446.4</v>
      </c>
      <c r="BN72" s="100">
        <v>11</v>
      </c>
      <c r="BO72" s="100">
        <v>818.39999999999986</v>
      </c>
      <c r="BP72" s="100">
        <v>9</v>
      </c>
      <c r="BQ72" s="100">
        <v>669.59999999999991</v>
      </c>
      <c r="BR72" s="100">
        <v>11</v>
      </c>
      <c r="BS72" s="100">
        <v>818.39999999999986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10</v>
      </c>
      <c r="CA72" s="100">
        <v>743.99999999999989</v>
      </c>
      <c r="CB72" s="100">
        <v>6</v>
      </c>
      <c r="CC72" s="100">
        <v>446.4</v>
      </c>
      <c r="CD72" s="100">
        <v>10</v>
      </c>
      <c r="CE72" s="100">
        <v>743.99999999999989</v>
      </c>
      <c r="CF72" s="100">
        <v>11</v>
      </c>
      <c r="CG72" s="100">
        <v>818.39999999999986</v>
      </c>
      <c r="CH72" s="100">
        <v>10</v>
      </c>
      <c r="CI72" s="100">
        <v>743.99999999999989</v>
      </c>
      <c r="CJ72" s="100">
        <v>9</v>
      </c>
      <c r="CK72" s="100">
        <v>669.59999999999991</v>
      </c>
      <c r="CL72" s="100">
        <v>11</v>
      </c>
      <c r="CM72" s="100">
        <v>818.39999999999986</v>
      </c>
      <c r="CN72" s="100">
        <v>9</v>
      </c>
      <c r="CO72" s="100">
        <v>669.59999999999991</v>
      </c>
      <c r="CP72" s="100">
        <v>6</v>
      </c>
      <c r="CQ72" s="100">
        <v>446.4</v>
      </c>
      <c r="CR72" s="100">
        <v>6</v>
      </c>
      <c r="CS72" s="100">
        <v>446.4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9</v>
      </c>
      <c r="G73" s="100">
        <v>5032.7999999999993</v>
      </c>
      <c r="H73" s="100">
        <v>8</v>
      </c>
      <c r="I73" s="100">
        <v>4473.5999999999995</v>
      </c>
      <c r="J73" s="100">
        <v>8</v>
      </c>
      <c r="K73" s="100">
        <v>4473.5999999999995</v>
      </c>
      <c r="L73" s="100">
        <v>6</v>
      </c>
      <c r="M73" s="100">
        <v>3355.2</v>
      </c>
      <c r="N73" s="100">
        <v>9</v>
      </c>
      <c r="O73" s="100">
        <v>5032.7999999999993</v>
      </c>
      <c r="P73" s="100">
        <v>10</v>
      </c>
      <c r="Q73" s="100">
        <v>5591.9999999999991</v>
      </c>
      <c r="R73" s="100">
        <v>7</v>
      </c>
      <c r="S73" s="100">
        <v>3914.3999999999996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10</v>
      </c>
      <c r="Y73" s="100">
        <v>5591.9999999999991</v>
      </c>
      <c r="Z73" s="100">
        <v>7</v>
      </c>
      <c r="AA73" s="100">
        <v>3914.3999999999996</v>
      </c>
      <c r="AB73" s="100">
        <v>8</v>
      </c>
      <c r="AC73" s="100">
        <v>4473.5999999999995</v>
      </c>
      <c r="AD73" s="100">
        <v>5</v>
      </c>
      <c r="AE73" s="100">
        <v>2795.9999999999995</v>
      </c>
      <c r="AF73" s="100">
        <v>8</v>
      </c>
      <c r="AG73" s="100">
        <v>4473.5999999999995</v>
      </c>
      <c r="AH73" s="100">
        <v>7</v>
      </c>
      <c r="AI73" s="100">
        <v>3914.3999999999996</v>
      </c>
      <c r="AJ73" s="100">
        <v>5</v>
      </c>
      <c r="AK73" s="100">
        <v>2795.9999999999995</v>
      </c>
      <c r="AL73" s="100">
        <v>9</v>
      </c>
      <c r="AM73" s="100">
        <v>5032.7999999999993</v>
      </c>
      <c r="AN73" s="100">
        <v>6</v>
      </c>
      <c r="AO73" s="100">
        <v>3355.2</v>
      </c>
      <c r="AP73" s="100">
        <v>9</v>
      </c>
      <c r="AQ73" s="100">
        <v>5032.7999999999993</v>
      </c>
      <c r="AR73" s="100">
        <v>8</v>
      </c>
      <c r="AS73" s="100">
        <v>4473.5999999999995</v>
      </c>
      <c r="AT73" s="100">
        <v>10</v>
      </c>
      <c r="AU73" s="100">
        <v>5591.9999999999991</v>
      </c>
      <c r="AV73" s="100">
        <v>8</v>
      </c>
      <c r="AW73" s="100">
        <v>4473.5999999999995</v>
      </c>
      <c r="AX73" s="100">
        <v>8</v>
      </c>
      <c r="AY73" s="100">
        <v>4473.5999999999995</v>
      </c>
      <c r="AZ73" s="100">
        <v>8</v>
      </c>
      <c r="BA73" s="100">
        <v>4473.5999999999995</v>
      </c>
      <c r="BB73" s="100">
        <v>7</v>
      </c>
      <c r="BC73" s="100">
        <v>3914.3999999999996</v>
      </c>
      <c r="BD73" s="100">
        <v>6</v>
      </c>
      <c r="BE73" s="100">
        <v>3355.2</v>
      </c>
      <c r="BF73" s="100">
        <v>9</v>
      </c>
      <c r="BG73" s="100">
        <v>5032.7999999999993</v>
      </c>
      <c r="BH73" s="100">
        <v>8</v>
      </c>
      <c r="BI73" s="100">
        <v>4473.5999999999995</v>
      </c>
      <c r="BJ73" s="100">
        <v>10</v>
      </c>
      <c r="BK73" s="100">
        <v>5591.9999999999991</v>
      </c>
      <c r="BL73" s="100">
        <v>6</v>
      </c>
      <c r="BM73" s="100">
        <v>3355.2</v>
      </c>
      <c r="BN73" s="100">
        <v>9</v>
      </c>
      <c r="BO73" s="100">
        <v>5032.7999999999993</v>
      </c>
      <c r="BP73" s="100">
        <v>10</v>
      </c>
      <c r="BQ73" s="100">
        <v>5591.9999999999991</v>
      </c>
      <c r="BR73" s="100">
        <v>9</v>
      </c>
      <c r="BS73" s="100">
        <v>5032.7999999999993</v>
      </c>
      <c r="BT73" s="100">
        <v>6</v>
      </c>
      <c r="BU73" s="100">
        <v>3355.2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9</v>
      </c>
      <c r="CA73" s="100">
        <v>5032.7999999999993</v>
      </c>
      <c r="CB73" s="100">
        <v>6</v>
      </c>
      <c r="CC73" s="100">
        <v>3355.2</v>
      </c>
      <c r="CD73" s="100">
        <v>10</v>
      </c>
      <c r="CE73" s="100">
        <v>5591.9999999999991</v>
      </c>
      <c r="CF73" s="100">
        <v>11</v>
      </c>
      <c r="CG73" s="100">
        <v>6151.1999999999989</v>
      </c>
      <c r="CH73" s="100">
        <v>10</v>
      </c>
      <c r="CI73" s="100">
        <v>5591.9999999999991</v>
      </c>
      <c r="CJ73" s="100">
        <v>9</v>
      </c>
      <c r="CK73" s="100">
        <v>5032.7999999999993</v>
      </c>
      <c r="CL73" s="100">
        <v>11</v>
      </c>
      <c r="CM73" s="100">
        <v>6151.1999999999989</v>
      </c>
      <c r="CN73" s="100">
        <v>9</v>
      </c>
      <c r="CO73" s="100">
        <v>5032.7999999999993</v>
      </c>
      <c r="CP73" s="100">
        <v>6</v>
      </c>
      <c r="CQ73" s="100">
        <v>3355.2</v>
      </c>
      <c r="CR73" s="100">
        <v>6</v>
      </c>
      <c r="CS73" s="100">
        <v>3355.2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5</v>
      </c>
      <c r="E74" s="100">
        <v>2016</v>
      </c>
      <c r="F74" s="100">
        <v>9</v>
      </c>
      <c r="G74" s="100">
        <v>3628.7999999999997</v>
      </c>
      <c r="H74" s="100">
        <v>8</v>
      </c>
      <c r="I74" s="100">
        <v>3225.6</v>
      </c>
      <c r="J74" s="100">
        <v>8</v>
      </c>
      <c r="K74" s="100">
        <v>3225.6</v>
      </c>
      <c r="L74" s="100">
        <v>6</v>
      </c>
      <c r="M74" s="100">
        <v>2419.1999999999998</v>
      </c>
      <c r="N74" s="100">
        <v>9</v>
      </c>
      <c r="O74" s="100">
        <v>3628.7999999999997</v>
      </c>
      <c r="P74" s="100">
        <v>10</v>
      </c>
      <c r="Q74" s="100">
        <v>4032</v>
      </c>
      <c r="R74" s="100">
        <v>8</v>
      </c>
      <c r="S74" s="100">
        <v>3225.6</v>
      </c>
      <c r="T74" s="100">
        <v>9</v>
      </c>
      <c r="U74" s="100">
        <v>3628.7999999999997</v>
      </c>
      <c r="V74" s="100">
        <v>8</v>
      </c>
      <c r="W74" s="100">
        <v>3225.6</v>
      </c>
      <c r="X74" s="100">
        <v>8</v>
      </c>
      <c r="Y74" s="100">
        <v>3225.6</v>
      </c>
      <c r="Z74" s="100">
        <v>7</v>
      </c>
      <c r="AA74" s="100">
        <v>2822.4</v>
      </c>
      <c r="AB74" s="100">
        <v>8</v>
      </c>
      <c r="AC74" s="100">
        <v>3225.6</v>
      </c>
      <c r="AD74" s="100">
        <v>5</v>
      </c>
      <c r="AE74" s="100">
        <v>2016</v>
      </c>
      <c r="AF74" s="100">
        <v>7</v>
      </c>
      <c r="AG74" s="100">
        <v>2822.4</v>
      </c>
      <c r="AH74" s="100">
        <v>7</v>
      </c>
      <c r="AI74" s="100">
        <v>2822.4</v>
      </c>
      <c r="AJ74" s="100">
        <v>5</v>
      </c>
      <c r="AK74" s="100">
        <v>2016</v>
      </c>
      <c r="AL74" s="100">
        <v>9</v>
      </c>
      <c r="AM74" s="100">
        <v>3628.7999999999997</v>
      </c>
      <c r="AN74" s="100">
        <v>5</v>
      </c>
      <c r="AO74" s="100">
        <v>2016</v>
      </c>
      <c r="AP74" s="100">
        <v>8</v>
      </c>
      <c r="AQ74" s="100">
        <v>3225.6</v>
      </c>
      <c r="AR74" s="100">
        <v>9</v>
      </c>
      <c r="AS74" s="100">
        <v>3628.7999999999997</v>
      </c>
      <c r="AT74" s="100">
        <v>9</v>
      </c>
      <c r="AU74" s="100">
        <v>3628.7999999999997</v>
      </c>
      <c r="AV74" s="100">
        <v>7</v>
      </c>
      <c r="AW74" s="100">
        <v>2822.4</v>
      </c>
      <c r="AX74" s="100">
        <v>7</v>
      </c>
      <c r="AY74" s="100">
        <v>2822.4</v>
      </c>
      <c r="AZ74" s="100">
        <v>7</v>
      </c>
      <c r="BA74" s="100">
        <v>2822.4</v>
      </c>
      <c r="BB74" s="100">
        <v>8</v>
      </c>
      <c r="BC74" s="100">
        <v>3225.6</v>
      </c>
      <c r="BD74" s="100">
        <v>6</v>
      </c>
      <c r="BE74" s="100">
        <v>2419.1999999999998</v>
      </c>
      <c r="BF74" s="100">
        <v>9</v>
      </c>
      <c r="BG74" s="100">
        <v>3628.7999999999997</v>
      </c>
      <c r="BH74" s="100">
        <v>9</v>
      </c>
      <c r="BI74" s="100">
        <v>3628.7999999999997</v>
      </c>
      <c r="BJ74" s="100">
        <v>10</v>
      </c>
      <c r="BK74" s="100">
        <v>4032</v>
      </c>
      <c r="BL74" s="100">
        <v>5</v>
      </c>
      <c r="BM74" s="100">
        <v>2016</v>
      </c>
      <c r="BN74" s="100">
        <v>11</v>
      </c>
      <c r="BO74" s="100">
        <v>4435.2</v>
      </c>
      <c r="BP74" s="100">
        <v>11</v>
      </c>
      <c r="BQ74" s="100">
        <v>4435.2</v>
      </c>
      <c r="BR74" s="100">
        <v>10</v>
      </c>
      <c r="BS74" s="100">
        <v>4032</v>
      </c>
      <c r="BT74" s="100">
        <v>7</v>
      </c>
      <c r="BU74" s="100">
        <v>2822.4</v>
      </c>
      <c r="BV74" s="100">
        <v>9</v>
      </c>
      <c r="BW74" s="100">
        <v>3628.7999999999997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6</v>
      </c>
      <c r="CC74" s="100">
        <v>2419.1999999999998</v>
      </c>
      <c r="CD74" s="100">
        <v>10</v>
      </c>
      <c r="CE74" s="100">
        <v>4032</v>
      </c>
      <c r="CF74" s="100">
        <v>10</v>
      </c>
      <c r="CG74" s="100">
        <v>4032</v>
      </c>
      <c r="CH74" s="100">
        <v>10</v>
      </c>
      <c r="CI74" s="100">
        <v>4032</v>
      </c>
      <c r="CJ74" s="100">
        <v>8</v>
      </c>
      <c r="CK74" s="100">
        <v>3225.6</v>
      </c>
      <c r="CL74" s="100">
        <v>11</v>
      </c>
      <c r="CM74" s="100">
        <v>4435.2</v>
      </c>
      <c r="CN74" s="100">
        <v>8</v>
      </c>
      <c r="CO74" s="100">
        <v>3225.6</v>
      </c>
      <c r="CP74" s="100">
        <v>6</v>
      </c>
      <c r="CQ74" s="100">
        <v>2419.1999999999998</v>
      </c>
      <c r="CR74" s="100">
        <v>6</v>
      </c>
      <c r="CS74" s="100">
        <v>2419.1999999999998</v>
      </c>
      <c r="CT74" s="100">
        <v>10</v>
      </c>
      <c r="CU74" s="100">
        <v>4032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8</v>
      </c>
      <c r="G75" s="100">
        <v>5145.5999999999995</v>
      </c>
      <c r="H75" s="100">
        <v>8</v>
      </c>
      <c r="I75" s="100">
        <v>5145.5999999999995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9</v>
      </c>
      <c r="O75" s="100">
        <v>5788.7999999999993</v>
      </c>
      <c r="P75" s="100">
        <v>9</v>
      </c>
      <c r="Q75" s="100">
        <v>5788.7999999999993</v>
      </c>
      <c r="R75" s="100">
        <v>8</v>
      </c>
      <c r="S75" s="100">
        <v>5145.5999999999995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8</v>
      </c>
      <c r="Y75" s="100">
        <v>5145.5999999999995</v>
      </c>
      <c r="Z75" s="100">
        <v>8</v>
      </c>
      <c r="AA75" s="100">
        <v>5145.5999999999995</v>
      </c>
      <c r="AB75" s="100">
        <v>8</v>
      </c>
      <c r="AC75" s="100">
        <v>5145.5999999999995</v>
      </c>
      <c r="AD75" s="100">
        <v>5</v>
      </c>
      <c r="AE75" s="100">
        <v>3215.9999999999995</v>
      </c>
      <c r="AF75" s="100">
        <v>7</v>
      </c>
      <c r="AG75" s="100">
        <v>4502.3999999999996</v>
      </c>
      <c r="AH75" s="100">
        <v>7</v>
      </c>
      <c r="AI75" s="100">
        <v>4502.3999999999996</v>
      </c>
      <c r="AJ75" s="100">
        <v>5</v>
      </c>
      <c r="AK75" s="100">
        <v>3215.9999999999995</v>
      </c>
      <c r="AL75" s="100">
        <v>9</v>
      </c>
      <c r="AM75" s="100">
        <v>5788.7999999999993</v>
      </c>
      <c r="AN75" s="100">
        <v>5</v>
      </c>
      <c r="AO75" s="100">
        <v>3215.9999999999995</v>
      </c>
      <c r="AP75" s="100">
        <v>9</v>
      </c>
      <c r="AQ75" s="100">
        <v>5788.7999999999993</v>
      </c>
      <c r="AR75" s="100">
        <v>8</v>
      </c>
      <c r="AS75" s="100">
        <v>5145.5999999999995</v>
      </c>
      <c r="AT75" s="100">
        <v>9</v>
      </c>
      <c r="AU75" s="100">
        <v>5788.7999999999993</v>
      </c>
      <c r="AV75" s="100">
        <v>7</v>
      </c>
      <c r="AW75" s="100">
        <v>4502.3999999999996</v>
      </c>
      <c r="AX75" s="100">
        <v>7</v>
      </c>
      <c r="AY75" s="100">
        <v>4502.3999999999996</v>
      </c>
      <c r="AZ75" s="100">
        <v>7</v>
      </c>
      <c r="BA75" s="100">
        <v>4502.3999999999996</v>
      </c>
      <c r="BB75" s="100">
        <v>7</v>
      </c>
      <c r="BC75" s="100">
        <v>4502.3999999999996</v>
      </c>
      <c r="BD75" s="100">
        <v>6</v>
      </c>
      <c r="BE75" s="100">
        <v>3859.2</v>
      </c>
      <c r="BF75" s="100">
        <v>9</v>
      </c>
      <c r="BG75" s="100">
        <v>5788.7999999999993</v>
      </c>
      <c r="BH75" s="100">
        <v>8</v>
      </c>
      <c r="BI75" s="100">
        <v>5145.5999999999995</v>
      </c>
      <c r="BJ75" s="100">
        <v>10</v>
      </c>
      <c r="BK75" s="100">
        <v>6431.9999999999991</v>
      </c>
      <c r="BL75" s="100">
        <v>6</v>
      </c>
      <c r="BM75" s="100">
        <v>3859.2</v>
      </c>
      <c r="BN75" s="100">
        <v>10</v>
      </c>
      <c r="BO75" s="100">
        <v>6431.9999999999991</v>
      </c>
      <c r="BP75" s="100">
        <v>11</v>
      </c>
      <c r="BQ75" s="100">
        <v>7075.1999999999989</v>
      </c>
      <c r="BR75" s="100">
        <v>10</v>
      </c>
      <c r="BS75" s="100">
        <v>6431.9999999999991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7</v>
      </c>
      <c r="BY75" s="100">
        <v>4502.3999999999996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9</v>
      </c>
      <c r="CE75" s="100">
        <v>5788.7999999999993</v>
      </c>
      <c r="CF75" s="100">
        <v>11</v>
      </c>
      <c r="CG75" s="100">
        <v>7075.1999999999989</v>
      </c>
      <c r="CH75" s="100">
        <v>9</v>
      </c>
      <c r="CI75" s="100">
        <v>5788.7999999999993</v>
      </c>
      <c r="CJ75" s="100">
        <v>9</v>
      </c>
      <c r="CK75" s="100">
        <v>5788.7999999999993</v>
      </c>
      <c r="CL75" s="100">
        <v>11</v>
      </c>
      <c r="CM75" s="100">
        <v>7075.1999999999989</v>
      </c>
      <c r="CN75" s="100">
        <v>8</v>
      </c>
      <c r="CO75" s="100">
        <v>5145.5999999999995</v>
      </c>
      <c r="CP75" s="100">
        <v>7</v>
      </c>
      <c r="CQ75" s="100">
        <v>4502.3999999999996</v>
      </c>
      <c r="CR75" s="100">
        <v>7</v>
      </c>
      <c r="CS75" s="100">
        <v>4502.3999999999996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5</v>
      </c>
      <c r="E76" s="100">
        <v>3894</v>
      </c>
      <c r="F76" s="100">
        <v>9</v>
      </c>
      <c r="G76" s="100">
        <v>7009.2</v>
      </c>
      <c r="H76" s="100">
        <v>8</v>
      </c>
      <c r="I76" s="100">
        <v>6230.4</v>
      </c>
      <c r="J76" s="100">
        <v>8</v>
      </c>
      <c r="K76" s="100">
        <v>6230.4</v>
      </c>
      <c r="L76" s="100">
        <v>7</v>
      </c>
      <c r="M76" s="100">
        <v>5451.5999999999995</v>
      </c>
      <c r="N76" s="100">
        <v>10</v>
      </c>
      <c r="O76" s="100">
        <v>7788</v>
      </c>
      <c r="P76" s="100">
        <v>10</v>
      </c>
      <c r="Q76" s="100">
        <v>7788</v>
      </c>
      <c r="R76" s="100">
        <v>7</v>
      </c>
      <c r="S76" s="100">
        <v>5451.5999999999995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9</v>
      </c>
      <c r="Y76" s="100">
        <v>7009.2</v>
      </c>
      <c r="Z76" s="100">
        <v>7</v>
      </c>
      <c r="AA76" s="100">
        <v>5451.5999999999995</v>
      </c>
      <c r="AB76" s="100">
        <v>8</v>
      </c>
      <c r="AC76" s="100">
        <v>6230.4</v>
      </c>
      <c r="AD76" s="100">
        <v>5</v>
      </c>
      <c r="AE76" s="100">
        <v>3894</v>
      </c>
      <c r="AF76" s="100">
        <v>8</v>
      </c>
      <c r="AG76" s="100">
        <v>6230.4</v>
      </c>
      <c r="AH76" s="100">
        <v>7</v>
      </c>
      <c r="AI76" s="100">
        <v>5451.5999999999995</v>
      </c>
      <c r="AJ76" s="100">
        <v>5</v>
      </c>
      <c r="AK76" s="100">
        <v>3894</v>
      </c>
      <c r="AL76" s="100">
        <v>8</v>
      </c>
      <c r="AM76" s="100">
        <v>6230.4</v>
      </c>
      <c r="AN76" s="100">
        <v>6</v>
      </c>
      <c r="AO76" s="100">
        <v>4672.7999999999993</v>
      </c>
      <c r="AP76" s="100">
        <v>8</v>
      </c>
      <c r="AQ76" s="100">
        <v>6230.4</v>
      </c>
      <c r="AR76" s="100">
        <v>9</v>
      </c>
      <c r="AS76" s="100">
        <v>7009.2</v>
      </c>
      <c r="AT76" s="100">
        <v>9</v>
      </c>
      <c r="AU76" s="100">
        <v>7009.2</v>
      </c>
      <c r="AV76" s="100">
        <v>8</v>
      </c>
      <c r="AW76" s="100">
        <v>6230.4</v>
      </c>
      <c r="AX76" s="100">
        <v>8</v>
      </c>
      <c r="AY76" s="100">
        <v>6230.4</v>
      </c>
      <c r="AZ76" s="100">
        <v>8</v>
      </c>
      <c r="BA76" s="100">
        <v>6230.4</v>
      </c>
      <c r="BB76" s="100">
        <v>6</v>
      </c>
      <c r="BC76" s="100">
        <v>4672.7999999999993</v>
      </c>
      <c r="BD76" s="100">
        <v>6</v>
      </c>
      <c r="BE76" s="100">
        <v>4672.7999999999993</v>
      </c>
      <c r="BF76" s="100">
        <v>9</v>
      </c>
      <c r="BG76" s="100">
        <v>7009.2</v>
      </c>
      <c r="BH76" s="100">
        <v>9</v>
      </c>
      <c r="BI76" s="100">
        <v>7009.2</v>
      </c>
      <c r="BJ76" s="100">
        <v>11</v>
      </c>
      <c r="BK76" s="100">
        <v>8566.7999999999993</v>
      </c>
      <c r="BL76" s="100">
        <v>6</v>
      </c>
      <c r="BM76" s="100">
        <v>4672.7999999999993</v>
      </c>
      <c r="BN76" s="100">
        <v>9</v>
      </c>
      <c r="BO76" s="100">
        <v>7009.2</v>
      </c>
      <c r="BP76" s="100">
        <v>10</v>
      </c>
      <c r="BQ76" s="100">
        <v>7788</v>
      </c>
      <c r="BR76" s="100">
        <v>9</v>
      </c>
      <c r="BS76" s="100">
        <v>7009.2</v>
      </c>
      <c r="BT76" s="100">
        <v>6</v>
      </c>
      <c r="BU76" s="100">
        <v>4672.7999999999993</v>
      </c>
      <c r="BV76" s="100">
        <v>10</v>
      </c>
      <c r="BW76" s="100">
        <v>7788</v>
      </c>
      <c r="BX76" s="100">
        <v>7</v>
      </c>
      <c r="BY76" s="100">
        <v>5451.5999999999995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10</v>
      </c>
      <c r="CE76" s="100">
        <v>7788</v>
      </c>
      <c r="CF76" s="100">
        <v>11</v>
      </c>
      <c r="CG76" s="100">
        <v>8566.7999999999993</v>
      </c>
      <c r="CH76" s="100">
        <v>9</v>
      </c>
      <c r="CI76" s="100">
        <v>7009.2</v>
      </c>
      <c r="CJ76" s="100">
        <v>9</v>
      </c>
      <c r="CK76" s="100">
        <v>7009.2</v>
      </c>
      <c r="CL76" s="100">
        <v>9</v>
      </c>
      <c r="CM76" s="100">
        <v>7009.2</v>
      </c>
      <c r="CN76" s="100">
        <v>8</v>
      </c>
      <c r="CO76" s="100">
        <v>6230.4</v>
      </c>
      <c r="CP76" s="100">
        <v>6</v>
      </c>
      <c r="CQ76" s="100">
        <v>4672.7999999999993</v>
      </c>
      <c r="CR76" s="100">
        <v>6</v>
      </c>
      <c r="CS76" s="100">
        <v>4672.7999999999993</v>
      </c>
      <c r="CT76" s="100">
        <v>11</v>
      </c>
      <c r="CU76" s="100">
        <v>8566.7999999999993</v>
      </c>
    </row>
    <row r="77" spans="2:99">
      <c r="C77" s="99" t="s">
        <v>243</v>
      </c>
      <c r="D77" s="100">
        <v>5</v>
      </c>
      <c r="E77" s="100">
        <v>1392</v>
      </c>
      <c r="F77" s="100">
        <v>9</v>
      </c>
      <c r="G77" s="100">
        <v>2505.6</v>
      </c>
      <c r="H77" s="100">
        <v>7</v>
      </c>
      <c r="I77" s="100">
        <v>1948.7999999999997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10</v>
      </c>
      <c r="O77" s="100">
        <v>2784</v>
      </c>
      <c r="P77" s="100">
        <v>10</v>
      </c>
      <c r="Q77" s="100">
        <v>2784</v>
      </c>
      <c r="R77" s="100">
        <v>7</v>
      </c>
      <c r="S77" s="100">
        <v>1948.7999999999997</v>
      </c>
      <c r="T77" s="100">
        <v>8</v>
      </c>
      <c r="U77" s="100">
        <v>2227.1999999999998</v>
      </c>
      <c r="V77" s="100">
        <v>10</v>
      </c>
      <c r="W77" s="100">
        <v>2784</v>
      </c>
      <c r="X77" s="100">
        <v>8</v>
      </c>
      <c r="Y77" s="100">
        <v>2227.1999999999998</v>
      </c>
      <c r="Z77" s="100">
        <v>7</v>
      </c>
      <c r="AA77" s="100">
        <v>1948.7999999999997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8</v>
      </c>
      <c r="AG77" s="100">
        <v>2227.1999999999998</v>
      </c>
      <c r="AH77" s="100">
        <v>7</v>
      </c>
      <c r="AI77" s="100">
        <v>1948.7999999999997</v>
      </c>
      <c r="AJ77" s="100">
        <v>5</v>
      </c>
      <c r="AK77" s="100">
        <v>1392</v>
      </c>
      <c r="AL77" s="100">
        <v>10</v>
      </c>
      <c r="AM77" s="100">
        <v>2784</v>
      </c>
      <c r="AN77" s="100">
        <v>6</v>
      </c>
      <c r="AO77" s="100">
        <v>1670.3999999999999</v>
      </c>
      <c r="AP77" s="100">
        <v>9</v>
      </c>
      <c r="AQ77" s="100">
        <v>2505.6</v>
      </c>
      <c r="AR77" s="100">
        <v>9</v>
      </c>
      <c r="AS77" s="100">
        <v>2505.6</v>
      </c>
      <c r="AT77" s="100">
        <v>9</v>
      </c>
      <c r="AU77" s="100">
        <v>2505.6</v>
      </c>
      <c r="AV77" s="100">
        <v>7</v>
      </c>
      <c r="AW77" s="100">
        <v>1948.7999999999997</v>
      </c>
      <c r="AX77" s="100">
        <v>8</v>
      </c>
      <c r="AY77" s="100">
        <v>2227.1999999999998</v>
      </c>
      <c r="AZ77" s="100">
        <v>7</v>
      </c>
      <c r="BA77" s="100">
        <v>1948.7999999999997</v>
      </c>
      <c r="BB77" s="100">
        <v>7</v>
      </c>
      <c r="BC77" s="100">
        <v>1948.7999999999997</v>
      </c>
      <c r="BD77" s="100">
        <v>6</v>
      </c>
      <c r="BE77" s="100">
        <v>1670.3999999999999</v>
      </c>
      <c r="BF77" s="100">
        <v>10</v>
      </c>
      <c r="BG77" s="100">
        <v>2784</v>
      </c>
      <c r="BH77" s="100">
        <v>9</v>
      </c>
      <c r="BI77" s="100">
        <v>2505.6</v>
      </c>
      <c r="BJ77" s="100">
        <v>10</v>
      </c>
      <c r="BK77" s="100">
        <v>2784</v>
      </c>
      <c r="BL77" s="100">
        <v>6</v>
      </c>
      <c r="BM77" s="100">
        <v>1670.3999999999999</v>
      </c>
      <c r="BN77" s="100">
        <v>10</v>
      </c>
      <c r="BO77" s="100">
        <v>2784</v>
      </c>
      <c r="BP77" s="100">
        <v>11</v>
      </c>
      <c r="BQ77" s="100">
        <v>3062.3999999999996</v>
      </c>
      <c r="BR77" s="100">
        <v>10</v>
      </c>
      <c r="BS77" s="100">
        <v>2784</v>
      </c>
      <c r="BT77" s="100">
        <v>6</v>
      </c>
      <c r="BU77" s="100">
        <v>1670.3999999999999</v>
      </c>
      <c r="BV77" s="100">
        <v>11</v>
      </c>
      <c r="BW77" s="100">
        <v>3062.3999999999996</v>
      </c>
      <c r="BX77" s="100">
        <v>7</v>
      </c>
      <c r="BY77" s="100">
        <v>1948.7999999999997</v>
      </c>
      <c r="BZ77" s="100">
        <v>10</v>
      </c>
      <c r="CA77" s="100">
        <v>2784</v>
      </c>
      <c r="CB77" s="100">
        <v>6</v>
      </c>
      <c r="CC77" s="100">
        <v>1670.3999999999999</v>
      </c>
      <c r="CD77" s="100">
        <v>9</v>
      </c>
      <c r="CE77" s="100">
        <v>2505.6</v>
      </c>
      <c r="CF77" s="100">
        <v>11</v>
      </c>
      <c r="CG77" s="100">
        <v>3062.3999999999996</v>
      </c>
      <c r="CH77" s="100">
        <v>10</v>
      </c>
      <c r="CI77" s="100">
        <v>2784</v>
      </c>
      <c r="CJ77" s="100">
        <v>9</v>
      </c>
      <c r="CK77" s="100">
        <v>2505.6</v>
      </c>
      <c r="CL77" s="100">
        <v>10</v>
      </c>
      <c r="CM77" s="100">
        <v>2784</v>
      </c>
      <c r="CN77" s="100">
        <v>8</v>
      </c>
      <c r="CO77" s="100">
        <v>2227.1999999999998</v>
      </c>
      <c r="CP77" s="100">
        <v>7</v>
      </c>
      <c r="CQ77" s="100">
        <v>1948.7999999999997</v>
      </c>
      <c r="CR77" s="100">
        <v>6</v>
      </c>
      <c r="CS77" s="100">
        <v>1670.3999999999999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5</v>
      </c>
      <c r="E78" s="100">
        <v>2760</v>
      </c>
      <c r="F78" s="100">
        <v>9</v>
      </c>
      <c r="G78" s="100">
        <v>4968</v>
      </c>
      <c r="H78" s="100">
        <v>7</v>
      </c>
      <c r="I78" s="100">
        <v>3864</v>
      </c>
      <c r="J78" s="100">
        <v>8</v>
      </c>
      <c r="K78" s="100">
        <v>4416</v>
      </c>
      <c r="L78" s="100">
        <v>6</v>
      </c>
      <c r="M78" s="100">
        <v>3312</v>
      </c>
      <c r="N78" s="100">
        <v>10</v>
      </c>
      <c r="O78" s="100">
        <v>5520</v>
      </c>
      <c r="P78" s="100">
        <v>11</v>
      </c>
      <c r="Q78" s="100">
        <v>6072</v>
      </c>
      <c r="R78" s="100">
        <v>8</v>
      </c>
      <c r="S78" s="100">
        <v>4416</v>
      </c>
      <c r="T78" s="100">
        <v>7</v>
      </c>
      <c r="U78" s="100">
        <v>3864</v>
      </c>
      <c r="V78" s="100">
        <v>9</v>
      </c>
      <c r="W78" s="100">
        <v>4968</v>
      </c>
      <c r="X78" s="100">
        <v>9</v>
      </c>
      <c r="Y78" s="100">
        <v>4968</v>
      </c>
      <c r="Z78" s="100">
        <v>7</v>
      </c>
      <c r="AA78" s="100">
        <v>3864</v>
      </c>
      <c r="AB78" s="100">
        <v>7</v>
      </c>
      <c r="AC78" s="100">
        <v>3864</v>
      </c>
      <c r="AD78" s="100">
        <v>5</v>
      </c>
      <c r="AE78" s="100">
        <v>2760</v>
      </c>
      <c r="AF78" s="100">
        <v>7</v>
      </c>
      <c r="AG78" s="100">
        <v>3864</v>
      </c>
      <c r="AH78" s="100">
        <v>6</v>
      </c>
      <c r="AI78" s="100">
        <v>3312</v>
      </c>
      <c r="AJ78" s="100">
        <v>6</v>
      </c>
      <c r="AK78" s="100">
        <v>3312</v>
      </c>
      <c r="AL78" s="100">
        <v>10</v>
      </c>
      <c r="AM78" s="100">
        <v>5520</v>
      </c>
      <c r="AN78" s="100">
        <v>6</v>
      </c>
      <c r="AO78" s="100">
        <v>3312</v>
      </c>
      <c r="AP78" s="100">
        <v>8</v>
      </c>
      <c r="AQ78" s="100">
        <v>4416</v>
      </c>
      <c r="AR78" s="100">
        <v>9</v>
      </c>
      <c r="AS78" s="100">
        <v>4968</v>
      </c>
      <c r="AT78" s="100">
        <v>10</v>
      </c>
      <c r="AU78" s="100">
        <v>5520</v>
      </c>
      <c r="AV78" s="100">
        <v>7</v>
      </c>
      <c r="AW78" s="100">
        <v>3864</v>
      </c>
      <c r="AX78" s="100">
        <v>8</v>
      </c>
      <c r="AY78" s="100">
        <v>4416</v>
      </c>
      <c r="AZ78" s="100">
        <v>7</v>
      </c>
      <c r="BA78" s="100">
        <v>3864</v>
      </c>
      <c r="BB78" s="100">
        <v>6</v>
      </c>
      <c r="BC78" s="100">
        <v>3312</v>
      </c>
      <c r="BD78" s="100">
        <v>5</v>
      </c>
      <c r="BE78" s="100">
        <v>2760</v>
      </c>
      <c r="BF78" s="100">
        <v>10</v>
      </c>
      <c r="BG78" s="100">
        <v>5520</v>
      </c>
      <c r="BH78" s="100">
        <v>9</v>
      </c>
      <c r="BI78" s="100">
        <v>4968</v>
      </c>
      <c r="BJ78" s="100">
        <v>10</v>
      </c>
      <c r="BK78" s="100">
        <v>5520</v>
      </c>
      <c r="BL78" s="100">
        <v>6</v>
      </c>
      <c r="BM78" s="100">
        <v>3312</v>
      </c>
      <c r="BN78" s="100">
        <v>9</v>
      </c>
      <c r="BO78" s="100">
        <v>4968</v>
      </c>
      <c r="BP78" s="100">
        <v>11</v>
      </c>
      <c r="BQ78" s="100">
        <v>6072</v>
      </c>
      <c r="BR78" s="100">
        <v>9</v>
      </c>
      <c r="BS78" s="100">
        <v>4968</v>
      </c>
      <c r="BT78" s="100">
        <v>6</v>
      </c>
      <c r="BU78" s="100">
        <v>3312</v>
      </c>
      <c r="BV78" s="100">
        <v>10</v>
      </c>
      <c r="BW78" s="100">
        <v>5520</v>
      </c>
      <c r="BX78" s="100">
        <v>6</v>
      </c>
      <c r="BY78" s="100">
        <v>3312</v>
      </c>
      <c r="BZ78" s="100">
        <v>8</v>
      </c>
      <c r="CA78" s="100">
        <v>4416</v>
      </c>
      <c r="CB78" s="100">
        <v>6</v>
      </c>
      <c r="CC78" s="100">
        <v>3312</v>
      </c>
      <c r="CD78" s="100">
        <v>9</v>
      </c>
      <c r="CE78" s="100">
        <v>4968</v>
      </c>
      <c r="CF78" s="100">
        <v>10</v>
      </c>
      <c r="CG78" s="100">
        <v>5520</v>
      </c>
      <c r="CH78" s="100">
        <v>9</v>
      </c>
      <c r="CI78" s="100">
        <v>4968</v>
      </c>
      <c r="CJ78" s="100">
        <v>9</v>
      </c>
      <c r="CK78" s="100">
        <v>4968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6</v>
      </c>
      <c r="CQ78" s="100">
        <v>3312</v>
      </c>
      <c r="CR78" s="100">
        <v>6</v>
      </c>
      <c r="CS78" s="100">
        <v>3312</v>
      </c>
      <c r="CT78" s="100">
        <v>10</v>
      </c>
      <c r="CU78" s="100">
        <v>5520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8</v>
      </c>
      <c r="G79" s="100">
        <v>6057.5999999999995</v>
      </c>
      <c r="H79" s="100">
        <v>8</v>
      </c>
      <c r="I79" s="100">
        <v>6057.5999999999995</v>
      </c>
      <c r="J79" s="100">
        <v>8</v>
      </c>
      <c r="K79" s="100">
        <v>6057.5999999999995</v>
      </c>
      <c r="L79" s="100">
        <v>7</v>
      </c>
      <c r="M79" s="100">
        <v>5300.4</v>
      </c>
      <c r="N79" s="100">
        <v>9</v>
      </c>
      <c r="O79" s="100">
        <v>6814.7999999999993</v>
      </c>
      <c r="P79" s="100">
        <v>9</v>
      </c>
      <c r="Q79" s="100">
        <v>6814.7999999999993</v>
      </c>
      <c r="R79" s="100">
        <v>7</v>
      </c>
      <c r="S79" s="100">
        <v>5300.4</v>
      </c>
      <c r="T79" s="100">
        <v>7</v>
      </c>
      <c r="U79" s="100">
        <v>5300.4</v>
      </c>
      <c r="V79" s="100">
        <v>9</v>
      </c>
      <c r="W79" s="100">
        <v>6814.7999999999993</v>
      </c>
      <c r="X79" s="100">
        <v>9</v>
      </c>
      <c r="Y79" s="100">
        <v>6814.7999999999993</v>
      </c>
      <c r="Z79" s="100">
        <v>7</v>
      </c>
      <c r="AA79" s="100">
        <v>5300.4</v>
      </c>
      <c r="AB79" s="100">
        <v>7</v>
      </c>
      <c r="AC79" s="100">
        <v>5300.4</v>
      </c>
      <c r="AD79" s="100">
        <v>5</v>
      </c>
      <c r="AE79" s="100">
        <v>3785.9999999999995</v>
      </c>
      <c r="AF79" s="100">
        <v>8</v>
      </c>
      <c r="AG79" s="100">
        <v>6057.5999999999995</v>
      </c>
      <c r="AH79" s="100">
        <v>7</v>
      </c>
      <c r="AI79" s="100">
        <v>5300.4</v>
      </c>
      <c r="AJ79" s="100">
        <v>5</v>
      </c>
      <c r="AK79" s="100">
        <v>3785.9999999999995</v>
      </c>
      <c r="AL79" s="100">
        <v>8</v>
      </c>
      <c r="AM79" s="100">
        <v>6057.5999999999995</v>
      </c>
      <c r="AN79" s="100">
        <v>6</v>
      </c>
      <c r="AO79" s="100">
        <v>4543.2</v>
      </c>
      <c r="AP79" s="100">
        <v>9</v>
      </c>
      <c r="AQ79" s="100">
        <v>6814.7999999999993</v>
      </c>
      <c r="AR79" s="100">
        <v>9</v>
      </c>
      <c r="AS79" s="100">
        <v>6814.7999999999993</v>
      </c>
      <c r="AT79" s="100">
        <v>9</v>
      </c>
      <c r="AU79" s="100">
        <v>6814.7999999999993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7</v>
      </c>
      <c r="BA79" s="100">
        <v>5300.4</v>
      </c>
      <c r="BB79" s="100">
        <v>6</v>
      </c>
      <c r="BC79" s="100">
        <v>4543.2</v>
      </c>
      <c r="BD79" s="100">
        <v>6</v>
      </c>
      <c r="BE79" s="100">
        <v>4543.2</v>
      </c>
      <c r="BF79" s="100">
        <v>9</v>
      </c>
      <c r="BG79" s="100">
        <v>6814.7999999999993</v>
      </c>
      <c r="BH79" s="100">
        <v>9</v>
      </c>
      <c r="BI79" s="100">
        <v>6814.7999999999993</v>
      </c>
      <c r="BJ79" s="100">
        <v>11</v>
      </c>
      <c r="BK79" s="100">
        <v>8329.1999999999989</v>
      </c>
      <c r="BL79" s="100">
        <v>5</v>
      </c>
      <c r="BM79" s="100">
        <v>3785.9999999999995</v>
      </c>
      <c r="BN79" s="100">
        <v>10</v>
      </c>
      <c r="BO79" s="100">
        <v>7571.9999999999991</v>
      </c>
      <c r="BP79" s="100">
        <v>11</v>
      </c>
      <c r="BQ79" s="100">
        <v>8329.1999999999989</v>
      </c>
      <c r="BR79" s="100">
        <v>10</v>
      </c>
      <c r="BS79" s="100">
        <v>7571.9999999999991</v>
      </c>
      <c r="BT79" s="100">
        <v>6</v>
      </c>
      <c r="BU79" s="100">
        <v>4543.2</v>
      </c>
      <c r="BV79" s="100">
        <v>9</v>
      </c>
      <c r="BW79" s="100">
        <v>6814.7999999999993</v>
      </c>
      <c r="BX79" s="100">
        <v>5</v>
      </c>
      <c r="BY79" s="100">
        <v>3785.9999999999995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9</v>
      </c>
      <c r="CE79" s="100">
        <v>6814.7999999999993</v>
      </c>
      <c r="CF79" s="100">
        <v>11</v>
      </c>
      <c r="CG79" s="100">
        <v>8329.1999999999989</v>
      </c>
      <c r="CH79" s="100">
        <v>8</v>
      </c>
      <c r="CI79" s="100">
        <v>6057.5999999999995</v>
      </c>
      <c r="CJ79" s="100">
        <v>8</v>
      </c>
      <c r="CK79" s="100">
        <v>6057.5999999999995</v>
      </c>
      <c r="CL79" s="100">
        <v>10</v>
      </c>
      <c r="CM79" s="100">
        <v>7571.9999999999991</v>
      </c>
      <c r="CN79" s="100">
        <v>8</v>
      </c>
      <c r="CO79" s="100">
        <v>6057.5999999999995</v>
      </c>
      <c r="CP79" s="100">
        <v>6</v>
      </c>
      <c r="CQ79" s="100">
        <v>4543.2</v>
      </c>
      <c r="CR79" s="100">
        <v>5</v>
      </c>
      <c r="CS79" s="100">
        <v>3785.9999999999995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4</v>
      </c>
      <c r="E80" s="100">
        <v>3220.7999999999997</v>
      </c>
      <c r="F80" s="100">
        <v>7</v>
      </c>
      <c r="G80" s="100">
        <v>5636.4</v>
      </c>
      <c r="H80" s="100">
        <v>8</v>
      </c>
      <c r="I80" s="100">
        <v>6441.5999999999995</v>
      </c>
      <c r="J80" s="100">
        <v>8</v>
      </c>
      <c r="K80" s="100">
        <v>6441.5999999999995</v>
      </c>
      <c r="L80" s="100">
        <v>7</v>
      </c>
      <c r="M80" s="100">
        <v>5636.4</v>
      </c>
      <c r="N80" s="100">
        <v>10</v>
      </c>
      <c r="O80" s="100">
        <v>8051.9999999999991</v>
      </c>
      <c r="P80" s="100">
        <v>9</v>
      </c>
      <c r="Q80" s="100">
        <v>7246.7999999999993</v>
      </c>
      <c r="R80" s="100">
        <v>8</v>
      </c>
      <c r="S80" s="100">
        <v>6441.5999999999995</v>
      </c>
      <c r="T80" s="100">
        <v>7</v>
      </c>
      <c r="U80" s="100">
        <v>5636.4</v>
      </c>
      <c r="V80" s="100">
        <v>9</v>
      </c>
      <c r="W80" s="100">
        <v>7246.7999999999993</v>
      </c>
      <c r="X80" s="100">
        <v>9</v>
      </c>
      <c r="Y80" s="100">
        <v>7246.7999999999993</v>
      </c>
      <c r="Z80" s="100">
        <v>7</v>
      </c>
      <c r="AA80" s="100">
        <v>5636.4</v>
      </c>
      <c r="AB80" s="100">
        <v>8</v>
      </c>
      <c r="AC80" s="100">
        <v>6441.5999999999995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6</v>
      </c>
      <c r="AI80" s="100">
        <v>4831.2</v>
      </c>
      <c r="AJ80" s="100">
        <v>5</v>
      </c>
      <c r="AK80" s="100">
        <v>4025.9999999999995</v>
      </c>
      <c r="AL80" s="100">
        <v>9</v>
      </c>
      <c r="AM80" s="100">
        <v>7246.7999999999993</v>
      </c>
      <c r="AN80" s="100">
        <v>5</v>
      </c>
      <c r="AO80" s="100">
        <v>4025.9999999999995</v>
      </c>
      <c r="AP80" s="100">
        <v>8</v>
      </c>
      <c r="AQ80" s="100">
        <v>6441.5999999999995</v>
      </c>
      <c r="AR80" s="100">
        <v>8</v>
      </c>
      <c r="AS80" s="100">
        <v>6441.5999999999995</v>
      </c>
      <c r="AT80" s="100">
        <v>9</v>
      </c>
      <c r="AU80" s="100">
        <v>7246.7999999999993</v>
      </c>
      <c r="AV80" s="100">
        <v>8</v>
      </c>
      <c r="AW80" s="100">
        <v>6441.5999999999995</v>
      </c>
      <c r="AX80" s="100">
        <v>8</v>
      </c>
      <c r="AY80" s="100">
        <v>6441.5999999999995</v>
      </c>
      <c r="AZ80" s="100">
        <v>7</v>
      </c>
      <c r="BA80" s="100">
        <v>5636.4</v>
      </c>
      <c r="BB80" s="100">
        <v>7</v>
      </c>
      <c r="BC80" s="100">
        <v>5636.4</v>
      </c>
      <c r="BD80" s="100">
        <v>5</v>
      </c>
      <c r="BE80" s="100">
        <v>4025.9999999999995</v>
      </c>
      <c r="BF80" s="100">
        <v>9</v>
      </c>
      <c r="BG80" s="100">
        <v>7246.7999999999993</v>
      </c>
      <c r="BH80" s="100">
        <v>8</v>
      </c>
      <c r="BI80" s="100">
        <v>6441.5999999999995</v>
      </c>
      <c r="BJ80" s="100">
        <v>10</v>
      </c>
      <c r="BK80" s="100">
        <v>8051.9999999999991</v>
      </c>
      <c r="BL80" s="100">
        <v>5</v>
      </c>
      <c r="BM80" s="100">
        <v>4025.9999999999995</v>
      </c>
      <c r="BN80" s="100">
        <v>11</v>
      </c>
      <c r="BO80" s="100">
        <v>8857.1999999999989</v>
      </c>
      <c r="BP80" s="100">
        <v>10</v>
      </c>
      <c r="BQ80" s="100">
        <v>8051.9999999999991</v>
      </c>
      <c r="BR80" s="100">
        <v>9</v>
      </c>
      <c r="BS80" s="100">
        <v>7246.7999999999993</v>
      </c>
      <c r="BT80" s="100">
        <v>5</v>
      </c>
      <c r="BU80" s="100">
        <v>4025.9999999999995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9</v>
      </c>
      <c r="CE80" s="100">
        <v>7246.7999999999993</v>
      </c>
      <c r="CF80" s="100">
        <v>10</v>
      </c>
      <c r="CG80" s="100">
        <v>8051.9999999999991</v>
      </c>
      <c r="CH80" s="100">
        <v>10</v>
      </c>
      <c r="CI80" s="100">
        <v>8051.9999999999991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9</v>
      </c>
      <c r="CO80" s="100">
        <v>7246.7999999999993</v>
      </c>
      <c r="CP80" s="100">
        <v>6</v>
      </c>
      <c r="CQ80" s="100">
        <v>4831.2</v>
      </c>
      <c r="CR80" s="100">
        <v>6</v>
      </c>
      <c r="CS80" s="100">
        <v>4831.2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5</v>
      </c>
      <c r="E81" s="100">
        <v>3768</v>
      </c>
      <c r="F81" s="100">
        <v>8</v>
      </c>
      <c r="G81" s="100">
        <v>6028.8</v>
      </c>
      <c r="H81" s="100">
        <v>7</v>
      </c>
      <c r="I81" s="100">
        <v>5275.2</v>
      </c>
      <c r="J81" s="100">
        <v>8</v>
      </c>
      <c r="K81" s="100">
        <v>6028.8</v>
      </c>
      <c r="L81" s="100">
        <v>7</v>
      </c>
      <c r="M81" s="100">
        <v>5275.2</v>
      </c>
      <c r="N81" s="100">
        <v>10</v>
      </c>
      <c r="O81" s="100">
        <v>7536</v>
      </c>
      <c r="P81" s="100">
        <v>10</v>
      </c>
      <c r="Q81" s="100">
        <v>7536</v>
      </c>
      <c r="R81" s="100">
        <v>8</v>
      </c>
      <c r="S81" s="100">
        <v>6028.8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9</v>
      </c>
      <c r="Y81" s="100">
        <v>6782.4000000000005</v>
      </c>
      <c r="Z81" s="100">
        <v>6</v>
      </c>
      <c r="AA81" s="100">
        <v>4521.6000000000004</v>
      </c>
      <c r="AB81" s="100">
        <v>8</v>
      </c>
      <c r="AC81" s="100">
        <v>6028.8</v>
      </c>
      <c r="AD81" s="100">
        <v>6</v>
      </c>
      <c r="AE81" s="100">
        <v>4521.6000000000004</v>
      </c>
      <c r="AF81" s="100">
        <v>7</v>
      </c>
      <c r="AG81" s="100">
        <v>5275.2</v>
      </c>
      <c r="AH81" s="100">
        <v>7</v>
      </c>
      <c r="AI81" s="100">
        <v>5275.2</v>
      </c>
      <c r="AJ81" s="100">
        <v>5</v>
      </c>
      <c r="AK81" s="100">
        <v>3768</v>
      </c>
      <c r="AL81" s="100">
        <v>10</v>
      </c>
      <c r="AM81" s="100">
        <v>7536</v>
      </c>
      <c r="AN81" s="100">
        <v>6</v>
      </c>
      <c r="AO81" s="100">
        <v>4521.6000000000004</v>
      </c>
      <c r="AP81" s="100">
        <v>8</v>
      </c>
      <c r="AQ81" s="100">
        <v>6028.8</v>
      </c>
      <c r="AR81" s="100">
        <v>9</v>
      </c>
      <c r="AS81" s="100">
        <v>6782.4000000000005</v>
      </c>
      <c r="AT81" s="100">
        <v>10</v>
      </c>
      <c r="AU81" s="100">
        <v>7536</v>
      </c>
      <c r="AV81" s="100">
        <v>8</v>
      </c>
      <c r="AW81" s="100">
        <v>6028.8</v>
      </c>
      <c r="AX81" s="100">
        <v>8</v>
      </c>
      <c r="AY81" s="100">
        <v>6028.8</v>
      </c>
      <c r="AZ81" s="100">
        <v>7</v>
      </c>
      <c r="BA81" s="100">
        <v>5275.2</v>
      </c>
      <c r="BB81" s="100">
        <v>6</v>
      </c>
      <c r="BC81" s="100">
        <v>4521.6000000000004</v>
      </c>
      <c r="BD81" s="100">
        <v>6</v>
      </c>
      <c r="BE81" s="100">
        <v>4521.6000000000004</v>
      </c>
      <c r="BF81" s="100">
        <v>10</v>
      </c>
      <c r="BG81" s="100">
        <v>7536</v>
      </c>
      <c r="BH81" s="100">
        <v>9</v>
      </c>
      <c r="BI81" s="100">
        <v>6782.4000000000005</v>
      </c>
      <c r="BJ81" s="100">
        <v>9</v>
      </c>
      <c r="BK81" s="100">
        <v>6782.4000000000005</v>
      </c>
      <c r="BL81" s="100">
        <v>5</v>
      </c>
      <c r="BM81" s="100">
        <v>3768</v>
      </c>
      <c r="BN81" s="100">
        <v>10</v>
      </c>
      <c r="BO81" s="100">
        <v>7536</v>
      </c>
      <c r="BP81" s="100">
        <v>11</v>
      </c>
      <c r="BQ81" s="100">
        <v>8289.6</v>
      </c>
      <c r="BR81" s="100">
        <v>10</v>
      </c>
      <c r="BS81" s="100">
        <v>7536</v>
      </c>
      <c r="BT81" s="100">
        <v>6</v>
      </c>
      <c r="BU81" s="100">
        <v>4521.6000000000004</v>
      </c>
      <c r="BV81" s="100">
        <v>9</v>
      </c>
      <c r="BW81" s="100">
        <v>6782.4000000000005</v>
      </c>
      <c r="BX81" s="100">
        <v>6</v>
      </c>
      <c r="BY81" s="100">
        <v>4521.6000000000004</v>
      </c>
      <c r="BZ81" s="100">
        <v>9</v>
      </c>
      <c r="CA81" s="100">
        <v>6782.4000000000005</v>
      </c>
      <c r="CB81" s="100">
        <v>6</v>
      </c>
      <c r="CC81" s="100">
        <v>4521.6000000000004</v>
      </c>
      <c r="CD81" s="100">
        <v>10</v>
      </c>
      <c r="CE81" s="100">
        <v>7536</v>
      </c>
      <c r="CF81" s="100">
        <v>9</v>
      </c>
      <c r="CG81" s="100">
        <v>6782.4000000000005</v>
      </c>
      <c r="CH81" s="100">
        <v>9</v>
      </c>
      <c r="CI81" s="100">
        <v>6782.4000000000005</v>
      </c>
      <c r="CJ81" s="100">
        <v>8</v>
      </c>
      <c r="CK81" s="100">
        <v>6028.8</v>
      </c>
      <c r="CL81" s="100">
        <v>11</v>
      </c>
      <c r="CM81" s="100">
        <v>8289.6</v>
      </c>
      <c r="CN81" s="100">
        <v>8</v>
      </c>
      <c r="CO81" s="100">
        <v>6028.8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10</v>
      </c>
      <c r="CU81" s="100">
        <v>7536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8</v>
      </c>
      <c r="G82" s="100">
        <v>4070.3999999999992</v>
      </c>
      <c r="H82" s="100">
        <v>7</v>
      </c>
      <c r="I82" s="100">
        <v>3561.5999999999995</v>
      </c>
      <c r="J82" s="100">
        <v>8</v>
      </c>
      <c r="K82" s="100">
        <v>4070.3999999999992</v>
      </c>
      <c r="L82" s="100">
        <v>7</v>
      </c>
      <c r="M82" s="100">
        <v>3561.5999999999995</v>
      </c>
      <c r="N82" s="100">
        <v>10</v>
      </c>
      <c r="O82" s="100">
        <v>5087.9999999999991</v>
      </c>
      <c r="P82" s="100">
        <v>10</v>
      </c>
      <c r="Q82" s="100">
        <v>5087.9999999999991</v>
      </c>
      <c r="R82" s="100">
        <v>8</v>
      </c>
      <c r="S82" s="100">
        <v>4070.3999999999992</v>
      </c>
      <c r="T82" s="100">
        <v>7</v>
      </c>
      <c r="U82" s="100">
        <v>3561.5999999999995</v>
      </c>
      <c r="V82" s="100">
        <v>8</v>
      </c>
      <c r="W82" s="100">
        <v>4070.3999999999992</v>
      </c>
      <c r="X82" s="100">
        <v>10</v>
      </c>
      <c r="Y82" s="100">
        <v>5087.9999999999991</v>
      </c>
      <c r="Z82" s="100">
        <v>7</v>
      </c>
      <c r="AA82" s="100">
        <v>3561.5999999999995</v>
      </c>
      <c r="AB82" s="100">
        <v>7</v>
      </c>
      <c r="AC82" s="100">
        <v>3561.5999999999995</v>
      </c>
      <c r="AD82" s="100">
        <v>5</v>
      </c>
      <c r="AE82" s="100">
        <v>2543.9999999999995</v>
      </c>
      <c r="AF82" s="100">
        <v>8</v>
      </c>
      <c r="AG82" s="100">
        <v>4070.3999999999992</v>
      </c>
      <c r="AH82" s="100">
        <v>7</v>
      </c>
      <c r="AI82" s="100">
        <v>3561.5999999999995</v>
      </c>
      <c r="AJ82" s="100">
        <v>6</v>
      </c>
      <c r="AK82" s="100">
        <v>3052.7999999999993</v>
      </c>
      <c r="AL82" s="100">
        <v>9</v>
      </c>
      <c r="AM82" s="100">
        <v>4579.1999999999989</v>
      </c>
      <c r="AN82" s="100">
        <v>6</v>
      </c>
      <c r="AO82" s="100">
        <v>3052.7999999999993</v>
      </c>
      <c r="AP82" s="100">
        <v>8</v>
      </c>
      <c r="AQ82" s="100">
        <v>4070.3999999999992</v>
      </c>
      <c r="AR82" s="100">
        <v>10</v>
      </c>
      <c r="AS82" s="100">
        <v>5087.9999999999991</v>
      </c>
      <c r="AT82" s="100">
        <v>9</v>
      </c>
      <c r="AU82" s="100">
        <v>4579.1999999999989</v>
      </c>
      <c r="AV82" s="100">
        <v>8</v>
      </c>
      <c r="AW82" s="100">
        <v>4070.3999999999992</v>
      </c>
      <c r="AX82" s="100">
        <v>8</v>
      </c>
      <c r="AY82" s="100">
        <v>4070.3999999999992</v>
      </c>
      <c r="AZ82" s="100">
        <v>8</v>
      </c>
      <c r="BA82" s="100">
        <v>4070.3999999999992</v>
      </c>
      <c r="BB82" s="100">
        <v>7</v>
      </c>
      <c r="BC82" s="100">
        <v>3561.5999999999995</v>
      </c>
      <c r="BD82" s="100">
        <v>6</v>
      </c>
      <c r="BE82" s="100">
        <v>3052.7999999999993</v>
      </c>
      <c r="BF82" s="100">
        <v>9</v>
      </c>
      <c r="BG82" s="100">
        <v>4579.1999999999989</v>
      </c>
      <c r="BH82" s="100">
        <v>8</v>
      </c>
      <c r="BI82" s="100">
        <v>4070.3999999999992</v>
      </c>
      <c r="BJ82" s="100">
        <v>10</v>
      </c>
      <c r="BK82" s="100">
        <v>5087.9999999999991</v>
      </c>
      <c r="BL82" s="100">
        <v>5</v>
      </c>
      <c r="BM82" s="100">
        <v>2543.9999999999995</v>
      </c>
      <c r="BN82" s="100">
        <v>10</v>
      </c>
      <c r="BO82" s="100">
        <v>5087.9999999999991</v>
      </c>
      <c r="BP82" s="100">
        <v>10</v>
      </c>
      <c r="BQ82" s="100">
        <v>5087.9999999999991</v>
      </c>
      <c r="BR82" s="100">
        <v>11</v>
      </c>
      <c r="BS82" s="100">
        <v>5596.7999999999993</v>
      </c>
      <c r="BT82" s="100">
        <v>6</v>
      </c>
      <c r="BU82" s="100">
        <v>3052.7999999999993</v>
      </c>
      <c r="BV82" s="100">
        <v>10</v>
      </c>
      <c r="BW82" s="100">
        <v>5087.9999999999991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6</v>
      </c>
      <c r="CC82" s="100">
        <v>3052.7999999999993</v>
      </c>
      <c r="CD82" s="100">
        <v>10</v>
      </c>
      <c r="CE82" s="100">
        <v>5087.9999999999991</v>
      </c>
      <c r="CF82" s="100">
        <v>10</v>
      </c>
      <c r="CG82" s="100">
        <v>5087.9999999999991</v>
      </c>
      <c r="CH82" s="100">
        <v>9</v>
      </c>
      <c r="CI82" s="100">
        <v>4579.1999999999989</v>
      </c>
      <c r="CJ82" s="100">
        <v>8</v>
      </c>
      <c r="CK82" s="100">
        <v>4070.3999999999992</v>
      </c>
      <c r="CL82" s="100">
        <v>11</v>
      </c>
      <c r="CM82" s="100">
        <v>5596.7999999999993</v>
      </c>
      <c r="CN82" s="100">
        <v>8</v>
      </c>
      <c r="CO82" s="100">
        <v>4070.3999999999992</v>
      </c>
      <c r="CP82" s="100">
        <v>7</v>
      </c>
      <c r="CQ82" s="100">
        <v>3561.5999999999995</v>
      </c>
      <c r="CR82" s="100">
        <v>7</v>
      </c>
      <c r="CS82" s="100">
        <v>3561.5999999999995</v>
      </c>
      <c r="CT82" s="100">
        <v>11</v>
      </c>
      <c r="CU82" s="100">
        <v>5596.7999999999993</v>
      </c>
    </row>
    <row r="83" spans="2:99">
      <c r="C83" s="99" t="s">
        <v>249</v>
      </c>
      <c r="D83" s="100">
        <v>5</v>
      </c>
      <c r="E83" s="100">
        <v>4302</v>
      </c>
      <c r="F83" s="100">
        <v>8</v>
      </c>
      <c r="G83" s="100">
        <v>6883.2</v>
      </c>
      <c r="H83" s="100">
        <v>7</v>
      </c>
      <c r="I83" s="100">
        <v>6022.8</v>
      </c>
      <c r="J83" s="100">
        <v>7</v>
      </c>
      <c r="K83" s="100">
        <v>6022.8</v>
      </c>
      <c r="L83" s="100">
        <v>6</v>
      </c>
      <c r="M83" s="100">
        <v>5162.3999999999996</v>
      </c>
      <c r="N83" s="100">
        <v>9</v>
      </c>
      <c r="O83" s="100">
        <v>7743.5999999999995</v>
      </c>
      <c r="P83" s="100">
        <v>10</v>
      </c>
      <c r="Q83" s="100">
        <v>8604</v>
      </c>
      <c r="R83" s="100">
        <v>7</v>
      </c>
      <c r="S83" s="100">
        <v>6022.8</v>
      </c>
      <c r="T83" s="100">
        <v>7</v>
      </c>
      <c r="U83" s="100">
        <v>6022.8</v>
      </c>
      <c r="V83" s="100">
        <v>8</v>
      </c>
      <c r="W83" s="100">
        <v>6883.2</v>
      </c>
      <c r="X83" s="100">
        <v>10</v>
      </c>
      <c r="Y83" s="100">
        <v>8604</v>
      </c>
      <c r="Z83" s="100">
        <v>7</v>
      </c>
      <c r="AA83" s="100">
        <v>6022.8</v>
      </c>
      <c r="AB83" s="100">
        <v>7</v>
      </c>
      <c r="AC83" s="100">
        <v>6022.8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7</v>
      </c>
      <c r="AI83" s="100">
        <v>6022.8</v>
      </c>
      <c r="AJ83" s="100">
        <v>6</v>
      </c>
      <c r="AK83" s="100">
        <v>5162.3999999999996</v>
      </c>
      <c r="AL83" s="100">
        <v>9</v>
      </c>
      <c r="AM83" s="100">
        <v>7743.5999999999995</v>
      </c>
      <c r="AN83" s="100">
        <v>6</v>
      </c>
      <c r="AO83" s="100">
        <v>5162.3999999999996</v>
      </c>
      <c r="AP83" s="100">
        <v>8</v>
      </c>
      <c r="AQ83" s="100">
        <v>6883.2</v>
      </c>
      <c r="AR83" s="100">
        <v>8</v>
      </c>
      <c r="AS83" s="100">
        <v>6883.2</v>
      </c>
      <c r="AT83" s="100">
        <v>8</v>
      </c>
      <c r="AU83" s="100">
        <v>6883.2</v>
      </c>
      <c r="AV83" s="100">
        <v>7</v>
      </c>
      <c r="AW83" s="100">
        <v>6022.8</v>
      </c>
      <c r="AX83" s="100">
        <v>8</v>
      </c>
      <c r="AY83" s="100">
        <v>6883.2</v>
      </c>
      <c r="AZ83" s="100">
        <v>7</v>
      </c>
      <c r="BA83" s="100">
        <v>6022.8</v>
      </c>
      <c r="BB83" s="100">
        <v>7</v>
      </c>
      <c r="BC83" s="100">
        <v>6022.8</v>
      </c>
      <c r="BD83" s="100">
        <v>5</v>
      </c>
      <c r="BE83" s="100">
        <v>4302</v>
      </c>
      <c r="BF83" s="100">
        <v>10</v>
      </c>
      <c r="BG83" s="100">
        <v>8604</v>
      </c>
      <c r="BH83" s="100">
        <v>7</v>
      </c>
      <c r="BI83" s="100">
        <v>6022.8</v>
      </c>
      <c r="BJ83" s="100">
        <v>11</v>
      </c>
      <c r="BK83" s="100">
        <v>9464.4</v>
      </c>
      <c r="BL83" s="100">
        <v>6</v>
      </c>
      <c r="BM83" s="100">
        <v>5162.3999999999996</v>
      </c>
      <c r="BN83" s="100">
        <v>10</v>
      </c>
      <c r="BO83" s="100">
        <v>8604</v>
      </c>
      <c r="BP83" s="100">
        <v>9</v>
      </c>
      <c r="BQ83" s="100">
        <v>7743.5999999999995</v>
      </c>
      <c r="BR83" s="100">
        <v>10</v>
      </c>
      <c r="BS83" s="100">
        <v>8604</v>
      </c>
      <c r="BT83" s="100">
        <v>5</v>
      </c>
      <c r="BU83" s="100">
        <v>4302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9</v>
      </c>
      <c r="CA83" s="100">
        <v>7743.5999999999995</v>
      </c>
      <c r="CB83" s="100">
        <v>5</v>
      </c>
      <c r="CC83" s="100">
        <v>4302</v>
      </c>
      <c r="CD83" s="100">
        <v>9</v>
      </c>
      <c r="CE83" s="100">
        <v>7743.5999999999995</v>
      </c>
      <c r="CF83" s="100">
        <v>10</v>
      </c>
      <c r="CG83" s="100">
        <v>8604</v>
      </c>
      <c r="CH83" s="100">
        <v>8</v>
      </c>
      <c r="CI83" s="100">
        <v>6883.2</v>
      </c>
      <c r="CJ83" s="100">
        <v>9</v>
      </c>
      <c r="CK83" s="100">
        <v>7743.5999999999995</v>
      </c>
      <c r="CL83" s="100">
        <v>11</v>
      </c>
      <c r="CM83" s="100">
        <v>9464.4</v>
      </c>
      <c r="CN83" s="100">
        <v>9</v>
      </c>
      <c r="CO83" s="100">
        <v>7743.5999999999995</v>
      </c>
      <c r="CP83" s="100">
        <v>6</v>
      </c>
      <c r="CQ83" s="100">
        <v>5162.3999999999996</v>
      </c>
      <c r="CR83" s="100">
        <v>7</v>
      </c>
      <c r="CS83" s="100">
        <v>6022.8</v>
      </c>
      <c r="CT83" s="100">
        <v>11</v>
      </c>
      <c r="CU83" s="100">
        <v>9464.4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8</v>
      </c>
      <c r="G84" s="100">
        <v>6249.5999999999995</v>
      </c>
      <c r="H84" s="100">
        <v>8</v>
      </c>
      <c r="I84" s="100">
        <v>6249.5999999999995</v>
      </c>
      <c r="J84" s="100">
        <v>7</v>
      </c>
      <c r="K84" s="100">
        <v>5468.4</v>
      </c>
      <c r="L84" s="100">
        <v>6</v>
      </c>
      <c r="M84" s="100">
        <v>4687.2</v>
      </c>
      <c r="N84" s="100">
        <v>9</v>
      </c>
      <c r="O84" s="100">
        <v>7030.7999999999993</v>
      </c>
      <c r="P84" s="100">
        <v>10</v>
      </c>
      <c r="Q84" s="100">
        <v>7811.9999999999991</v>
      </c>
      <c r="R84" s="100">
        <v>8</v>
      </c>
      <c r="S84" s="100">
        <v>6249.5999999999995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9</v>
      </c>
      <c r="Y84" s="100">
        <v>7030.7999999999993</v>
      </c>
      <c r="Z84" s="100">
        <v>7</v>
      </c>
      <c r="AA84" s="100">
        <v>5468.4</v>
      </c>
      <c r="AB84" s="100">
        <v>7</v>
      </c>
      <c r="AC84" s="100">
        <v>5468.4</v>
      </c>
      <c r="AD84" s="100">
        <v>5</v>
      </c>
      <c r="AE84" s="100">
        <v>3905.9999999999995</v>
      </c>
      <c r="AF84" s="100">
        <v>8</v>
      </c>
      <c r="AG84" s="100">
        <v>6249.5999999999995</v>
      </c>
      <c r="AH84" s="100">
        <v>7</v>
      </c>
      <c r="AI84" s="100">
        <v>5468.4</v>
      </c>
      <c r="AJ84" s="100">
        <v>5</v>
      </c>
      <c r="AK84" s="100">
        <v>3905.9999999999995</v>
      </c>
      <c r="AL84" s="100">
        <v>9</v>
      </c>
      <c r="AM84" s="100">
        <v>7030.7999999999993</v>
      </c>
      <c r="AN84" s="100">
        <v>6</v>
      </c>
      <c r="AO84" s="100">
        <v>4687.2</v>
      </c>
      <c r="AP84" s="100">
        <v>8</v>
      </c>
      <c r="AQ84" s="100">
        <v>6249.5999999999995</v>
      </c>
      <c r="AR84" s="100">
        <v>8</v>
      </c>
      <c r="AS84" s="100">
        <v>6249.5999999999995</v>
      </c>
      <c r="AT84" s="100">
        <v>9</v>
      </c>
      <c r="AU84" s="100">
        <v>7030.7999999999993</v>
      </c>
      <c r="AV84" s="100">
        <v>7</v>
      </c>
      <c r="AW84" s="100">
        <v>5468.4</v>
      </c>
      <c r="AX84" s="100">
        <v>8</v>
      </c>
      <c r="AY84" s="100">
        <v>6249.5999999999995</v>
      </c>
      <c r="AZ84" s="100">
        <v>7</v>
      </c>
      <c r="BA84" s="100">
        <v>5468.4</v>
      </c>
      <c r="BB84" s="100">
        <v>7</v>
      </c>
      <c r="BC84" s="100">
        <v>5468.4</v>
      </c>
      <c r="BD84" s="100">
        <v>6</v>
      </c>
      <c r="BE84" s="100">
        <v>4687.2</v>
      </c>
      <c r="BF84" s="100">
        <v>9</v>
      </c>
      <c r="BG84" s="100">
        <v>7030.7999999999993</v>
      </c>
      <c r="BH84" s="100">
        <v>8</v>
      </c>
      <c r="BI84" s="100">
        <v>6249.5999999999995</v>
      </c>
      <c r="BJ84" s="100">
        <v>9</v>
      </c>
      <c r="BK84" s="100">
        <v>7030.7999999999993</v>
      </c>
      <c r="BL84" s="100">
        <v>6</v>
      </c>
      <c r="BM84" s="100">
        <v>4687.2</v>
      </c>
      <c r="BN84" s="100">
        <v>11</v>
      </c>
      <c r="BO84" s="100">
        <v>8593.1999999999989</v>
      </c>
      <c r="BP84" s="100">
        <v>9</v>
      </c>
      <c r="BQ84" s="100">
        <v>7030.7999999999993</v>
      </c>
      <c r="BR84" s="100">
        <v>11</v>
      </c>
      <c r="BS84" s="100">
        <v>8593.1999999999989</v>
      </c>
      <c r="BT84" s="100">
        <v>6</v>
      </c>
      <c r="BU84" s="100">
        <v>4687.2</v>
      </c>
      <c r="BV84" s="100">
        <v>10</v>
      </c>
      <c r="BW84" s="100">
        <v>7811.9999999999991</v>
      </c>
      <c r="BX84" s="100">
        <v>6</v>
      </c>
      <c r="BY84" s="100">
        <v>4687.2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9</v>
      </c>
      <c r="CE84" s="100">
        <v>7030.7999999999993</v>
      </c>
      <c r="CF84" s="100">
        <v>9</v>
      </c>
      <c r="CG84" s="100">
        <v>7030.7999999999993</v>
      </c>
      <c r="CH84" s="100">
        <v>10</v>
      </c>
      <c r="CI84" s="100">
        <v>7811.9999999999991</v>
      </c>
      <c r="CJ84" s="100">
        <v>9</v>
      </c>
      <c r="CK84" s="100">
        <v>7030.7999999999993</v>
      </c>
      <c r="CL84" s="100">
        <v>11</v>
      </c>
      <c r="CM84" s="100">
        <v>8593.1999999999989</v>
      </c>
      <c r="CN84" s="100">
        <v>8</v>
      </c>
      <c r="CO84" s="100">
        <v>6249.5999999999995</v>
      </c>
      <c r="CP84" s="100">
        <v>6</v>
      </c>
      <c r="CQ84" s="100">
        <v>4687.2</v>
      </c>
      <c r="CR84" s="100">
        <v>6</v>
      </c>
      <c r="CS84" s="100">
        <v>4687.2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5</v>
      </c>
      <c r="E85" s="100">
        <v>750</v>
      </c>
      <c r="F85" s="100">
        <v>9</v>
      </c>
      <c r="G85" s="100">
        <v>1350</v>
      </c>
      <c r="H85" s="100">
        <v>8</v>
      </c>
      <c r="I85" s="100">
        <v>1200</v>
      </c>
      <c r="J85" s="100">
        <v>8</v>
      </c>
      <c r="K85" s="100">
        <v>1200</v>
      </c>
      <c r="L85" s="100">
        <v>7</v>
      </c>
      <c r="M85" s="100">
        <v>1050</v>
      </c>
      <c r="N85" s="100">
        <v>10</v>
      </c>
      <c r="O85" s="100">
        <v>1500</v>
      </c>
      <c r="P85" s="100">
        <v>10</v>
      </c>
      <c r="Q85" s="100">
        <v>1500</v>
      </c>
      <c r="R85" s="100">
        <v>7</v>
      </c>
      <c r="S85" s="100">
        <v>1050</v>
      </c>
      <c r="T85" s="100">
        <v>9</v>
      </c>
      <c r="U85" s="100">
        <v>1350</v>
      </c>
      <c r="V85" s="100">
        <v>10</v>
      </c>
      <c r="W85" s="100">
        <v>1500</v>
      </c>
      <c r="X85" s="100">
        <v>9</v>
      </c>
      <c r="Y85" s="100">
        <v>1350</v>
      </c>
      <c r="Z85" s="100">
        <v>7</v>
      </c>
      <c r="AA85" s="100">
        <v>1050</v>
      </c>
      <c r="AB85" s="100">
        <v>7</v>
      </c>
      <c r="AC85" s="100">
        <v>1050</v>
      </c>
      <c r="AD85" s="100">
        <v>5</v>
      </c>
      <c r="AE85" s="100">
        <v>750</v>
      </c>
      <c r="AF85" s="100">
        <v>8</v>
      </c>
      <c r="AG85" s="100">
        <v>1200</v>
      </c>
      <c r="AH85" s="100">
        <v>6</v>
      </c>
      <c r="AI85" s="100">
        <v>900</v>
      </c>
      <c r="AJ85" s="100">
        <v>6</v>
      </c>
      <c r="AK85" s="100">
        <v>900</v>
      </c>
      <c r="AL85" s="100">
        <v>9</v>
      </c>
      <c r="AM85" s="100">
        <v>1350</v>
      </c>
      <c r="AN85" s="100">
        <v>6</v>
      </c>
      <c r="AO85" s="100">
        <v>900</v>
      </c>
      <c r="AP85" s="100">
        <v>8</v>
      </c>
      <c r="AQ85" s="100">
        <v>1200</v>
      </c>
      <c r="AR85" s="100">
        <v>9</v>
      </c>
      <c r="AS85" s="100">
        <v>1350</v>
      </c>
      <c r="AT85" s="100">
        <v>9</v>
      </c>
      <c r="AU85" s="100">
        <v>1350</v>
      </c>
      <c r="AV85" s="100">
        <v>8</v>
      </c>
      <c r="AW85" s="100">
        <v>1200</v>
      </c>
      <c r="AX85" s="100">
        <v>9</v>
      </c>
      <c r="AY85" s="100">
        <v>1350</v>
      </c>
      <c r="AZ85" s="100">
        <v>8</v>
      </c>
      <c r="BA85" s="100">
        <v>1200</v>
      </c>
      <c r="BB85" s="100">
        <v>8</v>
      </c>
      <c r="BC85" s="100">
        <v>1200</v>
      </c>
      <c r="BD85" s="100">
        <v>6</v>
      </c>
      <c r="BE85" s="100">
        <v>900</v>
      </c>
      <c r="BF85" s="100">
        <v>10</v>
      </c>
      <c r="BG85" s="100">
        <v>1500</v>
      </c>
      <c r="BH85" s="100">
        <v>9</v>
      </c>
      <c r="BI85" s="100">
        <v>1350</v>
      </c>
      <c r="BJ85" s="100">
        <v>10</v>
      </c>
      <c r="BK85" s="100">
        <v>1500</v>
      </c>
      <c r="BL85" s="100">
        <v>6</v>
      </c>
      <c r="BM85" s="100">
        <v>900</v>
      </c>
      <c r="BN85" s="100">
        <v>11</v>
      </c>
      <c r="BO85" s="100">
        <v>1650</v>
      </c>
      <c r="BP85" s="100">
        <v>9</v>
      </c>
      <c r="BQ85" s="100">
        <v>1350</v>
      </c>
      <c r="BR85" s="100">
        <v>11</v>
      </c>
      <c r="BS85" s="100">
        <v>1650</v>
      </c>
      <c r="BT85" s="100">
        <v>6</v>
      </c>
      <c r="BU85" s="100">
        <v>900</v>
      </c>
      <c r="BV85" s="100">
        <v>10</v>
      </c>
      <c r="BW85" s="100">
        <v>1500</v>
      </c>
      <c r="BX85" s="100">
        <v>6</v>
      </c>
      <c r="BY85" s="100">
        <v>900</v>
      </c>
      <c r="BZ85" s="100">
        <v>9</v>
      </c>
      <c r="CA85" s="100">
        <v>1350</v>
      </c>
      <c r="CB85" s="100">
        <v>6</v>
      </c>
      <c r="CC85" s="100">
        <v>900</v>
      </c>
      <c r="CD85" s="100">
        <v>9</v>
      </c>
      <c r="CE85" s="100">
        <v>1350</v>
      </c>
      <c r="CF85" s="100">
        <v>11</v>
      </c>
      <c r="CG85" s="100">
        <v>1650</v>
      </c>
      <c r="CH85" s="100">
        <v>9</v>
      </c>
      <c r="CI85" s="100">
        <v>1350</v>
      </c>
      <c r="CJ85" s="100">
        <v>10</v>
      </c>
      <c r="CK85" s="100">
        <v>1500</v>
      </c>
      <c r="CL85" s="100">
        <v>11</v>
      </c>
      <c r="CM85" s="100">
        <v>1650</v>
      </c>
      <c r="CN85" s="100">
        <v>8</v>
      </c>
      <c r="CO85" s="100">
        <v>1200</v>
      </c>
      <c r="CP85" s="100">
        <v>7</v>
      </c>
      <c r="CQ85" s="100">
        <v>1050</v>
      </c>
      <c r="CR85" s="100">
        <v>6</v>
      </c>
      <c r="CS85" s="100">
        <v>900</v>
      </c>
      <c r="CT85" s="100">
        <v>11</v>
      </c>
      <c r="CU85" s="100">
        <v>1650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8</v>
      </c>
      <c r="I86" s="100">
        <v>4320</v>
      </c>
      <c r="J86" s="100">
        <v>7</v>
      </c>
      <c r="K86" s="100">
        <v>3780</v>
      </c>
      <c r="L86" s="100">
        <v>7</v>
      </c>
      <c r="M86" s="100">
        <v>3780</v>
      </c>
      <c r="N86" s="100">
        <v>9</v>
      </c>
      <c r="O86" s="100">
        <v>4860</v>
      </c>
      <c r="P86" s="100">
        <v>9</v>
      </c>
      <c r="Q86" s="100">
        <v>4860</v>
      </c>
      <c r="R86" s="100">
        <v>8</v>
      </c>
      <c r="S86" s="100">
        <v>4320</v>
      </c>
      <c r="T86" s="100">
        <v>9</v>
      </c>
      <c r="U86" s="100">
        <v>4860</v>
      </c>
      <c r="V86" s="100">
        <v>8</v>
      </c>
      <c r="W86" s="100">
        <v>4320</v>
      </c>
      <c r="X86" s="100">
        <v>10</v>
      </c>
      <c r="Y86" s="100">
        <v>5400</v>
      </c>
      <c r="Z86" s="100">
        <v>6</v>
      </c>
      <c r="AA86" s="100">
        <v>3240</v>
      </c>
      <c r="AB86" s="100">
        <v>8</v>
      </c>
      <c r="AC86" s="100">
        <v>4320</v>
      </c>
      <c r="AD86" s="100">
        <v>5</v>
      </c>
      <c r="AE86" s="100">
        <v>2700</v>
      </c>
      <c r="AF86" s="100">
        <v>8</v>
      </c>
      <c r="AG86" s="100">
        <v>4320</v>
      </c>
      <c r="AH86" s="100">
        <v>6</v>
      </c>
      <c r="AI86" s="100">
        <v>3240</v>
      </c>
      <c r="AJ86" s="100">
        <v>5</v>
      </c>
      <c r="AK86" s="100">
        <v>2700</v>
      </c>
      <c r="AL86" s="100">
        <v>9</v>
      </c>
      <c r="AM86" s="100">
        <v>4860</v>
      </c>
      <c r="AN86" s="100">
        <v>5</v>
      </c>
      <c r="AO86" s="100">
        <v>2700</v>
      </c>
      <c r="AP86" s="100">
        <v>8</v>
      </c>
      <c r="AQ86" s="100">
        <v>4320</v>
      </c>
      <c r="AR86" s="100">
        <v>9</v>
      </c>
      <c r="AS86" s="100">
        <v>4860</v>
      </c>
      <c r="AT86" s="100">
        <v>9</v>
      </c>
      <c r="AU86" s="100">
        <v>4860</v>
      </c>
      <c r="AV86" s="100">
        <v>7</v>
      </c>
      <c r="AW86" s="100">
        <v>3780</v>
      </c>
      <c r="AX86" s="100">
        <v>8</v>
      </c>
      <c r="AY86" s="100">
        <v>4320</v>
      </c>
      <c r="AZ86" s="100">
        <v>7</v>
      </c>
      <c r="BA86" s="100">
        <v>3780</v>
      </c>
      <c r="BB86" s="100">
        <v>7</v>
      </c>
      <c r="BC86" s="100">
        <v>3780</v>
      </c>
      <c r="BD86" s="100">
        <v>6</v>
      </c>
      <c r="BE86" s="100">
        <v>3240</v>
      </c>
      <c r="BF86" s="100">
        <v>10</v>
      </c>
      <c r="BG86" s="100">
        <v>5400</v>
      </c>
      <c r="BH86" s="100">
        <v>8</v>
      </c>
      <c r="BI86" s="100">
        <v>4320</v>
      </c>
      <c r="BJ86" s="100">
        <v>11</v>
      </c>
      <c r="BK86" s="100">
        <v>5940</v>
      </c>
      <c r="BL86" s="100">
        <v>5</v>
      </c>
      <c r="BM86" s="100">
        <v>2700</v>
      </c>
      <c r="BN86" s="100">
        <v>11</v>
      </c>
      <c r="BO86" s="100">
        <v>5940</v>
      </c>
      <c r="BP86" s="100">
        <v>11</v>
      </c>
      <c r="BQ86" s="100">
        <v>5940</v>
      </c>
      <c r="BR86" s="100">
        <v>9</v>
      </c>
      <c r="BS86" s="100">
        <v>4860</v>
      </c>
      <c r="BT86" s="100">
        <v>6</v>
      </c>
      <c r="BU86" s="100">
        <v>3240</v>
      </c>
      <c r="BV86" s="100">
        <v>10</v>
      </c>
      <c r="BW86" s="100">
        <v>5400</v>
      </c>
      <c r="BX86" s="100">
        <v>6</v>
      </c>
      <c r="BY86" s="100">
        <v>3240</v>
      </c>
      <c r="BZ86" s="100">
        <v>8</v>
      </c>
      <c r="CA86" s="100">
        <v>4320</v>
      </c>
      <c r="CB86" s="100">
        <v>6</v>
      </c>
      <c r="CC86" s="100">
        <v>3240</v>
      </c>
      <c r="CD86" s="100">
        <v>10</v>
      </c>
      <c r="CE86" s="100">
        <v>5400</v>
      </c>
      <c r="CF86" s="100">
        <v>10</v>
      </c>
      <c r="CG86" s="100">
        <v>5400</v>
      </c>
      <c r="CH86" s="100">
        <v>9</v>
      </c>
      <c r="CI86" s="100">
        <v>4860</v>
      </c>
      <c r="CJ86" s="100">
        <v>9</v>
      </c>
      <c r="CK86" s="100">
        <v>4860</v>
      </c>
      <c r="CL86" s="100">
        <v>11</v>
      </c>
      <c r="CM86" s="100">
        <v>5940</v>
      </c>
      <c r="CN86" s="100">
        <v>9</v>
      </c>
      <c r="CO86" s="100">
        <v>4860</v>
      </c>
      <c r="CP86" s="100">
        <v>7</v>
      </c>
      <c r="CQ86" s="100">
        <v>3780</v>
      </c>
      <c r="CR86" s="100">
        <v>7</v>
      </c>
      <c r="CS86" s="100">
        <v>3780</v>
      </c>
      <c r="CT86" s="100">
        <v>11</v>
      </c>
      <c r="CU86" s="100">
        <v>5940</v>
      </c>
    </row>
    <row r="87" spans="2:99">
      <c r="B87" s="99" t="s">
        <v>131</v>
      </c>
      <c r="C87" s="99" t="s">
        <v>253</v>
      </c>
      <c r="D87" s="100">
        <v>11</v>
      </c>
      <c r="E87" s="100">
        <v>11814</v>
      </c>
      <c r="F87" s="100">
        <v>10</v>
      </c>
      <c r="G87" s="100">
        <v>10740</v>
      </c>
      <c r="H87" s="100">
        <v>11</v>
      </c>
      <c r="I87" s="100">
        <v>11814</v>
      </c>
      <c r="J87" s="100">
        <v>12</v>
      </c>
      <c r="K87" s="100">
        <v>12888</v>
      </c>
      <c r="L87" s="100">
        <v>9</v>
      </c>
      <c r="M87" s="100">
        <v>9666</v>
      </c>
      <c r="N87" s="100">
        <v>9</v>
      </c>
      <c r="O87" s="100">
        <v>9666</v>
      </c>
      <c r="P87" s="100">
        <v>7</v>
      </c>
      <c r="Q87" s="100">
        <v>7518</v>
      </c>
      <c r="R87" s="100">
        <v>10</v>
      </c>
      <c r="S87" s="100">
        <v>10740</v>
      </c>
      <c r="T87" s="100">
        <v>6</v>
      </c>
      <c r="U87" s="100">
        <v>6444</v>
      </c>
      <c r="V87" s="100">
        <v>11</v>
      </c>
      <c r="W87" s="100">
        <v>11814</v>
      </c>
      <c r="X87" s="100">
        <v>9</v>
      </c>
      <c r="Y87" s="100">
        <v>9666</v>
      </c>
      <c r="Z87" s="100">
        <v>7</v>
      </c>
      <c r="AA87" s="100">
        <v>7518</v>
      </c>
      <c r="AB87" s="100">
        <v>10</v>
      </c>
      <c r="AC87" s="100">
        <v>10740</v>
      </c>
      <c r="AD87" s="100">
        <v>10</v>
      </c>
      <c r="AE87" s="100">
        <v>10740</v>
      </c>
      <c r="AF87" s="100">
        <v>9</v>
      </c>
      <c r="AG87" s="100">
        <v>9666</v>
      </c>
      <c r="AH87" s="100">
        <v>8.2347488008639281E-23</v>
      </c>
      <c r="AI87" s="100">
        <v>8.8441202121278591E-20</v>
      </c>
      <c r="AJ87" s="100">
        <v>8</v>
      </c>
      <c r="AK87" s="100">
        <v>8592</v>
      </c>
      <c r="AL87" s="100">
        <v>12</v>
      </c>
      <c r="AM87" s="100">
        <v>12888</v>
      </c>
      <c r="AN87" s="100">
        <v>7</v>
      </c>
      <c r="AO87" s="100">
        <v>7518</v>
      </c>
      <c r="AP87" s="100">
        <v>7</v>
      </c>
      <c r="AQ87" s="100">
        <v>7518</v>
      </c>
      <c r="AR87" s="100">
        <v>11</v>
      </c>
      <c r="AS87" s="100">
        <v>11814</v>
      </c>
      <c r="AT87" s="100">
        <v>9</v>
      </c>
      <c r="AU87" s="100">
        <v>9666</v>
      </c>
      <c r="AV87" s="100">
        <v>7</v>
      </c>
      <c r="AW87" s="100">
        <v>7518</v>
      </c>
      <c r="AX87" s="100">
        <v>8</v>
      </c>
      <c r="AY87" s="100">
        <v>8592</v>
      </c>
      <c r="AZ87" s="100">
        <v>11</v>
      </c>
      <c r="BA87" s="100">
        <v>11814</v>
      </c>
      <c r="BB87" s="100">
        <v>7</v>
      </c>
      <c r="BC87" s="100">
        <v>7518</v>
      </c>
      <c r="BD87" s="100">
        <v>10</v>
      </c>
      <c r="BE87" s="100">
        <v>10740</v>
      </c>
      <c r="BF87" s="100">
        <v>10</v>
      </c>
      <c r="BG87" s="100">
        <v>10740</v>
      </c>
      <c r="BH87" s="100">
        <v>8</v>
      </c>
      <c r="BI87" s="100">
        <v>8592</v>
      </c>
      <c r="BJ87" s="100">
        <v>8</v>
      </c>
      <c r="BK87" s="100">
        <v>8592</v>
      </c>
      <c r="BL87" s="100">
        <v>8</v>
      </c>
      <c r="BM87" s="100">
        <v>8592</v>
      </c>
      <c r="BN87" s="100">
        <v>10</v>
      </c>
      <c r="BO87" s="100">
        <v>10740</v>
      </c>
      <c r="BP87" s="100">
        <v>11</v>
      </c>
      <c r="BQ87" s="100">
        <v>11814</v>
      </c>
      <c r="BR87" s="100">
        <v>8</v>
      </c>
      <c r="BS87" s="100">
        <v>8592</v>
      </c>
      <c r="BT87" s="100">
        <v>10</v>
      </c>
      <c r="BU87" s="100">
        <v>10740</v>
      </c>
      <c r="BV87" s="100">
        <v>9</v>
      </c>
      <c r="BW87" s="100">
        <v>9666</v>
      </c>
      <c r="BX87" s="100">
        <v>10</v>
      </c>
      <c r="BY87" s="100">
        <v>10740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12</v>
      </c>
      <c r="CE87" s="100">
        <v>12888</v>
      </c>
      <c r="CF87" s="100">
        <v>8</v>
      </c>
      <c r="CG87" s="100">
        <v>8592</v>
      </c>
      <c r="CH87" s="100">
        <v>11</v>
      </c>
      <c r="CI87" s="100">
        <v>11814</v>
      </c>
      <c r="CJ87" s="100">
        <v>8</v>
      </c>
      <c r="CK87" s="100">
        <v>8592</v>
      </c>
      <c r="CL87" s="100">
        <v>13</v>
      </c>
      <c r="CM87" s="100">
        <v>13962</v>
      </c>
      <c r="CN87" s="100">
        <v>7</v>
      </c>
      <c r="CO87" s="100">
        <v>7518</v>
      </c>
      <c r="CP87" s="100">
        <v>13</v>
      </c>
      <c r="CQ87" s="100">
        <v>13962</v>
      </c>
      <c r="CR87" s="100">
        <v>8</v>
      </c>
      <c r="CS87" s="100">
        <v>8592</v>
      </c>
      <c r="CT87" s="100">
        <v>13</v>
      </c>
      <c r="CU87" s="100">
        <v>13962</v>
      </c>
    </row>
    <row r="88" spans="2:99">
      <c r="C88" s="99" t="s">
        <v>254</v>
      </c>
      <c r="D88" s="100">
        <v>11</v>
      </c>
      <c r="E88" s="100">
        <v>10916.4</v>
      </c>
      <c r="F88" s="100">
        <v>10</v>
      </c>
      <c r="G88" s="100">
        <v>9924</v>
      </c>
      <c r="H88" s="100">
        <v>10</v>
      </c>
      <c r="I88" s="100">
        <v>9924</v>
      </c>
      <c r="J88" s="100">
        <v>11</v>
      </c>
      <c r="K88" s="100">
        <v>10916.4</v>
      </c>
      <c r="L88" s="100">
        <v>10</v>
      </c>
      <c r="M88" s="100">
        <v>9924</v>
      </c>
      <c r="N88" s="100">
        <v>9</v>
      </c>
      <c r="O88" s="100">
        <v>8931.6</v>
      </c>
      <c r="P88" s="100">
        <v>8</v>
      </c>
      <c r="Q88" s="100">
        <v>7939.2</v>
      </c>
      <c r="R88" s="100">
        <v>10</v>
      </c>
      <c r="S88" s="100">
        <v>9924</v>
      </c>
      <c r="T88" s="100">
        <v>6</v>
      </c>
      <c r="U88" s="100">
        <v>5954.4</v>
      </c>
      <c r="V88" s="100">
        <v>11</v>
      </c>
      <c r="W88" s="100">
        <v>10916.4</v>
      </c>
      <c r="X88" s="100">
        <v>7</v>
      </c>
      <c r="Y88" s="100">
        <v>6946.8</v>
      </c>
      <c r="Z88" s="100">
        <v>7</v>
      </c>
      <c r="AA88" s="100">
        <v>6946.8</v>
      </c>
      <c r="AB88" s="100">
        <v>10</v>
      </c>
      <c r="AC88" s="100">
        <v>9924</v>
      </c>
      <c r="AD88" s="100">
        <v>10</v>
      </c>
      <c r="AE88" s="100">
        <v>9924</v>
      </c>
      <c r="AF88" s="100">
        <v>9</v>
      </c>
      <c r="AG88" s="100">
        <v>8931.6</v>
      </c>
      <c r="AH88" s="100">
        <v>9.4111414867016324E-23</v>
      </c>
      <c r="AI88" s="100">
        <v>9.3396168114026994E-20</v>
      </c>
      <c r="AJ88" s="100">
        <v>8</v>
      </c>
      <c r="AK88" s="100">
        <v>7939.2</v>
      </c>
      <c r="AL88" s="100">
        <v>12</v>
      </c>
      <c r="AM88" s="100">
        <v>11908.8</v>
      </c>
      <c r="AN88" s="100">
        <v>6</v>
      </c>
      <c r="AO88" s="100">
        <v>5954.4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10</v>
      </c>
      <c r="AU88" s="100">
        <v>9924</v>
      </c>
      <c r="AV88" s="100">
        <v>7</v>
      </c>
      <c r="AW88" s="100">
        <v>6946.8</v>
      </c>
      <c r="AX88" s="100">
        <v>7</v>
      </c>
      <c r="AY88" s="100">
        <v>6946.8</v>
      </c>
      <c r="AZ88" s="100">
        <v>11</v>
      </c>
      <c r="BA88" s="100">
        <v>10916.4</v>
      </c>
      <c r="BB88" s="100">
        <v>8</v>
      </c>
      <c r="BC88" s="100">
        <v>7939.2</v>
      </c>
      <c r="BD88" s="100">
        <v>10</v>
      </c>
      <c r="BE88" s="100">
        <v>9924</v>
      </c>
      <c r="BF88" s="100">
        <v>10</v>
      </c>
      <c r="BG88" s="100">
        <v>9924</v>
      </c>
      <c r="BH88" s="100">
        <v>9</v>
      </c>
      <c r="BI88" s="100">
        <v>8931.6</v>
      </c>
      <c r="BJ88" s="100">
        <v>9</v>
      </c>
      <c r="BK88" s="100">
        <v>8931.6</v>
      </c>
      <c r="BL88" s="100">
        <v>7</v>
      </c>
      <c r="BM88" s="100">
        <v>6946.8</v>
      </c>
      <c r="BN88" s="100">
        <v>11</v>
      </c>
      <c r="BO88" s="100">
        <v>10916.4</v>
      </c>
      <c r="BP88" s="100">
        <v>10</v>
      </c>
      <c r="BQ88" s="100">
        <v>9924</v>
      </c>
      <c r="BR88" s="100">
        <v>9</v>
      </c>
      <c r="BS88" s="100">
        <v>8931.6</v>
      </c>
      <c r="BT88" s="100">
        <v>10</v>
      </c>
      <c r="BU88" s="100">
        <v>9924</v>
      </c>
      <c r="BV88" s="100">
        <v>8</v>
      </c>
      <c r="BW88" s="100">
        <v>7939.2</v>
      </c>
      <c r="BX88" s="100">
        <v>10</v>
      </c>
      <c r="BY88" s="100">
        <v>9924</v>
      </c>
      <c r="BZ88" s="100">
        <v>9</v>
      </c>
      <c r="CA88" s="100">
        <v>8931.6</v>
      </c>
      <c r="CB88" s="100">
        <v>9</v>
      </c>
      <c r="CC88" s="100">
        <v>8931.6</v>
      </c>
      <c r="CD88" s="100">
        <v>13</v>
      </c>
      <c r="CE88" s="100">
        <v>12901.199999999999</v>
      </c>
      <c r="CF88" s="100">
        <v>8</v>
      </c>
      <c r="CG88" s="100">
        <v>7939.2</v>
      </c>
      <c r="CH88" s="100">
        <v>13</v>
      </c>
      <c r="CI88" s="100">
        <v>12901.199999999999</v>
      </c>
      <c r="CJ88" s="100">
        <v>10</v>
      </c>
      <c r="CK88" s="100">
        <v>9924</v>
      </c>
      <c r="CL88" s="100">
        <v>11</v>
      </c>
      <c r="CM88" s="100">
        <v>10916.4</v>
      </c>
      <c r="CN88" s="100">
        <v>6</v>
      </c>
      <c r="CO88" s="100">
        <v>5954.4</v>
      </c>
      <c r="CP88" s="100">
        <v>13</v>
      </c>
      <c r="CQ88" s="100">
        <v>12901.199999999999</v>
      </c>
      <c r="CR88" s="100">
        <v>10</v>
      </c>
      <c r="CS88" s="100">
        <v>9924</v>
      </c>
      <c r="CT88" s="100">
        <v>14</v>
      </c>
      <c r="CU88" s="100">
        <v>13893.6</v>
      </c>
    </row>
    <row r="89" spans="2:99">
      <c r="C89" s="99" t="s">
        <v>255</v>
      </c>
      <c r="D89" s="100">
        <v>10</v>
      </c>
      <c r="E89" s="100">
        <v>10620</v>
      </c>
      <c r="F89" s="100">
        <v>11</v>
      </c>
      <c r="G89" s="100">
        <v>11682</v>
      </c>
      <c r="H89" s="100">
        <v>10</v>
      </c>
      <c r="I89" s="100">
        <v>10620</v>
      </c>
      <c r="J89" s="100">
        <v>12</v>
      </c>
      <c r="K89" s="100">
        <v>12744</v>
      </c>
      <c r="L89" s="100">
        <v>9</v>
      </c>
      <c r="M89" s="100">
        <v>9558</v>
      </c>
      <c r="N89" s="100">
        <v>8</v>
      </c>
      <c r="O89" s="100">
        <v>8496</v>
      </c>
      <c r="P89" s="100">
        <v>7</v>
      </c>
      <c r="Q89" s="100">
        <v>7434</v>
      </c>
      <c r="R89" s="100">
        <v>10</v>
      </c>
      <c r="S89" s="100">
        <v>10620</v>
      </c>
      <c r="T89" s="100">
        <v>5</v>
      </c>
      <c r="U89" s="100">
        <v>5310</v>
      </c>
      <c r="V89" s="100">
        <v>10</v>
      </c>
      <c r="W89" s="100">
        <v>10620</v>
      </c>
      <c r="X89" s="100">
        <v>8</v>
      </c>
      <c r="Y89" s="100">
        <v>8496</v>
      </c>
      <c r="Z89" s="100">
        <v>7</v>
      </c>
      <c r="AA89" s="100">
        <v>7434</v>
      </c>
      <c r="AB89" s="100">
        <v>9</v>
      </c>
      <c r="AC89" s="100">
        <v>9558</v>
      </c>
      <c r="AD89" s="100">
        <v>11</v>
      </c>
      <c r="AE89" s="100">
        <v>11682</v>
      </c>
      <c r="AF89" s="100">
        <v>9</v>
      </c>
      <c r="AG89" s="100">
        <v>9558</v>
      </c>
      <c r="AH89" s="100">
        <v>9.4111414867016324E-23</v>
      </c>
      <c r="AI89" s="100">
        <v>9.9946322588771333E-20</v>
      </c>
      <c r="AJ89" s="100">
        <v>8</v>
      </c>
      <c r="AK89" s="100">
        <v>8496</v>
      </c>
      <c r="AL89" s="100">
        <v>11</v>
      </c>
      <c r="AM89" s="100">
        <v>11682</v>
      </c>
      <c r="AN89" s="100">
        <v>7</v>
      </c>
      <c r="AO89" s="100">
        <v>7434</v>
      </c>
      <c r="AP89" s="100">
        <v>7</v>
      </c>
      <c r="AQ89" s="100">
        <v>7434</v>
      </c>
      <c r="AR89" s="100">
        <v>9</v>
      </c>
      <c r="AS89" s="100">
        <v>9558</v>
      </c>
      <c r="AT89" s="100">
        <v>9</v>
      </c>
      <c r="AU89" s="100">
        <v>9558</v>
      </c>
      <c r="AV89" s="100">
        <v>7</v>
      </c>
      <c r="AW89" s="100">
        <v>7434</v>
      </c>
      <c r="AX89" s="100">
        <v>7</v>
      </c>
      <c r="AY89" s="100">
        <v>7434</v>
      </c>
      <c r="AZ89" s="100">
        <v>12</v>
      </c>
      <c r="BA89" s="100">
        <v>12744</v>
      </c>
      <c r="BB89" s="100">
        <v>8</v>
      </c>
      <c r="BC89" s="100">
        <v>8496</v>
      </c>
      <c r="BD89" s="100">
        <v>12</v>
      </c>
      <c r="BE89" s="100">
        <v>12744</v>
      </c>
      <c r="BF89" s="100">
        <v>10</v>
      </c>
      <c r="BG89" s="100">
        <v>10620</v>
      </c>
      <c r="BH89" s="100">
        <v>8</v>
      </c>
      <c r="BI89" s="100">
        <v>8496</v>
      </c>
      <c r="BJ89" s="100">
        <v>7</v>
      </c>
      <c r="BK89" s="100">
        <v>7434</v>
      </c>
      <c r="BL89" s="100">
        <v>7</v>
      </c>
      <c r="BM89" s="100">
        <v>7434</v>
      </c>
      <c r="BN89" s="100">
        <v>9</v>
      </c>
      <c r="BO89" s="100">
        <v>9558</v>
      </c>
      <c r="BP89" s="100">
        <v>11</v>
      </c>
      <c r="BQ89" s="100">
        <v>11682</v>
      </c>
      <c r="BR89" s="100">
        <v>8</v>
      </c>
      <c r="BS89" s="100">
        <v>8496</v>
      </c>
      <c r="BT89" s="100">
        <v>10</v>
      </c>
      <c r="BU89" s="100">
        <v>10620</v>
      </c>
      <c r="BV89" s="100">
        <v>8</v>
      </c>
      <c r="BW89" s="100">
        <v>8496</v>
      </c>
      <c r="BX89" s="100">
        <v>10</v>
      </c>
      <c r="BY89" s="100">
        <v>10620</v>
      </c>
      <c r="BZ89" s="100">
        <v>8</v>
      </c>
      <c r="CA89" s="100">
        <v>8496</v>
      </c>
      <c r="CB89" s="100">
        <v>9</v>
      </c>
      <c r="CC89" s="100">
        <v>9558</v>
      </c>
      <c r="CD89" s="100">
        <v>12</v>
      </c>
      <c r="CE89" s="100">
        <v>12744</v>
      </c>
      <c r="CF89" s="100">
        <v>7</v>
      </c>
      <c r="CG89" s="100">
        <v>7434</v>
      </c>
      <c r="CH89" s="100">
        <v>11</v>
      </c>
      <c r="CI89" s="100">
        <v>11682</v>
      </c>
      <c r="CJ89" s="100">
        <v>10</v>
      </c>
      <c r="CK89" s="100">
        <v>10620</v>
      </c>
      <c r="CL89" s="100">
        <v>10</v>
      </c>
      <c r="CM89" s="100">
        <v>10620</v>
      </c>
      <c r="CN89" s="100">
        <v>7</v>
      </c>
      <c r="CO89" s="100">
        <v>7434</v>
      </c>
      <c r="CP89" s="100">
        <v>14</v>
      </c>
      <c r="CQ89" s="100">
        <v>14868</v>
      </c>
      <c r="CR89" s="100">
        <v>8</v>
      </c>
      <c r="CS89" s="100">
        <v>8496</v>
      </c>
      <c r="CT89" s="100">
        <v>12</v>
      </c>
      <c r="CU89" s="100">
        <v>12744</v>
      </c>
    </row>
    <row r="90" spans="2:99">
      <c r="C90" s="99" t="s">
        <v>256</v>
      </c>
      <c r="D90" s="100">
        <v>10</v>
      </c>
      <c r="E90" s="100">
        <v>11088</v>
      </c>
      <c r="F90" s="100">
        <v>11</v>
      </c>
      <c r="G90" s="100">
        <v>12196.8</v>
      </c>
      <c r="H90" s="100">
        <v>11</v>
      </c>
      <c r="I90" s="100">
        <v>12196.8</v>
      </c>
      <c r="J90" s="100">
        <v>12</v>
      </c>
      <c r="K90" s="100">
        <v>13305.599999999999</v>
      </c>
      <c r="L90" s="100">
        <v>9</v>
      </c>
      <c r="M90" s="100">
        <v>9979.1999999999989</v>
      </c>
      <c r="N90" s="100">
        <v>8</v>
      </c>
      <c r="O90" s="100">
        <v>8870.4</v>
      </c>
      <c r="P90" s="100">
        <v>7</v>
      </c>
      <c r="Q90" s="100">
        <v>7761.5999999999995</v>
      </c>
      <c r="R90" s="100">
        <v>11</v>
      </c>
      <c r="S90" s="100">
        <v>12196.8</v>
      </c>
      <c r="T90" s="100">
        <v>5</v>
      </c>
      <c r="U90" s="100">
        <v>5544</v>
      </c>
      <c r="V90" s="100">
        <v>11</v>
      </c>
      <c r="W90" s="100">
        <v>12196.8</v>
      </c>
      <c r="X90" s="100">
        <v>8</v>
      </c>
      <c r="Y90" s="100">
        <v>8870.4</v>
      </c>
      <c r="Z90" s="100">
        <v>8</v>
      </c>
      <c r="AA90" s="100">
        <v>8870.4</v>
      </c>
      <c r="AB90" s="100">
        <v>10</v>
      </c>
      <c r="AC90" s="100">
        <v>11088</v>
      </c>
      <c r="AD90" s="100">
        <v>11</v>
      </c>
      <c r="AE90" s="100">
        <v>12196.8</v>
      </c>
      <c r="AF90" s="100">
        <v>9</v>
      </c>
      <c r="AG90" s="100">
        <v>9979.1999999999989</v>
      </c>
      <c r="AH90" s="100">
        <v>9.4111414867016324E-23</v>
      </c>
      <c r="AI90" s="100">
        <v>1.043507368045477E-19</v>
      </c>
      <c r="AJ90" s="100">
        <v>8</v>
      </c>
      <c r="AK90" s="100">
        <v>8870.4</v>
      </c>
      <c r="AL90" s="100">
        <v>13</v>
      </c>
      <c r="AM90" s="100">
        <v>14414.4</v>
      </c>
      <c r="AN90" s="100">
        <v>7</v>
      </c>
      <c r="AO90" s="100">
        <v>7761.5999999999995</v>
      </c>
      <c r="AP90" s="100">
        <v>7</v>
      </c>
      <c r="AQ90" s="100">
        <v>7761.5999999999995</v>
      </c>
      <c r="AR90" s="100">
        <v>9</v>
      </c>
      <c r="AS90" s="100">
        <v>9979.1999999999989</v>
      </c>
      <c r="AT90" s="100">
        <v>9</v>
      </c>
      <c r="AU90" s="100">
        <v>9979.1999999999989</v>
      </c>
      <c r="AV90" s="100">
        <v>7</v>
      </c>
      <c r="AW90" s="100">
        <v>7761.5999999999995</v>
      </c>
      <c r="AX90" s="100">
        <v>8</v>
      </c>
      <c r="AY90" s="100">
        <v>8870.4</v>
      </c>
      <c r="AZ90" s="100">
        <v>12</v>
      </c>
      <c r="BA90" s="100">
        <v>13305.599999999999</v>
      </c>
      <c r="BB90" s="100">
        <v>8</v>
      </c>
      <c r="BC90" s="100">
        <v>8870.4</v>
      </c>
      <c r="BD90" s="100">
        <v>10</v>
      </c>
      <c r="BE90" s="100">
        <v>11088</v>
      </c>
      <c r="BF90" s="100">
        <v>10</v>
      </c>
      <c r="BG90" s="100">
        <v>11088</v>
      </c>
      <c r="BH90" s="100">
        <v>9</v>
      </c>
      <c r="BI90" s="100">
        <v>9979.1999999999989</v>
      </c>
      <c r="BJ90" s="100">
        <v>9</v>
      </c>
      <c r="BK90" s="100">
        <v>9979.1999999999989</v>
      </c>
      <c r="BL90" s="100">
        <v>6</v>
      </c>
      <c r="BM90" s="100">
        <v>6652.7999999999993</v>
      </c>
      <c r="BN90" s="100">
        <v>10</v>
      </c>
      <c r="BO90" s="100">
        <v>11088</v>
      </c>
      <c r="BP90" s="100">
        <v>10</v>
      </c>
      <c r="BQ90" s="100">
        <v>11088</v>
      </c>
      <c r="BR90" s="100">
        <v>8</v>
      </c>
      <c r="BS90" s="100">
        <v>8870.4</v>
      </c>
      <c r="BT90" s="100">
        <v>9</v>
      </c>
      <c r="BU90" s="100">
        <v>9979.1999999999989</v>
      </c>
      <c r="BV90" s="100">
        <v>9</v>
      </c>
      <c r="BW90" s="100">
        <v>9979.1999999999989</v>
      </c>
      <c r="BX90" s="100">
        <v>9</v>
      </c>
      <c r="BY90" s="100">
        <v>9979.1999999999989</v>
      </c>
      <c r="BZ90" s="100">
        <v>9</v>
      </c>
      <c r="CA90" s="100">
        <v>9979.1999999999989</v>
      </c>
      <c r="CB90" s="100">
        <v>8</v>
      </c>
      <c r="CC90" s="100">
        <v>8870.4</v>
      </c>
      <c r="CD90" s="100">
        <v>12</v>
      </c>
      <c r="CE90" s="100">
        <v>13305.599999999999</v>
      </c>
      <c r="CF90" s="100">
        <v>7</v>
      </c>
      <c r="CG90" s="100">
        <v>7761.5999999999995</v>
      </c>
      <c r="CH90" s="100">
        <v>13</v>
      </c>
      <c r="CI90" s="100">
        <v>14414.4</v>
      </c>
      <c r="CJ90" s="100">
        <v>9</v>
      </c>
      <c r="CK90" s="100">
        <v>9979.1999999999989</v>
      </c>
      <c r="CL90" s="100">
        <v>12</v>
      </c>
      <c r="CM90" s="100">
        <v>13305.599999999999</v>
      </c>
      <c r="CN90" s="100">
        <v>7</v>
      </c>
      <c r="CO90" s="100">
        <v>7761.5999999999995</v>
      </c>
      <c r="CP90" s="100">
        <v>13</v>
      </c>
      <c r="CQ90" s="100">
        <v>14414.4</v>
      </c>
      <c r="CR90" s="100">
        <v>9</v>
      </c>
      <c r="CS90" s="100">
        <v>9979.1999999999989</v>
      </c>
      <c r="CT90" s="100">
        <v>12</v>
      </c>
      <c r="CU90" s="100">
        <v>13305.599999999999</v>
      </c>
    </row>
    <row r="91" spans="2:99">
      <c r="C91" s="99" t="s">
        <v>257</v>
      </c>
      <c r="D91" s="100">
        <v>10</v>
      </c>
      <c r="E91" s="100">
        <v>11363.999999999998</v>
      </c>
      <c r="F91" s="100">
        <v>11</v>
      </c>
      <c r="G91" s="100">
        <v>12500.399999999998</v>
      </c>
      <c r="H91" s="100">
        <v>10</v>
      </c>
      <c r="I91" s="100">
        <v>11363.999999999998</v>
      </c>
      <c r="J91" s="100">
        <v>11</v>
      </c>
      <c r="K91" s="100">
        <v>12500.399999999998</v>
      </c>
      <c r="L91" s="100">
        <v>9</v>
      </c>
      <c r="M91" s="100">
        <v>10227.599999999999</v>
      </c>
      <c r="N91" s="100">
        <v>9</v>
      </c>
      <c r="O91" s="100">
        <v>10227.599999999999</v>
      </c>
      <c r="P91" s="100">
        <v>8</v>
      </c>
      <c r="Q91" s="100">
        <v>9091.1999999999989</v>
      </c>
      <c r="R91" s="100">
        <v>12</v>
      </c>
      <c r="S91" s="100">
        <v>13636.8</v>
      </c>
      <c r="T91" s="100">
        <v>6</v>
      </c>
      <c r="U91" s="100">
        <v>6818.4</v>
      </c>
      <c r="V91" s="100">
        <v>11</v>
      </c>
      <c r="W91" s="100">
        <v>12500.399999999998</v>
      </c>
      <c r="X91" s="100">
        <v>8</v>
      </c>
      <c r="Y91" s="100">
        <v>9091.1999999999989</v>
      </c>
      <c r="Z91" s="100">
        <v>7</v>
      </c>
      <c r="AA91" s="100">
        <v>7954.7999999999993</v>
      </c>
      <c r="AB91" s="100">
        <v>10</v>
      </c>
      <c r="AC91" s="100">
        <v>11363.999999999998</v>
      </c>
      <c r="AD91" s="100">
        <v>11</v>
      </c>
      <c r="AE91" s="100">
        <v>12500.399999999998</v>
      </c>
      <c r="AF91" s="100">
        <v>10</v>
      </c>
      <c r="AG91" s="100">
        <v>11363.999999999998</v>
      </c>
      <c r="AH91" s="100">
        <v>9.4111414867016324E-23</v>
      </c>
      <c r="AI91" s="100">
        <v>1.0694821185487734E-19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7</v>
      </c>
      <c r="AO91" s="100">
        <v>7954.7999999999993</v>
      </c>
      <c r="AP91" s="100">
        <v>7</v>
      </c>
      <c r="AQ91" s="100">
        <v>7954.7999999999993</v>
      </c>
      <c r="AR91" s="100">
        <v>10</v>
      </c>
      <c r="AS91" s="100">
        <v>11363.999999999998</v>
      </c>
      <c r="AT91" s="100">
        <v>9</v>
      </c>
      <c r="AU91" s="100">
        <v>10227.599999999999</v>
      </c>
      <c r="AV91" s="100">
        <v>7</v>
      </c>
      <c r="AW91" s="100">
        <v>7954.7999999999993</v>
      </c>
      <c r="AX91" s="100">
        <v>8</v>
      </c>
      <c r="AY91" s="100">
        <v>9091.1999999999989</v>
      </c>
      <c r="AZ91" s="100">
        <v>12</v>
      </c>
      <c r="BA91" s="100">
        <v>13636.8</v>
      </c>
      <c r="BB91" s="100">
        <v>8</v>
      </c>
      <c r="BC91" s="100">
        <v>9091.1999999999989</v>
      </c>
      <c r="BD91" s="100">
        <v>10</v>
      </c>
      <c r="BE91" s="100">
        <v>11363.999999999998</v>
      </c>
      <c r="BF91" s="100">
        <v>9</v>
      </c>
      <c r="BG91" s="100">
        <v>10227.599999999999</v>
      </c>
      <c r="BH91" s="100">
        <v>10</v>
      </c>
      <c r="BI91" s="100">
        <v>11363.999999999998</v>
      </c>
      <c r="BJ91" s="100">
        <v>8</v>
      </c>
      <c r="BK91" s="100">
        <v>9091.1999999999989</v>
      </c>
      <c r="BL91" s="100">
        <v>7</v>
      </c>
      <c r="BM91" s="100">
        <v>7954.7999999999993</v>
      </c>
      <c r="BN91" s="100">
        <v>10</v>
      </c>
      <c r="BO91" s="100">
        <v>11363.999999999998</v>
      </c>
      <c r="BP91" s="100">
        <v>10</v>
      </c>
      <c r="BQ91" s="100">
        <v>11363.999999999998</v>
      </c>
      <c r="BR91" s="100">
        <v>8</v>
      </c>
      <c r="BS91" s="100">
        <v>9091.1999999999989</v>
      </c>
      <c r="BT91" s="100">
        <v>10</v>
      </c>
      <c r="BU91" s="100">
        <v>11363.999999999998</v>
      </c>
      <c r="BV91" s="100">
        <v>9</v>
      </c>
      <c r="BW91" s="100">
        <v>10227.599999999999</v>
      </c>
      <c r="BX91" s="100">
        <v>10</v>
      </c>
      <c r="BY91" s="100">
        <v>11363.999999999998</v>
      </c>
      <c r="BZ91" s="100">
        <v>8</v>
      </c>
      <c r="CA91" s="100">
        <v>9091.1999999999989</v>
      </c>
      <c r="CB91" s="100">
        <v>9</v>
      </c>
      <c r="CC91" s="100">
        <v>10227.599999999999</v>
      </c>
      <c r="CD91" s="100">
        <v>12</v>
      </c>
      <c r="CE91" s="100">
        <v>13636.8</v>
      </c>
      <c r="CF91" s="100">
        <v>7</v>
      </c>
      <c r="CG91" s="100">
        <v>7954.7999999999993</v>
      </c>
      <c r="CH91" s="100">
        <v>12</v>
      </c>
      <c r="CI91" s="100">
        <v>13636.8</v>
      </c>
      <c r="CJ91" s="100">
        <v>9</v>
      </c>
      <c r="CK91" s="100">
        <v>10227.599999999999</v>
      </c>
      <c r="CL91" s="100">
        <v>12</v>
      </c>
      <c r="CM91" s="100">
        <v>13636.8</v>
      </c>
      <c r="CN91" s="100">
        <v>6</v>
      </c>
      <c r="CO91" s="100">
        <v>6818.4</v>
      </c>
      <c r="CP91" s="100">
        <v>12</v>
      </c>
      <c r="CQ91" s="100">
        <v>13636.8</v>
      </c>
      <c r="CR91" s="100">
        <v>9</v>
      </c>
      <c r="CS91" s="100">
        <v>10227.599999999999</v>
      </c>
      <c r="CT91" s="100">
        <v>12</v>
      </c>
      <c r="CU91" s="100">
        <v>13636.8</v>
      </c>
    </row>
    <row r="92" spans="2:99">
      <c r="C92" s="99" t="s">
        <v>258</v>
      </c>
      <c r="D92" s="100">
        <v>9</v>
      </c>
      <c r="E92" s="100">
        <v>7063.2</v>
      </c>
      <c r="F92" s="100">
        <v>10</v>
      </c>
      <c r="G92" s="100">
        <v>7848</v>
      </c>
      <c r="H92" s="100">
        <v>12</v>
      </c>
      <c r="I92" s="100">
        <v>9417.5999999999985</v>
      </c>
      <c r="J92" s="100">
        <v>11</v>
      </c>
      <c r="K92" s="100">
        <v>8632.7999999999993</v>
      </c>
      <c r="L92" s="100">
        <v>9</v>
      </c>
      <c r="M92" s="100">
        <v>7063.2</v>
      </c>
      <c r="N92" s="100">
        <v>9</v>
      </c>
      <c r="O92" s="100">
        <v>7063.2</v>
      </c>
      <c r="P92" s="100">
        <v>7</v>
      </c>
      <c r="Q92" s="100">
        <v>5493.5999999999995</v>
      </c>
      <c r="R92" s="100">
        <v>11</v>
      </c>
      <c r="S92" s="100">
        <v>8632.7999999999993</v>
      </c>
      <c r="T92" s="100">
        <v>6</v>
      </c>
      <c r="U92" s="100">
        <v>4708.7999999999993</v>
      </c>
      <c r="V92" s="100">
        <v>12</v>
      </c>
      <c r="W92" s="100">
        <v>9417.5999999999985</v>
      </c>
      <c r="X92" s="100">
        <v>9</v>
      </c>
      <c r="Y92" s="100">
        <v>7063.2</v>
      </c>
      <c r="Z92" s="100">
        <v>7</v>
      </c>
      <c r="AA92" s="100">
        <v>5493.5999999999995</v>
      </c>
      <c r="AB92" s="100">
        <v>11</v>
      </c>
      <c r="AC92" s="100">
        <v>8632.7999999999993</v>
      </c>
      <c r="AD92" s="100">
        <v>11</v>
      </c>
      <c r="AE92" s="100">
        <v>8632.7999999999993</v>
      </c>
      <c r="AF92" s="100">
        <v>10</v>
      </c>
      <c r="AG92" s="100">
        <v>7848</v>
      </c>
      <c r="AH92" s="100">
        <v>8.2347488008639281E-23</v>
      </c>
      <c r="AI92" s="100">
        <v>6.4626308589180101E-20</v>
      </c>
      <c r="AJ92" s="100">
        <v>8</v>
      </c>
      <c r="AK92" s="100">
        <v>6278.4</v>
      </c>
      <c r="AL92" s="100">
        <v>12</v>
      </c>
      <c r="AM92" s="100">
        <v>9417.5999999999985</v>
      </c>
      <c r="AN92" s="100">
        <v>7</v>
      </c>
      <c r="AO92" s="100">
        <v>5493.5999999999995</v>
      </c>
      <c r="AP92" s="100">
        <v>8</v>
      </c>
      <c r="AQ92" s="100">
        <v>6278.4</v>
      </c>
      <c r="AR92" s="100">
        <v>11</v>
      </c>
      <c r="AS92" s="100">
        <v>8632.7999999999993</v>
      </c>
      <c r="AT92" s="100">
        <v>10</v>
      </c>
      <c r="AU92" s="100">
        <v>7848</v>
      </c>
      <c r="AV92" s="100">
        <v>7</v>
      </c>
      <c r="AW92" s="100">
        <v>5493.5999999999995</v>
      </c>
      <c r="AX92" s="100">
        <v>7</v>
      </c>
      <c r="AY92" s="100">
        <v>5493.5999999999995</v>
      </c>
      <c r="AZ92" s="100">
        <v>11</v>
      </c>
      <c r="BA92" s="100">
        <v>8632.7999999999993</v>
      </c>
      <c r="BB92" s="100">
        <v>7</v>
      </c>
      <c r="BC92" s="100">
        <v>5493.5999999999995</v>
      </c>
      <c r="BD92" s="100">
        <v>12</v>
      </c>
      <c r="BE92" s="100">
        <v>9417.5999999999985</v>
      </c>
      <c r="BF92" s="100">
        <v>11</v>
      </c>
      <c r="BG92" s="100">
        <v>8632.7999999999993</v>
      </c>
      <c r="BH92" s="100">
        <v>10</v>
      </c>
      <c r="BI92" s="100">
        <v>7848</v>
      </c>
      <c r="BJ92" s="100">
        <v>9</v>
      </c>
      <c r="BK92" s="100">
        <v>7063.2</v>
      </c>
      <c r="BL92" s="100">
        <v>7</v>
      </c>
      <c r="BM92" s="100">
        <v>5493.5999999999995</v>
      </c>
      <c r="BN92" s="100">
        <v>9</v>
      </c>
      <c r="BO92" s="100">
        <v>7063.2</v>
      </c>
      <c r="BP92" s="100">
        <v>9</v>
      </c>
      <c r="BQ92" s="100">
        <v>7063.2</v>
      </c>
      <c r="BR92" s="100">
        <v>8</v>
      </c>
      <c r="BS92" s="100">
        <v>6278.4</v>
      </c>
      <c r="BT92" s="100">
        <v>10</v>
      </c>
      <c r="BU92" s="100">
        <v>7848</v>
      </c>
      <c r="BV92" s="100">
        <v>9</v>
      </c>
      <c r="BW92" s="100">
        <v>7063.2</v>
      </c>
      <c r="BX92" s="100">
        <v>10</v>
      </c>
      <c r="BY92" s="100">
        <v>7848</v>
      </c>
      <c r="BZ92" s="100">
        <v>9</v>
      </c>
      <c r="CA92" s="100">
        <v>7063.2</v>
      </c>
      <c r="CB92" s="100">
        <v>8</v>
      </c>
      <c r="CC92" s="100">
        <v>6278.4</v>
      </c>
      <c r="CD92" s="100">
        <v>13</v>
      </c>
      <c r="CE92" s="100">
        <v>10202.4</v>
      </c>
      <c r="CF92" s="100">
        <v>8</v>
      </c>
      <c r="CG92" s="100">
        <v>6278.4</v>
      </c>
      <c r="CH92" s="100">
        <v>12</v>
      </c>
      <c r="CI92" s="100">
        <v>9417.5999999999985</v>
      </c>
      <c r="CJ92" s="100">
        <v>10</v>
      </c>
      <c r="CK92" s="100">
        <v>7848</v>
      </c>
      <c r="CL92" s="100">
        <v>12</v>
      </c>
      <c r="CM92" s="100">
        <v>9417.5999999999985</v>
      </c>
      <c r="CN92" s="100">
        <v>8</v>
      </c>
      <c r="CO92" s="100">
        <v>6278.4</v>
      </c>
      <c r="CP92" s="100">
        <v>13</v>
      </c>
      <c r="CQ92" s="100">
        <v>10202.4</v>
      </c>
      <c r="CR92" s="100">
        <v>10</v>
      </c>
      <c r="CS92" s="100">
        <v>7848</v>
      </c>
      <c r="CT92" s="100">
        <v>12</v>
      </c>
      <c r="CU92" s="100">
        <v>9417.5999999999985</v>
      </c>
    </row>
    <row r="93" spans="2:99">
      <c r="C93" s="99" t="s">
        <v>259</v>
      </c>
      <c r="D93" s="100">
        <v>9</v>
      </c>
      <c r="E93" s="100">
        <v>6242.4000000000005</v>
      </c>
      <c r="F93" s="100">
        <v>12</v>
      </c>
      <c r="G93" s="100">
        <v>8323.2000000000007</v>
      </c>
      <c r="H93" s="100">
        <v>12</v>
      </c>
      <c r="I93" s="100">
        <v>8323.2000000000007</v>
      </c>
      <c r="J93" s="100">
        <v>12</v>
      </c>
      <c r="K93" s="100">
        <v>8323.2000000000007</v>
      </c>
      <c r="L93" s="100">
        <v>9</v>
      </c>
      <c r="M93" s="100">
        <v>6242.4000000000005</v>
      </c>
      <c r="N93" s="100">
        <v>9</v>
      </c>
      <c r="O93" s="100">
        <v>6242.4000000000005</v>
      </c>
      <c r="P93" s="100">
        <v>8</v>
      </c>
      <c r="Q93" s="100">
        <v>5548.8</v>
      </c>
      <c r="R93" s="100">
        <v>10</v>
      </c>
      <c r="S93" s="100">
        <v>6936</v>
      </c>
      <c r="T93" s="100">
        <v>6</v>
      </c>
      <c r="U93" s="100">
        <v>4161.6000000000004</v>
      </c>
      <c r="V93" s="100">
        <v>12</v>
      </c>
      <c r="W93" s="100">
        <v>8323.2000000000007</v>
      </c>
      <c r="X93" s="100">
        <v>8</v>
      </c>
      <c r="Y93" s="100">
        <v>5548.8</v>
      </c>
      <c r="Z93" s="100">
        <v>8</v>
      </c>
      <c r="AA93" s="100">
        <v>5548.8</v>
      </c>
      <c r="AB93" s="100">
        <v>10</v>
      </c>
      <c r="AC93" s="100">
        <v>6936</v>
      </c>
      <c r="AD93" s="100">
        <v>10</v>
      </c>
      <c r="AE93" s="100">
        <v>6936</v>
      </c>
      <c r="AF93" s="100">
        <v>9</v>
      </c>
      <c r="AG93" s="100">
        <v>6242.4000000000005</v>
      </c>
      <c r="AH93" s="100">
        <v>9.4111414867016324E-23</v>
      </c>
      <c r="AI93" s="100">
        <v>6.5275677351762526E-20</v>
      </c>
      <c r="AJ93" s="100">
        <v>8</v>
      </c>
      <c r="AK93" s="100">
        <v>5548.8</v>
      </c>
      <c r="AL93" s="100">
        <v>12</v>
      </c>
      <c r="AM93" s="100">
        <v>8323.2000000000007</v>
      </c>
      <c r="AN93" s="100">
        <v>8</v>
      </c>
      <c r="AO93" s="100">
        <v>5548.8</v>
      </c>
      <c r="AP93" s="100">
        <v>7</v>
      </c>
      <c r="AQ93" s="100">
        <v>4855.2</v>
      </c>
      <c r="AR93" s="100">
        <v>11</v>
      </c>
      <c r="AS93" s="100">
        <v>7629.6</v>
      </c>
      <c r="AT93" s="100">
        <v>9</v>
      </c>
      <c r="AU93" s="100">
        <v>6242.4000000000005</v>
      </c>
      <c r="AV93" s="100">
        <v>7</v>
      </c>
      <c r="AW93" s="100">
        <v>4855.2</v>
      </c>
      <c r="AX93" s="100">
        <v>8</v>
      </c>
      <c r="AY93" s="100">
        <v>5548.8</v>
      </c>
      <c r="AZ93" s="100">
        <v>11</v>
      </c>
      <c r="BA93" s="100">
        <v>7629.6</v>
      </c>
      <c r="BB93" s="100">
        <v>8</v>
      </c>
      <c r="BC93" s="100">
        <v>5548.8</v>
      </c>
      <c r="BD93" s="100">
        <v>10</v>
      </c>
      <c r="BE93" s="100">
        <v>6936</v>
      </c>
      <c r="BF93" s="100">
        <v>11</v>
      </c>
      <c r="BG93" s="100">
        <v>7629.6</v>
      </c>
      <c r="BH93" s="100">
        <v>9</v>
      </c>
      <c r="BI93" s="100">
        <v>6242.4000000000005</v>
      </c>
      <c r="BJ93" s="100">
        <v>9</v>
      </c>
      <c r="BK93" s="100">
        <v>6242.4000000000005</v>
      </c>
      <c r="BL93" s="100">
        <v>7</v>
      </c>
      <c r="BM93" s="100">
        <v>4855.2</v>
      </c>
      <c r="BN93" s="100">
        <v>10</v>
      </c>
      <c r="BO93" s="100">
        <v>6936</v>
      </c>
      <c r="BP93" s="100">
        <v>11</v>
      </c>
      <c r="BQ93" s="100">
        <v>7629.6</v>
      </c>
      <c r="BR93" s="100">
        <v>9</v>
      </c>
      <c r="BS93" s="100">
        <v>6242.4000000000005</v>
      </c>
      <c r="BT93" s="100">
        <v>10</v>
      </c>
      <c r="BU93" s="100">
        <v>6936</v>
      </c>
      <c r="BV93" s="100">
        <v>10</v>
      </c>
      <c r="BW93" s="100">
        <v>6936</v>
      </c>
      <c r="BX93" s="100">
        <v>10</v>
      </c>
      <c r="BY93" s="100">
        <v>6936</v>
      </c>
      <c r="BZ93" s="100">
        <v>8</v>
      </c>
      <c r="CA93" s="100">
        <v>5548.8</v>
      </c>
      <c r="CB93" s="100">
        <v>7</v>
      </c>
      <c r="CC93" s="100">
        <v>4855.2</v>
      </c>
      <c r="CD93" s="100">
        <v>13</v>
      </c>
      <c r="CE93" s="100">
        <v>9016.8000000000011</v>
      </c>
      <c r="CF93" s="100">
        <v>7</v>
      </c>
      <c r="CG93" s="100">
        <v>4855.2</v>
      </c>
      <c r="CH93" s="100">
        <v>12</v>
      </c>
      <c r="CI93" s="100">
        <v>8323.2000000000007</v>
      </c>
      <c r="CJ93" s="100">
        <v>9</v>
      </c>
      <c r="CK93" s="100">
        <v>6242.4000000000005</v>
      </c>
      <c r="CL93" s="100">
        <v>11</v>
      </c>
      <c r="CM93" s="100">
        <v>7629.6</v>
      </c>
      <c r="CN93" s="100">
        <v>7</v>
      </c>
      <c r="CO93" s="100">
        <v>4855.2</v>
      </c>
      <c r="CP93" s="100">
        <v>14</v>
      </c>
      <c r="CQ93" s="100">
        <v>9710.4</v>
      </c>
      <c r="CR93" s="100">
        <v>10</v>
      </c>
      <c r="CS93" s="100">
        <v>6936</v>
      </c>
      <c r="CT93" s="100">
        <v>14</v>
      </c>
      <c r="CU93" s="100">
        <v>9710.4</v>
      </c>
    </row>
    <row r="94" spans="2:99">
      <c r="C94" s="99" t="s">
        <v>260</v>
      </c>
      <c r="D94" s="100">
        <v>9</v>
      </c>
      <c r="E94" s="100">
        <v>10735.199999999999</v>
      </c>
      <c r="F94" s="100">
        <v>11</v>
      </c>
      <c r="G94" s="100">
        <v>13120.8</v>
      </c>
      <c r="H94" s="100">
        <v>11</v>
      </c>
      <c r="I94" s="100">
        <v>13120.8</v>
      </c>
      <c r="J94" s="100">
        <v>12</v>
      </c>
      <c r="K94" s="100">
        <v>14313.599999999999</v>
      </c>
      <c r="L94" s="100">
        <v>10</v>
      </c>
      <c r="M94" s="100">
        <v>11928</v>
      </c>
      <c r="N94" s="100">
        <v>9</v>
      </c>
      <c r="O94" s="100">
        <v>10735.199999999999</v>
      </c>
      <c r="P94" s="100">
        <v>7</v>
      </c>
      <c r="Q94" s="100">
        <v>8349.6</v>
      </c>
      <c r="R94" s="100">
        <v>10</v>
      </c>
      <c r="S94" s="100">
        <v>11928</v>
      </c>
      <c r="T94" s="100">
        <v>6</v>
      </c>
      <c r="U94" s="100">
        <v>7156.7999999999993</v>
      </c>
      <c r="V94" s="100">
        <v>10</v>
      </c>
      <c r="W94" s="100">
        <v>11928</v>
      </c>
      <c r="X94" s="100">
        <v>9</v>
      </c>
      <c r="Y94" s="100">
        <v>10735.199999999999</v>
      </c>
      <c r="Z94" s="100">
        <v>7</v>
      </c>
      <c r="AA94" s="100">
        <v>8349.6</v>
      </c>
      <c r="AB94" s="100">
        <v>10</v>
      </c>
      <c r="AC94" s="100">
        <v>11928</v>
      </c>
      <c r="AD94" s="100">
        <v>9</v>
      </c>
      <c r="AE94" s="100">
        <v>10735.199999999999</v>
      </c>
      <c r="AF94" s="100">
        <v>9</v>
      </c>
      <c r="AG94" s="100">
        <v>10735.199999999999</v>
      </c>
      <c r="AH94" s="100">
        <v>8.2347488008639281E-23</v>
      </c>
      <c r="AI94" s="100">
        <v>9.8224083696704933E-20</v>
      </c>
      <c r="AJ94" s="100">
        <v>7</v>
      </c>
      <c r="AK94" s="100">
        <v>8349.6</v>
      </c>
      <c r="AL94" s="100">
        <v>12</v>
      </c>
      <c r="AM94" s="100">
        <v>14313.599999999999</v>
      </c>
      <c r="AN94" s="100">
        <v>7</v>
      </c>
      <c r="AO94" s="100">
        <v>8349.6</v>
      </c>
      <c r="AP94" s="100">
        <v>7</v>
      </c>
      <c r="AQ94" s="100">
        <v>8349.6</v>
      </c>
      <c r="AR94" s="100">
        <v>9</v>
      </c>
      <c r="AS94" s="100">
        <v>10735.199999999999</v>
      </c>
      <c r="AT94" s="100">
        <v>9</v>
      </c>
      <c r="AU94" s="100">
        <v>10735.199999999999</v>
      </c>
      <c r="AV94" s="100">
        <v>7</v>
      </c>
      <c r="AW94" s="100">
        <v>8349.6</v>
      </c>
      <c r="AX94" s="100">
        <v>7</v>
      </c>
      <c r="AY94" s="100">
        <v>8349.6</v>
      </c>
      <c r="AZ94" s="100">
        <v>11</v>
      </c>
      <c r="BA94" s="100">
        <v>13120.8</v>
      </c>
      <c r="BB94" s="100">
        <v>7</v>
      </c>
      <c r="BC94" s="100">
        <v>8349.6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8</v>
      </c>
      <c r="BI94" s="100">
        <v>9542.4</v>
      </c>
      <c r="BJ94" s="100">
        <v>8</v>
      </c>
      <c r="BK94" s="100">
        <v>9542.4</v>
      </c>
      <c r="BL94" s="100">
        <v>7</v>
      </c>
      <c r="BM94" s="100">
        <v>8349.6</v>
      </c>
      <c r="BN94" s="100">
        <v>10</v>
      </c>
      <c r="BO94" s="100">
        <v>11928</v>
      </c>
      <c r="BP94" s="100">
        <v>11</v>
      </c>
      <c r="BQ94" s="100">
        <v>13120.8</v>
      </c>
      <c r="BR94" s="100">
        <v>8</v>
      </c>
      <c r="BS94" s="100">
        <v>9542.4</v>
      </c>
      <c r="BT94" s="100">
        <v>11</v>
      </c>
      <c r="BU94" s="100">
        <v>13120.8</v>
      </c>
      <c r="BV94" s="100">
        <v>9</v>
      </c>
      <c r="BW94" s="100">
        <v>10735.199999999999</v>
      </c>
      <c r="BX94" s="100">
        <v>11</v>
      </c>
      <c r="BY94" s="100">
        <v>13120.8</v>
      </c>
      <c r="BZ94" s="100">
        <v>8</v>
      </c>
      <c r="CA94" s="100">
        <v>9542.4</v>
      </c>
      <c r="CB94" s="100">
        <v>8</v>
      </c>
      <c r="CC94" s="100">
        <v>9542.4</v>
      </c>
      <c r="CD94" s="100">
        <v>13</v>
      </c>
      <c r="CE94" s="100">
        <v>15506.4</v>
      </c>
      <c r="CF94" s="100">
        <v>8</v>
      </c>
      <c r="CG94" s="100">
        <v>9542.4</v>
      </c>
      <c r="CH94" s="100">
        <v>12</v>
      </c>
      <c r="CI94" s="100">
        <v>14313.599999999999</v>
      </c>
      <c r="CJ94" s="100">
        <v>9</v>
      </c>
      <c r="CK94" s="100">
        <v>10735.199999999999</v>
      </c>
      <c r="CL94" s="100">
        <v>11</v>
      </c>
      <c r="CM94" s="100">
        <v>13120.8</v>
      </c>
      <c r="CN94" s="100">
        <v>6</v>
      </c>
      <c r="CO94" s="100">
        <v>7156.7999999999993</v>
      </c>
      <c r="CP94" s="100">
        <v>12</v>
      </c>
      <c r="CQ94" s="100">
        <v>14313.599999999999</v>
      </c>
      <c r="CR94" s="100">
        <v>8</v>
      </c>
      <c r="CS94" s="100">
        <v>9542.4</v>
      </c>
      <c r="CT94" s="100">
        <v>13</v>
      </c>
      <c r="CU94" s="100">
        <v>15506.4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9</v>
      </c>
      <c r="G95" s="100">
        <v>2959.2000000000003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8</v>
      </c>
      <c r="M95" s="100">
        <v>2630.4</v>
      </c>
      <c r="N95" s="100">
        <v>12</v>
      </c>
      <c r="O95" s="100">
        <v>3945.6000000000004</v>
      </c>
      <c r="P95" s="100">
        <v>10</v>
      </c>
      <c r="Q95" s="100">
        <v>3288</v>
      </c>
      <c r="R95" s="100">
        <v>7</v>
      </c>
      <c r="S95" s="100">
        <v>2301.6</v>
      </c>
      <c r="T95" s="100">
        <v>9</v>
      </c>
      <c r="U95" s="100">
        <v>2959.2000000000003</v>
      </c>
      <c r="V95" s="100">
        <v>9</v>
      </c>
      <c r="W95" s="100">
        <v>2959.2000000000003</v>
      </c>
      <c r="X95" s="100">
        <v>10</v>
      </c>
      <c r="Y95" s="100">
        <v>3288</v>
      </c>
      <c r="Z95" s="100">
        <v>7</v>
      </c>
      <c r="AA95" s="100">
        <v>2301.6</v>
      </c>
      <c r="AB95" s="100">
        <v>7</v>
      </c>
      <c r="AC95" s="100">
        <v>2301.6</v>
      </c>
      <c r="AD95" s="100">
        <v>9</v>
      </c>
      <c r="AE95" s="100">
        <v>2959.2000000000003</v>
      </c>
      <c r="AF95" s="100">
        <v>9</v>
      </c>
      <c r="AG95" s="100">
        <v>2959.2000000000003</v>
      </c>
      <c r="AH95" s="100">
        <v>1.0587534172539337E-22</v>
      </c>
      <c r="AI95" s="100">
        <v>3.4811812359309342E-20</v>
      </c>
      <c r="AJ95" s="100">
        <v>9</v>
      </c>
      <c r="AK95" s="100">
        <v>2959.2000000000003</v>
      </c>
      <c r="AL95" s="100">
        <v>10</v>
      </c>
      <c r="AM95" s="100">
        <v>3288</v>
      </c>
      <c r="AN95" s="100">
        <v>7</v>
      </c>
      <c r="AO95" s="100">
        <v>2301.6</v>
      </c>
      <c r="AP95" s="100">
        <v>10</v>
      </c>
      <c r="AQ95" s="100">
        <v>3288</v>
      </c>
      <c r="AR95" s="100">
        <v>9</v>
      </c>
      <c r="AS95" s="100">
        <v>2959.2000000000003</v>
      </c>
      <c r="AT95" s="100">
        <v>7</v>
      </c>
      <c r="AU95" s="100">
        <v>2301.6</v>
      </c>
      <c r="AV95" s="100">
        <v>10</v>
      </c>
      <c r="AW95" s="100">
        <v>3288</v>
      </c>
      <c r="AX95" s="100">
        <v>7</v>
      </c>
      <c r="AY95" s="100">
        <v>2301.6</v>
      </c>
      <c r="AZ95" s="100">
        <v>10</v>
      </c>
      <c r="BA95" s="100">
        <v>3288</v>
      </c>
      <c r="BB95" s="100">
        <v>8</v>
      </c>
      <c r="BC95" s="100">
        <v>2630.4</v>
      </c>
      <c r="BD95" s="100">
        <v>12</v>
      </c>
      <c r="BE95" s="100">
        <v>3945.6000000000004</v>
      </c>
      <c r="BF95" s="100">
        <v>12</v>
      </c>
      <c r="BG95" s="100">
        <v>3945.6000000000004</v>
      </c>
      <c r="BH95" s="100">
        <v>11</v>
      </c>
      <c r="BI95" s="100">
        <v>3616.8</v>
      </c>
      <c r="BJ95" s="100">
        <v>8</v>
      </c>
      <c r="BK95" s="100">
        <v>2630.4</v>
      </c>
      <c r="BL95" s="100">
        <v>12</v>
      </c>
      <c r="BM95" s="100">
        <v>3945.6000000000004</v>
      </c>
      <c r="BN95" s="100">
        <v>9</v>
      </c>
      <c r="BO95" s="100">
        <v>2959.2000000000003</v>
      </c>
      <c r="BP95" s="100">
        <v>10</v>
      </c>
      <c r="BQ95" s="100">
        <v>3288</v>
      </c>
      <c r="BR95" s="100">
        <v>12</v>
      </c>
      <c r="BS95" s="100">
        <v>3945.6000000000004</v>
      </c>
      <c r="BT95" s="100">
        <v>11</v>
      </c>
      <c r="BU95" s="100">
        <v>3616.8</v>
      </c>
      <c r="BV95" s="100">
        <v>8</v>
      </c>
      <c r="BW95" s="100">
        <v>2630.4</v>
      </c>
      <c r="BX95" s="100">
        <v>7</v>
      </c>
      <c r="BY95" s="100">
        <v>2301.6</v>
      </c>
      <c r="BZ95" s="100">
        <v>10</v>
      </c>
      <c r="CA95" s="100">
        <v>3288</v>
      </c>
      <c r="CB95" s="100">
        <v>7</v>
      </c>
      <c r="CC95" s="100">
        <v>2301.6</v>
      </c>
      <c r="CD95" s="100">
        <v>6</v>
      </c>
      <c r="CE95" s="100">
        <v>1972.8000000000002</v>
      </c>
      <c r="CF95" s="100">
        <v>8</v>
      </c>
      <c r="CG95" s="100">
        <v>2630.4</v>
      </c>
      <c r="CH95" s="100">
        <v>12</v>
      </c>
      <c r="CI95" s="100">
        <v>3945.6000000000004</v>
      </c>
      <c r="CJ95" s="100">
        <v>7</v>
      </c>
      <c r="CK95" s="100">
        <v>2301.6</v>
      </c>
      <c r="CL95" s="100">
        <v>7</v>
      </c>
      <c r="CM95" s="100">
        <v>2301.6</v>
      </c>
      <c r="CN95" s="100">
        <v>10</v>
      </c>
      <c r="CO95" s="100">
        <v>3288</v>
      </c>
      <c r="CP95" s="100">
        <v>10</v>
      </c>
      <c r="CQ95" s="100">
        <v>3288</v>
      </c>
      <c r="CR95" s="100">
        <v>6</v>
      </c>
      <c r="CS95" s="100">
        <v>1972.8000000000002</v>
      </c>
      <c r="CT95" s="100">
        <v>7</v>
      </c>
      <c r="CU95" s="100">
        <v>2301.6</v>
      </c>
    </row>
    <row r="96" spans="2:99">
      <c r="C96" s="99" t="s">
        <v>262</v>
      </c>
      <c r="D96" s="100">
        <v>10</v>
      </c>
      <c r="E96" s="100">
        <v>6948</v>
      </c>
      <c r="F96" s="100">
        <v>10</v>
      </c>
      <c r="G96" s="100">
        <v>6948</v>
      </c>
      <c r="H96" s="100">
        <v>6</v>
      </c>
      <c r="I96" s="100">
        <v>4168.7999999999993</v>
      </c>
      <c r="J96" s="100">
        <v>8</v>
      </c>
      <c r="K96" s="100">
        <v>5558.4</v>
      </c>
      <c r="L96" s="100">
        <v>7</v>
      </c>
      <c r="M96" s="100">
        <v>4863.5999999999995</v>
      </c>
      <c r="N96" s="100">
        <v>11</v>
      </c>
      <c r="O96" s="100">
        <v>7642.7999999999993</v>
      </c>
      <c r="P96" s="100">
        <v>12</v>
      </c>
      <c r="Q96" s="100">
        <v>8337.5999999999985</v>
      </c>
      <c r="R96" s="100">
        <v>7</v>
      </c>
      <c r="S96" s="100">
        <v>4863.5999999999995</v>
      </c>
      <c r="T96" s="100">
        <v>9</v>
      </c>
      <c r="U96" s="100">
        <v>6253.2</v>
      </c>
      <c r="V96" s="100">
        <v>9</v>
      </c>
      <c r="W96" s="100">
        <v>6253.2</v>
      </c>
      <c r="X96" s="100">
        <v>11</v>
      </c>
      <c r="Y96" s="100">
        <v>7642.7999999999993</v>
      </c>
      <c r="Z96" s="100">
        <v>8</v>
      </c>
      <c r="AA96" s="100">
        <v>5558.4</v>
      </c>
      <c r="AB96" s="100">
        <v>6</v>
      </c>
      <c r="AC96" s="100">
        <v>4168.7999999999993</v>
      </c>
      <c r="AD96" s="100">
        <v>10</v>
      </c>
      <c r="AE96" s="100">
        <v>6948</v>
      </c>
      <c r="AF96" s="100">
        <v>9</v>
      </c>
      <c r="AG96" s="100">
        <v>6253.2</v>
      </c>
      <c r="AH96" s="100">
        <v>9.4111414867016324E-23</v>
      </c>
      <c r="AI96" s="100">
        <v>6.538861104960294E-20</v>
      </c>
      <c r="AJ96" s="100">
        <v>9</v>
      </c>
      <c r="AK96" s="100">
        <v>6253.2</v>
      </c>
      <c r="AL96" s="100">
        <v>9</v>
      </c>
      <c r="AM96" s="100">
        <v>6253.2</v>
      </c>
      <c r="AN96" s="100">
        <v>7</v>
      </c>
      <c r="AO96" s="100">
        <v>4863.5999999999995</v>
      </c>
      <c r="AP96" s="100">
        <v>12</v>
      </c>
      <c r="AQ96" s="100">
        <v>8337.5999999999985</v>
      </c>
      <c r="AR96" s="100">
        <v>10</v>
      </c>
      <c r="AS96" s="100">
        <v>6948</v>
      </c>
      <c r="AT96" s="100">
        <v>8</v>
      </c>
      <c r="AU96" s="100">
        <v>5558.4</v>
      </c>
      <c r="AV96" s="100">
        <v>10</v>
      </c>
      <c r="AW96" s="100">
        <v>6948</v>
      </c>
      <c r="AX96" s="100">
        <v>8</v>
      </c>
      <c r="AY96" s="100">
        <v>5558.4</v>
      </c>
      <c r="AZ96" s="100">
        <v>10</v>
      </c>
      <c r="BA96" s="100">
        <v>6948</v>
      </c>
      <c r="BB96" s="100">
        <v>9</v>
      </c>
      <c r="BC96" s="100">
        <v>6253.2</v>
      </c>
      <c r="BD96" s="100">
        <v>12</v>
      </c>
      <c r="BE96" s="100">
        <v>8337.5999999999985</v>
      </c>
      <c r="BF96" s="100">
        <v>12</v>
      </c>
      <c r="BG96" s="100">
        <v>8337.5999999999985</v>
      </c>
      <c r="BH96" s="100">
        <v>12</v>
      </c>
      <c r="BI96" s="100">
        <v>8337.5999999999985</v>
      </c>
      <c r="BJ96" s="100">
        <v>8</v>
      </c>
      <c r="BK96" s="100">
        <v>5558.4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10</v>
      </c>
      <c r="BQ96" s="100">
        <v>6948</v>
      </c>
      <c r="BR96" s="100">
        <v>12</v>
      </c>
      <c r="BS96" s="100">
        <v>8337.5999999999985</v>
      </c>
      <c r="BT96" s="100">
        <v>11</v>
      </c>
      <c r="BU96" s="100">
        <v>7642.7999999999993</v>
      </c>
      <c r="BV96" s="100">
        <v>7</v>
      </c>
      <c r="BW96" s="100">
        <v>4863.5999999999995</v>
      </c>
      <c r="BX96" s="100">
        <v>7</v>
      </c>
      <c r="BY96" s="100">
        <v>4863.5999999999995</v>
      </c>
      <c r="BZ96" s="100">
        <v>10</v>
      </c>
      <c r="CA96" s="100">
        <v>6948</v>
      </c>
      <c r="CB96" s="100">
        <v>7</v>
      </c>
      <c r="CC96" s="100">
        <v>4863.5999999999995</v>
      </c>
      <c r="CD96" s="100">
        <v>7</v>
      </c>
      <c r="CE96" s="100">
        <v>4863.5999999999995</v>
      </c>
      <c r="CF96" s="100">
        <v>7</v>
      </c>
      <c r="CG96" s="100">
        <v>4863.5999999999995</v>
      </c>
      <c r="CH96" s="100">
        <v>11</v>
      </c>
      <c r="CI96" s="100">
        <v>7642.7999999999993</v>
      </c>
      <c r="CJ96" s="100">
        <v>8</v>
      </c>
      <c r="CK96" s="100">
        <v>5558.4</v>
      </c>
      <c r="CL96" s="100">
        <v>8</v>
      </c>
      <c r="CM96" s="100">
        <v>5558.4</v>
      </c>
      <c r="CN96" s="100">
        <v>8</v>
      </c>
      <c r="CO96" s="100">
        <v>5558.4</v>
      </c>
      <c r="CP96" s="100">
        <v>9</v>
      </c>
      <c r="CQ96" s="100">
        <v>6253.2</v>
      </c>
      <c r="CR96" s="100">
        <v>7</v>
      </c>
      <c r="CS96" s="100">
        <v>4863.5999999999995</v>
      </c>
      <c r="CT96" s="100">
        <v>7</v>
      </c>
      <c r="CU96" s="100">
        <v>4863.5999999999995</v>
      </c>
    </row>
    <row r="97" spans="2:99">
      <c r="C97" s="99" t="s">
        <v>263</v>
      </c>
      <c r="D97" s="100">
        <v>10</v>
      </c>
      <c r="E97" s="100">
        <v>3924</v>
      </c>
      <c r="F97" s="100">
        <v>9</v>
      </c>
      <c r="G97" s="100">
        <v>3531.6</v>
      </c>
      <c r="H97" s="100">
        <v>6</v>
      </c>
      <c r="I97" s="100">
        <v>2354.3999999999996</v>
      </c>
      <c r="J97" s="100">
        <v>8</v>
      </c>
      <c r="K97" s="100">
        <v>3139.2</v>
      </c>
      <c r="L97" s="100">
        <v>8</v>
      </c>
      <c r="M97" s="100">
        <v>3139.2</v>
      </c>
      <c r="N97" s="100">
        <v>12</v>
      </c>
      <c r="O97" s="100">
        <v>4708.7999999999993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11</v>
      </c>
      <c r="U97" s="100">
        <v>4316.3999999999996</v>
      </c>
      <c r="V97" s="100">
        <v>9</v>
      </c>
      <c r="W97" s="100">
        <v>3531.6</v>
      </c>
      <c r="X97" s="100">
        <v>10</v>
      </c>
      <c r="Y97" s="100">
        <v>3924</v>
      </c>
      <c r="Z97" s="100">
        <v>8</v>
      </c>
      <c r="AA97" s="100">
        <v>3139.2</v>
      </c>
      <c r="AB97" s="100">
        <v>7</v>
      </c>
      <c r="AC97" s="100">
        <v>2746.7999999999997</v>
      </c>
      <c r="AD97" s="100">
        <v>10</v>
      </c>
      <c r="AE97" s="100">
        <v>3924</v>
      </c>
      <c r="AF97" s="100">
        <v>9</v>
      </c>
      <c r="AG97" s="100">
        <v>3531.6</v>
      </c>
      <c r="AH97" s="100">
        <v>1.1763926858377039E-22</v>
      </c>
      <c r="AI97" s="100">
        <v>4.6161648992271497E-20</v>
      </c>
      <c r="AJ97" s="100">
        <v>9</v>
      </c>
      <c r="AK97" s="100">
        <v>3531.6</v>
      </c>
      <c r="AL97" s="100">
        <v>11</v>
      </c>
      <c r="AM97" s="100">
        <v>4316.3999999999996</v>
      </c>
      <c r="AN97" s="100">
        <v>8</v>
      </c>
      <c r="AO97" s="100">
        <v>3139.2</v>
      </c>
      <c r="AP97" s="100">
        <v>10</v>
      </c>
      <c r="AQ97" s="100">
        <v>3924</v>
      </c>
      <c r="AR97" s="100">
        <v>10</v>
      </c>
      <c r="AS97" s="100">
        <v>3924</v>
      </c>
      <c r="AT97" s="100">
        <v>7</v>
      </c>
      <c r="AU97" s="100">
        <v>2746.7999999999997</v>
      </c>
      <c r="AV97" s="100">
        <v>9</v>
      </c>
      <c r="AW97" s="100">
        <v>3531.6</v>
      </c>
      <c r="AX97" s="100">
        <v>7</v>
      </c>
      <c r="AY97" s="100">
        <v>2746.7999999999997</v>
      </c>
      <c r="AZ97" s="100">
        <v>9</v>
      </c>
      <c r="BA97" s="100">
        <v>3531.6</v>
      </c>
      <c r="BB97" s="100">
        <v>8</v>
      </c>
      <c r="BC97" s="100">
        <v>3139.2</v>
      </c>
      <c r="BD97" s="100">
        <v>12</v>
      </c>
      <c r="BE97" s="100">
        <v>4708.7999999999993</v>
      </c>
      <c r="BF97" s="100">
        <v>12</v>
      </c>
      <c r="BG97" s="100">
        <v>4708.7999999999993</v>
      </c>
      <c r="BH97" s="100">
        <v>10</v>
      </c>
      <c r="BI97" s="100">
        <v>3924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9</v>
      </c>
      <c r="BO97" s="100">
        <v>3531.6</v>
      </c>
      <c r="BP97" s="100">
        <v>9</v>
      </c>
      <c r="BQ97" s="100">
        <v>3531.6</v>
      </c>
      <c r="BR97" s="100">
        <v>12</v>
      </c>
      <c r="BS97" s="100">
        <v>4708.7999999999993</v>
      </c>
      <c r="BT97" s="100">
        <v>11</v>
      </c>
      <c r="BU97" s="100">
        <v>4316.3999999999996</v>
      </c>
      <c r="BV97" s="100">
        <v>8</v>
      </c>
      <c r="BW97" s="100">
        <v>3139.2</v>
      </c>
      <c r="BX97" s="100">
        <v>6</v>
      </c>
      <c r="BY97" s="100">
        <v>2354.3999999999996</v>
      </c>
      <c r="BZ97" s="100">
        <v>11</v>
      </c>
      <c r="CA97" s="100">
        <v>4316.3999999999996</v>
      </c>
      <c r="CB97" s="100">
        <v>7</v>
      </c>
      <c r="CC97" s="100">
        <v>2746.7999999999997</v>
      </c>
      <c r="CD97" s="100">
        <v>7</v>
      </c>
      <c r="CE97" s="100">
        <v>2746.7999999999997</v>
      </c>
      <c r="CF97" s="100">
        <v>9</v>
      </c>
      <c r="CG97" s="100">
        <v>3531.6</v>
      </c>
      <c r="CH97" s="100">
        <v>10</v>
      </c>
      <c r="CI97" s="100">
        <v>3924</v>
      </c>
      <c r="CJ97" s="100">
        <v>9</v>
      </c>
      <c r="CK97" s="100">
        <v>3531.6</v>
      </c>
      <c r="CL97" s="100">
        <v>7</v>
      </c>
      <c r="CM97" s="100">
        <v>2746.7999999999997</v>
      </c>
      <c r="CN97" s="100">
        <v>9</v>
      </c>
      <c r="CO97" s="100">
        <v>3531.6</v>
      </c>
      <c r="CP97" s="100">
        <v>10</v>
      </c>
      <c r="CQ97" s="100">
        <v>3924</v>
      </c>
      <c r="CR97" s="100">
        <v>6</v>
      </c>
      <c r="CS97" s="100">
        <v>2354.3999999999996</v>
      </c>
      <c r="CT97" s="100">
        <v>6</v>
      </c>
      <c r="CU97" s="100">
        <v>2354.3999999999996</v>
      </c>
    </row>
    <row r="98" spans="2:99">
      <c r="C98" s="99" t="s">
        <v>264</v>
      </c>
      <c r="D98" s="100">
        <v>10</v>
      </c>
      <c r="E98" s="100">
        <v>5256</v>
      </c>
      <c r="F98" s="100">
        <v>10</v>
      </c>
      <c r="G98" s="100">
        <v>5256</v>
      </c>
      <c r="H98" s="100">
        <v>6</v>
      </c>
      <c r="I98" s="100">
        <v>3153.6000000000004</v>
      </c>
      <c r="J98" s="100">
        <v>8</v>
      </c>
      <c r="K98" s="100">
        <v>4204.8</v>
      </c>
      <c r="L98" s="100">
        <v>8</v>
      </c>
      <c r="M98" s="100">
        <v>4204.8</v>
      </c>
      <c r="N98" s="100">
        <v>12</v>
      </c>
      <c r="O98" s="100">
        <v>6307.2000000000007</v>
      </c>
      <c r="P98" s="100">
        <v>11</v>
      </c>
      <c r="Q98" s="100">
        <v>5781.6</v>
      </c>
      <c r="R98" s="100">
        <v>7</v>
      </c>
      <c r="S98" s="100">
        <v>3679.2000000000003</v>
      </c>
      <c r="T98" s="100">
        <v>9</v>
      </c>
      <c r="U98" s="100">
        <v>4730.4000000000005</v>
      </c>
      <c r="V98" s="100">
        <v>9</v>
      </c>
      <c r="W98" s="100">
        <v>4730.4000000000005</v>
      </c>
      <c r="X98" s="100">
        <v>10</v>
      </c>
      <c r="Y98" s="100">
        <v>5256</v>
      </c>
      <c r="Z98" s="100">
        <v>7</v>
      </c>
      <c r="AA98" s="100">
        <v>3679.2000000000003</v>
      </c>
      <c r="AB98" s="100">
        <v>7</v>
      </c>
      <c r="AC98" s="100">
        <v>3679.2000000000003</v>
      </c>
      <c r="AD98" s="100">
        <v>9</v>
      </c>
      <c r="AE98" s="100">
        <v>4730.4000000000005</v>
      </c>
      <c r="AF98" s="100">
        <v>10</v>
      </c>
      <c r="AG98" s="100">
        <v>5256</v>
      </c>
      <c r="AH98" s="100">
        <v>1.0587534172539337E-22</v>
      </c>
      <c r="AI98" s="100">
        <v>5.5648079610866754E-20</v>
      </c>
      <c r="AJ98" s="100">
        <v>10</v>
      </c>
      <c r="AK98" s="100">
        <v>5256</v>
      </c>
      <c r="AL98" s="100">
        <v>10</v>
      </c>
      <c r="AM98" s="100">
        <v>5256</v>
      </c>
      <c r="AN98" s="100">
        <v>7</v>
      </c>
      <c r="AO98" s="100">
        <v>3679.2000000000003</v>
      </c>
      <c r="AP98" s="100">
        <v>10</v>
      </c>
      <c r="AQ98" s="100">
        <v>5256</v>
      </c>
      <c r="AR98" s="100">
        <v>9</v>
      </c>
      <c r="AS98" s="100">
        <v>4730.4000000000005</v>
      </c>
      <c r="AT98" s="100">
        <v>7</v>
      </c>
      <c r="AU98" s="100">
        <v>3679.2000000000003</v>
      </c>
      <c r="AV98" s="100">
        <v>9</v>
      </c>
      <c r="AW98" s="100">
        <v>4730.4000000000005</v>
      </c>
      <c r="AX98" s="100">
        <v>8</v>
      </c>
      <c r="AY98" s="100">
        <v>4204.8</v>
      </c>
      <c r="AZ98" s="100">
        <v>10</v>
      </c>
      <c r="BA98" s="100">
        <v>5256</v>
      </c>
      <c r="BB98" s="100">
        <v>9</v>
      </c>
      <c r="BC98" s="100">
        <v>4730.4000000000005</v>
      </c>
      <c r="BD98" s="100">
        <v>13</v>
      </c>
      <c r="BE98" s="100">
        <v>6832.8</v>
      </c>
      <c r="BF98" s="100">
        <v>12</v>
      </c>
      <c r="BG98" s="100">
        <v>6307.2000000000007</v>
      </c>
      <c r="BH98" s="100">
        <v>11</v>
      </c>
      <c r="BI98" s="100">
        <v>5781.6</v>
      </c>
      <c r="BJ98" s="100">
        <v>7</v>
      </c>
      <c r="BK98" s="100">
        <v>3679.2000000000003</v>
      </c>
      <c r="BL98" s="100">
        <v>12</v>
      </c>
      <c r="BM98" s="100">
        <v>6307.2000000000007</v>
      </c>
      <c r="BN98" s="100">
        <v>8</v>
      </c>
      <c r="BO98" s="100">
        <v>4204.8</v>
      </c>
      <c r="BP98" s="100">
        <v>9</v>
      </c>
      <c r="BQ98" s="100">
        <v>4730.4000000000005</v>
      </c>
      <c r="BR98" s="100">
        <v>13</v>
      </c>
      <c r="BS98" s="100">
        <v>6832.8</v>
      </c>
      <c r="BT98" s="100">
        <v>10</v>
      </c>
      <c r="BU98" s="100">
        <v>5256</v>
      </c>
      <c r="BV98" s="100">
        <v>8</v>
      </c>
      <c r="BW98" s="100">
        <v>4204.8</v>
      </c>
      <c r="BX98" s="100">
        <v>7</v>
      </c>
      <c r="BY98" s="100">
        <v>3679.2000000000003</v>
      </c>
      <c r="BZ98" s="100">
        <v>11</v>
      </c>
      <c r="CA98" s="100">
        <v>5781.6</v>
      </c>
      <c r="CB98" s="100">
        <v>7</v>
      </c>
      <c r="CC98" s="100">
        <v>3679.2000000000003</v>
      </c>
      <c r="CD98" s="100">
        <v>6</v>
      </c>
      <c r="CE98" s="100">
        <v>3153.6000000000004</v>
      </c>
      <c r="CF98" s="100">
        <v>8</v>
      </c>
      <c r="CG98" s="100">
        <v>4204.8</v>
      </c>
      <c r="CH98" s="100">
        <v>11</v>
      </c>
      <c r="CI98" s="100">
        <v>5781.6</v>
      </c>
      <c r="CJ98" s="100">
        <v>8</v>
      </c>
      <c r="CK98" s="100">
        <v>4204.8</v>
      </c>
      <c r="CL98" s="100">
        <v>8</v>
      </c>
      <c r="CM98" s="100">
        <v>4204.8</v>
      </c>
      <c r="CN98" s="100">
        <v>10</v>
      </c>
      <c r="CO98" s="100">
        <v>5256</v>
      </c>
      <c r="CP98" s="100">
        <v>10</v>
      </c>
      <c r="CQ98" s="100">
        <v>5256</v>
      </c>
      <c r="CR98" s="100">
        <v>6</v>
      </c>
      <c r="CS98" s="100">
        <v>3153.6000000000004</v>
      </c>
      <c r="CT98" s="100">
        <v>7</v>
      </c>
      <c r="CU98" s="100">
        <v>3679.2000000000003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7</v>
      </c>
      <c r="G99" s="100">
        <v>29458.799999999996</v>
      </c>
      <c r="H99" s="100">
        <v>5</v>
      </c>
      <c r="I99" s="100">
        <v>21042</v>
      </c>
      <c r="J99" s="100">
        <v>7</v>
      </c>
      <c r="K99" s="100">
        <v>29458.799999999996</v>
      </c>
      <c r="L99" s="100">
        <v>6</v>
      </c>
      <c r="M99" s="100">
        <v>25250.399999999998</v>
      </c>
      <c r="N99" s="100">
        <v>9</v>
      </c>
      <c r="O99" s="100">
        <v>37875.599999999999</v>
      </c>
      <c r="P99" s="100">
        <v>9</v>
      </c>
      <c r="Q99" s="100">
        <v>37875.599999999999</v>
      </c>
      <c r="R99" s="100">
        <v>5</v>
      </c>
      <c r="S99" s="100">
        <v>21042</v>
      </c>
      <c r="T99" s="100">
        <v>7</v>
      </c>
      <c r="U99" s="100">
        <v>29458.799999999996</v>
      </c>
      <c r="V99" s="100">
        <v>6</v>
      </c>
      <c r="W99" s="100">
        <v>25250.399999999998</v>
      </c>
      <c r="X99" s="100">
        <v>8</v>
      </c>
      <c r="Y99" s="100">
        <v>33667.199999999997</v>
      </c>
      <c r="Z99" s="100">
        <v>6</v>
      </c>
      <c r="AA99" s="100">
        <v>25250.399999999998</v>
      </c>
      <c r="AB99" s="100">
        <v>6</v>
      </c>
      <c r="AC99" s="100">
        <v>25250.399999999998</v>
      </c>
      <c r="AD99" s="100">
        <v>8</v>
      </c>
      <c r="AE99" s="100">
        <v>33667.199999999997</v>
      </c>
      <c r="AF99" s="100">
        <v>7</v>
      </c>
      <c r="AG99" s="100">
        <v>29458.799999999996</v>
      </c>
      <c r="AH99" s="100">
        <v>8.2347488008639281E-23</v>
      </c>
      <c r="AI99" s="100">
        <v>3.4655116853555754E-19</v>
      </c>
      <c r="AJ99" s="100">
        <v>7</v>
      </c>
      <c r="AK99" s="100">
        <v>29458.799999999996</v>
      </c>
      <c r="AL99" s="100">
        <v>8</v>
      </c>
      <c r="AM99" s="100">
        <v>33667.199999999997</v>
      </c>
      <c r="AN99" s="100">
        <v>7</v>
      </c>
      <c r="AO99" s="100">
        <v>29458.799999999996</v>
      </c>
      <c r="AP99" s="100">
        <v>8</v>
      </c>
      <c r="AQ99" s="100">
        <v>33667.199999999997</v>
      </c>
      <c r="AR99" s="100">
        <v>6</v>
      </c>
      <c r="AS99" s="100">
        <v>25250.399999999998</v>
      </c>
      <c r="AT99" s="100">
        <v>5</v>
      </c>
      <c r="AU99" s="100">
        <v>21042</v>
      </c>
      <c r="AV99" s="100">
        <v>8</v>
      </c>
      <c r="AW99" s="100">
        <v>33667.199999999997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7</v>
      </c>
      <c r="BC99" s="100">
        <v>29458.799999999996</v>
      </c>
      <c r="BD99" s="100">
        <v>9</v>
      </c>
      <c r="BE99" s="100">
        <v>37875.599999999999</v>
      </c>
      <c r="BF99" s="100">
        <v>9</v>
      </c>
      <c r="BG99" s="100">
        <v>37875.599999999999</v>
      </c>
      <c r="BH99" s="100">
        <v>9</v>
      </c>
      <c r="BI99" s="100">
        <v>37875.599999999999</v>
      </c>
      <c r="BJ99" s="100">
        <v>6</v>
      </c>
      <c r="BK99" s="100">
        <v>25250.399999999998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7</v>
      </c>
      <c r="BU99" s="100">
        <v>29458.799999999996</v>
      </c>
      <c r="BV99" s="100">
        <v>5</v>
      </c>
      <c r="BW99" s="100">
        <v>21042</v>
      </c>
      <c r="BX99" s="100">
        <v>5</v>
      </c>
      <c r="BY99" s="100">
        <v>21042</v>
      </c>
      <c r="BZ99" s="100">
        <v>7</v>
      </c>
      <c r="CA99" s="100">
        <v>29458.799999999996</v>
      </c>
      <c r="CB99" s="100">
        <v>5</v>
      </c>
      <c r="CC99" s="100">
        <v>21042</v>
      </c>
      <c r="CD99" s="100">
        <v>5</v>
      </c>
      <c r="CE99" s="100">
        <v>21042</v>
      </c>
      <c r="CF99" s="100">
        <v>6</v>
      </c>
      <c r="CG99" s="100">
        <v>25250.399999999998</v>
      </c>
      <c r="CH99" s="100">
        <v>8</v>
      </c>
      <c r="CI99" s="100">
        <v>33667.199999999997</v>
      </c>
      <c r="CJ99" s="100">
        <v>6</v>
      </c>
      <c r="CK99" s="100">
        <v>25250.399999999998</v>
      </c>
      <c r="CL99" s="100">
        <v>6</v>
      </c>
      <c r="CM99" s="100">
        <v>25250.399999999998</v>
      </c>
      <c r="CN99" s="100">
        <v>6</v>
      </c>
      <c r="CO99" s="100">
        <v>25250.399999999998</v>
      </c>
      <c r="CP99" s="100">
        <v>6</v>
      </c>
      <c r="CQ99" s="100">
        <v>25250.399999999998</v>
      </c>
      <c r="CR99" s="100">
        <v>5</v>
      </c>
      <c r="CS99" s="100">
        <v>21042</v>
      </c>
      <c r="CT99" s="100">
        <v>5</v>
      </c>
      <c r="CU99" s="100">
        <v>21042</v>
      </c>
    </row>
    <row r="100" spans="2:99">
      <c r="C100" s="99" t="s">
        <v>266</v>
      </c>
      <c r="D100" s="100">
        <v>10</v>
      </c>
      <c r="E100" s="100">
        <v>3240</v>
      </c>
      <c r="F100" s="100">
        <v>9</v>
      </c>
      <c r="G100" s="100">
        <v>2916</v>
      </c>
      <c r="H100" s="100">
        <v>6</v>
      </c>
      <c r="I100" s="100">
        <v>1944</v>
      </c>
      <c r="J100" s="100">
        <v>9</v>
      </c>
      <c r="K100" s="100">
        <v>2916</v>
      </c>
      <c r="L100" s="100">
        <v>7</v>
      </c>
      <c r="M100" s="100">
        <v>2268</v>
      </c>
      <c r="N100" s="100">
        <v>12</v>
      </c>
      <c r="O100" s="100">
        <v>3888</v>
      </c>
      <c r="P100" s="100">
        <v>11</v>
      </c>
      <c r="Q100" s="100">
        <v>3564</v>
      </c>
      <c r="R100" s="100">
        <v>6</v>
      </c>
      <c r="S100" s="100">
        <v>1944</v>
      </c>
      <c r="T100" s="100">
        <v>11</v>
      </c>
      <c r="U100" s="100">
        <v>3564</v>
      </c>
      <c r="V100" s="100">
        <v>10</v>
      </c>
      <c r="W100" s="100">
        <v>3240</v>
      </c>
      <c r="X100" s="100">
        <v>12</v>
      </c>
      <c r="Y100" s="100">
        <v>3888</v>
      </c>
      <c r="Z100" s="100">
        <v>7</v>
      </c>
      <c r="AA100" s="100">
        <v>2268</v>
      </c>
      <c r="AB100" s="100">
        <v>7</v>
      </c>
      <c r="AC100" s="100">
        <v>2268</v>
      </c>
      <c r="AD100" s="100">
        <v>10</v>
      </c>
      <c r="AE100" s="100">
        <v>3240</v>
      </c>
      <c r="AF100" s="100">
        <v>10</v>
      </c>
      <c r="AG100" s="100">
        <v>3240</v>
      </c>
      <c r="AH100" s="100">
        <v>1.0587534172539337E-22</v>
      </c>
      <c r="AI100" s="100">
        <v>3.4303610719027451E-20</v>
      </c>
      <c r="AJ100" s="100">
        <v>8</v>
      </c>
      <c r="AK100" s="100">
        <v>2592</v>
      </c>
      <c r="AL100" s="100">
        <v>10</v>
      </c>
      <c r="AM100" s="100">
        <v>3240</v>
      </c>
      <c r="AN100" s="100">
        <v>8</v>
      </c>
      <c r="AO100" s="100">
        <v>2592</v>
      </c>
      <c r="AP100" s="100">
        <v>11</v>
      </c>
      <c r="AQ100" s="100">
        <v>3564</v>
      </c>
      <c r="AR100" s="100">
        <v>10</v>
      </c>
      <c r="AS100" s="100">
        <v>3240</v>
      </c>
      <c r="AT100" s="100">
        <v>8</v>
      </c>
      <c r="AU100" s="100">
        <v>2592</v>
      </c>
      <c r="AV100" s="100">
        <v>10</v>
      </c>
      <c r="AW100" s="100">
        <v>3240</v>
      </c>
      <c r="AX100" s="100">
        <v>7</v>
      </c>
      <c r="AY100" s="100">
        <v>2268</v>
      </c>
      <c r="AZ100" s="100">
        <v>10</v>
      </c>
      <c r="BA100" s="100">
        <v>3240</v>
      </c>
      <c r="BB100" s="100">
        <v>8</v>
      </c>
      <c r="BC100" s="100">
        <v>2592</v>
      </c>
      <c r="BD100" s="100">
        <v>12</v>
      </c>
      <c r="BE100" s="100">
        <v>3888</v>
      </c>
      <c r="BF100" s="100">
        <v>12</v>
      </c>
      <c r="BG100" s="100">
        <v>3888</v>
      </c>
      <c r="BH100" s="100">
        <v>12</v>
      </c>
      <c r="BI100" s="100">
        <v>3888</v>
      </c>
      <c r="BJ100" s="100">
        <v>8</v>
      </c>
      <c r="BK100" s="100">
        <v>2592</v>
      </c>
      <c r="BL100" s="100">
        <v>11</v>
      </c>
      <c r="BM100" s="100">
        <v>3564</v>
      </c>
      <c r="BN100" s="100">
        <v>9</v>
      </c>
      <c r="BO100" s="100">
        <v>2916</v>
      </c>
      <c r="BP100" s="100">
        <v>10</v>
      </c>
      <c r="BQ100" s="100">
        <v>3240</v>
      </c>
      <c r="BR100" s="100">
        <v>13</v>
      </c>
      <c r="BS100" s="100">
        <v>4212</v>
      </c>
      <c r="BT100" s="100">
        <v>10</v>
      </c>
      <c r="BU100" s="100">
        <v>3240</v>
      </c>
      <c r="BV100" s="100">
        <v>7</v>
      </c>
      <c r="BW100" s="100">
        <v>2268</v>
      </c>
      <c r="BX100" s="100">
        <v>6</v>
      </c>
      <c r="BY100" s="100">
        <v>1944</v>
      </c>
      <c r="BZ100" s="100">
        <v>11</v>
      </c>
      <c r="CA100" s="100">
        <v>3564</v>
      </c>
      <c r="CB100" s="100">
        <v>7</v>
      </c>
      <c r="CC100" s="100">
        <v>2268</v>
      </c>
      <c r="CD100" s="100">
        <v>7</v>
      </c>
      <c r="CE100" s="100">
        <v>2268</v>
      </c>
      <c r="CF100" s="100">
        <v>9</v>
      </c>
      <c r="CG100" s="100">
        <v>2916</v>
      </c>
      <c r="CH100" s="100">
        <v>12</v>
      </c>
      <c r="CI100" s="100">
        <v>3888</v>
      </c>
      <c r="CJ100" s="100">
        <v>8</v>
      </c>
      <c r="CK100" s="100">
        <v>2592</v>
      </c>
      <c r="CL100" s="100">
        <v>7</v>
      </c>
      <c r="CM100" s="100">
        <v>2268</v>
      </c>
      <c r="CN100" s="100">
        <v>9</v>
      </c>
      <c r="CO100" s="100">
        <v>2916</v>
      </c>
      <c r="CP100" s="100">
        <v>9</v>
      </c>
      <c r="CQ100" s="100">
        <v>2916</v>
      </c>
      <c r="CR100" s="100">
        <v>7</v>
      </c>
      <c r="CS100" s="100">
        <v>2268</v>
      </c>
      <c r="CT100" s="100">
        <v>7</v>
      </c>
      <c r="CU100" s="100">
        <v>2268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9</v>
      </c>
      <c r="G101" s="100">
        <v>6512.4000000000005</v>
      </c>
      <c r="H101" s="100">
        <v>6</v>
      </c>
      <c r="I101" s="100">
        <v>4341.6000000000004</v>
      </c>
      <c r="J101" s="100">
        <v>8</v>
      </c>
      <c r="K101" s="100">
        <v>5788.8</v>
      </c>
      <c r="L101" s="100">
        <v>8</v>
      </c>
      <c r="M101" s="100">
        <v>5788.8</v>
      </c>
      <c r="N101" s="100">
        <v>10</v>
      </c>
      <c r="O101" s="100">
        <v>7236</v>
      </c>
      <c r="P101" s="100">
        <v>11</v>
      </c>
      <c r="Q101" s="100">
        <v>7959.6</v>
      </c>
      <c r="R101" s="100">
        <v>7</v>
      </c>
      <c r="S101" s="100">
        <v>5065.2</v>
      </c>
      <c r="T101" s="100">
        <v>11</v>
      </c>
      <c r="U101" s="100">
        <v>7959.6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7</v>
      </c>
      <c r="AA101" s="100">
        <v>5065.2</v>
      </c>
      <c r="AB101" s="100">
        <v>7</v>
      </c>
      <c r="AC101" s="100">
        <v>5065.2</v>
      </c>
      <c r="AD101" s="100">
        <v>9</v>
      </c>
      <c r="AE101" s="100">
        <v>6512.4000000000005</v>
      </c>
      <c r="AF101" s="100">
        <v>9</v>
      </c>
      <c r="AG101" s="100">
        <v>6512.4000000000005</v>
      </c>
      <c r="AH101" s="100">
        <v>1.1763926858377039E-22</v>
      </c>
      <c r="AI101" s="100">
        <v>8.5123774747216255E-20</v>
      </c>
      <c r="AJ101" s="100">
        <v>9</v>
      </c>
      <c r="AK101" s="100">
        <v>6512.4000000000005</v>
      </c>
      <c r="AL101" s="100">
        <v>9</v>
      </c>
      <c r="AM101" s="100">
        <v>6512.4000000000005</v>
      </c>
      <c r="AN101" s="100">
        <v>8</v>
      </c>
      <c r="AO101" s="100">
        <v>5788.8</v>
      </c>
      <c r="AP101" s="100">
        <v>10</v>
      </c>
      <c r="AQ101" s="100">
        <v>7236</v>
      </c>
      <c r="AR101" s="100">
        <v>9</v>
      </c>
      <c r="AS101" s="100">
        <v>6512.4000000000005</v>
      </c>
      <c r="AT101" s="100">
        <v>8</v>
      </c>
      <c r="AU101" s="100">
        <v>5788.8</v>
      </c>
      <c r="AV101" s="100">
        <v>9</v>
      </c>
      <c r="AW101" s="100">
        <v>6512.4000000000005</v>
      </c>
      <c r="AX101" s="100">
        <v>7</v>
      </c>
      <c r="AY101" s="100">
        <v>5065.2</v>
      </c>
      <c r="AZ101" s="100">
        <v>9</v>
      </c>
      <c r="BA101" s="100">
        <v>6512.4000000000005</v>
      </c>
      <c r="BB101" s="100">
        <v>7</v>
      </c>
      <c r="BC101" s="100">
        <v>5065.2</v>
      </c>
      <c r="BD101" s="100">
        <v>11</v>
      </c>
      <c r="BE101" s="100">
        <v>7959.6</v>
      </c>
      <c r="BF101" s="100">
        <v>10</v>
      </c>
      <c r="BG101" s="100">
        <v>7236</v>
      </c>
      <c r="BH101" s="100">
        <v>11</v>
      </c>
      <c r="BI101" s="100">
        <v>7959.6</v>
      </c>
      <c r="BJ101" s="100">
        <v>8</v>
      </c>
      <c r="BK101" s="100">
        <v>5788.8</v>
      </c>
      <c r="BL101" s="100">
        <v>10</v>
      </c>
      <c r="BM101" s="100">
        <v>7236</v>
      </c>
      <c r="BN101" s="100">
        <v>7</v>
      </c>
      <c r="BO101" s="100">
        <v>5065.2</v>
      </c>
      <c r="BP101" s="100">
        <v>10</v>
      </c>
      <c r="BQ101" s="100">
        <v>7236</v>
      </c>
      <c r="BR101" s="100">
        <v>12</v>
      </c>
      <c r="BS101" s="100">
        <v>8683.2000000000007</v>
      </c>
      <c r="BT101" s="100">
        <v>11</v>
      </c>
      <c r="BU101" s="100">
        <v>7959.6</v>
      </c>
      <c r="BV101" s="100">
        <v>7</v>
      </c>
      <c r="BW101" s="100">
        <v>5065.2</v>
      </c>
      <c r="BX101" s="100">
        <v>6</v>
      </c>
      <c r="BY101" s="100">
        <v>4341.6000000000004</v>
      </c>
      <c r="BZ101" s="100">
        <v>10</v>
      </c>
      <c r="CA101" s="100">
        <v>7236</v>
      </c>
      <c r="CB101" s="100">
        <v>7</v>
      </c>
      <c r="CC101" s="100">
        <v>5065.2</v>
      </c>
      <c r="CD101" s="100">
        <v>7</v>
      </c>
      <c r="CE101" s="100">
        <v>5065.2</v>
      </c>
      <c r="CF101" s="100">
        <v>7</v>
      </c>
      <c r="CG101" s="100">
        <v>5065.2</v>
      </c>
      <c r="CH101" s="100">
        <v>11</v>
      </c>
      <c r="CI101" s="100">
        <v>7959.6</v>
      </c>
      <c r="CJ101" s="100">
        <v>7</v>
      </c>
      <c r="CK101" s="100">
        <v>5065.2</v>
      </c>
      <c r="CL101" s="100">
        <v>7</v>
      </c>
      <c r="CM101" s="100">
        <v>5065.2</v>
      </c>
      <c r="CN101" s="100">
        <v>9</v>
      </c>
      <c r="CO101" s="100">
        <v>6512.4000000000005</v>
      </c>
      <c r="CP101" s="100">
        <v>9</v>
      </c>
      <c r="CQ101" s="100">
        <v>6512.4000000000005</v>
      </c>
      <c r="CR101" s="100">
        <v>6</v>
      </c>
      <c r="CS101" s="100">
        <v>4341.6000000000004</v>
      </c>
      <c r="CT101" s="100">
        <v>6</v>
      </c>
      <c r="CU101" s="100">
        <v>4341.6000000000004</v>
      </c>
    </row>
    <row r="102" spans="2:99">
      <c r="C102" s="99" t="s">
        <v>268</v>
      </c>
      <c r="D102" s="100">
        <v>10</v>
      </c>
      <c r="E102" s="100">
        <v>5316</v>
      </c>
      <c r="F102" s="100">
        <v>9</v>
      </c>
      <c r="G102" s="100">
        <v>4784.4000000000005</v>
      </c>
      <c r="H102" s="100">
        <v>6</v>
      </c>
      <c r="I102" s="100">
        <v>3189.6000000000004</v>
      </c>
      <c r="J102" s="100">
        <v>8</v>
      </c>
      <c r="K102" s="100">
        <v>4252.8</v>
      </c>
      <c r="L102" s="100">
        <v>8</v>
      </c>
      <c r="M102" s="100">
        <v>4252.8</v>
      </c>
      <c r="N102" s="100">
        <v>11</v>
      </c>
      <c r="O102" s="100">
        <v>5847.6</v>
      </c>
      <c r="P102" s="100">
        <v>12</v>
      </c>
      <c r="Q102" s="100">
        <v>6379.2000000000007</v>
      </c>
      <c r="R102" s="100">
        <v>7</v>
      </c>
      <c r="S102" s="100">
        <v>3721.2000000000003</v>
      </c>
      <c r="T102" s="100">
        <v>11</v>
      </c>
      <c r="U102" s="100">
        <v>5847.6</v>
      </c>
      <c r="V102" s="100">
        <v>10</v>
      </c>
      <c r="W102" s="100">
        <v>5316</v>
      </c>
      <c r="X102" s="100">
        <v>10</v>
      </c>
      <c r="Y102" s="100">
        <v>5316</v>
      </c>
      <c r="Z102" s="100">
        <v>7</v>
      </c>
      <c r="AA102" s="100">
        <v>3721.2000000000003</v>
      </c>
      <c r="AB102" s="100">
        <v>7</v>
      </c>
      <c r="AC102" s="100">
        <v>3721.2000000000003</v>
      </c>
      <c r="AD102" s="100">
        <v>10</v>
      </c>
      <c r="AE102" s="100">
        <v>5316</v>
      </c>
      <c r="AF102" s="100">
        <v>10</v>
      </c>
      <c r="AG102" s="100">
        <v>5316</v>
      </c>
      <c r="AH102" s="100">
        <v>1.0587534172539337E-22</v>
      </c>
      <c r="AI102" s="100">
        <v>5.6283331661219115E-20</v>
      </c>
      <c r="AJ102" s="100">
        <v>9</v>
      </c>
      <c r="AK102" s="100">
        <v>4784.4000000000005</v>
      </c>
      <c r="AL102" s="100">
        <v>9</v>
      </c>
      <c r="AM102" s="100">
        <v>4784.4000000000005</v>
      </c>
      <c r="AN102" s="100">
        <v>8</v>
      </c>
      <c r="AO102" s="100">
        <v>4252.8</v>
      </c>
      <c r="AP102" s="100">
        <v>11</v>
      </c>
      <c r="AQ102" s="100">
        <v>5847.6</v>
      </c>
      <c r="AR102" s="100">
        <v>9</v>
      </c>
      <c r="AS102" s="100">
        <v>4784.4000000000005</v>
      </c>
      <c r="AT102" s="100">
        <v>8</v>
      </c>
      <c r="AU102" s="100">
        <v>4252.8</v>
      </c>
      <c r="AV102" s="100">
        <v>10</v>
      </c>
      <c r="AW102" s="100">
        <v>5316</v>
      </c>
      <c r="AX102" s="100">
        <v>8</v>
      </c>
      <c r="AY102" s="100">
        <v>4252.8</v>
      </c>
      <c r="AZ102" s="100">
        <v>9</v>
      </c>
      <c r="BA102" s="100">
        <v>4784.4000000000005</v>
      </c>
      <c r="BB102" s="100">
        <v>8</v>
      </c>
      <c r="BC102" s="100">
        <v>4252.8</v>
      </c>
      <c r="BD102" s="100">
        <v>11</v>
      </c>
      <c r="BE102" s="100">
        <v>5847.6</v>
      </c>
      <c r="BF102" s="100">
        <v>12</v>
      </c>
      <c r="BG102" s="100">
        <v>6379.2000000000007</v>
      </c>
      <c r="BH102" s="100">
        <v>12</v>
      </c>
      <c r="BI102" s="100">
        <v>6379.2000000000007</v>
      </c>
      <c r="BJ102" s="100">
        <v>8</v>
      </c>
      <c r="BK102" s="100">
        <v>4252.8</v>
      </c>
      <c r="BL102" s="100">
        <v>12</v>
      </c>
      <c r="BM102" s="100">
        <v>6379.2000000000007</v>
      </c>
      <c r="BN102" s="100">
        <v>9</v>
      </c>
      <c r="BO102" s="100">
        <v>4784.4000000000005</v>
      </c>
      <c r="BP102" s="100">
        <v>10</v>
      </c>
      <c r="BQ102" s="100">
        <v>5316</v>
      </c>
      <c r="BR102" s="100">
        <v>11</v>
      </c>
      <c r="BS102" s="100">
        <v>5847.6</v>
      </c>
      <c r="BT102" s="100">
        <v>12</v>
      </c>
      <c r="BU102" s="100">
        <v>6379.2000000000007</v>
      </c>
      <c r="BV102" s="100">
        <v>8</v>
      </c>
      <c r="BW102" s="100">
        <v>4252.8</v>
      </c>
      <c r="BX102" s="100">
        <v>6</v>
      </c>
      <c r="BY102" s="100">
        <v>3189.6000000000004</v>
      </c>
      <c r="BZ102" s="100">
        <v>10</v>
      </c>
      <c r="CA102" s="100">
        <v>5316</v>
      </c>
      <c r="CB102" s="100">
        <v>7</v>
      </c>
      <c r="CC102" s="100">
        <v>3721.2000000000003</v>
      </c>
      <c r="CD102" s="100">
        <v>7</v>
      </c>
      <c r="CE102" s="100">
        <v>3721.2000000000003</v>
      </c>
      <c r="CF102" s="100">
        <v>9</v>
      </c>
      <c r="CG102" s="100">
        <v>4784.4000000000005</v>
      </c>
      <c r="CH102" s="100">
        <v>10</v>
      </c>
      <c r="CI102" s="100">
        <v>5316</v>
      </c>
      <c r="CJ102" s="100">
        <v>8</v>
      </c>
      <c r="CK102" s="100">
        <v>4252.8</v>
      </c>
      <c r="CL102" s="100">
        <v>7</v>
      </c>
      <c r="CM102" s="100">
        <v>3721.2000000000003</v>
      </c>
      <c r="CN102" s="100">
        <v>9</v>
      </c>
      <c r="CO102" s="100">
        <v>4784.4000000000005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6</v>
      </c>
      <c r="CU102" s="100">
        <v>3189.6000000000004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9</v>
      </c>
      <c r="G103" s="100">
        <v>5302.7999999999993</v>
      </c>
      <c r="H103" s="100">
        <v>6</v>
      </c>
      <c r="I103" s="100">
        <v>3535.2</v>
      </c>
      <c r="J103" s="100">
        <v>8</v>
      </c>
      <c r="K103" s="100">
        <v>4713.5999999999995</v>
      </c>
      <c r="L103" s="100">
        <v>7</v>
      </c>
      <c r="M103" s="100">
        <v>4124.3999999999996</v>
      </c>
      <c r="N103" s="100">
        <v>10</v>
      </c>
      <c r="O103" s="100">
        <v>5891.9999999999991</v>
      </c>
      <c r="P103" s="100">
        <v>11</v>
      </c>
      <c r="Q103" s="100">
        <v>6481.1999999999989</v>
      </c>
      <c r="R103" s="100">
        <v>7</v>
      </c>
      <c r="S103" s="100">
        <v>4124.3999999999996</v>
      </c>
      <c r="T103" s="100">
        <v>9</v>
      </c>
      <c r="U103" s="100">
        <v>5302.7999999999993</v>
      </c>
      <c r="V103" s="100">
        <v>10</v>
      </c>
      <c r="W103" s="100">
        <v>5891.9999999999991</v>
      </c>
      <c r="X103" s="100">
        <v>10</v>
      </c>
      <c r="Y103" s="100">
        <v>5891.9999999999991</v>
      </c>
      <c r="Z103" s="100">
        <v>7</v>
      </c>
      <c r="AA103" s="100">
        <v>4124.3999999999996</v>
      </c>
      <c r="AB103" s="100">
        <v>7</v>
      </c>
      <c r="AC103" s="100">
        <v>4124.3999999999996</v>
      </c>
      <c r="AD103" s="100">
        <v>9</v>
      </c>
      <c r="AE103" s="100">
        <v>5302.7999999999993</v>
      </c>
      <c r="AF103" s="100">
        <v>9</v>
      </c>
      <c r="AG103" s="100">
        <v>5302.7999999999993</v>
      </c>
      <c r="AH103" s="100">
        <v>1.0587534172539337E-22</v>
      </c>
      <c r="AI103" s="100">
        <v>6.2381751344601764E-20</v>
      </c>
      <c r="AJ103" s="100">
        <v>9</v>
      </c>
      <c r="AK103" s="100">
        <v>5302.7999999999993</v>
      </c>
      <c r="AL103" s="100">
        <v>11</v>
      </c>
      <c r="AM103" s="100">
        <v>6481.1999999999989</v>
      </c>
      <c r="AN103" s="100">
        <v>7</v>
      </c>
      <c r="AO103" s="100">
        <v>4124.3999999999996</v>
      </c>
      <c r="AP103" s="100">
        <v>11</v>
      </c>
      <c r="AQ103" s="100">
        <v>6481.1999999999989</v>
      </c>
      <c r="AR103" s="100">
        <v>9</v>
      </c>
      <c r="AS103" s="100">
        <v>5302.7999999999993</v>
      </c>
      <c r="AT103" s="100">
        <v>8</v>
      </c>
      <c r="AU103" s="100">
        <v>4713.5999999999995</v>
      </c>
      <c r="AV103" s="100">
        <v>9</v>
      </c>
      <c r="AW103" s="100">
        <v>5302.7999999999993</v>
      </c>
      <c r="AX103" s="100">
        <v>8</v>
      </c>
      <c r="AY103" s="100">
        <v>4713.5999999999995</v>
      </c>
      <c r="AZ103" s="100">
        <v>9</v>
      </c>
      <c r="BA103" s="100">
        <v>5302.7999999999993</v>
      </c>
      <c r="BB103" s="100">
        <v>8</v>
      </c>
      <c r="BC103" s="100">
        <v>4713.5999999999995</v>
      </c>
      <c r="BD103" s="100">
        <v>13</v>
      </c>
      <c r="BE103" s="100">
        <v>7659.5999999999995</v>
      </c>
      <c r="BF103" s="100">
        <v>11</v>
      </c>
      <c r="BG103" s="100">
        <v>6481.1999999999989</v>
      </c>
      <c r="BH103" s="100">
        <v>10</v>
      </c>
      <c r="BI103" s="100">
        <v>5891.9999999999991</v>
      </c>
      <c r="BJ103" s="100">
        <v>8</v>
      </c>
      <c r="BK103" s="100">
        <v>4713.5999999999995</v>
      </c>
      <c r="BL103" s="100">
        <v>12</v>
      </c>
      <c r="BM103" s="100">
        <v>7070.4</v>
      </c>
      <c r="BN103" s="100">
        <v>9</v>
      </c>
      <c r="BO103" s="100">
        <v>5302.7999999999993</v>
      </c>
      <c r="BP103" s="100">
        <v>9</v>
      </c>
      <c r="BQ103" s="100">
        <v>5302.7999999999993</v>
      </c>
      <c r="BR103" s="100">
        <v>12</v>
      </c>
      <c r="BS103" s="100">
        <v>7070.4</v>
      </c>
      <c r="BT103" s="100">
        <v>11</v>
      </c>
      <c r="BU103" s="100">
        <v>6481.1999999999989</v>
      </c>
      <c r="BV103" s="100">
        <v>7</v>
      </c>
      <c r="BW103" s="100">
        <v>4124.3999999999996</v>
      </c>
      <c r="BX103" s="100">
        <v>6</v>
      </c>
      <c r="BY103" s="100">
        <v>3535.2</v>
      </c>
      <c r="BZ103" s="100">
        <v>11</v>
      </c>
      <c r="CA103" s="100">
        <v>6481.1999999999989</v>
      </c>
      <c r="CB103" s="100">
        <v>6</v>
      </c>
      <c r="CC103" s="100">
        <v>3535.2</v>
      </c>
      <c r="CD103" s="100">
        <v>7</v>
      </c>
      <c r="CE103" s="100">
        <v>4124.3999999999996</v>
      </c>
      <c r="CF103" s="100">
        <v>8</v>
      </c>
      <c r="CG103" s="100">
        <v>4713.5999999999995</v>
      </c>
      <c r="CH103" s="100">
        <v>11</v>
      </c>
      <c r="CI103" s="100">
        <v>6481.1999999999989</v>
      </c>
      <c r="CJ103" s="100">
        <v>9</v>
      </c>
      <c r="CK103" s="100">
        <v>5302.7999999999993</v>
      </c>
      <c r="CL103" s="100">
        <v>7</v>
      </c>
      <c r="CM103" s="100">
        <v>4124.3999999999996</v>
      </c>
      <c r="CN103" s="100">
        <v>10</v>
      </c>
      <c r="CO103" s="100">
        <v>5891.9999999999991</v>
      </c>
      <c r="CP103" s="100">
        <v>10</v>
      </c>
      <c r="CQ103" s="100">
        <v>5891.9999999999991</v>
      </c>
      <c r="CR103" s="100">
        <v>6</v>
      </c>
      <c r="CS103" s="100">
        <v>3535.2</v>
      </c>
      <c r="CT103" s="100">
        <v>7</v>
      </c>
      <c r="CU103" s="100">
        <v>4124.3999999999996</v>
      </c>
    </row>
    <row r="104" spans="2:99">
      <c r="C104" s="99" t="s">
        <v>270</v>
      </c>
      <c r="D104" s="100">
        <v>10</v>
      </c>
      <c r="E104" s="100">
        <v>6324</v>
      </c>
      <c r="F104" s="100">
        <v>10</v>
      </c>
      <c r="G104" s="100">
        <v>6324</v>
      </c>
      <c r="H104" s="100">
        <v>6</v>
      </c>
      <c r="I104" s="100">
        <v>3794.3999999999996</v>
      </c>
      <c r="J104" s="100">
        <v>9</v>
      </c>
      <c r="K104" s="100">
        <v>5691.5999999999995</v>
      </c>
      <c r="L104" s="100">
        <v>8</v>
      </c>
      <c r="M104" s="100">
        <v>5059.2</v>
      </c>
      <c r="N104" s="100">
        <v>10</v>
      </c>
      <c r="O104" s="100">
        <v>6324</v>
      </c>
      <c r="P104" s="100">
        <v>10</v>
      </c>
      <c r="Q104" s="100">
        <v>6324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9</v>
      </c>
      <c r="W104" s="100">
        <v>5691.5999999999995</v>
      </c>
      <c r="X104" s="100">
        <v>11</v>
      </c>
      <c r="Y104" s="100">
        <v>6956.4</v>
      </c>
      <c r="Z104" s="100">
        <v>7</v>
      </c>
      <c r="AA104" s="100">
        <v>4426.8</v>
      </c>
      <c r="AB104" s="100">
        <v>7</v>
      </c>
      <c r="AC104" s="100">
        <v>4426.8</v>
      </c>
      <c r="AD104" s="100">
        <v>9</v>
      </c>
      <c r="AE104" s="100">
        <v>5691.5999999999995</v>
      </c>
      <c r="AF104" s="100">
        <v>9</v>
      </c>
      <c r="AG104" s="100">
        <v>5691.5999999999995</v>
      </c>
      <c r="AH104" s="100">
        <v>9.4111414867016324E-23</v>
      </c>
      <c r="AI104" s="100">
        <v>5.9516058761901117E-20</v>
      </c>
      <c r="AJ104" s="100">
        <v>8</v>
      </c>
      <c r="AK104" s="100">
        <v>5059.2</v>
      </c>
      <c r="AL104" s="100">
        <v>9</v>
      </c>
      <c r="AM104" s="100">
        <v>5691.5999999999995</v>
      </c>
      <c r="AN104" s="100">
        <v>8</v>
      </c>
      <c r="AO104" s="100">
        <v>5059.2</v>
      </c>
      <c r="AP104" s="100">
        <v>11</v>
      </c>
      <c r="AQ104" s="100">
        <v>6956.4</v>
      </c>
      <c r="AR104" s="100">
        <v>8</v>
      </c>
      <c r="AS104" s="100">
        <v>5059.2</v>
      </c>
      <c r="AT104" s="100">
        <v>7</v>
      </c>
      <c r="AU104" s="100">
        <v>4426.8</v>
      </c>
      <c r="AV104" s="100">
        <v>10</v>
      </c>
      <c r="AW104" s="100">
        <v>6324</v>
      </c>
      <c r="AX104" s="100">
        <v>8</v>
      </c>
      <c r="AY104" s="100">
        <v>5059.2</v>
      </c>
      <c r="AZ104" s="100">
        <v>9</v>
      </c>
      <c r="BA104" s="100">
        <v>5691.5999999999995</v>
      </c>
      <c r="BB104" s="100">
        <v>8</v>
      </c>
      <c r="BC104" s="100">
        <v>5059.2</v>
      </c>
      <c r="BD104" s="100">
        <v>11</v>
      </c>
      <c r="BE104" s="100">
        <v>6956.4</v>
      </c>
      <c r="BF104" s="100">
        <v>11</v>
      </c>
      <c r="BG104" s="100">
        <v>6956.4</v>
      </c>
      <c r="BH104" s="100">
        <v>11</v>
      </c>
      <c r="BI104" s="100">
        <v>6956.4</v>
      </c>
      <c r="BJ104" s="100">
        <v>8</v>
      </c>
      <c r="BK104" s="100">
        <v>5059.2</v>
      </c>
      <c r="BL104" s="100">
        <v>10</v>
      </c>
      <c r="BM104" s="100">
        <v>6324</v>
      </c>
      <c r="BN104" s="100">
        <v>8</v>
      </c>
      <c r="BO104" s="100">
        <v>5059.2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10</v>
      </c>
      <c r="BU104" s="100">
        <v>6324</v>
      </c>
      <c r="BV104" s="100">
        <v>7</v>
      </c>
      <c r="BW104" s="100">
        <v>4426.8</v>
      </c>
      <c r="BX104" s="100">
        <v>7</v>
      </c>
      <c r="BY104" s="100">
        <v>4426.8</v>
      </c>
      <c r="BZ104" s="100">
        <v>9</v>
      </c>
      <c r="CA104" s="100">
        <v>5691.5999999999995</v>
      </c>
      <c r="CB104" s="100">
        <v>8</v>
      </c>
      <c r="CC104" s="100">
        <v>5059.2</v>
      </c>
      <c r="CD104" s="100">
        <v>7</v>
      </c>
      <c r="CE104" s="100">
        <v>4426.8</v>
      </c>
      <c r="CF104" s="100">
        <v>8</v>
      </c>
      <c r="CG104" s="100">
        <v>5059.2</v>
      </c>
      <c r="CH104" s="100">
        <v>10</v>
      </c>
      <c r="CI104" s="100">
        <v>6324</v>
      </c>
      <c r="CJ104" s="100">
        <v>7</v>
      </c>
      <c r="CK104" s="100">
        <v>4426.8</v>
      </c>
      <c r="CL104" s="100">
        <v>7</v>
      </c>
      <c r="CM104" s="100">
        <v>4426.8</v>
      </c>
      <c r="CN104" s="100">
        <v>8</v>
      </c>
      <c r="CO104" s="100">
        <v>5059.2</v>
      </c>
      <c r="CP104" s="100">
        <v>9</v>
      </c>
      <c r="CQ104" s="100">
        <v>5691.5999999999995</v>
      </c>
      <c r="CR104" s="100">
        <v>6</v>
      </c>
      <c r="CS104" s="100">
        <v>3794.3999999999996</v>
      </c>
      <c r="CT104" s="100">
        <v>6</v>
      </c>
      <c r="CU104" s="100">
        <v>3794.3999999999996</v>
      </c>
    </row>
    <row r="105" spans="2:99">
      <c r="C105" s="99" t="s">
        <v>271</v>
      </c>
      <c r="D105" s="100">
        <v>9</v>
      </c>
      <c r="E105" s="100">
        <v>5011.2</v>
      </c>
      <c r="F105" s="100">
        <v>9</v>
      </c>
      <c r="G105" s="100">
        <v>5011.2</v>
      </c>
      <c r="H105" s="100">
        <v>6</v>
      </c>
      <c r="I105" s="100">
        <v>3340.7999999999997</v>
      </c>
      <c r="J105" s="100">
        <v>8</v>
      </c>
      <c r="K105" s="100">
        <v>4454.3999999999996</v>
      </c>
      <c r="L105" s="100">
        <v>7</v>
      </c>
      <c r="M105" s="100">
        <v>3897.5999999999995</v>
      </c>
      <c r="N105" s="100">
        <v>10</v>
      </c>
      <c r="O105" s="100">
        <v>5568</v>
      </c>
      <c r="P105" s="100">
        <v>10</v>
      </c>
      <c r="Q105" s="100">
        <v>5568</v>
      </c>
      <c r="R105" s="100">
        <v>7</v>
      </c>
      <c r="S105" s="100">
        <v>3897.5999999999995</v>
      </c>
      <c r="T105" s="100">
        <v>9</v>
      </c>
      <c r="U105" s="100">
        <v>5011.2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7</v>
      </c>
      <c r="AA105" s="100">
        <v>3897.5999999999995</v>
      </c>
      <c r="AB105" s="100">
        <v>7</v>
      </c>
      <c r="AC105" s="100">
        <v>3897.5999999999995</v>
      </c>
      <c r="AD105" s="100">
        <v>10</v>
      </c>
      <c r="AE105" s="100">
        <v>5568</v>
      </c>
      <c r="AF105" s="100">
        <v>10</v>
      </c>
      <c r="AG105" s="100">
        <v>5568</v>
      </c>
      <c r="AH105" s="100">
        <v>1.1763926858377039E-22</v>
      </c>
      <c r="AI105" s="100">
        <v>6.5501544747443341E-20</v>
      </c>
      <c r="AJ105" s="100">
        <v>9</v>
      </c>
      <c r="AK105" s="100">
        <v>5011.2</v>
      </c>
      <c r="AL105" s="100">
        <v>9</v>
      </c>
      <c r="AM105" s="100">
        <v>5011.2</v>
      </c>
      <c r="AN105" s="100">
        <v>9</v>
      </c>
      <c r="AO105" s="100">
        <v>5011.2</v>
      </c>
      <c r="AP105" s="100">
        <v>10</v>
      </c>
      <c r="AQ105" s="100">
        <v>5568</v>
      </c>
      <c r="AR105" s="100">
        <v>10</v>
      </c>
      <c r="AS105" s="100">
        <v>5568</v>
      </c>
      <c r="AT105" s="100">
        <v>7</v>
      </c>
      <c r="AU105" s="100">
        <v>3897.5999999999995</v>
      </c>
      <c r="AV105" s="100">
        <v>10</v>
      </c>
      <c r="AW105" s="100">
        <v>5568</v>
      </c>
      <c r="AX105" s="100">
        <v>8</v>
      </c>
      <c r="AY105" s="100">
        <v>4454.3999999999996</v>
      </c>
      <c r="AZ105" s="100">
        <v>10</v>
      </c>
      <c r="BA105" s="100">
        <v>5568</v>
      </c>
      <c r="BB105" s="100">
        <v>9</v>
      </c>
      <c r="BC105" s="100">
        <v>5011.2</v>
      </c>
      <c r="BD105" s="100">
        <v>11</v>
      </c>
      <c r="BE105" s="100">
        <v>6124.7999999999993</v>
      </c>
      <c r="BF105" s="100">
        <v>11</v>
      </c>
      <c r="BG105" s="100">
        <v>6124.7999999999993</v>
      </c>
      <c r="BH105" s="100">
        <v>11</v>
      </c>
      <c r="BI105" s="100">
        <v>6124.7999999999993</v>
      </c>
      <c r="BJ105" s="100">
        <v>7</v>
      </c>
      <c r="BK105" s="100">
        <v>3897.5999999999995</v>
      </c>
      <c r="BL105" s="100">
        <v>11</v>
      </c>
      <c r="BM105" s="100">
        <v>6124.7999999999993</v>
      </c>
      <c r="BN105" s="100">
        <v>9</v>
      </c>
      <c r="BO105" s="100">
        <v>5011.2</v>
      </c>
      <c r="BP105" s="100">
        <v>9</v>
      </c>
      <c r="BQ105" s="100">
        <v>5011.2</v>
      </c>
      <c r="BR105" s="100">
        <v>11</v>
      </c>
      <c r="BS105" s="100">
        <v>6124.7999999999993</v>
      </c>
      <c r="BT105" s="100">
        <v>11</v>
      </c>
      <c r="BU105" s="100">
        <v>6124.7999999999993</v>
      </c>
      <c r="BV105" s="100">
        <v>7</v>
      </c>
      <c r="BW105" s="100">
        <v>3897.5999999999995</v>
      </c>
      <c r="BX105" s="100">
        <v>6</v>
      </c>
      <c r="BY105" s="100">
        <v>3340.7999999999997</v>
      </c>
      <c r="BZ105" s="100">
        <v>11</v>
      </c>
      <c r="CA105" s="100">
        <v>6124.7999999999993</v>
      </c>
      <c r="CB105" s="100">
        <v>7</v>
      </c>
      <c r="CC105" s="100">
        <v>3897.5999999999995</v>
      </c>
      <c r="CD105" s="100">
        <v>7</v>
      </c>
      <c r="CE105" s="100">
        <v>3897.5999999999995</v>
      </c>
      <c r="CF105" s="100">
        <v>8</v>
      </c>
      <c r="CG105" s="100">
        <v>4454.3999999999996</v>
      </c>
      <c r="CH105" s="100">
        <v>11</v>
      </c>
      <c r="CI105" s="100">
        <v>6124.7999999999993</v>
      </c>
      <c r="CJ105" s="100">
        <v>8</v>
      </c>
      <c r="CK105" s="100">
        <v>4454.3999999999996</v>
      </c>
      <c r="CL105" s="100">
        <v>7</v>
      </c>
      <c r="CM105" s="100">
        <v>3897.5999999999995</v>
      </c>
      <c r="CN105" s="100">
        <v>9</v>
      </c>
      <c r="CO105" s="100">
        <v>5011.2</v>
      </c>
      <c r="CP105" s="100">
        <v>8</v>
      </c>
      <c r="CQ105" s="100">
        <v>4454.3999999999996</v>
      </c>
      <c r="CR105" s="100">
        <v>7</v>
      </c>
      <c r="CS105" s="100">
        <v>3897.5999999999995</v>
      </c>
      <c r="CT105" s="100">
        <v>7</v>
      </c>
      <c r="CU105" s="100">
        <v>3897.5999999999995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1227</v>
      </c>
      <c r="E109" s="100">
        <f>SUM(L$6:L$19)+SUM(N$6:N$19)+SUM(P$6:P$19)+SUM(R$6:R$19)</f>
        <v>1184</v>
      </c>
      <c r="F109" s="100">
        <f>SUM(T$6:T$19)+SUM(V$6:V$19)+SUM(X$6:X$19)+SUM(Z$6:Z$19)</f>
        <v>1182</v>
      </c>
      <c r="G109" s="100">
        <f>SUM(AB$6:AB$19)+SUM(AD$6:AD$19)+SUM(AF$6:AF$19)+SUM(AH$6:AH$19)</f>
        <v>1107</v>
      </c>
      <c r="H109" s="100">
        <f>SUM(AJ$6:AJ$19)+SUM(AL$6:AL$19)+SUM(AN$6:AN$19)+SUM(AP$6:AP$19)</f>
        <v>1173</v>
      </c>
      <c r="I109" s="100">
        <f>SUM(AR$6:AR$19)+SUM(AT$6:AT$19)+SUM(AV$6:AV$19)+SUM(AX$6:AX$19)</f>
        <v>1288.0083396524215</v>
      </c>
      <c r="J109" s="100">
        <f>SUM(AZ$6:AZ$19)+SUM(BB$6:BB$19)+SUM(BD$6:BD$19)+SUM(BF$6:BF$19)</f>
        <v>1248.8896959210119</v>
      </c>
      <c r="K109" s="100">
        <f>SUM(BH$6:BH$19)+SUM(BJ$6:BJ$19)+SUM(BL$6:BL$19)+SUM(BN$6:BN$19)</f>
        <v>1287.5064448660846</v>
      </c>
      <c r="L109" s="100">
        <f>SUM(BP$6:BP$19)+SUM(BR$6:BR$19)+SUM(BT$6:BT$19)+SUM(BV$6:BV$19)</f>
        <v>1147.6799848394837</v>
      </c>
      <c r="M109" s="100">
        <f>SUM(BX$6:BX$19)+SUM(BZ$6:BZ$19)+SUM(CB$6:CB$19)+SUM(CD$6:CD$19)</f>
        <v>1169.984830163869</v>
      </c>
      <c r="N109" s="100">
        <f>SUM(CF$6:CF$19)+SUM(CH$6:CH$19)+SUM(CJ$6:CJ$19)+SUM(CL$6:CL$19)</f>
        <v>1094.4869313876779</v>
      </c>
      <c r="O109" s="100">
        <f>SUM(CN$6:CN$19)+SUM(CP$6:CP$19)+SUM(CR$6:CR$19)+SUM(CT$6:CT$19)</f>
        <v>43.51136307874642</v>
      </c>
    </row>
    <row r="110" spans="2:99">
      <c r="C110" s="99" t="s">
        <v>127</v>
      </c>
      <c r="D110" s="100">
        <f>SUM(D$20:D$36)+SUM(F$20:F$36)+SUM(H$20:H$36)+SUM(J$20:J$36)</f>
        <v>1480</v>
      </c>
      <c r="E110" s="100">
        <f>SUM(L$20:L$36)+SUM(N$20:N$36)+SUM(P$20:P$36)+SUM(R$20:R$36)</f>
        <v>1419</v>
      </c>
      <c r="F110" s="100">
        <f>SUM(T$20:T$36)+SUM(V$20:V$36)+SUM(X$20:X$36)+SUM(Z$20:Z$36)</f>
        <v>1347</v>
      </c>
      <c r="G110" s="100">
        <f>SUM(AB$20:AB$36)+SUM(AD$20:AD$36)+SUM(AF$20:AF$36)+SUM(AH$20:AH$36)</f>
        <v>1612</v>
      </c>
      <c r="H110" s="100">
        <f>SUM(AJ$20:AJ$36)+SUM(AL$20:AL$36)+SUM(AN$20:AN$36)+SUM(AP$20:AP$36)</f>
        <v>1569</v>
      </c>
      <c r="I110" s="100">
        <f>SUM(AR$20:AR$36)+SUM(AT$20:AT$36)+SUM(AV$20:AV$36)+SUM(AX$20:AX$36)</f>
        <v>1508.8977191671452</v>
      </c>
      <c r="J110" s="100">
        <f>SUM(AZ$20:AZ$36)+SUM(BB$20:BB$36)+SUM(BD$20:BD$36)+SUM(BF$20:BF$36)</f>
        <v>1554.3722852945323</v>
      </c>
      <c r="K110" s="100">
        <f>SUM(BH$20:BH$36)+SUM(BJ$20:BJ$36)+SUM(BL$20:BL$36)+SUM(BN$20:BN$36)</f>
        <v>1444.5362020380728</v>
      </c>
      <c r="L110" s="100">
        <f>SUM(BP$20:BP$36)+SUM(BR$20:BR$36)+SUM(BT$20:BT$36)+SUM(BV$20:BV$36)</f>
        <v>1431.9497482763888</v>
      </c>
      <c r="M110" s="100">
        <f>SUM(BX$20:BX$36)+SUM(BZ$20:BZ$36)+SUM(CB$20:CB$36)+SUM(CD$20:CD$36)</f>
        <v>1558.9656008276402</v>
      </c>
      <c r="N110" s="100">
        <f>SUM(CF$20:CF$36)+SUM(CH$20:CH$36)+SUM(CJ$20:CJ$36)+SUM(CL$20:CL$36)</f>
        <v>1591.3140449998596</v>
      </c>
      <c r="O110" s="100">
        <f>SUM(CN$20:CN$36)+SUM(CP$20:CP$36)+SUM(CR$20:CR$36)+SUM(CT$20:CT$36)</f>
        <v>55.345642075549215</v>
      </c>
    </row>
    <row r="111" spans="2:99">
      <c r="C111" s="99" t="s">
        <v>128</v>
      </c>
      <c r="D111" s="100">
        <f>SUM(D$37:D$48)+SUM(F$37:F$48)+SUM(H$37:H$48)+SUM(J$37:J$48)</f>
        <v>582</v>
      </c>
      <c r="E111" s="100">
        <f>SUM(L$37:L$48)+SUM(N$37:N$48)+SUM(P$37:P$48)+SUM(R$37:R$48)</f>
        <v>758</v>
      </c>
      <c r="F111" s="100">
        <f>SUM(T$37:T$48)+SUM(V$37:V$48)+SUM(X$37:X$48)+SUM(Z$37:Z$48)</f>
        <v>741</v>
      </c>
      <c r="G111" s="100">
        <f>SUM(AB$37:AB$48)+SUM(AD$37:AD$48)+SUM(AF$37:AF$48)+SUM(AH$37:AH$48)</f>
        <v>658</v>
      </c>
      <c r="H111" s="100">
        <f>SUM(AJ$37:AJ$48)+SUM(AL$37:AL$48)+SUM(AN$37:AN$48)+SUM(AP$37:AP$48)</f>
        <v>783</v>
      </c>
      <c r="I111" s="100">
        <f>SUM(AR$37:AR$48)+SUM(AT$37:AT$48)+SUM(AV$37:AV$48)+SUM(AX$37:AX$48)</f>
        <v>717.84859413447225</v>
      </c>
      <c r="J111" s="100">
        <f>SUM(AZ$37:AZ$48)+SUM(BB$37:BB$48)+SUM(BD$37:BD$48)+SUM(BF$37:BF$48)</f>
        <v>556.57657479346392</v>
      </c>
      <c r="K111" s="100">
        <f>SUM(BH$37:BH$48)+SUM(BJ$37:BJ$48)+SUM(BL$37:BL$48)+SUM(BN$37:BN$48)</f>
        <v>663.30837289250178</v>
      </c>
      <c r="L111" s="100">
        <f>SUM(BP$37:BP$48)+SUM(BR$37:BR$48)+SUM(BT$37:BT$48)+SUM(BV$37:BV$48)</f>
        <v>747.21994173432017</v>
      </c>
      <c r="M111" s="100">
        <f>SUM(BX$37:BX$48)+SUM(BZ$37:BZ$48)+SUM(CB$37:CB$48)+SUM(CD$37:CD$48)</f>
        <v>689.73537983007429</v>
      </c>
      <c r="N111" s="100">
        <f>SUM(CF$37:CF$48)+SUM(CH$37:CH$48)+SUM(CJ$37:CJ$48)+SUM(CL$37:CL$48)</f>
        <v>583.84564092004962</v>
      </c>
      <c r="O111" s="100">
        <f>SUM(CN$37:CN$48)+SUM(CP$37:CP$48)+SUM(CR$37:CR$48)+SUM(CT$37:CT$48)</f>
        <v>20.504296319083785</v>
      </c>
    </row>
    <row r="112" spans="2:99">
      <c r="C112" s="99" t="s">
        <v>129</v>
      </c>
      <c r="D112" s="100">
        <f>SUM(D$49:D$70)+SUM(F$49:F$70)+SUM(H$49:H$70)+SUM(J$49:J$70)</f>
        <v>1198</v>
      </c>
      <c r="E112" s="100">
        <f>SUM(L$49:L$70)+SUM(N$49:N$70)+SUM(P$49:P$70)+SUM(R$49:R$70)</f>
        <v>881</v>
      </c>
      <c r="F112" s="100">
        <f>SUM(T$49:T$70)+SUM(V$49:V$70)+SUM(X$49:X$70)+SUM(Z$49:Z$70)</f>
        <v>1347</v>
      </c>
      <c r="G112" s="100">
        <f>SUM(AB$49:AB$70)+SUM(AD$49:AD$70)+SUM(AF$49:AF$70)+SUM(AH$49:AH$70)</f>
        <v>1012</v>
      </c>
      <c r="H112" s="100">
        <f>SUM(AJ$49:AJ$70)+SUM(AL$49:AL$70)+SUM(AN$49:AN$70)+SUM(AP$49:AP$70)</f>
        <v>1207</v>
      </c>
      <c r="I112" s="100">
        <f>SUM(AR$49:AR$70)+SUM(AT$49:AT$70)+SUM(AV$49:AV$70)+SUM(AX$49:AX$70)</f>
        <v>1199.0202650100073</v>
      </c>
      <c r="J112" s="100">
        <f>SUM(AZ$49:AZ$70)+SUM(BB$49:BB$70)+SUM(BD$49:BD$70)+SUM(BF$49:BF$70)</f>
        <v>1041.8648621901959</v>
      </c>
      <c r="K112" s="100">
        <f>SUM(BH$49:BH$70)+SUM(BJ$49:BJ$70)+SUM(BL$49:BL$70)+SUM(BN$49:BN$70)</f>
        <v>1037.1546772020142</v>
      </c>
      <c r="L112" s="100">
        <f>SUM(BP$49:BP$70)+SUM(BR$49:BR$70)+SUM(BT$49:BT$70)+SUM(BV$49:BV$70)</f>
        <v>1115.7548827487462</v>
      </c>
      <c r="M112" s="100">
        <f>SUM(BX$49:BX$70)+SUM(BZ$49:BZ$70)+SUM(CB$49:CB$70)+SUM(CD$49:CD$70)</f>
        <v>1004.9187467773561</v>
      </c>
      <c r="N112" s="100">
        <f>SUM(CF$49:CF$70)+SUM(CH$49:CH$70)+SUM(CJ$49:CJ$70)+SUM(CL$49:CL$70)</f>
        <v>1113.0568008916173</v>
      </c>
      <c r="O112" s="100">
        <f>SUM(CN$49:CN$70)+SUM(CP$49:CP$70)+SUM(CR$49:CR$70)+SUM(CT$49:CT$70)</f>
        <v>186.91995849422619</v>
      </c>
    </row>
    <row r="113" spans="2:15">
      <c r="C113" s="99" t="s">
        <v>130</v>
      </c>
      <c r="D113" s="100">
        <f>SUM(D$71:D$86)+SUM(F$71:F$86)+SUM(H$71:H$86)+SUM(J$71:J$86)</f>
        <v>459</v>
      </c>
      <c r="E113" s="100">
        <f>SUM(L$71:L$86)+SUM(N$71:N$86)+SUM(P$71:P$86)+SUM(R$71:R$86)</f>
        <v>538</v>
      </c>
      <c r="F113" s="100">
        <f>SUM(T$71:T$86)+SUM(V$71:V$86)+SUM(X$71:X$86)+SUM(Z$71:Z$86)</f>
        <v>522</v>
      </c>
      <c r="G113" s="100">
        <f>SUM(AB$71:AB$86)+SUM(AD$71:AD$86)+SUM(AF$71:AF$86)+SUM(AH$71:AH$86)</f>
        <v>437</v>
      </c>
      <c r="H113" s="100">
        <f>SUM(AJ$71:AJ$86)+SUM(AL$71:AL$86)+SUM(AN$71:AN$86)+SUM(AP$71:AP$86)</f>
        <v>455</v>
      </c>
      <c r="I113" s="100">
        <f>SUM(AR$71:AR$86)+SUM(AT$71:AT$86)+SUM(AV$71:AV$86)+SUM(AX$71:AX$86)</f>
        <v>534</v>
      </c>
      <c r="J113" s="100">
        <f>SUM(AZ$71:AZ$86)+SUM(BB$71:BB$86)+SUM(BD$71:BD$86)+SUM(BF$71:BF$86)</f>
        <v>472</v>
      </c>
      <c r="K113" s="100">
        <f>SUM(BH$71:BH$86)+SUM(BJ$71:BJ$86)+SUM(BL$71:BL$86)+SUM(BN$71:BN$86)</f>
        <v>553</v>
      </c>
      <c r="L113" s="100">
        <f>SUM(BP$71:BP$86)+SUM(BR$71:BR$86)+SUM(BT$71:BT$86)+SUM(BV$71:BV$86)</f>
        <v>571</v>
      </c>
      <c r="M113" s="100">
        <f>SUM(BX$71:BX$86)+SUM(BZ$71:BZ$86)+SUM(CB$71:CB$86)+SUM(CD$71:CD$86)</f>
        <v>491</v>
      </c>
      <c r="N113" s="100">
        <f>SUM(CF$71:CF$86)+SUM(CH$71:CH$86)+SUM(CJ$71:CJ$86)+SUM(CL$71:CL$86)</f>
        <v>624</v>
      </c>
      <c r="O113" s="100">
        <f>SUM(CN$71:CN$86)+SUM(CP$71:CP$86)+SUM(CR$71:CR$86)+SUM(CT$71:CT$86)</f>
        <v>502</v>
      </c>
    </row>
    <row r="114" spans="2:15">
      <c r="C114" s="99" t="s">
        <v>131</v>
      </c>
      <c r="D114" s="100">
        <f>SUM(D$87:D$94)+SUM(F$87:F$94)+SUM(H$87:H$94)+SUM(J$87:J$94)</f>
        <v>345</v>
      </c>
      <c r="E114" s="100">
        <f>SUM(L$87:L$94)+SUM(N$87:N$94)+SUM(P$87:P$94)+SUM(R$87:R$94)</f>
        <v>287</v>
      </c>
      <c r="F114" s="100">
        <f>SUM(T$87:T$94)+SUM(V$87:V$94)+SUM(X$87:X$94)+SUM(Z$87:Z$94)</f>
        <v>258</v>
      </c>
      <c r="G114" s="100">
        <f>SUM(AB$87:AB$94)+SUM(AD$87:AD$94)+SUM(AF$87:AF$94)+SUM(AH$87:AH$94)</f>
        <v>237</v>
      </c>
      <c r="H114" s="100">
        <f>SUM(AJ$87:AJ$94)+SUM(AL$87:AL$94)+SUM(AN$87:AN$94)+SUM(AP$87:AP$94)</f>
        <v>270</v>
      </c>
      <c r="I114" s="100">
        <f>SUM(AR$87:AR$94)+SUM(AT$87:AT$94)+SUM(AV$87:AV$94)+SUM(AX$87:AX$94)</f>
        <v>269</v>
      </c>
      <c r="J114" s="100">
        <f>SUM(AZ$87:AZ$94)+SUM(BB$87:BB$94)+SUM(BD$87:BD$94)+SUM(BF$87:BF$94)</f>
        <v>318</v>
      </c>
      <c r="K114" s="100">
        <f>SUM(BH$87:BH$94)+SUM(BJ$87:BJ$94)+SUM(BL$87:BL$94)+SUM(BN$87:BN$94)</f>
        <v>273</v>
      </c>
      <c r="L114" s="100">
        <f>SUM(BP$87:BP$94)+SUM(BR$87:BR$94)+SUM(BT$87:BT$94)+SUM(BV$87:BV$94)</f>
        <v>300</v>
      </c>
      <c r="M114" s="100">
        <f>SUM(BX$87:BX$94)+SUM(BZ$87:BZ$94)+SUM(CB$87:CB$94)+SUM(CD$87:CD$94)</f>
        <v>313</v>
      </c>
      <c r="N114" s="100">
        <f>SUM(CF$87:CF$94)+SUM(CH$87:CH$94)+SUM(CJ$87:CJ$94)+SUM(CL$87:CL$94)</f>
        <v>322</v>
      </c>
      <c r="O114" s="100">
        <f>SUM(CN$87:CN$94)+SUM(CP$87:CP$94)+SUM(CR$87:CR$94)+SUM(CT$87:CT$94)</f>
        <v>332</v>
      </c>
    </row>
    <row r="115" spans="2:15">
      <c r="C115" s="99" t="s">
        <v>132</v>
      </c>
      <c r="D115" s="100">
        <f>SUM(D$95:D$105)+SUM(F$95:F$105)+SUM(H$95:H$105)+SUM(J$95:J$105)</f>
        <v>359</v>
      </c>
      <c r="E115" s="100">
        <f>SUM(L$95:L$105)+SUM(N$95:N$105)+SUM(P$95:P$105)+SUM(R$95:R$105)</f>
        <v>391</v>
      </c>
      <c r="F115" s="100">
        <f>SUM(T$95:T$105)+SUM(V$95:V$105)+SUM(X$95:X$105)+SUM(Z$95:Z$105)</f>
        <v>398</v>
      </c>
      <c r="G115" s="100">
        <f>SUM(AB$95:AB$105)+SUM(AD$95:AD$105)+SUM(AF$95:AF$105)+SUM(AH$95:AH$105)</f>
        <v>279</v>
      </c>
      <c r="H115" s="100">
        <f>SUM(AJ$95:AJ$105)+SUM(AL$95:AL$105)+SUM(AN$95:AN$105)+SUM(AP$95:AP$105)</f>
        <v>399</v>
      </c>
      <c r="I115" s="100">
        <f>SUM(AR$95:AR$105)+SUM(AT$95:AT$105)+SUM(AV$95:AV$105)+SUM(AX$95:AX$105)</f>
        <v>365</v>
      </c>
      <c r="J115" s="100">
        <f>SUM(AZ$95:AZ$105)+SUM(BB$95:BB$105)+SUM(BD$95:BD$105)+SUM(BF$95:BF$105)</f>
        <v>441</v>
      </c>
      <c r="K115" s="100">
        <f>SUM(BH$95:BH$105)+SUM(BJ$95:BJ$105)+SUM(BL$95:BL$105)+SUM(BN$95:BN$105)</f>
        <v>416</v>
      </c>
      <c r="L115" s="100">
        <f>SUM(BP$95:BP$105)+SUM(BR$95:BR$105)+SUM(BT$95:BT$105)+SUM(BV$95:BV$105)</f>
        <v>424</v>
      </c>
      <c r="M115" s="100">
        <f>SUM(BX$95:BX$105)+SUM(BZ$95:BZ$105)+SUM(CB$95:CB$105)+SUM(CD$95:CD$105)</f>
        <v>328</v>
      </c>
      <c r="N115" s="100">
        <f>SUM(CF$95:CF$105)+SUM(CH$95:CH$105)+SUM(CJ$95:CJ$105)+SUM(CL$95:CL$105)</f>
        <v>367</v>
      </c>
      <c r="O115" s="100">
        <f>SUM(CN$95:CN$105)+SUM(CP$95:CP$105)+SUM(CR$95:CR$105)+SUM(CT$95:CT$105)</f>
        <v>336</v>
      </c>
    </row>
    <row r="116" spans="2:15">
      <c r="C116" s="99" t="s">
        <v>278</v>
      </c>
      <c r="D116" s="100">
        <f t="shared" ref="D116:O116" si="0">SUM(D$109:D$115)</f>
        <v>5650</v>
      </c>
      <c r="E116" s="100">
        <f t="shared" si="0"/>
        <v>5458</v>
      </c>
      <c r="F116" s="100">
        <f t="shared" si="0"/>
        <v>5795</v>
      </c>
      <c r="G116" s="100">
        <f t="shared" si="0"/>
        <v>5342</v>
      </c>
      <c r="H116" s="100">
        <f t="shared" si="0"/>
        <v>5856</v>
      </c>
      <c r="I116" s="100">
        <f t="shared" si="0"/>
        <v>5881.7749179640459</v>
      </c>
      <c r="J116" s="100">
        <f t="shared" si="0"/>
        <v>5632.703418199204</v>
      </c>
      <c r="K116" s="100">
        <f t="shared" si="0"/>
        <v>5674.5056969986736</v>
      </c>
      <c r="L116" s="100">
        <f t="shared" si="0"/>
        <v>5737.6045575989392</v>
      </c>
      <c r="M116" s="100">
        <f t="shared" si="0"/>
        <v>5555.6045575989392</v>
      </c>
      <c r="N116" s="100">
        <f t="shared" si="0"/>
        <v>5695.703418199204</v>
      </c>
      <c r="O116" s="100">
        <f t="shared" si="0"/>
        <v>1476.2812599676056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4171800</v>
      </c>
      <c r="E120" s="100">
        <f>E109*pricing!E6*2000</f>
        <v>4025600</v>
      </c>
      <c r="F120" s="100">
        <f>F109*pricing!F6*2000</f>
        <v>4018799.9999999995</v>
      </c>
      <c r="G120" s="100">
        <f>G109*pricing!G6*2000</f>
        <v>3763799.9999999995</v>
      </c>
      <c r="H120" s="100">
        <f>H109*pricing!H6*2000</f>
        <v>3988200</v>
      </c>
      <c r="I120" s="100">
        <f>I109*pricing!I6*2000</f>
        <v>4379228.3548182333</v>
      </c>
      <c r="J120" s="100">
        <f>J109*pricing!J6*2000</f>
        <v>4246224.9661314413</v>
      </c>
      <c r="K120" s="100">
        <f>K109*pricing!K6*2000</f>
        <v>4377521.9125446873</v>
      </c>
      <c r="L120" s="100">
        <f>L109*pricing!L6*2000</f>
        <v>3902111.9484542445</v>
      </c>
      <c r="M120" s="100">
        <f>M109*pricing!M6*2000</f>
        <v>3977948.4225571547</v>
      </c>
      <c r="N120" s="100">
        <f>N109*pricing!N6*2000</f>
        <v>3721255.5667181052</v>
      </c>
      <c r="O120" s="100">
        <f>O109*pricing!O6*2000</f>
        <v>147938.63446773781</v>
      </c>
    </row>
    <row r="121" spans="2:15">
      <c r="C121" s="99" t="s">
        <v>127</v>
      </c>
      <c r="D121" s="100">
        <f>D110*pricing!D7*2000</f>
        <v>5920000</v>
      </c>
      <c r="E121" s="100">
        <f>E110*pricing!E7*2000</f>
        <v>5676000</v>
      </c>
      <c r="F121" s="100">
        <f>F110*pricing!F7*2000</f>
        <v>5388000</v>
      </c>
      <c r="G121" s="100">
        <f>G110*pricing!G7*2000</f>
        <v>6448000</v>
      </c>
      <c r="H121" s="100">
        <f>H110*pricing!H7*2000</f>
        <v>6276000</v>
      </c>
      <c r="I121" s="100">
        <f>I110*pricing!I7*2000</f>
        <v>6035590.8766685808</v>
      </c>
      <c r="J121" s="100">
        <f>J110*pricing!J7*2000</f>
        <v>6217489.1411781292</v>
      </c>
      <c r="K121" s="100">
        <f>K110*pricing!K7*2000</f>
        <v>5778144.808152291</v>
      </c>
      <c r="L121" s="100">
        <f>L110*pricing!L7*2000</f>
        <v>5727798.993105555</v>
      </c>
      <c r="M121" s="100">
        <f>M110*pricing!M7*2000</f>
        <v>6235862.4033105606</v>
      </c>
      <c r="N121" s="100">
        <f>N110*pricing!N7*2000</f>
        <v>6365256.1799994381</v>
      </c>
      <c r="O121" s="100">
        <f>O110*pricing!O7*2000</f>
        <v>221382.56830219686</v>
      </c>
    </row>
    <row r="122" spans="2:15">
      <c r="C122" s="99" t="s">
        <v>128</v>
      </c>
      <c r="D122" s="100">
        <f>D111*pricing!D8*2000</f>
        <v>2619000</v>
      </c>
      <c r="E122" s="100">
        <f>E111*pricing!E8*2000</f>
        <v>3411000</v>
      </c>
      <c r="F122" s="100">
        <f>F111*pricing!F8*2000</f>
        <v>3334500</v>
      </c>
      <c r="G122" s="100">
        <f>G111*pricing!G8*2000</f>
        <v>2961000</v>
      </c>
      <c r="H122" s="100">
        <f>H111*pricing!H8*2000</f>
        <v>3523500</v>
      </c>
      <c r="I122" s="100">
        <f>I111*pricing!I8*2000</f>
        <v>3230318.6736051254</v>
      </c>
      <c r="J122" s="100">
        <f>J111*pricing!J8*2000</f>
        <v>2504594.5865705875</v>
      </c>
      <c r="K122" s="100">
        <f>K111*pricing!K8*2000</f>
        <v>2984887.6780162584</v>
      </c>
      <c r="L122" s="100">
        <f>L111*pricing!L8*2000</f>
        <v>3362489.7378044408</v>
      </c>
      <c r="M122" s="100">
        <f>M111*pricing!M8*2000</f>
        <v>3103809.2092353343</v>
      </c>
      <c r="N122" s="100">
        <f>N111*pricing!N8*2000</f>
        <v>2627305.3841402233</v>
      </c>
      <c r="O122" s="100">
        <f>O111*pricing!O8*2000</f>
        <v>92269.333435877037</v>
      </c>
    </row>
    <row r="123" spans="2:15">
      <c r="C123" s="99" t="s">
        <v>129</v>
      </c>
      <c r="D123" s="100">
        <f>D112*pricing!D9*2000</f>
        <v>5391000</v>
      </c>
      <c r="E123" s="100">
        <f>E112*pricing!E9*2000</f>
        <v>3964500</v>
      </c>
      <c r="F123" s="100">
        <f>F112*pricing!F9*2000</f>
        <v>6061500</v>
      </c>
      <c r="G123" s="100">
        <f>G112*pricing!G9*2000</f>
        <v>4554000</v>
      </c>
      <c r="H123" s="100">
        <f>H112*pricing!H9*2000</f>
        <v>5431500</v>
      </c>
      <c r="I123" s="100">
        <f>I112*pricing!I9*2000</f>
        <v>5395591.1925450331</v>
      </c>
      <c r="J123" s="100">
        <f>J112*pricing!J9*2000</f>
        <v>4688391.8798558814</v>
      </c>
      <c r="K123" s="100">
        <f>K112*pricing!K9*2000</f>
        <v>4667196.0474090641</v>
      </c>
      <c r="L123" s="100">
        <f>L112*pricing!L9*2000</f>
        <v>5020896.9723693579</v>
      </c>
      <c r="M123" s="100">
        <f>M112*pricing!M9*2000</f>
        <v>4522134.3604981024</v>
      </c>
      <c r="N123" s="100">
        <f>N112*pricing!N9*2000</f>
        <v>5008755.6040122779</v>
      </c>
      <c r="O123" s="100">
        <f>O112*pricing!O9*2000</f>
        <v>841139.81322401785</v>
      </c>
    </row>
    <row r="124" spans="2:15">
      <c r="C124" s="99" t="s">
        <v>130</v>
      </c>
      <c r="D124" s="100">
        <f>D113*pricing!D10*2000</f>
        <v>2295000</v>
      </c>
      <c r="E124" s="100">
        <f>E113*pricing!E10*2000</f>
        <v>2690000</v>
      </c>
      <c r="F124" s="100">
        <f>F113*pricing!F10*2000</f>
        <v>2610000</v>
      </c>
      <c r="G124" s="100">
        <f>G113*pricing!G10*2000</f>
        <v>2185000</v>
      </c>
      <c r="H124" s="100">
        <f>H113*pricing!H10*2000</f>
        <v>2275000</v>
      </c>
      <c r="I124" s="100">
        <f>I113*pricing!I10*2000</f>
        <v>2670000</v>
      </c>
      <c r="J124" s="100">
        <f>J113*pricing!J10*2000</f>
        <v>2360000</v>
      </c>
      <c r="K124" s="100">
        <f>K113*pricing!K10*2000</f>
        <v>2765000</v>
      </c>
      <c r="L124" s="100">
        <f>L113*pricing!L10*2000</f>
        <v>2855000</v>
      </c>
      <c r="M124" s="100">
        <f>M113*pricing!M10*2000</f>
        <v>2455000</v>
      </c>
      <c r="N124" s="100">
        <f>N113*pricing!N10*2000</f>
        <v>3120000</v>
      </c>
      <c r="O124" s="100">
        <f>O113*pricing!O10*2000</f>
        <v>2510000</v>
      </c>
    </row>
    <row r="125" spans="2:15">
      <c r="C125" s="99" t="s">
        <v>131</v>
      </c>
      <c r="D125" s="100">
        <f>D114*pricing!D11*2000</f>
        <v>1794000</v>
      </c>
      <c r="E125" s="100">
        <f>E114*pricing!E11*2000</f>
        <v>1492400</v>
      </c>
      <c r="F125" s="100">
        <f>F114*pricing!F11*2000</f>
        <v>1341600.0000000002</v>
      </c>
      <c r="G125" s="100">
        <f>G114*pricing!G11*2000</f>
        <v>1232400</v>
      </c>
      <c r="H125" s="100">
        <f>H114*pricing!H11*2000</f>
        <v>1404000</v>
      </c>
      <c r="I125" s="100">
        <f>I114*pricing!I11*2000</f>
        <v>1398800</v>
      </c>
      <c r="J125" s="100">
        <f>J114*pricing!J11*2000</f>
        <v>1653600.0000000002</v>
      </c>
      <c r="K125" s="100">
        <f>K114*pricing!K11*2000</f>
        <v>1419600.0000000002</v>
      </c>
      <c r="L125" s="100">
        <f>L114*pricing!L11*2000</f>
        <v>1560000</v>
      </c>
      <c r="M125" s="100">
        <f>M114*pricing!M11*2000</f>
        <v>1627600.0000000002</v>
      </c>
      <c r="N125" s="100">
        <f>N114*pricing!N11*2000</f>
        <v>1674400</v>
      </c>
      <c r="O125" s="100">
        <f>O114*pricing!O11*2000</f>
        <v>1726400</v>
      </c>
    </row>
    <row r="126" spans="2:15">
      <c r="C126" s="99" t="s">
        <v>132</v>
      </c>
      <c r="D126" s="100">
        <f>D115*pricing!D12*2000</f>
        <v>1938600.0000000002</v>
      </c>
      <c r="E126" s="100">
        <f>E115*pricing!E12*2000</f>
        <v>2111400</v>
      </c>
      <c r="F126" s="100">
        <f>F115*pricing!F12*2000</f>
        <v>2149200.0000000005</v>
      </c>
      <c r="G126" s="100">
        <f>G115*pricing!G12*2000</f>
        <v>1506600.0000000002</v>
      </c>
      <c r="H126" s="100">
        <f>H115*pricing!H12*2000</f>
        <v>2154600.0000000005</v>
      </c>
      <c r="I126" s="100">
        <f>I115*pricing!I12*2000</f>
        <v>1971000.0000000002</v>
      </c>
      <c r="J126" s="100">
        <f>J115*pricing!J12*2000</f>
        <v>2381400</v>
      </c>
      <c r="K126" s="100">
        <f>K115*pricing!K12*2000</f>
        <v>2246400</v>
      </c>
      <c r="L126" s="100">
        <f>L115*pricing!L12*2000</f>
        <v>2289600.0000000005</v>
      </c>
      <c r="M126" s="100">
        <f>M115*pricing!M12*2000</f>
        <v>1771200</v>
      </c>
      <c r="N126" s="100">
        <f>N115*pricing!N12*2000</f>
        <v>1981800.0000000002</v>
      </c>
      <c r="O126" s="100">
        <f>O115*pricing!O12*2000</f>
        <v>1814400</v>
      </c>
    </row>
    <row r="127" spans="2:15">
      <c r="C127" s="99" t="s">
        <v>278</v>
      </c>
      <c r="D127" s="100">
        <f t="shared" ref="D127:O127" si="1">SUM(D$120:D$126)</f>
        <v>24129400</v>
      </c>
      <c r="E127" s="100">
        <f t="shared" si="1"/>
        <v>23370900</v>
      </c>
      <c r="F127" s="100">
        <f t="shared" si="1"/>
        <v>24903600</v>
      </c>
      <c r="G127" s="100">
        <f t="shared" si="1"/>
        <v>22650800</v>
      </c>
      <c r="H127" s="100">
        <f t="shared" si="1"/>
        <v>25052800</v>
      </c>
      <c r="I127" s="100">
        <f t="shared" si="1"/>
        <v>25080529.097636972</v>
      </c>
      <c r="J127" s="100">
        <f t="shared" si="1"/>
        <v>24051700.573736038</v>
      </c>
      <c r="K127" s="100">
        <f t="shared" si="1"/>
        <v>24238750.4461223</v>
      </c>
      <c r="L127" s="100">
        <f t="shared" si="1"/>
        <v>24717897.6517336</v>
      </c>
      <c r="M127" s="100">
        <f t="shared" si="1"/>
        <v>23693554.395601153</v>
      </c>
      <c r="N127" s="100">
        <f t="shared" si="1"/>
        <v>24498772.734870043</v>
      </c>
      <c r="O127" s="100">
        <f t="shared" si="1"/>
        <v>7353530.349429829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617685.60000000009</v>
      </c>
      <c r="E131" s="106">
        <f>SUM(M$6:M$19)+SUM(O$6:O$19)+SUM(Q$6:Q$19)+SUM(S$6:S$19)</f>
        <v>594206.39999999991</v>
      </c>
      <c r="F131" s="106">
        <f>SUM(U$6:U$19)+SUM(W$6:W$19)+SUM(Y$6:Y$19)+SUM(AA$6:AA$19)</f>
        <v>591514.80000000005</v>
      </c>
      <c r="G131" s="106">
        <f>SUM(AC$6:AC$19)+SUM(AE$6:AE$19)+SUM(AG$6:AG$19)+SUM(AI$6:AI$19)</f>
        <v>554967.6</v>
      </c>
      <c r="H131" s="106">
        <f>SUM(AK$6:AK$19)+SUM(AM$6:AM$19)+SUM(AO$6:AO$19)+SUM(AQ$6:AQ$19)</f>
        <v>591595.20000000007</v>
      </c>
      <c r="I131" s="106">
        <f>SUM(AS$6:AS$19)+SUM(AU$6:AU$19)+SUM(AW$6:AW$19)+SUM(AY$6:AY$19)</f>
        <v>643226.85126904387</v>
      </c>
      <c r="J131" s="106">
        <f>SUM(BA$6:BA$19)+SUM(BC$6:BC$19)+SUM(BE$6:BE$19)+SUM(BG$6:BG$19)</f>
        <v>626160.12245180213</v>
      </c>
      <c r="K131" s="106">
        <f>SUM(BI$6:BI$19)+SUM(BK$6:BK$19)+SUM(BM$6:BM$19)+SUM(BO$6:BO$19)</f>
        <v>649076.11904858344</v>
      </c>
      <c r="L131" s="106">
        <f>SUM(BQ$6:BQ$19)+SUM(BS$6:BS$19)+SUM(BU$6:BU$19)+SUM(BW$6:BW$19)</f>
        <v>575438.71226580127</v>
      </c>
      <c r="M131" s="106">
        <f>SUM(BY$6:BY$19)+SUM(CA$6:CA$19)+SUM(CC$6:CC$19)+SUM(CE$6:CE$19)</f>
        <v>588902.13222425943</v>
      </c>
      <c r="N131" s="106">
        <f>SUM(CG$6:CG$19)+SUM(CI$6:CI$19)+SUM(CK$6:CK$19)+SUM(CM$6:CM$19)</f>
        <v>548278.60798773519</v>
      </c>
      <c r="O131" s="106">
        <f>SUM(CO$6:CO$19)+SUM(CQ$6:CQ$19)+SUM(CS$6:CS$19)+SUM(CU$6:CU$19)</f>
        <v>21825.556851611866</v>
      </c>
    </row>
    <row r="132" spans="2:15">
      <c r="C132" s="105" t="s">
        <v>127</v>
      </c>
      <c r="D132" s="106">
        <f>SUM(E$20:E$36)+SUM(G$20:G$36)+SUM(I$20:I$36)+SUM(K$20:K$36)</f>
        <v>630668.4</v>
      </c>
      <c r="E132" s="106">
        <f>SUM(M$20:M$36)+SUM(O$20:O$36)+SUM(Q$20:Q$36)+SUM(S$20:S$36)</f>
        <v>605919.6</v>
      </c>
      <c r="F132" s="106">
        <f>SUM(U$20:U$36)+SUM(W$20:W$36)+SUM(Y$20:Y$36)+SUM(AA$20:AA$36)</f>
        <v>575512.80000000005</v>
      </c>
      <c r="G132" s="106">
        <f>SUM(AC$20:AC$36)+SUM(AE$20:AE$36)+SUM(AG$20:AG$36)+SUM(AI$20:AI$36)</f>
        <v>687427.2</v>
      </c>
      <c r="H132" s="106">
        <f>SUM(AK$20:AK$36)+SUM(AM$20:AM$36)+SUM(AO$20:AO$36)+SUM(AQ$20:AQ$36)</f>
        <v>669718.79999999981</v>
      </c>
      <c r="I132" s="106">
        <f>SUM(AS$20:AS$36)+SUM(AU$20:AU$36)+SUM(AW$20:AW$36)+SUM(AY$20:AY$36)</f>
        <v>639828.49710087036</v>
      </c>
      <c r="J132" s="106">
        <f>SUM(BA$20:BA$36)+SUM(BC$20:BC$36)+SUM(BE$20:BE$36)+SUM(BG$20:BG$36)</f>
        <v>657247.52098310087</v>
      </c>
      <c r="K132" s="106">
        <f>SUM(BI$20:BI$36)+SUM(BK$20:BK$36)+SUM(BM$20:BM$36)+SUM(BO$20:BO$36)</f>
        <v>614366.650923362</v>
      </c>
      <c r="L132" s="106">
        <f>SUM(BQ$20:BQ$36)+SUM(BS$20:BS$36)+SUM(BU$20:BU$36)+SUM(BW$20:BW$36)</f>
        <v>610852.40440028463</v>
      </c>
      <c r="M132" s="106">
        <f>SUM(BY$20:BY$36)+SUM(CA$20:CA$36)+SUM(CC$20:CC$36)+SUM(CE$20:CE$36)</f>
        <v>663398.81234611524</v>
      </c>
      <c r="N132" s="106">
        <f>SUM(CG$20:CG$36)+SUM(CI$20:CI$36)+SUM(CK$20:CK$36)+SUM(CM$20:CM$36)</f>
        <v>678697.73678937298</v>
      </c>
      <c r="O132" s="106">
        <f>SUM(CO$20:CO$36)+SUM(CQ$20:CQ$36)+SUM(CS$20:CS$36)+SUM(CU$20:CU$36)</f>
        <v>23634.406262433207</v>
      </c>
    </row>
    <row r="133" spans="2:15">
      <c r="C133" s="105" t="s">
        <v>128</v>
      </c>
      <c r="D133" s="106">
        <f>SUM(E$37:E$48)+SUM(G$37:G$48)+SUM(I$37:I$48)+SUM(K$37:K$48)</f>
        <v>609057.6</v>
      </c>
      <c r="E133" s="106">
        <f>SUM(M$37:M$48)+SUM(O$37:O$48)+SUM(Q$37:Q$48)+SUM(S$37:S$48)</f>
        <v>792321.60000000009</v>
      </c>
      <c r="F133" s="106">
        <f>SUM(U$37:U$48)+SUM(W$37:W$48)+SUM(Y$37:Y$48)+SUM(AA$37:AA$48)</f>
        <v>777616.8</v>
      </c>
      <c r="G133" s="106">
        <f>SUM(AC$37:AC$48)+SUM(AE$37:AE$48)+SUM(AG$37:AG$48)+SUM(AI$37:AI$48)</f>
        <v>688857.60000000009</v>
      </c>
      <c r="H133" s="106">
        <f>SUM(AK$37:AK$48)+SUM(AM$37:AM$48)+SUM(AO$37:AO$48)+SUM(AQ$37:AQ$48)</f>
        <v>820858.8</v>
      </c>
      <c r="I133" s="106">
        <f>SUM(AS$37:AS$48)+SUM(AU$37:AU$48)+SUM(AW$37:AW$48)+SUM(AY$37:AY$48)</f>
        <v>748349.15411968913</v>
      </c>
      <c r="J133" s="106">
        <f>SUM(BA$37:BA$48)+SUM(BC$37:BC$48)+SUM(BE$37:BE$48)+SUM(BG$37:BG$48)</f>
        <v>582920.89952595776</v>
      </c>
      <c r="K133" s="106">
        <f>SUM(BI$37:BI$48)+SUM(BK$37:BK$48)+SUM(BM$37:BM$48)+SUM(BO$37:BO$48)</f>
        <v>693988.4323715684</v>
      </c>
      <c r="L133" s="106">
        <f>SUM(BQ$37:BQ$48)+SUM(BS$37:BS$48)+SUM(BU$37:BU$48)+SUM(BW$37:BW$48)</f>
        <v>784945.7877323929</v>
      </c>
      <c r="M133" s="106">
        <f>SUM(BY$37:BY$48)+SUM(CA$37:CA$48)+SUM(CC$37:CC$48)+SUM(CE$37:CE$48)</f>
        <v>721956.12616171176</v>
      </c>
      <c r="N133" s="106">
        <f>SUM(CG$37:CG$48)+SUM(CI$37:CI$48)+SUM(CK$37:CK$48)+SUM(CM$37:CM$48)</f>
        <v>610144.92307444615</v>
      </c>
      <c r="O133" s="106">
        <f>SUM(CO$37:CO$48)+SUM(CQ$37:CQ$48)+SUM(CS$37:CS$48)+SUM(CU$37:CU$48)</f>
        <v>21539.132251078692</v>
      </c>
    </row>
    <row r="134" spans="2:15">
      <c r="C134" s="105" t="s">
        <v>129</v>
      </c>
      <c r="D134" s="106">
        <f>SUM(E$49:E$70)+SUM(G$49:G$70)+SUM(I$49:I$70)+SUM(K$49:K$70)</f>
        <v>1005626.4000000001</v>
      </c>
      <c r="E134" s="106">
        <f>SUM(M$49:M$70)+SUM(O$49:O$70)+SUM(Q$49:Q$70)+SUM(S$49:S$70)</f>
        <v>738006</v>
      </c>
      <c r="F134" s="106">
        <f>SUM(U$49:U$70)+SUM(W$49:W$70)+SUM(Y$49:Y$70)+SUM(AA$49:AA$70)</f>
        <v>1126484.3999999999</v>
      </c>
      <c r="G134" s="106">
        <f>SUM(AC$49:AC$70)+SUM(AE$49:AE$70)+SUM(AG$49:AG$70)+SUM(AI$49:AI$70)</f>
        <v>839423.99999999988</v>
      </c>
      <c r="H134" s="106">
        <f>SUM(AK$49:AK$70)+SUM(AM$49:AM$70)+SUM(AO$49:AO$70)+SUM(AQ$49:AQ$70)</f>
        <v>1012537.2</v>
      </c>
      <c r="I134" s="106">
        <f>SUM(AS$49:AS$70)+SUM(AU$49:AU$70)+SUM(AW$49:AW$70)+SUM(AY$49:AY$70)</f>
        <v>1011452.6388627173</v>
      </c>
      <c r="J134" s="106">
        <f>SUM(BA$49:BA$70)+SUM(BC$49:BC$70)+SUM(BE$49:BE$70)+SUM(BG$49:BG$70)</f>
        <v>873962.71642210183</v>
      </c>
      <c r="K134" s="106">
        <f>SUM(BI$49:BI$70)+SUM(BK$49:BK$70)+SUM(BM$49:BM$70)+SUM(BO$49:BO$70)</f>
        <v>870150.08464217209</v>
      </c>
      <c r="L134" s="106">
        <f>SUM(BQ$49:BQ$70)+SUM(BS$49:BS$70)+SUM(BU$49:BU$70)+SUM(BW$49:BW$70)</f>
        <v>944410.28413760348</v>
      </c>
      <c r="M134" s="106">
        <f>SUM(BY$49:BY$70)+SUM(CA$49:CA$70)+SUM(CC$49:CC$70)+SUM(CE$49:CE$70)</f>
        <v>846259.73967846157</v>
      </c>
      <c r="N134" s="106">
        <f>SUM(CG$49:CG$70)+SUM(CI$49:CI$70)+SUM(CK$49:CK$70)+SUM(CM$49:CM$70)</f>
        <v>939011.54988857266</v>
      </c>
      <c r="O134" s="106">
        <f>SUM(CO$49:CO$70)+SUM(CQ$49:CQ$70)+SUM(CS$49:CS$70)+SUM(CU$49:CU$70)</f>
        <v>212691.54029861809</v>
      </c>
    </row>
    <row r="135" spans="2:15">
      <c r="C135" s="105" t="s">
        <v>130</v>
      </c>
      <c r="D135" s="106">
        <f>SUM(E$71:E$86)+SUM(G$71:G$86)+SUM(I$71:I$86)+SUM(K$71:K$86)</f>
        <v>256486.80000000002</v>
      </c>
      <c r="E135" s="106">
        <f>SUM(M$71:M$86)+SUM(O$71:O$86)+SUM(Q$71:Q$86)+SUM(S$71:S$86)</f>
        <v>301983.59999999998</v>
      </c>
      <c r="F135" s="106">
        <f>SUM(U$71:U$86)+SUM(W$71:W$86)+SUM(Y$71:Y$86)+SUM(AA$71:AA$86)</f>
        <v>291406.80000000005</v>
      </c>
      <c r="G135" s="106">
        <f>SUM(AC$71:AC$86)+SUM(AE$71:AE$86)+SUM(AG$71:AG$86)+SUM(AI$71:AI$86)</f>
        <v>245700</v>
      </c>
      <c r="H135" s="106">
        <f>SUM(AK$71:AK$86)+SUM(AM$71:AM$86)+SUM(AO$71:AO$86)+SUM(AQ$71:AQ$86)</f>
        <v>254872.8</v>
      </c>
      <c r="I135" s="106">
        <f>SUM(AS$71:AS$86)+SUM(AU$71:AU$86)+SUM(AW$71:AW$86)+SUM(AY$71:AY$86)</f>
        <v>297573.59999999998</v>
      </c>
      <c r="J135" s="106">
        <f>SUM(BA$71:BA$86)+SUM(BC$71:BC$86)+SUM(BE$71:BE$86)+SUM(BG$71:BG$86)</f>
        <v>262126.8</v>
      </c>
      <c r="K135" s="106">
        <f>SUM(BI$71:BI$86)+SUM(BK$71:BK$86)+SUM(BM$71:BM$86)+SUM(BO$71:BO$86)</f>
        <v>309403.19999999995</v>
      </c>
      <c r="L135" s="106">
        <f>SUM(BQ$71:BQ$86)+SUM(BS$71:BS$86)+SUM(BU$71:BU$86)+SUM(BW$71:BW$86)</f>
        <v>318430.79999999993</v>
      </c>
      <c r="M135" s="106">
        <f>SUM(BY$71:BY$86)+SUM(CA$71:CA$86)+SUM(CC$71:CC$86)+SUM(CE$71:CE$86)</f>
        <v>275096.40000000002</v>
      </c>
      <c r="N135" s="106">
        <f>SUM(CG$71:CG$86)+SUM(CI$71:CI$86)+SUM(CK$71:CK$86)+SUM(CM$71:CM$86)</f>
        <v>347900.39999999997</v>
      </c>
      <c r="O135" s="106">
        <f>SUM(CO$71:CO$86)+SUM(CQ$71:CQ$86)+SUM(CS$71:CS$86)+SUM(CU$71:CU$86)</f>
        <v>281842.8</v>
      </c>
    </row>
    <row r="136" spans="2:15">
      <c r="C136" s="105" t="s">
        <v>131</v>
      </c>
      <c r="D136" s="106">
        <f>SUM(E$87:E$94)+SUM(G$87:G$94)+SUM(I$87:I$94)+SUM(K$87:K$94)</f>
        <v>346582.8</v>
      </c>
      <c r="E136" s="106">
        <f>SUM(M$87:M$94)+SUM(O$87:O$94)+SUM(Q$87:Q$94)+SUM(S$87:S$94)</f>
        <v>288571.2</v>
      </c>
      <c r="F136" s="106">
        <f>SUM(U$87:U$94)+SUM(W$87:W$94)+SUM(Y$87:Y$94)+SUM(AA$87:AA$94)</f>
        <v>258347.99999999994</v>
      </c>
      <c r="G136" s="106">
        <f>SUM(AC$87:AC$94)+SUM(AE$87:AE$94)+SUM(AG$87:AG$94)+SUM(AI$87:AI$94)</f>
        <v>237842.4</v>
      </c>
      <c r="H136" s="106">
        <f>SUM(AK$87:AK$94)+SUM(AM$87:AM$94)+SUM(AO$87:AO$94)+SUM(AQ$87:AQ$94)</f>
        <v>270590.40000000002</v>
      </c>
      <c r="I136" s="106">
        <f>SUM(AS$87:AS$94)+SUM(AU$87:AU$94)+SUM(AW$87:AW$94)+SUM(AY$87:AY$94)</f>
        <v>269464.79999999993</v>
      </c>
      <c r="J136" s="106">
        <f>SUM(BA$87:BA$94)+SUM(BC$87:BC$94)+SUM(BE$87:BE$94)+SUM(BG$87:BG$94)</f>
        <v>319231.2</v>
      </c>
      <c r="K136" s="106">
        <f>SUM(BI$87:BI$94)+SUM(BK$87:BK$94)+SUM(BM$87:BM$94)+SUM(BO$87:BO$94)</f>
        <v>273744</v>
      </c>
      <c r="L136" s="106">
        <f>SUM(BQ$87:BQ$94)+SUM(BS$87:BS$94)+SUM(BU$87:BU$94)+SUM(BW$87:BW$94)</f>
        <v>301304.40000000002</v>
      </c>
      <c r="M136" s="106">
        <f>SUM(BY$87:BY$94)+SUM(CA$87:CA$94)+SUM(CC$87:CC$94)+SUM(CE$87:CE$94)</f>
        <v>314833.19999999995</v>
      </c>
      <c r="N136" s="106">
        <f>SUM(CG$87:CG$94)+SUM(CI$87:CI$94)+SUM(CK$87:CK$94)+SUM(CM$87:CM$94)</f>
        <v>323637.59999999998</v>
      </c>
      <c r="O136" s="106">
        <f>SUM(CO$87:CO$94)+SUM(CQ$87:CQ$94)+SUM(CS$87:CS$94)+SUM(CU$87:CU$94)</f>
        <v>331507.19999999995</v>
      </c>
    </row>
    <row r="137" spans="2:15">
      <c r="C137" s="105" t="s">
        <v>132</v>
      </c>
      <c r="D137" s="106">
        <f>SUM(E$95:E$105)+SUM(G$95:G$105)+SUM(I$95:I$105)+SUM(K$95:K$105)</f>
        <v>285560.39999999997</v>
      </c>
      <c r="E137" s="106">
        <f>SUM(M$95:M$105)+SUM(O$95:O$105)+SUM(Q$95:Q$105)+SUM(S$95:S$105)</f>
        <v>313377.59999999998</v>
      </c>
      <c r="F137" s="106">
        <f>SUM(U$95:U$105)+SUM(W$95:W$105)+SUM(Y$95:Y$105)+SUM(AA$95:AA$105)</f>
        <v>310018.8</v>
      </c>
      <c r="G137" s="106">
        <f>SUM(AC$95:AC$105)+SUM(AE$95:AE$105)+SUM(AG$95:AG$105)+SUM(AI$95:AI$105)</f>
        <v>224599.2</v>
      </c>
      <c r="H137" s="106">
        <f>SUM(AK$95:AK$105)+SUM(AM$95:AM$105)+SUM(AO$95:AO$105)+SUM(AQ$95:AQ$105)</f>
        <v>321619.19999999995</v>
      </c>
      <c r="I137" s="106">
        <f>SUM(AS$95:AS$105)+SUM(AU$95:AU$105)+SUM(AW$95:AW$105)+SUM(AY$95:AY$105)</f>
        <v>285582.00000000006</v>
      </c>
      <c r="J137" s="106">
        <f>SUM(BA$95:BA$105)+SUM(BC$95:BC$105)+SUM(BE$95:BE$105)+SUM(BG$95:BG$105)</f>
        <v>346656</v>
      </c>
      <c r="K137" s="106">
        <f>SUM(BI$95:BI$105)+SUM(BK$95:BK$105)+SUM(BM$95:BM$105)+SUM(BO$95:BO$105)</f>
        <v>329726.40000000002</v>
      </c>
      <c r="L137" s="106">
        <f>SUM(BQ$95:BQ$105)+SUM(BS$95:BS$105)+SUM(BU$95:BU$105)+SUM(BW$95:BW$105)</f>
        <v>327063.59999999998</v>
      </c>
      <c r="M137" s="106">
        <f>SUM(BY$95:BY$105)+SUM(CA$95:CA$105)+SUM(CC$95:CC$105)+SUM(CE$95:CE$105)</f>
        <v>254686.8</v>
      </c>
      <c r="N137" s="106">
        <f>SUM(CG$95:CG$105)+SUM(CI$95:CI$105)+SUM(CK$95:CK$105)+SUM(CM$95:CM$105)</f>
        <v>289034.40000000002</v>
      </c>
      <c r="O137" s="106">
        <f>SUM(CO$95:CO$105)+SUM(CQ$95:CQ$105)+SUM(CS$95:CS$105)+SUM(CU$95:CU$105)</f>
        <v>258082.8</v>
      </c>
    </row>
    <row r="138" spans="2:15">
      <c r="C138" s="105" t="s">
        <v>278</v>
      </c>
      <c r="D138" s="100">
        <f t="shared" ref="D138:O138" si="2">SUM(D$131:D$137)</f>
        <v>3751667.9999999995</v>
      </c>
      <c r="E138" s="100">
        <f t="shared" si="2"/>
        <v>3634386.0000000005</v>
      </c>
      <c r="F138" s="100">
        <f t="shared" si="2"/>
        <v>3930902.3999999994</v>
      </c>
      <c r="G138" s="100">
        <f t="shared" si="2"/>
        <v>3478818</v>
      </c>
      <c r="H138" s="100">
        <f t="shared" si="2"/>
        <v>3941792.3999999994</v>
      </c>
      <c r="I138" s="100">
        <f t="shared" si="2"/>
        <v>3895477.5413523205</v>
      </c>
      <c r="J138" s="100">
        <f t="shared" si="2"/>
        <v>3668305.2593829627</v>
      </c>
      <c r="K138" s="100">
        <f t="shared" si="2"/>
        <v>3740454.8869856861</v>
      </c>
      <c r="L138" s="100">
        <f t="shared" si="2"/>
        <v>3862445.9885360822</v>
      </c>
      <c r="M138" s="100">
        <f t="shared" si="2"/>
        <v>3665133.2104105474</v>
      </c>
      <c r="N138" s="100">
        <f t="shared" si="2"/>
        <v>3736705.2177401269</v>
      </c>
      <c r="O138" s="100">
        <f t="shared" si="2"/>
        <v>1151123.4356637418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</v>
      </c>
      <c r="G6" s="100">
        <v>2892</v>
      </c>
      <c r="H6" s="100">
        <v>9</v>
      </c>
      <c r="I6" s="100">
        <v>5205.5999999999995</v>
      </c>
      <c r="J6" s="100">
        <v>6</v>
      </c>
      <c r="K6" s="100">
        <v>3470.3999999999996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9</v>
      </c>
      <c r="Q6" s="100">
        <v>5205.5999999999995</v>
      </c>
      <c r="R6" s="100">
        <v>8</v>
      </c>
      <c r="S6" s="100">
        <v>4627.2</v>
      </c>
      <c r="T6" s="100">
        <v>6</v>
      </c>
      <c r="U6" s="100">
        <v>3470.3999999999996</v>
      </c>
      <c r="V6" s="100">
        <v>9</v>
      </c>
      <c r="W6" s="100">
        <v>5205.5999999999995</v>
      </c>
      <c r="X6" s="100">
        <v>5.1584956124887436</v>
      </c>
      <c r="Y6" s="100">
        <v>2983.6738622634894</v>
      </c>
      <c r="Z6" s="100">
        <v>7</v>
      </c>
      <c r="AA6" s="100">
        <v>4048.7999999999997</v>
      </c>
      <c r="AB6" s="100">
        <v>9.2329654311517384</v>
      </c>
      <c r="AC6" s="100">
        <v>5340.3472053781652</v>
      </c>
      <c r="AD6" s="100">
        <v>3.0369648383524512</v>
      </c>
      <c r="AE6" s="100">
        <v>1756.5804625030578</v>
      </c>
      <c r="AF6" s="100">
        <v>12</v>
      </c>
      <c r="AG6" s="100">
        <v>6940.7999999999993</v>
      </c>
      <c r="AH6" s="100">
        <v>6</v>
      </c>
      <c r="AI6" s="100">
        <v>3470.3999999999996</v>
      </c>
      <c r="AJ6" s="100">
        <v>3.1008119975823338</v>
      </c>
      <c r="AK6" s="100">
        <v>1793.5096594016218</v>
      </c>
      <c r="AL6" s="100">
        <v>8</v>
      </c>
      <c r="AM6" s="100">
        <v>4627.2</v>
      </c>
      <c r="AN6" s="100">
        <v>6</v>
      </c>
      <c r="AO6" s="100">
        <v>3470.3999999999996</v>
      </c>
      <c r="AP6" s="100">
        <v>7</v>
      </c>
      <c r="AQ6" s="100">
        <v>4048.7999999999997</v>
      </c>
      <c r="AR6" s="100">
        <v>8</v>
      </c>
      <c r="AS6" s="100">
        <v>4627.2</v>
      </c>
      <c r="AT6" s="100">
        <v>11</v>
      </c>
      <c r="AU6" s="100">
        <v>6362.4</v>
      </c>
      <c r="AV6" s="100">
        <v>10.779995141160272</v>
      </c>
      <c r="AW6" s="100">
        <v>6235.1491896471016</v>
      </c>
      <c r="AX6" s="100">
        <v>7</v>
      </c>
      <c r="AY6" s="100">
        <v>4048.7999999999997</v>
      </c>
      <c r="AZ6" s="100">
        <v>10</v>
      </c>
      <c r="BA6" s="100">
        <v>5784</v>
      </c>
      <c r="BB6" s="100">
        <v>8.8301000018055316</v>
      </c>
      <c r="BC6" s="100">
        <v>5107.3298410443194</v>
      </c>
      <c r="BD6" s="100">
        <v>10.058788090739613</v>
      </c>
      <c r="BE6" s="100">
        <v>5818.003031683792</v>
      </c>
      <c r="BF6" s="100">
        <v>8.2688954873130101</v>
      </c>
      <c r="BG6" s="100">
        <v>4782.7291498618451</v>
      </c>
      <c r="BH6" s="100">
        <v>2.5676906370249015</v>
      </c>
      <c r="BI6" s="100">
        <v>1485.1522644552031</v>
      </c>
      <c r="BJ6" s="100">
        <v>11</v>
      </c>
      <c r="BK6" s="100">
        <v>6362.4</v>
      </c>
      <c r="BL6" s="100">
        <v>10</v>
      </c>
      <c r="BM6" s="100">
        <v>5784</v>
      </c>
      <c r="BN6" s="100">
        <v>0.24902486139229929</v>
      </c>
      <c r="BO6" s="100">
        <v>144.03597982930592</v>
      </c>
      <c r="BP6" s="100">
        <v>11</v>
      </c>
      <c r="BQ6" s="100">
        <v>6362.4</v>
      </c>
      <c r="BR6" s="100">
        <v>6.9456857366997449</v>
      </c>
      <c r="BS6" s="100">
        <v>4017.3846301071321</v>
      </c>
      <c r="BT6" s="100">
        <v>12</v>
      </c>
      <c r="BU6" s="100">
        <v>6940.7999999999993</v>
      </c>
      <c r="BV6" s="100">
        <v>5.8933531061958622</v>
      </c>
      <c r="BW6" s="100">
        <v>3408.7154366236864</v>
      </c>
      <c r="BX6" s="100">
        <v>2.4467744574420105</v>
      </c>
      <c r="BY6" s="100">
        <v>1415.2143461844589</v>
      </c>
      <c r="BZ6" s="100">
        <v>7</v>
      </c>
      <c r="CA6" s="100">
        <v>4048.7999999999997</v>
      </c>
      <c r="CB6" s="100">
        <v>13</v>
      </c>
      <c r="CC6" s="100">
        <v>7519.2</v>
      </c>
      <c r="CD6" s="100">
        <v>11</v>
      </c>
      <c r="CE6" s="100">
        <v>6362.4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11</v>
      </c>
      <c r="CK6" s="100">
        <v>6362.4</v>
      </c>
      <c r="CL6" s="100">
        <v>10</v>
      </c>
      <c r="CM6" s="100">
        <v>5784</v>
      </c>
      <c r="CN6" s="100">
        <v>11</v>
      </c>
      <c r="CO6" s="100">
        <v>6362.4</v>
      </c>
      <c r="CP6" s="100">
        <v>0.40670844408207996</v>
      </c>
      <c r="CQ6" s="100">
        <v>235.24016405707505</v>
      </c>
      <c r="CR6" s="100">
        <v>8.8073979320976719</v>
      </c>
      <c r="CS6" s="100">
        <v>5094.1989639252934</v>
      </c>
      <c r="CT6" s="100">
        <v>1.9601178917520005E-16</v>
      </c>
      <c r="CU6" s="100">
        <v>1.133732188589357E-13</v>
      </c>
    </row>
    <row r="7" spans="1:99">
      <c r="C7" s="99" t="s">
        <v>173</v>
      </c>
      <c r="D7" s="100">
        <v>8</v>
      </c>
      <c r="E7" s="100">
        <v>6307.2</v>
      </c>
      <c r="F7" s="100">
        <v>5</v>
      </c>
      <c r="G7" s="100">
        <v>3942</v>
      </c>
      <c r="H7" s="100">
        <v>8</v>
      </c>
      <c r="I7" s="100">
        <v>6307.2</v>
      </c>
      <c r="J7" s="100">
        <v>5</v>
      </c>
      <c r="K7" s="100">
        <v>3942</v>
      </c>
      <c r="L7" s="100">
        <v>8</v>
      </c>
      <c r="M7" s="100">
        <v>6307.2</v>
      </c>
      <c r="N7" s="100">
        <v>7</v>
      </c>
      <c r="O7" s="100">
        <v>5518.8</v>
      </c>
      <c r="P7" s="100">
        <v>9</v>
      </c>
      <c r="Q7" s="100">
        <v>7095.5999999999995</v>
      </c>
      <c r="R7" s="100">
        <v>8</v>
      </c>
      <c r="S7" s="100">
        <v>6307.2</v>
      </c>
      <c r="T7" s="100">
        <v>6</v>
      </c>
      <c r="U7" s="100">
        <v>4730.3999999999996</v>
      </c>
      <c r="V7" s="100">
        <v>10</v>
      </c>
      <c r="W7" s="100">
        <v>7884</v>
      </c>
      <c r="X7" s="100">
        <v>5.1584956124887436</v>
      </c>
      <c r="Y7" s="100">
        <v>4066.9579408861255</v>
      </c>
      <c r="Z7" s="100">
        <v>8</v>
      </c>
      <c r="AA7" s="100">
        <v>6307.2</v>
      </c>
      <c r="AB7" s="100">
        <v>8.3936049374106698</v>
      </c>
      <c r="AC7" s="100">
        <v>6617.5181326545717</v>
      </c>
      <c r="AD7" s="100">
        <v>3.0369648383524512</v>
      </c>
      <c r="AE7" s="100">
        <v>2394.3430785570727</v>
      </c>
      <c r="AF7" s="100">
        <v>11</v>
      </c>
      <c r="AG7" s="100">
        <v>8672.4</v>
      </c>
      <c r="AH7" s="100">
        <v>6</v>
      </c>
      <c r="AI7" s="100">
        <v>4730.3999999999996</v>
      </c>
      <c r="AJ7" s="100">
        <v>2.7907307978241005</v>
      </c>
      <c r="AK7" s="100">
        <v>2200.2121610045206</v>
      </c>
      <c r="AL7" s="100">
        <v>8</v>
      </c>
      <c r="AM7" s="100">
        <v>6307.2</v>
      </c>
      <c r="AN7" s="100">
        <v>6</v>
      </c>
      <c r="AO7" s="100">
        <v>4730.3999999999996</v>
      </c>
      <c r="AP7" s="100">
        <v>6</v>
      </c>
      <c r="AQ7" s="100">
        <v>4730.3999999999996</v>
      </c>
      <c r="AR7" s="100">
        <v>8</v>
      </c>
      <c r="AS7" s="100">
        <v>6307.2</v>
      </c>
      <c r="AT7" s="100">
        <v>11</v>
      </c>
      <c r="AU7" s="100">
        <v>8672.4</v>
      </c>
      <c r="AV7" s="100">
        <v>11.759994699447569</v>
      </c>
      <c r="AW7" s="100">
        <v>9271.5798210444627</v>
      </c>
      <c r="AX7" s="100">
        <v>6</v>
      </c>
      <c r="AY7" s="100">
        <v>4730.3999999999996</v>
      </c>
      <c r="AZ7" s="100">
        <v>11</v>
      </c>
      <c r="BA7" s="100">
        <v>8672.4</v>
      </c>
      <c r="BB7" s="100">
        <v>9.81122222422837</v>
      </c>
      <c r="BC7" s="100">
        <v>7735.1676015816465</v>
      </c>
      <c r="BD7" s="100">
        <v>9.2205557498446442</v>
      </c>
      <c r="BE7" s="100">
        <v>7269.4861531775177</v>
      </c>
      <c r="BF7" s="100">
        <v>8.2688954873130101</v>
      </c>
      <c r="BG7" s="100">
        <v>6519.1972021975771</v>
      </c>
      <c r="BH7" s="100">
        <v>2.8886519666530144</v>
      </c>
      <c r="BI7" s="100">
        <v>2277.4132105092363</v>
      </c>
      <c r="BJ7" s="100">
        <v>11</v>
      </c>
      <c r="BK7" s="100">
        <v>8672.4</v>
      </c>
      <c r="BL7" s="100">
        <v>8</v>
      </c>
      <c r="BM7" s="100">
        <v>6307.2</v>
      </c>
      <c r="BN7" s="100">
        <v>0.21344988119339939</v>
      </c>
      <c r="BO7" s="100">
        <v>168.28388633287608</v>
      </c>
      <c r="BP7" s="100">
        <v>11</v>
      </c>
      <c r="BQ7" s="100">
        <v>8672.4</v>
      </c>
      <c r="BR7" s="100">
        <v>7.9379265562282804</v>
      </c>
      <c r="BS7" s="100">
        <v>6258.2612969303764</v>
      </c>
      <c r="BT7" s="100">
        <v>10</v>
      </c>
      <c r="BU7" s="100">
        <v>7884</v>
      </c>
      <c r="BV7" s="100">
        <v>5.304017795576276</v>
      </c>
      <c r="BW7" s="100">
        <v>4181.6876300323356</v>
      </c>
      <c r="BX7" s="100">
        <v>2.1409276502617587</v>
      </c>
      <c r="BY7" s="100">
        <v>1687.9073594663705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10</v>
      </c>
      <c r="CE7" s="100">
        <v>7884</v>
      </c>
      <c r="CF7" s="100">
        <v>7</v>
      </c>
      <c r="CG7" s="100">
        <v>5518.8</v>
      </c>
      <c r="CH7" s="100">
        <v>11</v>
      </c>
      <c r="CI7" s="100">
        <v>8672.4</v>
      </c>
      <c r="CJ7" s="100">
        <v>11</v>
      </c>
      <c r="CK7" s="100">
        <v>8672.4</v>
      </c>
      <c r="CL7" s="100">
        <v>10</v>
      </c>
      <c r="CM7" s="100">
        <v>7884</v>
      </c>
      <c r="CN7" s="100">
        <v>11</v>
      </c>
      <c r="CO7" s="100">
        <v>8672.4</v>
      </c>
      <c r="CP7" s="100">
        <v>0.49708809832254214</v>
      </c>
      <c r="CQ7" s="100">
        <v>391.90425671749222</v>
      </c>
      <c r="CR7" s="100">
        <v>8.8073979320976719</v>
      </c>
      <c r="CS7" s="100">
        <v>6943.7525296658041</v>
      </c>
      <c r="CT7" s="100">
        <v>1.9601178917520005E-16</v>
      </c>
      <c r="CU7" s="100">
        <v>1.545356945857277E-13</v>
      </c>
    </row>
    <row r="8" spans="1:99">
      <c r="C8" s="99" t="s">
        <v>174</v>
      </c>
      <c r="D8" s="100">
        <v>7</v>
      </c>
      <c r="E8" s="100">
        <v>2167.1999999999998</v>
      </c>
      <c r="F8" s="100">
        <v>6</v>
      </c>
      <c r="G8" s="100">
        <v>1857.6</v>
      </c>
      <c r="H8" s="100">
        <v>9</v>
      </c>
      <c r="I8" s="100">
        <v>2786.3999999999996</v>
      </c>
      <c r="J8" s="100">
        <v>6</v>
      </c>
      <c r="K8" s="100">
        <v>1857.6</v>
      </c>
      <c r="L8" s="100">
        <v>7</v>
      </c>
      <c r="M8" s="100">
        <v>2167.1999999999998</v>
      </c>
      <c r="N8" s="100">
        <v>8</v>
      </c>
      <c r="O8" s="100">
        <v>2476.7999999999997</v>
      </c>
      <c r="P8" s="100">
        <v>9</v>
      </c>
      <c r="Q8" s="100">
        <v>2786.3999999999996</v>
      </c>
      <c r="R8" s="100">
        <v>8</v>
      </c>
      <c r="S8" s="100">
        <v>2476.7999999999997</v>
      </c>
      <c r="T8" s="100">
        <v>6</v>
      </c>
      <c r="U8" s="100">
        <v>1857.6</v>
      </c>
      <c r="V8" s="100">
        <v>10</v>
      </c>
      <c r="W8" s="100">
        <v>3095.9999999999995</v>
      </c>
      <c r="X8" s="100">
        <v>5.1584956124887436</v>
      </c>
      <c r="Y8" s="100">
        <v>1597.0702416265149</v>
      </c>
      <c r="Z8" s="100">
        <v>9</v>
      </c>
      <c r="AA8" s="100">
        <v>2786.3999999999996</v>
      </c>
      <c r="AB8" s="100">
        <v>7.5542444436696039</v>
      </c>
      <c r="AC8" s="100">
        <v>2338.7940797601091</v>
      </c>
      <c r="AD8" s="100">
        <v>3.0369648383524512</v>
      </c>
      <c r="AE8" s="100">
        <v>940.24431395391878</v>
      </c>
      <c r="AF8" s="100">
        <v>12</v>
      </c>
      <c r="AG8" s="100">
        <v>3715.2</v>
      </c>
      <c r="AH8" s="100">
        <v>6</v>
      </c>
      <c r="AI8" s="100">
        <v>1857.6</v>
      </c>
      <c r="AJ8" s="100">
        <v>3.4108931973405672</v>
      </c>
      <c r="AK8" s="100">
        <v>1056.0125338966395</v>
      </c>
      <c r="AL8" s="100">
        <v>8</v>
      </c>
      <c r="AM8" s="100">
        <v>2476.7999999999997</v>
      </c>
      <c r="AN8" s="100">
        <v>6</v>
      </c>
      <c r="AO8" s="100">
        <v>1857.6</v>
      </c>
      <c r="AP8" s="100">
        <v>6</v>
      </c>
      <c r="AQ8" s="100">
        <v>1857.6</v>
      </c>
      <c r="AR8" s="100">
        <v>9</v>
      </c>
      <c r="AS8" s="100">
        <v>2786.3999999999996</v>
      </c>
      <c r="AT8" s="100">
        <v>12</v>
      </c>
      <c r="AU8" s="100">
        <v>3715.2</v>
      </c>
      <c r="AV8" s="100">
        <v>10.779995141160272</v>
      </c>
      <c r="AW8" s="100">
        <v>3337.48649570322</v>
      </c>
      <c r="AX8" s="100">
        <v>7</v>
      </c>
      <c r="AY8" s="100">
        <v>2167.1999999999998</v>
      </c>
      <c r="AZ8" s="100">
        <v>11</v>
      </c>
      <c r="BA8" s="100">
        <v>3405.5999999999995</v>
      </c>
      <c r="BB8" s="100">
        <v>9.81122222422837</v>
      </c>
      <c r="BC8" s="100">
        <v>3037.554400621103</v>
      </c>
      <c r="BD8" s="100">
        <v>9.2205557498446442</v>
      </c>
      <c r="BE8" s="100">
        <v>2854.6840601519016</v>
      </c>
      <c r="BF8" s="100">
        <v>7.4420059385817092</v>
      </c>
      <c r="BG8" s="100">
        <v>2304.0450385848967</v>
      </c>
      <c r="BH8" s="100">
        <v>3.2096132962811268</v>
      </c>
      <c r="BI8" s="100">
        <v>993.69627652863676</v>
      </c>
      <c r="BJ8" s="100">
        <v>11</v>
      </c>
      <c r="BK8" s="100">
        <v>3405.5999999999995</v>
      </c>
      <c r="BL8" s="100">
        <v>9</v>
      </c>
      <c r="BM8" s="100">
        <v>2786.3999999999996</v>
      </c>
      <c r="BN8" s="100">
        <v>0.21344988119339939</v>
      </c>
      <c r="BO8" s="100">
        <v>66.084083217476447</v>
      </c>
      <c r="BP8" s="100">
        <v>12</v>
      </c>
      <c r="BQ8" s="100">
        <v>3715.2</v>
      </c>
      <c r="BR8" s="100">
        <v>7.9379265562282804</v>
      </c>
      <c r="BS8" s="100">
        <v>2457.5820618082753</v>
      </c>
      <c r="BT8" s="100">
        <v>10</v>
      </c>
      <c r="BU8" s="100">
        <v>3095.9999999999995</v>
      </c>
      <c r="BV8" s="100">
        <v>6.4826884168154484</v>
      </c>
      <c r="BW8" s="100">
        <v>2007.0403338460626</v>
      </c>
      <c r="BX8" s="100">
        <v>2.4467744574420105</v>
      </c>
      <c r="BY8" s="100">
        <v>757.5213720240464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10</v>
      </c>
      <c r="CE8" s="100">
        <v>3095.9999999999995</v>
      </c>
      <c r="CF8" s="100">
        <v>8</v>
      </c>
      <c r="CG8" s="100">
        <v>2476.7999999999997</v>
      </c>
      <c r="CH8" s="100">
        <v>13</v>
      </c>
      <c r="CI8" s="100">
        <v>4024.7999999999997</v>
      </c>
      <c r="CJ8" s="100">
        <v>12</v>
      </c>
      <c r="CK8" s="100">
        <v>3715.2</v>
      </c>
      <c r="CL8" s="100">
        <v>10</v>
      </c>
      <c r="CM8" s="100">
        <v>3095.9999999999995</v>
      </c>
      <c r="CN8" s="100">
        <v>13</v>
      </c>
      <c r="CO8" s="100">
        <v>4024.7999999999997</v>
      </c>
      <c r="CP8" s="100">
        <v>0.45189827120231107</v>
      </c>
      <c r="CQ8" s="100">
        <v>139.90770476423549</v>
      </c>
      <c r="CR8" s="100">
        <v>9.5413477597724778</v>
      </c>
      <c r="CS8" s="100">
        <v>2954.0012664255587</v>
      </c>
      <c r="CT8" s="100">
        <v>1.7641061025768004E-16</v>
      </c>
      <c r="CU8" s="100">
        <v>5.4616724935777737E-14</v>
      </c>
    </row>
    <row r="9" spans="1:99">
      <c r="C9" s="99" t="s">
        <v>175</v>
      </c>
      <c r="D9" s="100">
        <v>8</v>
      </c>
      <c r="E9" s="100">
        <v>5616</v>
      </c>
      <c r="F9" s="100">
        <v>6</v>
      </c>
      <c r="G9" s="100">
        <v>4212</v>
      </c>
      <c r="H9" s="100">
        <v>8</v>
      </c>
      <c r="I9" s="100">
        <v>5616</v>
      </c>
      <c r="J9" s="100">
        <v>5</v>
      </c>
      <c r="K9" s="100">
        <v>3510</v>
      </c>
      <c r="L9" s="100">
        <v>8</v>
      </c>
      <c r="M9" s="100">
        <v>5616</v>
      </c>
      <c r="N9" s="100">
        <v>8</v>
      </c>
      <c r="O9" s="100">
        <v>5616</v>
      </c>
      <c r="P9" s="100">
        <v>9</v>
      </c>
      <c r="Q9" s="100">
        <v>6318</v>
      </c>
      <c r="R9" s="100">
        <v>9</v>
      </c>
      <c r="S9" s="100">
        <v>6318</v>
      </c>
      <c r="T9" s="100">
        <v>6</v>
      </c>
      <c r="U9" s="100">
        <v>4212</v>
      </c>
      <c r="V9" s="100">
        <v>9</v>
      </c>
      <c r="W9" s="100">
        <v>6318</v>
      </c>
      <c r="X9" s="100">
        <v>6.0182448812368676</v>
      </c>
      <c r="Y9" s="100">
        <v>4224.8079066282808</v>
      </c>
      <c r="Z9" s="100">
        <v>7</v>
      </c>
      <c r="AA9" s="100">
        <v>4914</v>
      </c>
      <c r="AB9" s="100">
        <v>8.3936049374106698</v>
      </c>
      <c r="AC9" s="100">
        <v>5892.3106660622898</v>
      </c>
      <c r="AD9" s="100">
        <v>3.5431256447445265</v>
      </c>
      <c r="AE9" s="100">
        <v>2487.2742026106575</v>
      </c>
      <c r="AF9" s="100">
        <v>11</v>
      </c>
      <c r="AG9" s="100">
        <v>7722</v>
      </c>
      <c r="AH9" s="100">
        <v>6</v>
      </c>
      <c r="AI9" s="100">
        <v>4212</v>
      </c>
      <c r="AJ9" s="100">
        <v>3.4108931973405672</v>
      </c>
      <c r="AK9" s="100">
        <v>2394.4470245330781</v>
      </c>
      <c r="AL9" s="100">
        <v>9</v>
      </c>
      <c r="AM9" s="100">
        <v>6318</v>
      </c>
      <c r="AN9" s="100">
        <v>6</v>
      </c>
      <c r="AO9" s="100">
        <v>4212</v>
      </c>
      <c r="AP9" s="100">
        <v>6</v>
      </c>
      <c r="AQ9" s="100">
        <v>4212</v>
      </c>
      <c r="AR9" s="100">
        <v>9</v>
      </c>
      <c r="AS9" s="100">
        <v>6318</v>
      </c>
      <c r="AT9" s="100">
        <v>11</v>
      </c>
      <c r="AU9" s="100">
        <v>7722</v>
      </c>
      <c r="AV9" s="100">
        <v>10.779995141160272</v>
      </c>
      <c r="AW9" s="100">
        <v>7567.5565890945109</v>
      </c>
      <c r="AX9" s="100">
        <v>7</v>
      </c>
      <c r="AY9" s="100">
        <v>4914</v>
      </c>
      <c r="AZ9" s="100">
        <v>11</v>
      </c>
      <c r="BA9" s="100">
        <v>7722</v>
      </c>
      <c r="BB9" s="100">
        <v>8.8301000018055316</v>
      </c>
      <c r="BC9" s="100">
        <v>6198.7302012674836</v>
      </c>
      <c r="BD9" s="100">
        <v>10.058788090739613</v>
      </c>
      <c r="BE9" s="100">
        <v>7061.2692396992079</v>
      </c>
      <c r="BF9" s="100">
        <v>8.2688954873130101</v>
      </c>
      <c r="BG9" s="100">
        <v>5804.7646320937329</v>
      </c>
      <c r="BH9" s="100">
        <v>3.2096132962811268</v>
      </c>
      <c r="BI9" s="100">
        <v>2253.1485339893511</v>
      </c>
      <c r="BJ9" s="100">
        <v>11</v>
      </c>
      <c r="BK9" s="100">
        <v>7722</v>
      </c>
      <c r="BL9" s="100">
        <v>9</v>
      </c>
      <c r="BM9" s="100">
        <v>6318</v>
      </c>
      <c r="BN9" s="100">
        <v>0.21344988119339939</v>
      </c>
      <c r="BO9" s="100">
        <v>149.84181659776638</v>
      </c>
      <c r="BP9" s="100">
        <v>11</v>
      </c>
      <c r="BQ9" s="100">
        <v>7722</v>
      </c>
      <c r="BR9" s="100">
        <v>7.9379265562282804</v>
      </c>
      <c r="BS9" s="100">
        <v>5572.4244424722528</v>
      </c>
      <c r="BT9" s="100">
        <v>11</v>
      </c>
      <c r="BU9" s="100">
        <v>7722</v>
      </c>
      <c r="BV9" s="100">
        <v>6.4826884168154484</v>
      </c>
      <c r="BW9" s="100">
        <v>4550.8472686044452</v>
      </c>
      <c r="BX9" s="100">
        <v>2.1409276502617587</v>
      </c>
      <c r="BY9" s="100">
        <v>1502.9312104837545</v>
      </c>
      <c r="BZ9" s="100">
        <v>6</v>
      </c>
      <c r="CA9" s="100">
        <v>4212</v>
      </c>
      <c r="CB9" s="100">
        <v>12</v>
      </c>
      <c r="CC9" s="100">
        <v>8424</v>
      </c>
      <c r="CD9" s="100">
        <v>10</v>
      </c>
      <c r="CE9" s="100">
        <v>7020</v>
      </c>
      <c r="CF9" s="100">
        <v>8</v>
      </c>
      <c r="CG9" s="100">
        <v>5616</v>
      </c>
      <c r="CH9" s="100">
        <v>12</v>
      </c>
      <c r="CI9" s="100">
        <v>8424</v>
      </c>
      <c r="CJ9" s="100">
        <v>12</v>
      </c>
      <c r="CK9" s="100">
        <v>8424</v>
      </c>
      <c r="CL9" s="100">
        <v>9</v>
      </c>
      <c r="CM9" s="100">
        <v>6318</v>
      </c>
      <c r="CN9" s="100">
        <v>11</v>
      </c>
      <c r="CO9" s="100">
        <v>7722</v>
      </c>
      <c r="CP9" s="100">
        <v>0.49708809832254214</v>
      </c>
      <c r="CQ9" s="100">
        <v>348.95584502242457</v>
      </c>
      <c r="CR9" s="100">
        <v>9.5413477597724778</v>
      </c>
      <c r="CS9" s="100">
        <v>6698.0261273602791</v>
      </c>
      <c r="CT9" s="100">
        <v>1.9601178917520005E-16</v>
      </c>
      <c r="CU9" s="100">
        <v>1.3760027600099045E-13</v>
      </c>
    </row>
    <row r="10" spans="1:99">
      <c r="C10" s="99" t="s">
        <v>176</v>
      </c>
      <c r="D10" s="100">
        <v>8</v>
      </c>
      <c r="E10" s="100">
        <v>4358.3999999999996</v>
      </c>
      <c r="F10" s="100">
        <v>5</v>
      </c>
      <c r="G10" s="100">
        <v>2724</v>
      </c>
      <c r="H10" s="100">
        <v>7</v>
      </c>
      <c r="I10" s="100">
        <v>3813.5999999999995</v>
      </c>
      <c r="J10" s="100">
        <v>6</v>
      </c>
      <c r="K10" s="100">
        <v>3268.7999999999997</v>
      </c>
      <c r="L10" s="100">
        <v>8</v>
      </c>
      <c r="M10" s="100">
        <v>4358.3999999999996</v>
      </c>
      <c r="N10" s="100">
        <v>7</v>
      </c>
      <c r="O10" s="100">
        <v>3813.5999999999995</v>
      </c>
      <c r="P10" s="100">
        <v>9</v>
      </c>
      <c r="Q10" s="100">
        <v>4903.2</v>
      </c>
      <c r="R10" s="100">
        <v>9</v>
      </c>
      <c r="S10" s="100">
        <v>4903.2</v>
      </c>
      <c r="T10" s="100">
        <v>6</v>
      </c>
      <c r="U10" s="100">
        <v>3268.7999999999997</v>
      </c>
      <c r="V10" s="100">
        <v>10</v>
      </c>
      <c r="W10" s="100">
        <v>5448</v>
      </c>
      <c r="X10" s="100">
        <v>6.0182448812368676</v>
      </c>
      <c r="Y10" s="100">
        <v>3278.7398112978453</v>
      </c>
      <c r="Z10" s="100">
        <v>8</v>
      </c>
      <c r="AA10" s="100">
        <v>4358.3999999999996</v>
      </c>
      <c r="AB10" s="100">
        <v>7.5542444436696039</v>
      </c>
      <c r="AC10" s="100">
        <v>4115.5523729112001</v>
      </c>
      <c r="AD10" s="100">
        <v>3.0369648383524512</v>
      </c>
      <c r="AE10" s="100">
        <v>1654.5384439344152</v>
      </c>
      <c r="AF10" s="100">
        <v>12</v>
      </c>
      <c r="AG10" s="100">
        <v>6537.5999999999995</v>
      </c>
      <c r="AH10" s="100">
        <v>7</v>
      </c>
      <c r="AI10" s="100">
        <v>3813.5999999999995</v>
      </c>
      <c r="AJ10" s="100">
        <v>3.1008119975823338</v>
      </c>
      <c r="AK10" s="100">
        <v>1689.3223762828554</v>
      </c>
      <c r="AL10" s="100">
        <v>8</v>
      </c>
      <c r="AM10" s="100">
        <v>4358.3999999999996</v>
      </c>
      <c r="AN10" s="100">
        <v>6</v>
      </c>
      <c r="AO10" s="100">
        <v>3268.7999999999997</v>
      </c>
      <c r="AP10" s="100">
        <v>6</v>
      </c>
      <c r="AQ10" s="100">
        <v>3268.7999999999997</v>
      </c>
      <c r="AR10" s="100">
        <v>9</v>
      </c>
      <c r="AS10" s="100">
        <v>4903.2</v>
      </c>
      <c r="AT10" s="100">
        <v>10</v>
      </c>
      <c r="AU10" s="100">
        <v>5448</v>
      </c>
      <c r="AV10" s="100">
        <v>10.779995141160272</v>
      </c>
      <c r="AW10" s="100">
        <v>5872.9413529041158</v>
      </c>
      <c r="AX10" s="100">
        <v>6</v>
      </c>
      <c r="AY10" s="100">
        <v>3268.7999999999997</v>
      </c>
      <c r="AZ10" s="100">
        <v>11</v>
      </c>
      <c r="BA10" s="100">
        <v>5992.7999999999993</v>
      </c>
      <c r="BB10" s="100">
        <v>8.8301000018055316</v>
      </c>
      <c r="BC10" s="100">
        <v>4810.6384809836536</v>
      </c>
      <c r="BD10" s="100">
        <v>10.058788090739613</v>
      </c>
      <c r="BE10" s="100">
        <v>5480.0277518349403</v>
      </c>
      <c r="BF10" s="100">
        <v>7.4420059385817092</v>
      </c>
      <c r="BG10" s="100">
        <v>4054.404835339315</v>
      </c>
      <c r="BH10" s="100">
        <v>2.8886519666530144</v>
      </c>
      <c r="BI10" s="100">
        <v>1573.7375914325621</v>
      </c>
      <c r="BJ10" s="100">
        <v>10</v>
      </c>
      <c r="BK10" s="100">
        <v>5448</v>
      </c>
      <c r="BL10" s="100">
        <v>8</v>
      </c>
      <c r="BM10" s="100">
        <v>4358.3999999999996</v>
      </c>
      <c r="BN10" s="100">
        <v>0.24902486139229929</v>
      </c>
      <c r="BO10" s="100">
        <v>135.66874448652464</v>
      </c>
      <c r="BP10" s="100">
        <v>12</v>
      </c>
      <c r="BQ10" s="100">
        <v>6537.5999999999995</v>
      </c>
      <c r="BR10" s="100">
        <v>7.9379265562282804</v>
      </c>
      <c r="BS10" s="100">
        <v>4324.5823878331666</v>
      </c>
      <c r="BT10" s="100">
        <v>11</v>
      </c>
      <c r="BU10" s="100">
        <v>5992.7999999999993</v>
      </c>
      <c r="BV10" s="100">
        <v>5.8933531061958622</v>
      </c>
      <c r="BW10" s="100">
        <v>3210.6987722555054</v>
      </c>
      <c r="BX10" s="100">
        <v>2.4467744574420105</v>
      </c>
      <c r="BY10" s="100">
        <v>1333.0027244144071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11</v>
      </c>
      <c r="CE10" s="100">
        <v>5992.7999999999993</v>
      </c>
      <c r="CF10" s="100">
        <v>8</v>
      </c>
      <c r="CG10" s="100">
        <v>4358.3999999999996</v>
      </c>
      <c r="CH10" s="100">
        <v>11</v>
      </c>
      <c r="CI10" s="100">
        <v>5992.7999999999993</v>
      </c>
      <c r="CJ10" s="100">
        <v>12</v>
      </c>
      <c r="CK10" s="100">
        <v>6537.5999999999995</v>
      </c>
      <c r="CL10" s="100">
        <v>10</v>
      </c>
      <c r="CM10" s="100">
        <v>5448</v>
      </c>
      <c r="CN10" s="100">
        <v>11</v>
      </c>
      <c r="CO10" s="100">
        <v>5992.7999999999993</v>
      </c>
      <c r="CP10" s="100">
        <v>0.49708809832254214</v>
      </c>
      <c r="CQ10" s="100">
        <v>270.81359596612094</v>
      </c>
      <c r="CR10" s="100">
        <v>8.8073979320976719</v>
      </c>
      <c r="CS10" s="100">
        <v>4798.2703934068113</v>
      </c>
      <c r="CT10" s="100">
        <v>1.9601178917520005E-16</v>
      </c>
      <c r="CU10" s="100">
        <v>1.0678722274264898E-13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5</v>
      </c>
      <c r="G11" s="100">
        <v>2664</v>
      </c>
      <c r="H11" s="100">
        <v>8</v>
      </c>
      <c r="I11" s="100">
        <v>4262.3999999999996</v>
      </c>
      <c r="J11" s="100">
        <v>6</v>
      </c>
      <c r="K11" s="100">
        <v>3196.7999999999997</v>
      </c>
      <c r="L11" s="100">
        <v>8</v>
      </c>
      <c r="M11" s="100">
        <v>4262.3999999999996</v>
      </c>
      <c r="N11" s="100">
        <v>8</v>
      </c>
      <c r="O11" s="100">
        <v>4262.3999999999996</v>
      </c>
      <c r="P11" s="100">
        <v>9</v>
      </c>
      <c r="Q11" s="100">
        <v>4795.2</v>
      </c>
      <c r="R11" s="100">
        <v>8</v>
      </c>
      <c r="S11" s="100">
        <v>4262.3999999999996</v>
      </c>
      <c r="T11" s="100">
        <v>6</v>
      </c>
      <c r="U11" s="100">
        <v>3196.7999999999997</v>
      </c>
      <c r="V11" s="100">
        <v>10</v>
      </c>
      <c r="W11" s="100">
        <v>5328</v>
      </c>
      <c r="X11" s="100">
        <v>5.1584956124887436</v>
      </c>
      <c r="Y11" s="100">
        <v>2748.4464623340023</v>
      </c>
      <c r="Z11" s="100">
        <v>9</v>
      </c>
      <c r="AA11" s="100">
        <v>4795.2</v>
      </c>
      <c r="AB11" s="100">
        <v>8.3936049374106698</v>
      </c>
      <c r="AC11" s="100">
        <v>4472.1127106524045</v>
      </c>
      <c r="AD11" s="100">
        <v>3.5431256447445265</v>
      </c>
      <c r="AE11" s="100">
        <v>1887.7773435198835</v>
      </c>
      <c r="AF11" s="100">
        <v>11</v>
      </c>
      <c r="AG11" s="100">
        <v>5860.7999999999993</v>
      </c>
      <c r="AH11" s="100">
        <v>7</v>
      </c>
      <c r="AI11" s="100">
        <v>3729.5999999999995</v>
      </c>
      <c r="AJ11" s="100">
        <v>3.1008119975823338</v>
      </c>
      <c r="AK11" s="100">
        <v>1652.1126323118674</v>
      </c>
      <c r="AL11" s="100">
        <v>8</v>
      </c>
      <c r="AM11" s="100">
        <v>4262.3999999999996</v>
      </c>
      <c r="AN11" s="100">
        <v>6</v>
      </c>
      <c r="AO11" s="100">
        <v>3196.7999999999997</v>
      </c>
      <c r="AP11" s="100">
        <v>6</v>
      </c>
      <c r="AQ11" s="100">
        <v>3196.7999999999997</v>
      </c>
      <c r="AR11" s="100">
        <v>8</v>
      </c>
      <c r="AS11" s="100">
        <v>4262.3999999999996</v>
      </c>
      <c r="AT11" s="100">
        <v>12</v>
      </c>
      <c r="AU11" s="100">
        <v>6393.5999999999995</v>
      </c>
      <c r="AV11" s="100">
        <v>10.779995141160272</v>
      </c>
      <c r="AW11" s="100">
        <v>5743.5814112101925</v>
      </c>
      <c r="AX11" s="100">
        <v>6</v>
      </c>
      <c r="AY11" s="100">
        <v>3196.7999999999997</v>
      </c>
      <c r="AZ11" s="100">
        <v>11</v>
      </c>
      <c r="BA11" s="100">
        <v>5860.7999999999993</v>
      </c>
      <c r="BB11" s="100">
        <v>9.81122222422837</v>
      </c>
      <c r="BC11" s="100">
        <v>5227.4192010688748</v>
      </c>
      <c r="BD11" s="100">
        <v>10.058788090739613</v>
      </c>
      <c r="BE11" s="100">
        <v>5359.3222947460654</v>
      </c>
      <c r="BF11" s="100">
        <v>8.2688954873130101</v>
      </c>
      <c r="BG11" s="100">
        <v>4405.6675156403717</v>
      </c>
      <c r="BH11" s="100">
        <v>3.2096132962811268</v>
      </c>
      <c r="BI11" s="100">
        <v>1710.0819642585843</v>
      </c>
      <c r="BJ11" s="100">
        <v>9</v>
      </c>
      <c r="BK11" s="100">
        <v>4795.2</v>
      </c>
      <c r="BL11" s="100">
        <v>9</v>
      </c>
      <c r="BM11" s="100">
        <v>4795.2</v>
      </c>
      <c r="BN11" s="100">
        <v>0.21344988119339939</v>
      </c>
      <c r="BO11" s="100">
        <v>113.72609669984318</v>
      </c>
      <c r="BP11" s="100">
        <v>12</v>
      </c>
      <c r="BQ11" s="100">
        <v>6393.5999999999995</v>
      </c>
      <c r="BR11" s="100">
        <v>7.9379265562282804</v>
      </c>
      <c r="BS11" s="100">
        <v>4229.327269158427</v>
      </c>
      <c r="BT11" s="100">
        <v>11</v>
      </c>
      <c r="BU11" s="100">
        <v>5860.7999999999993</v>
      </c>
      <c r="BV11" s="100">
        <v>6.4826884168154484</v>
      </c>
      <c r="BW11" s="100">
        <v>3453.9763884792706</v>
      </c>
      <c r="BX11" s="100">
        <v>2.1409276502617587</v>
      </c>
      <c r="BY11" s="100">
        <v>1140.686252059465</v>
      </c>
      <c r="BZ11" s="100">
        <v>6</v>
      </c>
      <c r="CA11" s="100">
        <v>3196.7999999999997</v>
      </c>
      <c r="CB11" s="100">
        <v>11</v>
      </c>
      <c r="CC11" s="100">
        <v>5860.7999999999993</v>
      </c>
      <c r="CD11" s="100">
        <v>10</v>
      </c>
      <c r="CE11" s="100">
        <v>5328</v>
      </c>
      <c r="CF11" s="100">
        <v>8</v>
      </c>
      <c r="CG11" s="100">
        <v>4262.3999999999996</v>
      </c>
      <c r="CH11" s="100">
        <v>12</v>
      </c>
      <c r="CI11" s="100">
        <v>6393.5999999999995</v>
      </c>
      <c r="CJ11" s="100">
        <v>11</v>
      </c>
      <c r="CK11" s="100">
        <v>5860.7999999999993</v>
      </c>
      <c r="CL11" s="100">
        <v>10</v>
      </c>
      <c r="CM11" s="100">
        <v>5328</v>
      </c>
      <c r="CN11" s="100">
        <v>13</v>
      </c>
      <c r="CO11" s="100">
        <v>6926.4</v>
      </c>
      <c r="CP11" s="100">
        <v>0.45189827120231107</v>
      </c>
      <c r="CQ11" s="100">
        <v>240.77139889659131</v>
      </c>
      <c r="CR11" s="100">
        <v>8.8073979320976719</v>
      </c>
      <c r="CS11" s="100">
        <v>4692.5816182216395</v>
      </c>
      <c r="CT11" s="100">
        <v>2.1561296809272006E-16</v>
      </c>
      <c r="CU11" s="100">
        <v>1.1487858939980123E-13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6</v>
      </c>
      <c r="G12" s="100">
        <v>3376.7999999999997</v>
      </c>
      <c r="H12" s="100">
        <v>8</v>
      </c>
      <c r="I12" s="100">
        <v>4502.3999999999996</v>
      </c>
      <c r="J12" s="100">
        <v>6</v>
      </c>
      <c r="K12" s="100">
        <v>3376.7999999999997</v>
      </c>
      <c r="L12" s="100">
        <v>8</v>
      </c>
      <c r="M12" s="100">
        <v>4502.3999999999996</v>
      </c>
      <c r="N12" s="100">
        <v>7</v>
      </c>
      <c r="O12" s="100">
        <v>3939.5999999999995</v>
      </c>
      <c r="P12" s="100">
        <v>8</v>
      </c>
      <c r="Q12" s="100">
        <v>4502.3999999999996</v>
      </c>
      <c r="R12" s="100">
        <v>8</v>
      </c>
      <c r="S12" s="100">
        <v>4502.3999999999996</v>
      </c>
      <c r="T12" s="100">
        <v>6</v>
      </c>
      <c r="U12" s="100">
        <v>3376.7999999999997</v>
      </c>
      <c r="V12" s="100">
        <v>10</v>
      </c>
      <c r="W12" s="100">
        <v>5628</v>
      </c>
      <c r="X12" s="100">
        <v>6.0182448812368676</v>
      </c>
      <c r="Y12" s="100">
        <v>3387.068219160109</v>
      </c>
      <c r="Z12" s="100">
        <v>9</v>
      </c>
      <c r="AA12" s="100">
        <v>5065.2</v>
      </c>
      <c r="AB12" s="100">
        <v>8.3936049374106698</v>
      </c>
      <c r="AC12" s="100">
        <v>4723.9208587747244</v>
      </c>
      <c r="AD12" s="100">
        <v>3.5431256447445265</v>
      </c>
      <c r="AE12" s="100">
        <v>1994.0711128622193</v>
      </c>
      <c r="AF12" s="100">
        <v>12</v>
      </c>
      <c r="AG12" s="100">
        <v>6753.5999999999995</v>
      </c>
      <c r="AH12" s="100">
        <v>7</v>
      </c>
      <c r="AI12" s="100">
        <v>3939.5999999999995</v>
      </c>
      <c r="AJ12" s="100">
        <v>3.4108931973405672</v>
      </c>
      <c r="AK12" s="100">
        <v>1919.650691463271</v>
      </c>
      <c r="AL12" s="100">
        <v>8</v>
      </c>
      <c r="AM12" s="100">
        <v>4502.3999999999996</v>
      </c>
      <c r="AN12" s="100">
        <v>6</v>
      </c>
      <c r="AO12" s="100">
        <v>3376.7999999999997</v>
      </c>
      <c r="AP12" s="100">
        <v>6</v>
      </c>
      <c r="AQ12" s="100">
        <v>3376.7999999999997</v>
      </c>
      <c r="AR12" s="100">
        <v>7</v>
      </c>
      <c r="AS12" s="100">
        <v>3939.5999999999995</v>
      </c>
      <c r="AT12" s="100">
        <v>11</v>
      </c>
      <c r="AU12" s="100">
        <v>6190.7999999999993</v>
      </c>
      <c r="AV12" s="100">
        <v>10.779995141160272</v>
      </c>
      <c r="AW12" s="100">
        <v>6066.9812654450006</v>
      </c>
      <c r="AX12" s="100">
        <v>7</v>
      </c>
      <c r="AY12" s="100">
        <v>3939.5999999999995</v>
      </c>
      <c r="AZ12" s="100">
        <v>10</v>
      </c>
      <c r="BA12" s="100">
        <v>5628</v>
      </c>
      <c r="BB12" s="100">
        <v>9.81122222422837</v>
      </c>
      <c r="BC12" s="100">
        <v>5521.7558677957259</v>
      </c>
      <c r="BD12" s="100">
        <v>10.058788090739613</v>
      </c>
      <c r="BE12" s="100">
        <v>5661.0859374682541</v>
      </c>
      <c r="BF12" s="100">
        <v>9.0957850360443118</v>
      </c>
      <c r="BG12" s="100">
        <v>5119.1078182857382</v>
      </c>
      <c r="BH12" s="100">
        <v>3.2096132962811268</v>
      </c>
      <c r="BI12" s="100">
        <v>1806.370363147018</v>
      </c>
      <c r="BJ12" s="100">
        <v>9</v>
      </c>
      <c r="BK12" s="100">
        <v>5065.2</v>
      </c>
      <c r="BL12" s="100">
        <v>9</v>
      </c>
      <c r="BM12" s="100">
        <v>5065.2</v>
      </c>
      <c r="BN12" s="100">
        <v>0.24902486139229929</v>
      </c>
      <c r="BO12" s="100">
        <v>140.15119199158602</v>
      </c>
      <c r="BP12" s="100">
        <v>11</v>
      </c>
      <c r="BQ12" s="100">
        <v>6190.7999999999993</v>
      </c>
      <c r="BR12" s="100">
        <v>7.9379265562282804</v>
      </c>
      <c r="BS12" s="100">
        <v>4467.4650658452756</v>
      </c>
      <c r="BT12" s="100">
        <v>11</v>
      </c>
      <c r="BU12" s="100">
        <v>6190.7999999999993</v>
      </c>
      <c r="BV12" s="100">
        <v>6.4826884168154484</v>
      </c>
      <c r="BW12" s="100">
        <v>3648.4570409837343</v>
      </c>
      <c r="BX12" s="100">
        <v>2.4467744574420105</v>
      </c>
      <c r="BY12" s="100">
        <v>1377.0446646483633</v>
      </c>
      <c r="BZ12" s="100">
        <v>7</v>
      </c>
      <c r="CA12" s="100">
        <v>3939.5999999999995</v>
      </c>
      <c r="CB12" s="100">
        <v>12</v>
      </c>
      <c r="CC12" s="100">
        <v>6753.5999999999995</v>
      </c>
      <c r="CD12" s="100">
        <v>10</v>
      </c>
      <c r="CE12" s="100">
        <v>5628</v>
      </c>
      <c r="CF12" s="100">
        <v>9</v>
      </c>
      <c r="CG12" s="100">
        <v>5065.2</v>
      </c>
      <c r="CH12" s="100">
        <v>12</v>
      </c>
      <c r="CI12" s="100">
        <v>6753.5999999999995</v>
      </c>
      <c r="CJ12" s="100">
        <v>10</v>
      </c>
      <c r="CK12" s="100">
        <v>5628</v>
      </c>
      <c r="CL12" s="100">
        <v>9</v>
      </c>
      <c r="CM12" s="100">
        <v>5065.2</v>
      </c>
      <c r="CN12" s="100">
        <v>13</v>
      </c>
      <c r="CO12" s="100">
        <v>7316.4</v>
      </c>
      <c r="CP12" s="100">
        <v>0.49708809832254214</v>
      </c>
      <c r="CQ12" s="100">
        <v>279.7611817359267</v>
      </c>
      <c r="CR12" s="100">
        <v>8.8073979320976719</v>
      </c>
      <c r="CS12" s="100">
        <v>4956.8035561845691</v>
      </c>
      <c r="CT12" s="100">
        <v>1.9601178917520005E-16</v>
      </c>
      <c r="CU12" s="100">
        <v>1.1031543494780257E-13</v>
      </c>
    </row>
    <row r="13" spans="1:99">
      <c r="C13" s="99" t="s">
        <v>179</v>
      </c>
      <c r="D13" s="100">
        <v>8</v>
      </c>
      <c r="E13" s="100">
        <v>681.6</v>
      </c>
      <c r="F13" s="100">
        <v>6</v>
      </c>
      <c r="G13" s="100">
        <v>511.20000000000005</v>
      </c>
      <c r="H13" s="100">
        <v>9</v>
      </c>
      <c r="I13" s="100">
        <v>766.80000000000007</v>
      </c>
      <c r="J13" s="100">
        <v>6</v>
      </c>
      <c r="K13" s="100">
        <v>511.20000000000005</v>
      </c>
      <c r="L13" s="100">
        <v>7</v>
      </c>
      <c r="M13" s="100">
        <v>596.4</v>
      </c>
      <c r="N13" s="100">
        <v>8</v>
      </c>
      <c r="O13" s="100">
        <v>681.6</v>
      </c>
      <c r="P13" s="100">
        <v>10</v>
      </c>
      <c r="Q13" s="100">
        <v>852</v>
      </c>
      <c r="R13" s="100">
        <v>10</v>
      </c>
      <c r="S13" s="100">
        <v>852</v>
      </c>
      <c r="T13" s="100">
        <v>6</v>
      </c>
      <c r="U13" s="100">
        <v>511.20000000000005</v>
      </c>
      <c r="V13" s="100">
        <v>9</v>
      </c>
      <c r="W13" s="100">
        <v>766.80000000000007</v>
      </c>
      <c r="X13" s="100">
        <v>5.1584956124887436</v>
      </c>
      <c r="Y13" s="100">
        <v>439.50382618404097</v>
      </c>
      <c r="Z13" s="100">
        <v>9</v>
      </c>
      <c r="AA13" s="100">
        <v>766.80000000000007</v>
      </c>
      <c r="AB13" s="100">
        <v>9.2329654311517384</v>
      </c>
      <c r="AC13" s="100">
        <v>786.64865473412817</v>
      </c>
      <c r="AD13" s="100">
        <v>3.0369648383524512</v>
      </c>
      <c r="AE13" s="100">
        <v>258.74940422762887</v>
      </c>
      <c r="AF13" s="100">
        <v>11</v>
      </c>
      <c r="AG13" s="100">
        <v>937.2</v>
      </c>
      <c r="AH13" s="100">
        <v>7</v>
      </c>
      <c r="AI13" s="100">
        <v>596.4</v>
      </c>
      <c r="AJ13" s="100">
        <v>3.1008119975823338</v>
      </c>
      <c r="AK13" s="100">
        <v>264.18918219401485</v>
      </c>
      <c r="AL13" s="100">
        <v>9</v>
      </c>
      <c r="AM13" s="100">
        <v>766.80000000000007</v>
      </c>
      <c r="AN13" s="100">
        <v>6</v>
      </c>
      <c r="AO13" s="100">
        <v>511.20000000000005</v>
      </c>
      <c r="AP13" s="100">
        <v>7</v>
      </c>
      <c r="AQ13" s="100">
        <v>596.4</v>
      </c>
      <c r="AR13" s="100">
        <v>8</v>
      </c>
      <c r="AS13" s="100">
        <v>681.6</v>
      </c>
      <c r="AT13" s="100">
        <v>11</v>
      </c>
      <c r="AU13" s="100">
        <v>937.2</v>
      </c>
      <c r="AV13" s="100">
        <v>11.759994699447569</v>
      </c>
      <c r="AW13" s="100">
        <v>1001.9515483929329</v>
      </c>
      <c r="AX13" s="100">
        <v>7</v>
      </c>
      <c r="AY13" s="100">
        <v>596.4</v>
      </c>
      <c r="AZ13" s="100">
        <v>10</v>
      </c>
      <c r="BA13" s="100">
        <v>852</v>
      </c>
      <c r="BB13" s="100">
        <v>8.8301000018055316</v>
      </c>
      <c r="BC13" s="100">
        <v>752.32452015383126</v>
      </c>
      <c r="BD13" s="100">
        <v>9.2205557498446442</v>
      </c>
      <c r="BE13" s="100">
        <v>785.59134988676374</v>
      </c>
      <c r="BF13" s="100">
        <v>8.2688954873130101</v>
      </c>
      <c r="BG13" s="100">
        <v>704.50989551906844</v>
      </c>
      <c r="BH13" s="100">
        <v>3.2096132962811268</v>
      </c>
      <c r="BI13" s="100">
        <v>273.45905284315199</v>
      </c>
      <c r="BJ13" s="100">
        <v>11</v>
      </c>
      <c r="BK13" s="100">
        <v>937.2</v>
      </c>
      <c r="BL13" s="100">
        <v>10</v>
      </c>
      <c r="BM13" s="100">
        <v>852</v>
      </c>
      <c r="BN13" s="100">
        <v>0.21344988119339939</v>
      </c>
      <c r="BO13" s="100">
        <v>18.18592987767763</v>
      </c>
      <c r="BP13" s="100">
        <v>13</v>
      </c>
      <c r="BQ13" s="100">
        <v>1107.6000000000001</v>
      </c>
      <c r="BR13" s="100">
        <v>7.9379265562282804</v>
      </c>
      <c r="BS13" s="100">
        <v>676.31134259064947</v>
      </c>
      <c r="BT13" s="100">
        <v>11</v>
      </c>
      <c r="BU13" s="100">
        <v>937.2</v>
      </c>
      <c r="BV13" s="100">
        <v>5.8933531061958622</v>
      </c>
      <c r="BW13" s="100">
        <v>502.11368464788745</v>
      </c>
      <c r="BX13" s="100">
        <v>2.1409276502617587</v>
      </c>
      <c r="BY13" s="100">
        <v>182.40703580230183</v>
      </c>
      <c r="BZ13" s="100">
        <v>7</v>
      </c>
      <c r="CA13" s="100">
        <v>596.4</v>
      </c>
      <c r="CB13" s="100">
        <v>12</v>
      </c>
      <c r="CC13" s="100">
        <v>1022.4000000000001</v>
      </c>
      <c r="CD13" s="100">
        <v>11</v>
      </c>
      <c r="CE13" s="100">
        <v>937.2</v>
      </c>
      <c r="CF13" s="100">
        <v>8</v>
      </c>
      <c r="CG13" s="100">
        <v>681.6</v>
      </c>
      <c r="CH13" s="100">
        <v>12</v>
      </c>
      <c r="CI13" s="100">
        <v>1022.4000000000001</v>
      </c>
      <c r="CJ13" s="100">
        <v>13</v>
      </c>
      <c r="CK13" s="100">
        <v>1107.6000000000001</v>
      </c>
      <c r="CL13" s="100">
        <v>10</v>
      </c>
      <c r="CM13" s="100">
        <v>852</v>
      </c>
      <c r="CN13" s="100">
        <v>13</v>
      </c>
      <c r="CO13" s="100">
        <v>1107.6000000000001</v>
      </c>
      <c r="CP13" s="100">
        <v>0.45189827120231107</v>
      </c>
      <c r="CQ13" s="100">
        <v>38.501732706436904</v>
      </c>
      <c r="CR13" s="100">
        <v>8.8073979320976719</v>
      </c>
      <c r="CS13" s="100">
        <v>750.39030381472162</v>
      </c>
      <c r="CT13" s="100">
        <v>1.9601178917520005E-16</v>
      </c>
      <c r="CU13" s="100">
        <v>1.6700204437727044E-14</v>
      </c>
    </row>
    <row r="14" spans="1:99">
      <c r="C14" s="99" t="s">
        <v>180</v>
      </c>
      <c r="D14" s="100">
        <v>8</v>
      </c>
      <c r="E14" s="100">
        <v>3907.2</v>
      </c>
      <c r="F14" s="100">
        <v>5</v>
      </c>
      <c r="G14" s="100">
        <v>2442</v>
      </c>
      <c r="H14" s="100">
        <v>8</v>
      </c>
      <c r="I14" s="100">
        <v>3907.2</v>
      </c>
      <c r="J14" s="100">
        <v>6</v>
      </c>
      <c r="K14" s="100">
        <v>2930.3999999999996</v>
      </c>
      <c r="L14" s="100">
        <v>7</v>
      </c>
      <c r="M14" s="100">
        <v>3418.7999999999997</v>
      </c>
      <c r="N14" s="100">
        <v>7</v>
      </c>
      <c r="O14" s="100">
        <v>3418.7999999999997</v>
      </c>
      <c r="P14" s="100">
        <v>10</v>
      </c>
      <c r="Q14" s="100">
        <v>4884</v>
      </c>
      <c r="R14" s="100">
        <v>9</v>
      </c>
      <c r="S14" s="100">
        <v>4395.5999999999995</v>
      </c>
      <c r="T14" s="100">
        <v>6</v>
      </c>
      <c r="U14" s="100">
        <v>2930.3999999999996</v>
      </c>
      <c r="V14" s="100">
        <v>10</v>
      </c>
      <c r="W14" s="100">
        <v>4884</v>
      </c>
      <c r="X14" s="100">
        <v>6.0182448812368676</v>
      </c>
      <c r="Y14" s="100">
        <v>2939.3107999960862</v>
      </c>
      <c r="Z14" s="100">
        <v>8</v>
      </c>
      <c r="AA14" s="100">
        <v>3907.2</v>
      </c>
      <c r="AB14" s="100">
        <v>8.3936049374106698</v>
      </c>
      <c r="AC14" s="100">
        <v>4099.4366514313706</v>
      </c>
      <c r="AD14" s="100">
        <v>3.0369648383524512</v>
      </c>
      <c r="AE14" s="100">
        <v>1483.2536270513372</v>
      </c>
      <c r="AF14" s="100">
        <v>11</v>
      </c>
      <c r="AG14" s="100">
        <v>5372.4</v>
      </c>
      <c r="AH14" s="100">
        <v>6</v>
      </c>
      <c r="AI14" s="100">
        <v>2930.3999999999996</v>
      </c>
      <c r="AJ14" s="100">
        <v>3.4108931973405672</v>
      </c>
      <c r="AK14" s="100">
        <v>1665.8802375811329</v>
      </c>
      <c r="AL14" s="100">
        <v>7</v>
      </c>
      <c r="AM14" s="100">
        <v>3418.7999999999997</v>
      </c>
      <c r="AN14" s="100">
        <v>6</v>
      </c>
      <c r="AO14" s="100">
        <v>2930.3999999999996</v>
      </c>
      <c r="AP14" s="100">
        <v>6</v>
      </c>
      <c r="AQ14" s="100">
        <v>2930.3999999999996</v>
      </c>
      <c r="AR14" s="100">
        <v>8</v>
      </c>
      <c r="AS14" s="100">
        <v>3907.2</v>
      </c>
      <c r="AT14" s="100">
        <v>12</v>
      </c>
      <c r="AU14" s="100">
        <v>5860.7999999999993</v>
      </c>
      <c r="AV14" s="100">
        <v>11.759994699447569</v>
      </c>
      <c r="AW14" s="100">
        <v>5743.5814112101925</v>
      </c>
      <c r="AX14" s="100">
        <v>7</v>
      </c>
      <c r="AY14" s="100">
        <v>3418.7999999999997</v>
      </c>
      <c r="AZ14" s="100">
        <v>10</v>
      </c>
      <c r="BA14" s="100">
        <v>4884</v>
      </c>
      <c r="BB14" s="100">
        <v>8.8301000018055316</v>
      </c>
      <c r="BC14" s="100">
        <v>4312.6208408818211</v>
      </c>
      <c r="BD14" s="100">
        <v>8.3823234089496772</v>
      </c>
      <c r="BE14" s="100">
        <v>4093.9267529310223</v>
      </c>
      <c r="BF14" s="100">
        <v>8.2688954873130101</v>
      </c>
      <c r="BG14" s="100">
        <v>4038.5285560036741</v>
      </c>
      <c r="BH14" s="100">
        <v>3.2096132962811268</v>
      </c>
      <c r="BI14" s="100">
        <v>1567.5751339037022</v>
      </c>
      <c r="BJ14" s="100">
        <v>11</v>
      </c>
      <c r="BK14" s="100">
        <v>5372.4</v>
      </c>
      <c r="BL14" s="100">
        <v>9</v>
      </c>
      <c r="BM14" s="100">
        <v>4395.5999999999995</v>
      </c>
      <c r="BN14" s="100">
        <v>0.21344988119339939</v>
      </c>
      <c r="BO14" s="100">
        <v>104.24892197485626</v>
      </c>
      <c r="BP14" s="100">
        <v>12</v>
      </c>
      <c r="BQ14" s="100">
        <v>5860.7999999999993</v>
      </c>
      <c r="BR14" s="100">
        <v>7.9379265562282804</v>
      </c>
      <c r="BS14" s="100">
        <v>3876.8833300618921</v>
      </c>
      <c r="BT14" s="100">
        <v>11</v>
      </c>
      <c r="BU14" s="100">
        <v>5372.4</v>
      </c>
      <c r="BV14" s="100">
        <v>6.4826884168154484</v>
      </c>
      <c r="BW14" s="100">
        <v>3166.145022772665</v>
      </c>
      <c r="BX14" s="100">
        <v>2.1409276502617587</v>
      </c>
      <c r="BY14" s="100">
        <v>1045.6290643878428</v>
      </c>
      <c r="BZ14" s="100">
        <v>6</v>
      </c>
      <c r="CA14" s="100">
        <v>2930.3999999999996</v>
      </c>
      <c r="CB14" s="100">
        <v>12</v>
      </c>
      <c r="CC14" s="100">
        <v>5860.7999999999993</v>
      </c>
      <c r="CD14" s="100">
        <v>10</v>
      </c>
      <c r="CE14" s="100">
        <v>4884</v>
      </c>
      <c r="CF14" s="100">
        <v>8</v>
      </c>
      <c r="CG14" s="100">
        <v>3907.2</v>
      </c>
      <c r="CH14" s="100">
        <v>13</v>
      </c>
      <c r="CI14" s="100">
        <v>6349.2</v>
      </c>
      <c r="CJ14" s="100">
        <v>11</v>
      </c>
      <c r="CK14" s="100">
        <v>5372.4</v>
      </c>
      <c r="CL14" s="100">
        <v>10</v>
      </c>
      <c r="CM14" s="100">
        <v>4884</v>
      </c>
      <c r="CN14" s="100">
        <v>12</v>
      </c>
      <c r="CO14" s="100">
        <v>5860.7999999999993</v>
      </c>
      <c r="CP14" s="100">
        <v>0.49708809832254214</v>
      </c>
      <c r="CQ14" s="100">
        <v>242.77782722072956</v>
      </c>
      <c r="CR14" s="100">
        <v>9.5413477597724778</v>
      </c>
      <c r="CS14" s="100">
        <v>4659.9942458728783</v>
      </c>
      <c r="CT14" s="100">
        <v>1.9601178917520005E-16</v>
      </c>
      <c r="CU14" s="100">
        <v>9.5732157833167697E-14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9</v>
      </c>
      <c r="I15" s="100">
        <v>6868.7999999999993</v>
      </c>
      <c r="J15" s="100">
        <v>6</v>
      </c>
      <c r="K15" s="100">
        <v>4579.2</v>
      </c>
      <c r="L15" s="100">
        <v>8</v>
      </c>
      <c r="M15" s="100">
        <v>6105.5999999999995</v>
      </c>
      <c r="N15" s="100">
        <v>8</v>
      </c>
      <c r="O15" s="100">
        <v>6105.5999999999995</v>
      </c>
      <c r="P15" s="100">
        <v>8</v>
      </c>
      <c r="Q15" s="100">
        <v>6105.5999999999995</v>
      </c>
      <c r="R15" s="100">
        <v>9</v>
      </c>
      <c r="S15" s="100">
        <v>6868.7999999999993</v>
      </c>
      <c r="T15" s="100">
        <v>6</v>
      </c>
      <c r="U15" s="100">
        <v>4579.2</v>
      </c>
      <c r="V15" s="100">
        <v>10</v>
      </c>
      <c r="W15" s="100">
        <v>7631.9999999999991</v>
      </c>
      <c r="X15" s="100">
        <v>5.1584956124887436</v>
      </c>
      <c r="Y15" s="100">
        <v>3936.9638514514086</v>
      </c>
      <c r="Z15" s="100">
        <v>8</v>
      </c>
      <c r="AA15" s="100">
        <v>6105.5999999999995</v>
      </c>
      <c r="AB15" s="100">
        <v>8.3936049374106698</v>
      </c>
      <c r="AC15" s="100">
        <v>6405.9992882318229</v>
      </c>
      <c r="AD15" s="100">
        <v>3.0369648383524512</v>
      </c>
      <c r="AE15" s="100">
        <v>2317.8115646305905</v>
      </c>
      <c r="AF15" s="100">
        <v>11</v>
      </c>
      <c r="AG15" s="100">
        <v>8395.1999999999989</v>
      </c>
      <c r="AH15" s="100">
        <v>6</v>
      </c>
      <c r="AI15" s="100">
        <v>4579.2</v>
      </c>
      <c r="AJ15" s="100">
        <v>2.7907307978241005</v>
      </c>
      <c r="AK15" s="100">
        <v>2129.8857448993531</v>
      </c>
      <c r="AL15" s="100">
        <v>8</v>
      </c>
      <c r="AM15" s="100">
        <v>6105.5999999999995</v>
      </c>
      <c r="AN15" s="100">
        <v>6</v>
      </c>
      <c r="AO15" s="100">
        <v>4579.2</v>
      </c>
      <c r="AP15" s="100">
        <v>6</v>
      </c>
      <c r="AQ15" s="100">
        <v>4579.2</v>
      </c>
      <c r="AR15" s="100">
        <v>8</v>
      </c>
      <c r="AS15" s="100">
        <v>6105.5999999999995</v>
      </c>
      <c r="AT15" s="100">
        <v>12</v>
      </c>
      <c r="AU15" s="100">
        <v>9158.4</v>
      </c>
      <c r="AV15" s="100">
        <v>11.759994699447569</v>
      </c>
      <c r="AW15" s="100">
        <v>8975.2279546183836</v>
      </c>
      <c r="AX15" s="100">
        <v>6</v>
      </c>
      <c r="AY15" s="100">
        <v>4579.2</v>
      </c>
      <c r="AZ15" s="100">
        <v>11</v>
      </c>
      <c r="BA15" s="100">
        <v>8395.1999999999989</v>
      </c>
      <c r="BB15" s="100">
        <v>8.8301000018055316</v>
      </c>
      <c r="BC15" s="100">
        <v>6739.1323213779815</v>
      </c>
      <c r="BD15" s="100">
        <v>8.3823234089496772</v>
      </c>
      <c r="BE15" s="100">
        <v>6397.3892257103935</v>
      </c>
      <c r="BF15" s="100">
        <v>8.2688954873130101</v>
      </c>
      <c r="BG15" s="100">
        <v>6310.821035917289</v>
      </c>
      <c r="BH15" s="100">
        <v>3.2096132962811268</v>
      </c>
      <c r="BI15" s="100">
        <v>2449.5768677217557</v>
      </c>
      <c r="BJ15" s="100">
        <v>10</v>
      </c>
      <c r="BK15" s="100">
        <v>7631.9999999999991</v>
      </c>
      <c r="BL15" s="100">
        <v>8</v>
      </c>
      <c r="BM15" s="100">
        <v>6105.5999999999995</v>
      </c>
      <c r="BN15" s="100">
        <v>0.21344988119339939</v>
      </c>
      <c r="BO15" s="100">
        <v>162.90494932680241</v>
      </c>
      <c r="BP15" s="100">
        <v>13</v>
      </c>
      <c r="BQ15" s="100">
        <v>9921.5999999999985</v>
      </c>
      <c r="BR15" s="100">
        <v>6.9456857366997449</v>
      </c>
      <c r="BS15" s="100">
        <v>5300.9473542492451</v>
      </c>
      <c r="BT15" s="100">
        <v>10</v>
      </c>
      <c r="BU15" s="100">
        <v>7631.9999999999991</v>
      </c>
      <c r="BV15" s="100">
        <v>5.8933531061958622</v>
      </c>
      <c r="BW15" s="100">
        <v>4497.8070906486819</v>
      </c>
      <c r="BX15" s="100">
        <v>2.4467744574420105</v>
      </c>
      <c r="BY15" s="100">
        <v>1867.3782659197423</v>
      </c>
      <c r="BZ15" s="100">
        <v>6</v>
      </c>
      <c r="CA15" s="100">
        <v>4579.2</v>
      </c>
      <c r="CB15" s="100">
        <v>10</v>
      </c>
      <c r="CC15" s="100">
        <v>7631.9999999999991</v>
      </c>
      <c r="CD15" s="100">
        <v>10</v>
      </c>
      <c r="CE15" s="100">
        <v>7631.9999999999991</v>
      </c>
      <c r="CF15" s="100">
        <v>9</v>
      </c>
      <c r="CG15" s="100">
        <v>6868.7999999999993</v>
      </c>
      <c r="CH15" s="100">
        <v>13</v>
      </c>
      <c r="CI15" s="100">
        <v>9921.5999999999985</v>
      </c>
      <c r="CJ15" s="100">
        <v>10</v>
      </c>
      <c r="CK15" s="100">
        <v>7631.9999999999991</v>
      </c>
      <c r="CL15" s="100">
        <v>10</v>
      </c>
      <c r="CM15" s="100">
        <v>7631.9999999999991</v>
      </c>
      <c r="CN15" s="100">
        <v>13</v>
      </c>
      <c r="CO15" s="100">
        <v>9921.5999999999985</v>
      </c>
      <c r="CP15" s="100">
        <v>0.45189827120231107</v>
      </c>
      <c r="CQ15" s="100">
        <v>344.88876058160378</v>
      </c>
      <c r="CR15" s="100">
        <v>9.5413477597724778</v>
      </c>
      <c r="CS15" s="100">
        <v>7281.9566102583549</v>
      </c>
      <c r="CT15" s="100">
        <v>1.9601178917520005E-16</v>
      </c>
      <c r="CU15" s="100">
        <v>1.4959619749851267E-13</v>
      </c>
    </row>
    <row r="16" spans="1:99">
      <c r="C16" s="99" t="s">
        <v>182</v>
      </c>
      <c r="D16" s="100">
        <v>7</v>
      </c>
      <c r="E16" s="100">
        <v>2385.6</v>
      </c>
      <c r="F16" s="100">
        <v>6</v>
      </c>
      <c r="G16" s="100">
        <v>2044.8000000000002</v>
      </c>
      <c r="H16" s="100">
        <v>8</v>
      </c>
      <c r="I16" s="100">
        <v>2726.4</v>
      </c>
      <c r="J16" s="100">
        <v>5</v>
      </c>
      <c r="K16" s="100">
        <v>1704</v>
      </c>
      <c r="L16" s="100">
        <v>8</v>
      </c>
      <c r="M16" s="100">
        <v>2726.4</v>
      </c>
      <c r="N16" s="100">
        <v>7</v>
      </c>
      <c r="O16" s="100">
        <v>2385.6</v>
      </c>
      <c r="P16" s="100">
        <v>10</v>
      </c>
      <c r="Q16" s="100">
        <v>3408</v>
      </c>
      <c r="R16" s="100">
        <v>10</v>
      </c>
      <c r="S16" s="100">
        <v>3408</v>
      </c>
      <c r="T16" s="100">
        <v>6</v>
      </c>
      <c r="U16" s="100">
        <v>2044.8000000000002</v>
      </c>
      <c r="V16" s="100">
        <v>10</v>
      </c>
      <c r="W16" s="100">
        <v>3408</v>
      </c>
      <c r="X16" s="100">
        <v>5.1584956124887436</v>
      </c>
      <c r="Y16" s="100">
        <v>1758.0153047361639</v>
      </c>
      <c r="Z16" s="100">
        <v>9</v>
      </c>
      <c r="AA16" s="100">
        <v>3067.2000000000003</v>
      </c>
      <c r="AB16" s="100">
        <v>7.5542444436696039</v>
      </c>
      <c r="AC16" s="100">
        <v>2574.4865064026012</v>
      </c>
      <c r="AD16" s="100">
        <v>3.5431256447445265</v>
      </c>
      <c r="AE16" s="100">
        <v>1207.4972197289346</v>
      </c>
      <c r="AF16" s="100">
        <v>11</v>
      </c>
      <c r="AG16" s="100">
        <v>3748.8</v>
      </c>
      <c r="AH16" s="100">
        <v>7</v>
      </c>
      <c r="AI16" s="100">
        <v>2385.6</v>
      </c>
      <c r="AJ16" s="100">
        <v>3.4108931973405672</v>
      </c>
      <c r="AK16" s="100">
        <v>1162.4324016536652</v>
      </c>
      <c r="AL16" s="100">
        <v>8</v>
      </c>
      <c r="AM16" s="100">
        <v>2726.4</v>
      </c>
      <c r="AN16" s="100">
        <v>6</v>
      </c>
      <c r="AO16" s="100">
        <v>2044.8000000000002</v>
      </c>
      <c r="AP16" s="100">
        <v>6</v>
      </c>
      <c r="AQ16" s="100">
        <v>2044.8000000000002</v>
      </c>
      <c r="AR16" s="100">
        <v>8</v>
      </c>
      <c r="AS16" s="100">
        <v>2726.4</v>
      </c>
      <c r="AT16" s="100">
        <v>11</v>
      </c>
      <c r="AU16" s="100">
        <v>3748.8</v>
      </c>
      <c r="AV16" s="100">
        <v>11.759994699447569</v>
      </c>
      <c r="AW16" s="100">
        <v>4007.8061935717315</v>
      </c>
      <c r="AX16" s="100">
        <v>7</v>
      </c>
      <c r="AY16" s="100">
        <v>2385.6</v>
      </c>
      <c r="AZ16" s="100">
        <v>10</v>
      </c>
      <c r="BA16" s="100">
        <v>3408</v>
      </c>
      <c r="BB16" s="100">
        <v>9.81122222422837</v>
      </c>
      <c r="BC16" s="100">
        <v>3343.6645340170285</v>
      </c>
      <c r="BD16" s="100">
        <v>10.058788090739613</v>
      </c>
      <c r="BE16" s="100">
        <v>3428.03498132406</v>
      </c>
      <c r="BF16" s="100">
        <v>9.0957850360443118</v>
      </c>
      <c r="BG16" s="100">
        <v>3099.8435402839013</v>
      </c>
      <c r="BH16" s="100">
        <v>2.8886519666530144</v>
      </c>
      <c r="BI16" s="100">
        <v>984.45259023534732</v>
      </c>
      <c r="BJ16" s="100">
        <v>11</v>
      </c>
      <c r="BK16" s="100">
        <v>3748.8</v>
      </c>
      <c r="BL16" s="100">
        <v>9</v>
      </c>
      <c r="BM16" s="100">
        <v>3067.2000000000003</v>
      </c>
      <c r="BN16" s="100">
        <v>0.21344988119339939</v>
      </c>
      <c r="BO16" s="100">
        <v>72.74371951071052</v>
      </c>
      <c r="BP16" s="100">
        <v>12</v>
      </c>
      <c r="BQ16" s="100">
        <v>4089.6000000000004</v>
      </c>
      <c r="BR16" s="100">
        <v>7.9379265562282804</v>
      </c>
      <c r="BS16" s="100">
        <v>2705.2453703625979</v>
      </c>
      <c r="BT16" s="100">
        <v>10</v>
      </c>
      <c r="BU16" s="100">
        <v>3408</v>
      </c>
      <c r="BV16" s="100">
        <v>5.304017795576276</v>
      </c>
      <c r="BW16" s="100">
        <v>1807.6092647323949</v>
      </c>
      <c r="BX16" s="100">
        <v>2.4467744574420105</v>
      </c>
      <c r="BY16" s="100">
        <v>833.86073509623725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12</v>
      </c>
      <c r="CE16" s="100">
        <v>4089.6000000000004</v>
      </c>
      <c r="CF16" s="100">
        <v>9</v>
      </c>
      <c r="CG16" s="100">
        <v>3067.2000000000003</v>
      </c>
      <c r="CH16" s="100">
        <v>12</v>
      </c>
      <c r="CI16" s="100">
        <v>4089.6000000000004</v>
      </c>
      <c r="CJ16" s="100">
        <v>12</v>
      </c>
      <c r="CK16" s="100">
        <v>4089.6000000000004</v>
      </c>
      <c r="CL16" s="100">
        <v>9</v>
      </c>
      <c r="CM16" s="100">
        <v>3067.2000000000003</v>
      </c>
      <c r="CN16" s="100">
        <v>12</v>
      </c>
      <c r="CO16" s="100">
        <v>4089.6000000000004</v>
      </c>
      <c r="CP16" s="100">
        <v>0.49708809832254214</v>
      </c>
      <c r="CQ16" s="100">
        <v>169.40762390832236</v>
      </c>
      <c r="CR16" s="100">
        <v>8.0734481044228659</v>
      </c>
      <c r="CS16" s="100">
        <v>2751.431113987313</v>
      </c>
      <c r="CT16" s="100">
        <v>2.1561296809272006E-16</v>
      </c>
      <c r="CU16" s="100">
        <v>7.3480899525998999E-14</v>
      </c>
    </row>
    <row r="17" spans="2:99">
      <c r="C17" s="99" t="s">
        <v>183</v>
      </c>
      <c r="D17" s="100">
        <v>8</v>
      </c>
      <c r="E17" s="100">
        <v>3379.2</v>
      </c>
      <c r="F17" s="100">
        <v>6</v>
      </c>
      <c r="G17" s="100">
        <v>2534.3999999999996</v>
      </c>
      <c r="H17" s="100">
        <v>9</v>
      </c>
      <c r="I17" s="100">
        <v>3801.6</v>
      </c>
      <c r="J17" s="100">
        <v>6</v>
      </c>
      <c r="K17" s="100">
        <v>2534.3999999999996</v>
      </c>
      <c r="L17" s="100">
        <v>7</v>
      </c>
      <c r="M17" s="100">
        <v>2956.7999999999997</v>
      </c>
      <c r="N17" s="100">
        <v>7</v>
      </c>
      <c r="O17" s="100">
        <v>2956.7999999999997</v>
      </c>
      <c r="P17" s="100">
        <v>9</v>
      </c>
      <c r="Q17" s="100">
        <v>3801.6</v>
      </c>
      <c r="R17" s="100">
        <v>10</v>
      </c>
      <c r="S17" s="100">
        <v>4224</v>
      </c>
      <c r="T17" s="100">
        <v>6</v>
      </c>
      <c r="U17" s="100">
        <v>2534.3999999999996</v>
      </c>
      <c r="V17" s="100">
        <v>9</v>
      </c>
      <c r="W17" s="100">
        <v>3801.6</v>
      </c>
      <c r="X17" s="100">
        <v>6.0182448812368676</v>
      </c>
      <c r="Y17" s="100">
        <v>2542.1066378344526</v>
      </c>
      <c r="Z17" s="100">
        <v>8</v>
      </c>
      <c r="AA17" s="100">
        <v>3379.2</v>
      </c>
      <c r="AB17" s="100">
        <v>9.2329654311517384</v>
      </c>
      <c r="AC17" s="100">
        <v>3900.004598118494</v>
      </c>
      <c r="AD17" s="100">
        <v>3.0369648383524512</v>
      </c>
      <c r="AE17" s="100">
        <v>1282.8139477200752</v>
      </c>
      <c r="AF17" s="100">
        <v>12</v>
      </c>
      <c r="AG17" s="100">
        <v>5068.7999999999993</v>
      </c>
      <c r="AH17" s="100">
        <v>6</v>
      </c>
      <c r="AI17" s="100">
        <v>2534.3999999999996</v>
      </c>
      <c r="AJ17" s="100">
        <v>3.1008119975823338</v>
      </c>
      <c r="AK17" s="100">
        <v>1309.7829877787779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6</v>
      </c>
      <c r="AQ17" s="100">
        <v>2534.3999999999996</v>
      </c>
      <c r="AR17" s="100">
        <v>9</v>
      </c>
      <c r="AS17" s="100">
        <v>3801.6</v>
      </c>
      <c r="AT17" s="100">
        <v>10</v>
      </c>
      <c r="AU17" s="100">
        <v>4224</v>
      </c>
      <c r="AV17" s="100">
        <v>11.759994699447569</v>
      </c>
      <c r="AW17" s="100">
        <v>4967.421761046653</v>
      </c>
      <c r="AX17" s="100">
        <v>6</v>
      </c>
      <c r="AY17" s="100">
        <v>2534.3999999999996</v>
      </c>
      <c r="AZ17" s="100">
        <v>10</v>
      </c>
      <c r="BA17" s="100">
        <v>4224</v>
      </c>
      <c r="BB17" s="100">
        <v>9.81122222422837</v>
      </c>
      <c r="BC17" s="100">
        <v>4144.2602675140633</v>
      </c>
      <c r="BD17" s="100">
        <v>9.2205557498446442</v>
      </c>
      <c r="BE17" s="100">
        <v>3894.7627487343775</v>
      </c>
      <c r="BF17" s="100">
        <v>8.2688954873130101</v>
      </c>
      <c r="BG17" s="100">
        <v>3492.7814538410153</v>
      </c>
      <c r="BH17" s="100">
        <v>3.2096132962811268</v>
      </c>
      <c r="BI17" s="100">
        <v>1355.7406563491479</v>
      </c>
      <c r="BJ17" s="100">
        <v>10</v>
      </c>
      <c r="BK17" s="100">
        <v>4224</v>
      </c>
      <c r="BL17" s="100">
        <v>8</v>
      </c>
      <c r="BM17" s="100">
        <v>3379.2</v>
      </c>
      <c r="BN17" s="100">
        <v>0.21344988119339939</v>
      </c>
      <c r="BO17" s="100">
        <v>90.16122981609189</v>
      </c>
      <c r="BP17" s="100">
        <v>13</v>
      </c>
      <c r="BQ17" s="100">
        <v>5491.2</v>
      </c>
      <c r="BR17" s="100">
        <v>7.9379265562282804</v>
      </c>
      <c r="BS17" s="100">
        <v>3352.9801773508257</v>
      </c>
      <c r="BT17" s="100">
        <v>12</v>
      </c>
      <c r="BU17" s="100">
        <v>5068.7999999999993</v>
      </c>
      <c r="BV17" s="100">
        <v>6.4826884168154484</v>
      </c>
      <c r="BW17" s="100">
        <v>2738.2875872628451</v>
      </c>
      <c r="BX17" s="100">
        <v>2.4467744574420105</v>
      </c>
      <c r="BY17" s="100">
        <v>1033.5175308235052</v>
      </c>
      <c r="BZ17" s="100">
        <v>6</v>
      </c>
      <c r="CA17" s="100">
        <v>2534.3999999999996</v>
      </c>
      <c r="CB17" s="100">
        <v>11</v>
      </c>
      <c r="CC17" s="100">
        <v>4646.3999999999996</v>
      </c>
      <c r="CD17" s="100">
        <v>11</v>
      </c>
      <c r="CE17" s="100">
        <v>4646.3999999999996</v>
      </c>
      <c r="CF17" s="100">
        <v>9</v>
      </c>
      <c r="CG17" s="100">
        <v>3801.6</v>
      </c>
      <c r="CH17" s="100">
        <v>12</v>
      </c>
      <c r="CI17" s="100">
        <v>5068.7999999999993</v>
      </c>
      <c r="CJ17" s="100">
        <v>12</v>
      </c>
      <c r="CK17" s="100">
        <v>5068.7999999999993</v>
      </c>
      <c r="CL17" s="100">
        <v>10</v>
      </c>
      <c r="CM17" s="100">
        <v>4224</v>
      </c>
      <c r="CN17" s="100">
        <v>11</v>
      </c>
      <c r="CO17" s="100">
        <v>4646.3999999999996</v>
      </c>
      <c r="CP17" s="100">
        <v>0.40670844408207996</v>
      </c>
      <c r="CQ17" s="100">
        <v>171.79364678027056</v>
      </c>
      <c r="CR17" s="100">
        <v>8.0734481044228659</v>
      </c>
      <c r="CS17" s="100">
        <v>3410.2244793082182</v>
      </c>
      <c r="CT17" s="100">
        <v>1.9601178917520005E-16</v>
      </c>
      <c r="CU17" s="100">
        <v>8.2795379747604493E-14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</v>
      </c>
      <c r="G18" s="100">
        <v>3916.7999999999997</v>
      </c>
      <c r="H18" s="100">
        <v>8</v>
      </c>
      <c r="I18" s="100">
        <v>5222.3999999999996</v>
      </c>
      <c r="J18" s="100">
        <v>6</v>
      </c>
      <c r="K18" s="100">
        <v>3916.7999999999997</v>
      </c>
      <c r="L18" s="100">
        <v>7</v>
      </c>
      <c r="M18" s="100">
        <v>4569.5999999999995</v>
      </c>
      <c r="N18" s="100">
        <v>7</v>
      </c>
      <c r="O18" s="100">
        <v>4569.5999999999995</v>
      </c>
      <c r="P18" s="100">
        <v>9</v>
      </c>
      <c r="Q18" s="100">
        <v>5875.2</v>
      </c>
      <c r="R18" s="100">
        <v>8</v>
      </c>
      <c r="S18" s="100">
        <v>5222.3999999999996</v>
      </c>
      <c r="T18" s="100">
        <v>6</v>
      </c>
      <c r="U18" s="100">
        <v>3916.7999999999997</v>
      </c>
      <c r="V18" s="100">
        <v>10</v>
      </c>
      <c r="W18" s="100">
        <v>6528</v>
      </c>
      <c r="X18" s="100">
        <v>5.1584956124887436</v>
      </c>
      <c r="Y18" s="100">
        <v>3367.4659358326517</v>
      </c>
      <c r="Z18" s="100">
        <v>7</v>
      </c>
      <c r="AA18" s="100">
        <v>4569.5999999999995</v>
      </c>
      <c r="AB18" s="100">
        <v>8.3936049374106698</v>
      </c>
      <c r="AC18" s="100">
        <v>5479.3453031416848</v>
      </c>
      <c r="AD18" s="100">
        <v>3.5431256447445265</v>
      </c>
      <c r="AE18" s="100">
        <v>2312.9524208892267</v>
      </c>
      <c r="AF18" s="100">
        <v>10</v>
      </c>
      <c r="AG18" s="100">
        <v>6528</v>
      </c>
      <c r="AH18" s="100">
        <v>7</v>
      </c>
      <c r="AI18" s="100">
        <v>4569.5999999999995</v>
      </c>
      <c r="AJ18" s="100">
        <v>3.1008119975823338</v>
      </c>
      <c r="AK18" s="100">
        <v>2024.2100720217475</v>
      </c>
      <c r="AL18" s="100">
        <v>8</v>
      </c>
      <c r="AM18" s="100">
        <v>5222.3999999999996</v>
      </c>
      <c r="AN18" s="100">
        <v>6</v>
      </c>
      <c r="AO18" s="100">
        <v>3916.7999999999997</v>
      </c>
      <c r="AP18" s="100">
        <v>6</v>
      </c>
      <c r="AQ18" s="100">
        <v>3916.7999999999997</v>
      </c>
      <c r="AR18" s="100">
        <v>7</v>
      </c>
      <c r="AS18" s="100">
        <v>4569.5999999999995</v>
      </c>
      <c r="AT18" s="100">
        <v>11</v>
      </c>
      <c r="AU18" s="100">
        <v>7180.7999999999993</v>
      </c>
      <c r="AV18" s="100">
        <v>10.779995141160272</v>
      </c>
      <c r="AW18" s="100">
        <v>7037.180828149425</v>
      </c>
      <c r="AX18" s="100">
        <v>7</v>
      </c>
      <c r="AY18" s="100">
        <v>4569.5999999999995</v>
      </c>
      <c r="AZ18" s="100">
        <v>10</v>
      </c>
      <c r="BA18" s="100">
        <v>6528</v>
      </c>
      <c r="BB18" s="100">
        <v>8.8301000018055316</v>
      </c>
      <c r="BC18" s="100">
        <v>5764.2892811786505</v>
      </c>
      <c r="BD18" s="100">
        <v>10.058788090739613</v>
      </c>
      <c r="BE18" s="100">
        <v>6566.3768656348193</v>
      </c>
      <c r="BF18" s="100">
        <v>9.0957850360443118</v>
      </c>
      <c r="BG18" s="100">
        <v>5937.7284715297264</v>
      </c>
      <c r="BH18" s="100">
        <v>3.2096132962811268</v>
      </c>
      <c r="BI18" s="100">
        <v>2095.2355598123195</v>
      </c>
      <c r="BJ18" s="100">
        <v>11</v>
      </c>
      <c r="BK18" s="100">
        <v>7180.7999999999993</v>
      </c>
      <c r="BL18" s="100">
        <v>9</v>
      </c>
      <c r="BM18" s="100">
        <v>5875.2</v>
      </c>
      <c r="BN18" s="100">
        <v>0.21344988119339939</v>
      </c>
      <c r="BO18" s="100">
        <v>139.3400824430511</v>
      </c>
      <c r="BP18" s="100">
        <v>13</v>
      </c>
      <c r="BQ18" s="100">
        <v>8486.4</v>
      </c>
      <c r="BR18" s="100">
        <v>6.9456857366997449</v>
      </c>
      <c r="BS18" s="100">
        <v>4534.1436489175931</v>
      </c>
      <c r="BT18" s="100">
        <v>12</v>
      </c>
      <c r="BU18" s="100">
        <v>7833.5999999999995</v>
      </c>
      <c r="BV18" s="100">
        <v>5.304017795576276</v>
      </c>
      <c r="BW18" s="100">
        <v>3462.4628169521925</v>
      </c>
      <c r="BX18" s="100">
        <v>2.4467744574420105</v>
      </c>
      <c r="BY18" s="100">
        <v>1597.2543658181444</v>
      </c>
      <c r="BZ18" s="100">
        <v>6</v>
      </c>
      <c r="CA18" s="100">
        <v>3916.7999999999997</v>
      </c>
      <c r="CB18" s="100">
        <v>11</v>
      </c>
      <c r="CC18" s="100">
        <v>7180.7999999999993</v>
      </c>
      <c r="CD18" s="100">
        <v>10</v>
      </c>
      <c r="CE18" s="100">
        <v>6528</v>
      </c>
      <c r="CF18" s="100">
        <v>8</v>
      </c>
      <c r="CG18" s="100">
        <v>5222.3999999999996</v>
      </c>
      <c r="CH18" s="100">
        <v>12</v>
      </c>
      <c r="CI18" s="100">
        <v>7833.5999999999995</v>
      </c>
      <c r="CJ18" s="100">
        <v>11</v>
      </c>
      <c r="CK18" s="100">
        <v>7180.7999999999993</v>
      </c>
      <c r="CL18" s="100">
        <v>9</v>
      </c>
      <c r="CM18" s="100">
        <v>5875.2</v>
      </c>
      <c r="CN18" s="100">
        <v>11</v>
      </c>
      <c r="CO18" s="100">
        <v>7180.7999999999993</v>
      </c>
      <c r="CP18" s="100">
        <v>0.49708809832254214</v>
      </c>
      <c r="CQ18" s="100">
        <v>324.49911058495547</v>
      </c>
      <c r="CR18" s="100">
        <v>8.8073979320976719</v>
      </c>
      <c r="CS18" s="100">
        <v>5749.4693700733596</v>
      </c>
      <c r="CT18" s="100">
        <v>2.1561296809272006E-16</v>
      </c>
      <c r="CU18" s="100">
        <v>1.4075214557092763E-13</v>
      </c>
    </row>
    <row r="19" spans="2:99">
      <c r="C19" s="99" t="s">
        <v>185</v>
      </c>
      <c r="D19" s="100">
        <v>8</v>
      </c>
      <c r="E19" s="100">
        <v>2640</v>
      </c>
      <c r="F19" s="100">
        <v>6</v>
      </c>
      <c r="G19" s="100">
        <v>1980</v>
      </c>
      <c r="H19" s="100">
        <v>8</v>
      </c>
      <c r="I19" s="100">
        <v>2640</v>
      </c>
      <c r="J19" s="100">
        <v>6</v>
      </c>
      <c r="K19" s="100">
        <v>1980</v>
      </c>
      <c r="L19" s="100">
        <v>8</v>
      </c>
      <c r="M19" s="100">
        <v>2640</v>
      </c>
      <c r="N19" s="100">
        <v>8</v>
      </c>
      <c r="O19" s="100">
        <v>2640</v>
      </c>
      <c r="P19" s="100">
        <v>9</v>
      </c>
      <c r="Q19" s="100">
        <v>2970</v>
      </c>
      <c r="R19" s="100">
        <v>9</v>
      </c>
      <c r="S19" s="100">
        <v>2970</v>
      </c>
      <c r="T19" s="100">
        <v>6</v>
      </c>
      <c r="U19" s="100">
        <v>1980</v>
      </c>
      <c r="V19" s="100">
        <v>9</v>
      </c>
      <c r="W19" s="100">
        <v>2970</v>
      </c>
      <c r="X19" s="100">
        <v>6.0182448812368676</v>
      </c>
      <c r="Y19" s="100">
        <v>1986.0208108081663</v>
      </c>
      <c r="Z19" s="100">
        <v>8</v>
      </c>
      <c r="AA19" s="100">
        <v>2640</v>
      </c>
      <c r="AB19" s="100">
        <v>7.5542444436696039</v>
      </c>
      <c r="AC19" s="100">
        <v>2492.9006664109693</v>
      </c>
      <c r="AD19" s="100">
        <v>3.0369648383524512</v>
      </c>
      <c r="AE19" s="100">
        <v>1002.1983966563089</v>
      </c>
      <c r="AF19" s="100">
        <v>10</v>
      </c>
      <c r="AG19" s="100">
        <v>3300</v>
      </c>
      <c r="AH19" s="100">
        <v>6</v>
      </c>
      <c r="AI19" s="100">
        <v>1980</v>
      </c>
      <c r="AJ19" s="100">
        <v>3.4108931973405672</v>
      </c>
      <c r="AK19" s="100">
        <v>1125.5947551223871</v>
      </c>
      <c r="AL19" s="100">
        <v>8</v>
      </c>
      <c r="AM19" s="100">
        <v>2640</v>
      </c>
      <c r="AN19" s="100">
        <v>6</v>
      </c>
      <c r="AO19" s="100">
        <v>1980</v>
      </c>
      <c r="AP19" s="100">
        <v>6</v>
      </c>
      <c r="AQ19" s="100">
        <v>1980</v>
      </c>
      <c r="AR19" s="100">
        <v>8</v>
      </c>
      <c r="AS19" s="100">
        <v>2640</v>
      </c>
      <c r="AT19" s="100">
        <v>11</v>
      </c>
      <c r="AU19" s="100">
        <v>3630</v>
      </c>
      <c r="AV19" s="100">
        <v>11.759994699447569</v>
      </c>
      <c r="AW19" s="100">
        <v>3880.7982508176979</v>
      </c>
      <c r="AX19" s="100">
        <v>7</v>
      </c>
      <c r="AY19" s="100">
        <v>2310</v>
      </c>
      <c r="AZ19" s="100">
        <v>10</v>
      </c>
      <c r="BA19" s="100">
        <v>3300</v>
      </c>
      <c r="BB19" s="100">
        <v>9.81122222422837</v>
      </c>
      <c r="BC19" s="100">
        <v>3237.7033339953623</v>
      </c>
      <c r="BD19" s="100">
        <v>10.058788090739613</v>
      </c>
      <c r="BE19" s="100">
        <v>3319.4000699440721</v>
      </c>
      <c r="BF19" s="100">
        <v>7.4420059385817092</v>
      </c>
      <c r="BG19" s="100">
        <v>2455.8619597319639</v>
      </c>
      <c r="BH19" s="100">
        <v>3.2096132962811268</v>
      </c>
      <c r="BI19" s="100">
        <v>1059.1723877727718</v>
      </c>
      <c r="BJ19" s="100">
        <v>11</v>
      </c>
      <c r="BK19" s="100">
        <v>3630</v>
      </c>
      <c r="BL19" s="100">
        <v>9</v>
      </c>
      <c r="BM19" s="100">
        <v>2970</v>
      </c>
      <c r="BN19" s="100">
        <v>0.21344988119339939</v>
      </c>
      <c r="BO19" s="100">
        <v>70.438460793821804</v>
      </c>
      <c r="BP19" s="100">
        <v>13</v>
      </c>
      <c r="BQ19" s="100">
        <v>4290</v>
      </c>
      <c r="BR19" s="100">
        <v>7.9379265562282804</v>
      </c>
      <c r="BS19" s="100">
        <v>2619.5157635553323</v>
      </c>
      <c r="BT19" s="100">
        <v>11</v>
      </c>
      <c r="BU19" s="100">
        <v>3630</v>
      </c>
      <c r="BV19" s="100">
        <v>6.4826884168154484</v>
      </c>
      <c r="BW19" s="100">
        <v>2139.287177549098</v>
      </c>
      <c r="BX19" s="100">
        <v>2.1409276502617587</v>
      </c>
      <c r="BY19" s="100">
        <v>706.50612458638034</v>
      </c>
      <c r="BZ19" s="100">
        <v>7</v>
      </c>
      <c r="CA19" s="100">
        <v>2310</v>
      </c>
      <c r="CB19" s="100">
        <v>11</v>
      </c>
      <c r="CC19" s="100">
        <v>3630</v>
      </c>
      <c r="CD19" s="100">
        <v>10</v>
      </c>
      <c r="CE19" s="100">
        <v>3300</v>
      </c>
      <c r="CF19" s="100">
        <v>9</v>
      </c>
      <c r="CG19" s="100">
        <v>2970</v>
      </c>
      <c r="CH19" s="100">
        <v>13</v>
      </c>
      <c r="CI19" s="100">
        <v>4290</v>
      </c>
      <c r="CJ19" s="100">
        <v>11</v>
      </c>
      <c r="CK19" s="100">
        <v>3630</v>
      </c>
      <c r="CL19" s="100">
        <v>11</v>
      </c>
      <c r="CM19" s="100">
        <v>3630</v>
      </c>
      <c r="CN19" s="100">
        <v>11</v>
      </c>
      <c r="CO19" s="100">
        <v>3630</v>
      </c>
      <c r="CP19" s="100">
        <v>0.49708809832254214</v>
      </c>
      <c r="CQ19" s="100">
        <v>164.03907244643889</v>
      </c>
      <c r="CR19" s="100">
        <v>8.8073979320976719</v>
      </c>
      <c r="CS19" s="100">
        <v>2906.4413175922318</v>
      </c>
      <c r="CT19" s="100">
        <v>1.7641061025768004E-16</v>
      </c>
      <c r="CU19" s="100">
        <v>5.8215501385034412E-14</v>
      </c>
    </row>
    <row r="20" spans="2:99">
      <c r="B20" s="99" t="s">
        <v>127</v>
      </c>
      <c r="C20" s="99" t="s">
        <v>186</v>
      </c>
      <c r="D20" s="100">
        <v>19</v>
      </c>
      <c r="E20" s="100">
        <v>5449.2</v>
      </c>
      <c r="F20" s="100">
        <v>18</v>
      </c>
      <c r="G20" s="100">
        <v>5162.4000000000005</v>
      </c>
      <c r="H20" s="100">
        <v>12</v>
      </c>
      <c r="I20" s="100">
        <v>3441.6000000000004</v>
      </c>
      <c r="J20" s="100">
        <v>19</v>
      </c>
      <c r="K20" s="100">
        <v>5449.2</v>
      </c>
      <c r="L20" s="100">
        <v>19</v>
      </c>
      <c r="M20" s="100">
        <v>5449.2</v>
      </c>
      <c r="N20" s="100">
        <v>10</v>
      </c>
      <c r="O20" s="100">
        <v>2868</v>
      </c>
      <c r="P20" s="100">
        <v>18</v>
      </c>
      <c r="Q20" s="100">
        <v>5162.4000000000005</v>
      </c>
      <c r="R20" s="100">
        <v>12</v>
      </c>
      <c r="S20" s="100">
        <v>3441.6000000000004</v>
      </c>
      <c r="T20" s="100">
        <v>18</v>
      </c>
      <c r="U20" s="100">
        <v>5162.4000000000005</v>
      </c>
      <c r="V20" s="100">
        <v>16</v>
      </c>
      <c r="W20" s="100">
        <v>4588.8</v>
      </c>
      <c r="X20" s="100">
        <v>10.316991224977487</v>
      </c>
      <c r="Y20" s="100">
        <v>2958.9130833235436</v>
      </c>
      <c r="Z20" s="100">
        <v>16</v>
      </c>
      <c r="AA20" s="100">
        <v>4588.8</v>
      </c>
      <c r="AB20" s="100">
        <v>18.465930862303477</v>
      </c>
      <c r="AC20" s="100">
        <v>5296.0289713086377</v>
      </c>
      <c r="AD20" s="100">
        <v>9.1108945150573533</v>
      </c>
      <c r="AE20" s="100">
        <v>2613.0045469184488</v>
      </c>
      <c r="AF20" s="100">
        <v>12</v>
      </c>
      <c r="AG20" s="100">
        <v>3441.6000000000004</v>
      </c>
      <c r="AH20" s="100">
        <v>13</v>
      </c>
      <c r="AI20" s="100">
        <v>3728.4</v>
      </c>
      <c r="AJ20" s="100">
        <v>5.581461595648201</v>
      </c>
      <c r="AK20" s="100">
        <v>1600.7631856319042</v>
      </c>
      <c r="AL20" s="100">
        <v>16</v>
      </c>
      <c r="AM20" s="100">
        <v>4588.8</v>
      </c>
      <c r="AN20" s="100">
        <v>15</v>
      </c>
      <c r="AO20" s="100">
        <v>4302</v>
      </c>
      <c r="AP20" s="100">
        <v>14</v>
      </c>
      <c r="AQ20" s="100">
        <v>4015.2000000000003</v>
      </c>
      <c r="AR20" s="100">
        <v>15</v>
      </c>
      <c r="AS20" s="100">
        <v>4302</v>
      </c>
      <c r="AT20" s="100">
        <v>17</v>
      </c>
      <c r="AU20" s="100">
        <v>4875.6000000000004</v>
      </c>
      <c r="AV20" s="100">
        <v>20.579990724033248</v>
      </c>
      <c r="AW20" s="100">
        <v>5902.3413396527358</v>
      </c>
      <c r="AX20" s="100">
        <v>21</v>
      </c>
      <c r="AY20" s="100">
        <v>6022.8</v>
      </c>
      <c r="AZ20" s="100">
        <v>16</v>
      </c>
      <c r="BA20" s="100">
        <v>4588.8</v>
      </c>
      <c r="BB20" s="100">
        <v>19.62244444845674</v>
      </c>
      <c r="BC20" s="100">
        <v>5627.7170678173934</v>
      </c>
      <c r="BD20" s="100">
        <v>15.088182136109419</v>
      </c>
      <c r="BE20" s="100">
        <v>4327.2906366361813</v>
      </c>
      <c r="BF20" s="100">
        <v>16.53779097462602</v>
      </c>
      <c r="BG20" s="100">
        <v>4743.0384515227424</v>
      </c>
      <c r="BH20" s="100">
        <v>7.3821105814465904</v>
      </c>
      <c r="BI20" s="100">
        <v>2117.1893147588821</v>
      </c>
      <c r="BJ20" s="100">
        <v>22</v>
      </c>
      <c r="BK20" s="100">
        <v>6309.6</v>
      </c>
      <c r="BL20" s="100">
        <v>16</v>
      </c>
      <c r="BM20" s="100">
        <v>4588.8</v>
      </c>
      <c r="BN20" s="100">
        <v>0.71149960397799805</v>
      </c>
      <c r="BO20" s="100">
        <v>204.05808642088985</v>
      </c>
      <c r="BP20" s="100">
        <v>13</v>
      </c>
      <c r="BQ20" s="100">
        <v>3728.4</v>
      </c>
      <c r="BR20" s="100">
        <v>14.883612292928024</v>
      </c>
      <c r="BS20" s="100">
        <v>4268.6200056117577</v>
      </c>
      <c r="BT20" s="100">
        <v>19</v>
      </c>
      <c r="BU20" s="100">
        <v>5449.2</v>
      </c>
      <c r="BV20" s="100">
        <v>10.608035591152552</v>
      </c>
      <c r="BW20" s="100">
        <v>3042.3846075425522</v>
      </c>
      <c r="BX20" s="100">
        <v>5.1993957220642724</v>
      </c>
      <c r="BY20" s="100">
        <v>1491.1866930880333</v>
      </c>
      <c r="BZ20" s="100">
        <v>13</v>
      </c>
      <c r="CA20" s="100">
        <v>3728.4</v>
      </c>
      <c r="CB20" s="100">
        <v>14</v>
      </c>
      <c r="CC20" s="100">
        <v>4015.2000000000003</v>
      </c>
      <c r="CD20" s="100">
        <v>17</v>
      </c>
      <c r="CE20" s="100">
        <v>4875.6000000000004</v>
      </c>
      <c r="CF20" s="100">
        <v>22</v>
      </c>
      <c r="CG20" s="100">
        <v>6309.6</v>
      </c>
      <c r="CH20" s="100">
        <v>21</v>
      </c>
      <c r="CI20" s="100">
        <v>6022.8</v>
      </c>
      <c r="CJ20" s="100">
        <v>14</v>
      </c>
      <c r="CK20" s="100">
        <v>4015.2000000000003</v>
      </c>
      <c r="CL20" s="100">
        <v>18</v>
      </c>
      <c r="CM20" s="100">
        <v>5162.4000000000005</v>
      </c>
      <c r="CN20" s="100">
        <v>23</v>
      </c>
      <c r="CO20" s="100">
        <v>6596.4000000000005</v>
      </c>
      <c r="CP20" s="100">
        <v>1.0393660237653153</v>
      </c>
      <c r="CQ20" s="100">
        <v>298.09017561589246</v>
      </c>
      <c r="CR20" s="100">
        <v>18.34874569187015</v>
      </c>
      <c r="CS20" s="100">
        <v>5262.4202644283596</v>
      </c>
      <c r="CT20" s="100">
        <v>2.9401768376280007E-16</v>
      </c>
      <c r="CU20" s="100">
        <v>8.4324271703171068E-14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18</v>
      </c>
      <c r="G21" s="100">
        <v>1123.2</v>
      </c>
      <c r="H21" s="100">
        <v>13</v>
      </c>
      <c r="I21" s="100">
        <v>811.19999999999993</v>
      </c>
      <c r="J21" s="100">
        <v>18</v>
      </c>
      <c r="K21" s="100">
        <v>1123.2</v>
      </c>
      <c r="L21" s="100">
        <v>19</v>
      </c>
      <c r="M21" s="100">
        <v>1185.5999999999999</v>
      </c>
      <c r="N21" s="100">
        <v>12</v>
      </c>
      <c r="O21" s="100">
        <v>748.8</v>
      </c>
      <c r="P21" s="100">
        <v>19</v>
      </c>
      <c r="Q21" s="100">
        <v>1185.5999999999999</v>
      </c>
      <c r="R21" s="100">
        <v>12</v>
      </c>
      <c r="S21" s="100">
        <v>748.8</v>
      </c>
      <c r="T21" s="100">
        <v>17</v>
      </c>
      <c r="U21" s="100">
        <v>1060.8</v>
      </c>
      <c r="V21" s="100">
        <v>16</v>
      </c>
      <c r="W21" s="100">
        <v>998.4</v>
      </c>
      <c r="X21" s="100">
        <v>10.316991224977487</v>
      </c>
      <c r="Y21" s="100">
        <v>643.7802524385952</v>
      </c>
      <c r="Z21" s="100">
        <v>15</v>
      </c>
      <c r="AA21" s="100">
        <v>936</v>
      </c>
      <c r="AB21" s="100">
        <v>15.108488887339208</v>
      </c>
      <c r="AC21" s="100">
        <v>942.7697065699665</v>
      </c>
      <c r="AD21" s="100">
        <v>9.6170553214494277</v>
      </c>
      <c r="AE21" s="100">
        <v>600.10425205844422</v>
      </c>
      <c r="AF21" s="100">
        <v>13</v>
      </c>
      <c r="AG21" s="100">
        <v>811.19999999999993</v>
      </c>
      <c r="AH21" s="100">
        <v>15</v>
      </c>
      <c r="AI21" s="100">
        <v>936</v>
      </c>
      <c r="AJ21" s="100">
        <v>6.8217863946811343</v>
      </c>
      <c r="AK21" s="100">
        <v>425.6794710281028</v>
      </c>
      <c r="AL21" s="100">
        <v>17</v>
      </c>
      <c r="AM21" s="100">
        <v>1060.8</v>
      </c>
      <c r="AN21" s="100">
        <v>17</v>
      </c>
      <c r="AO21" s="100">
        <v>1060.8</v>
      </c>
      <c r="AP21" s="100">
        <v>17</v>
      </c>
      <c r="AQ21" s="100">
        <v>1060.8</v>
      </c>
      <c r="AR21" s="100">
        <v>14</v>
      </c>
      <c r="AS21" s="100">
        <v>873.6</v>
      </c>
      <c r="AT21" s="100">
        <v>19</v>
      </c>
      <c r="AU21" s="100">
        <v>1185.5999999999999</v>
      </c>
      <c r="AV21" s="100">
        <v>22.539989840607841</v>
      </c>
      <c r="AW21" s="100">
        <v>1406.4953660539293</v>
      </c>
      <c r="AX21" s="100">
        <v>23</v>
      </c>
      <c r="AY21" s="100">
        <v>1435.2</v>
      </c>
      <c r="AZ21" s="100">
        <v>16</v>
      </c>
      <c r="BA21" s="100">
        <v>998.4</v>
      </c>
      <c r="BB21" s="100">
        <v>19.62244444845674</v>
      </c>
      <c r="BC21" s="100">
        <v>1224.4405335837005</v>
      </c>
      <c r="BD21" s="100">
        <v>14.249949795214452</v>
      </c>
      <c r="BE21" s="100">
        <v>889.19686722138181</v>
      </c>
      <c r="BF21" s="100">
        <v>16.53779097462602</v>
      </c>
      <c r="BG21" s="100">
        <v>1031.9581568166636</v>
      </c>
      <c r="BH21" s="100">
        <v>6.7401879221903656</v>
      </c>
      <c r="BI21" s="100">
        <v>420.5877263446788</v>
      </c>
      <c r="BJ21" s="100">
        <v>24</v>
      </c>
      <c r="BK21" s="100">
        <v>1497.6</v>
      </c>
      <c r="BL21" s="100">
        <v>17</v>
      </c>
      <c r="BM21" s="100">
        <v>1060.8</v>
      </c>
      <c r="BN21" s="100">
        <v>0.64034964358019819</v>
      </c>
      <c r="BO21" s="100">
        <v>39.957817759404364</v>
      </c>
      <c r="BP21" s="100">
        <v>13</v>
      </c>
      <c r="BQ21" s="100">
        <v>811.19999999999993</v>
      </c>
      <c r="BR21" s="100">
        <v>12.899130653870955</v>
      </c>
      <c r="BS21" s="100">
        <v>804.90575280154758</v>
      </c>
      <c r="BT21" s="100">
        <v>21</v>
      </c>
      <c r="BU21" s="100">
        <v>1310.3999999999999</v>
      </c>
      <c r="BV21" s="100">
        <v>11.197370901772139</v>
      </c>
      <c r="BW21" s="100">
        <v>698.71594427058142</v>
      </c>
      <c r="BX21" s="100">
        <v>5.1993957220642724</v>
      </c>
      <c r="BY21" s="100">
        <v>324.44229305681057</v>
      </c>
      <c r="BZ21" s="100">
        <v>13</v>
      </c>
      <c r="CA21" s="100">
        <v>811.19999999999993</v>
      </c>
      <c r="CB21" s="100">
        <v>14</v>
      </c>
      <c r="CC21" s="100">
        <v>873.6</v>
      </c>
      <c r="CD21" s="100">
        <v>16</v>
      </c>
      <c r="CE21" s="100">
        <v>998.4</v>
      </c>
      <c r="CF21" s="100">
        <v>23</v>
      </c>
      <c r="CG21" s="100">
        <v>1435.2</v>
      </c>
      <c r="CH21" s="100">
        <v>21</v>
      </c>
      <c r="CI21" s="100">
        <v>1310.3999999999999</v>
      </c>
      <c r="CJ21" s="100">
        <v>16</v>
      </c>
      <c r="CK21" s="100">
        <v>998.4</v>
      </c>
      <c r="CL21" s="100">
        <v>17</v>
      </c>
      <c r="CM21" s="100">
        <v>1060.8</v>
      </c>
      <c r="CN21" s="100">
        <v>22</v>
      </c>
      <c r="CO21" s="100">
        <v>1372.8</v>
      </c>
      <c r="CP21" s="100">
        <v>1.0845558508855466</v>
      </c>
      <c r="CQ21" s="100">
        <v>67.676285095258109</v>
      </c>
      <c r="CR21" s="100">
        <v>16.146896208845732</v>
      </c>
      <c r="CS21" s="100">
        <v>1007.5663234319736</v>
      </c>
      <c r="CT21" s="100">
        <v>2.7441650484528009E-16</v>
      </c>
      <c r="CU21" s="100">
        <v>1.7123589902345477E-14</v>
      </c>
    </row>
    <row r="22" spans="2:99">
      <c r="C22" s="99" t="s">
        <v>188</v>
      </c>
      <c r="D22" s="100">
        <v>20</v>
      </c>
      <c r="E22" s="100">
        <v>3744</v>
      </c>
      <c r="F22" s="100">
        <v>19</v>
      </c>
      <c r="G22" s="100">
        <v>3556.7999999999997</v>
      </c>
      <c r="H22" s="100">
        <v>12</v>
      </c>
      <c r="I22" s="100">
        <v>2246.3999999999996</v>
      </c>
      <c r="J22" s="100">
        <v>19</v>
      </c>
      <c r="K22" s="100">
        <v>3556.7999999999997</v>
      </c>
      <c r="L22" s="100">
        <v>18</v>
      </c>
      <c r="M22" s="100">
        <v>3369.6</v>
      </c>
      <c r="N22" s="100">
        <v>11</v>
      </c>
      <c r="O22" s="100">
        <v>2059.1999999999998</v>
      </c>
      <c r="P22" s="100">
        <v>20</v>
      </c>
      <c r="Q22" s="100">
        <v>3744</v>
      </c>
      <c r="R22" s="100">
        <v>11</v>
      </c>
      <c r="S22" s="100">
        <v>2059.1999999999998</v>
      </c>
      <c r="T22" s="100">
        <v>15</v>
      </c>
      <c r="U22" s="100">
        <v>2808</v>
      </c>
      <c r="V22" s="100">
        <v>16</v>
      </c>
      <c r="W22" s="100">
        <v>2995.2</v>
      </c>
      <c r="X22" s="100">
        <v>12.036489762473735</v>
      </c>
      <c r="Y22" s="100">
        <v>2253.2308835350832</v>
      </c>
      <c r="Z22" s="100">
        <v>16</v>
      </c>
      <c r="AA22" s="100">
        <v>2995.2</v>
      </c>
      <c r="AB22" s="100">
        <v>15.947849381080275</v>
      </c>
      <c r="AC22" s="100">
        <v>2985.4374041382271</v>
      </c>
      <c r="AD22" s="100">
        <v>9.1108945150573533</v>
      </c>
      <c r="AE22" s="100">
        <v>1705.5594532187365</v>
      </c>
      <c r="AF22" s="100">
        <v>12</v>
      </c>
      <c r="AG22" s="100">
        <v>2246.3999999999996</v>
      </c>
      <c r="AH22" s="100">
        <v>13</v>
      </c>
      <c r="AI22" s="100">
        <v>2433.6</v>
      </c>
      <c r="AJ22" s="100">
        <v>6.2016239951646677</v>
      </c>
      <c r="AK22" s="100">
        <v>1160.9440118948257</v>
      </c>
      <c r="AL22" s="100">
        <v>18</v>
      </c>
      <c r="AM22" s="100">
        <v>3369.6</v>
      </c>
      <c r="AN22" s="100">
        <v>15</v>
      </c>
      <c r="AO22" s="100">
        <v>2808</v>
      </c>
      <c r="AP22" s="100">
        <v>15</v>
      </c>
      <c r="AQ22" s="100">
        <v>2808</v>
      </c>
      <c r="AR22" s="100">
        <v>15</v>
      </c>
      <c r="AS22" s="100">
        <v>2808</v>
      </c>
      <c r="AT22" s="100">
        <v>19</v>
      </c>
      <c r="AU22" s="100">
        <v>3556.7999999999997</v>
      </c>
      <c r="AV22" s="100">
        <v>20.579990724033248</v>
      </c>
      <c r="AW22" s="100">
        <v>3852.5742635390238</v>
      </c>
      <c r="AX22" s="100">
        <v>22</v>
      </c>
      <c r="AY22" s="100">
        <v>4118.3999999999996</v>
      </c>
      <c r="AZ22" s="100">
        <v>15</v>
      </c>
      <c r="BA22" s="100">
        <v>2808</v>
      </c>
      <c r="BB22" s="100">
        <v>20.603566670879573</v>
      </c>
      <c r="BC22" s="100">
        <v>3856.9876807886558</v>
      </c>
      <c r="BD22" s="100">
        <v>13.411717454319483</v>
      </c>
      <c r="BE22" s="100">
        <v>2510.6735074486069</v>
      </c>
      <c r="BF22" s="100">
        <v>15.71090142589472</v>
      </c>
      <c r="BG22" s="100">
        <v>2941.0807469274914</v>
      </c>
      <c r="BH22" s="100">
        <v>7.0611492518184793</v>
      </c>
      <c r="BI22" s="100">
        <v>1321.8471399404193</v>
      </c>
      <c r="BJ22" s="100">
        <v>21</v>
      </c>
      <c r="BK22" s="100">
        <v>3931.2</v>
      </c>
      <c r="BL22" s="100">
        <v>15</v>
      </c>
      <c r="BM22" s="100">
        <v>2808</v>
      </c>
      <c r="BN22" s="100">
        <v>0.67592462377909812</v>
      </c>
      <c r="BO22" s="100">
        <v>126.53308957144716</v>
      </c>
      <c r="BP22" s="100">
        <v>12</v>
      </c>
      <c r="BQ22" s="100">
        <v>2246.3999999999996</v>
      </c>
      <c r="BR22" s="100">
        <v>13.89137147339949</v>
      </c>
      <c r="BS22" s="100">
        <v>2600.4647398203842</v>
      </c>
      <c r="BT22" s="100">
        <v>20</v>
      </c>
      <c r="BU22" s="100">
        <v>3744</v>
      </c>
      <c r="BV22" s="100">
        <v>11.197370901772139</v>
      </c>
      <c r="BW22" s="100">
        <v>2096.1478328117441</v>
      </c>
      <c r="BX22" s="100">
        <v>5.1993957220642724</v>
      </c>
      <c r="BY22" s="100">
        <v>973.32687917043177</v>
      </c>
      <c r="BZ22" s="100">
        <v>14</v>
      </c>
      <c r="CA22" s="100">
        <v>2620.7999999999997</v>
      </c>
      <c r="CB22" s="100">
        <v>13</v>
      </c>
      <c r="CC22" s="100">
        <v>2433.6</v>
      </c>
      <c r="CD22" s="100">
        <v>16</v>
      </c>
      <c r="CE22" s="100">
        <v>2995.2</v>
      </c>
      <c r="CF22" s="100">
        <v>21</v>
      </c>
      <c r="CG22" s="100">
        <v>3931.2</v>
      </c>
      <c r="CH22" s="100">
        <v>22</v>
      </c>
      <c r="CI22" s="100">
        <v>4118.3999999999996</v>
      </c>
      <c r="CJ22" s="100">
        <v>17</v>
      </c>
      <c r="CK22" s="100">
        <v>3182.3999999999996</v>
      </c>
      <c r="CL22" s="100">
        <v>18</v>
      </c>
      <c r="CM22" s="100">
        <v>3369.6</v>
      </c>
      <c r="CN22" s="100">
        <v>19</v>
      </c>
      <c r="CO22" s="100">
        <v>3556.7999999999997</v>
      </c>
      <c r="CP22" s="100">
        <v>0.94898636952485327</v>
      </c>
      <c r="CQ22" s="100">
        <v>177.65024837505251</v>
      </c>
      <c r="CR22" s="100">
        <v>17.614795864195344</v>
      </c>
      <c r="CS22" s="100">
        <v>3297.4897857773681</v>
      </c>
      <c r="CT22" s="100">
        <v>3.1361886268032006E-16</v>
      </c>
      <c r="CU22" s="100">
        <v>5.8709451093755918E-14</v>
      </c>
    </row>
    <row r="23" spans="2:99">
      <c r="C23" s="99" t="s">
        <v>189</v>
      </c>
      <c r="D23" s="100">
        <v>18</v>
      </c>
      <c r="E23" s="100">
        <v>5292</v>
      </c>
      <c r="F23" s="100">
        <v>15</v>
      </c>
      <c r="G23" s="100">
        <v>4410</v>
      </c>
      <c r="H23" s="100">
        <v>13</v>
      </c>
      <c r="I23" s="100">
        <v>3822</v>
      </c>
      <c r="J23" s="100">
        <v>18</v>
      </c>
      <c r="K23" s="100">
        <v>5292</v>
      </c>
      <c r="L23" s="100">
        <v>19</v>
      </c>
      <c r="M23" s="100">
        <v>5586</v>
      </c>
      <c r="N23" s="100">
        <v>11</v>
      </c>
      <c r="O23" s="100">
        <v>3234</v>
      </c>
      <c r="P23" s="100">
        <v>18</v>
      </c>
      <c r="Q23" s="100">
        <v>5292</v>
      </c>
      <c r="R23" s="100">
        <v>11</v>
      </c>
      <c r="S23" s="100">
        <v>3234</v>
      </c>
      <c r="T23" s="100">
        <v>17</v>
      </c>
      <c r="U23" s="100">
        <v>4998</v>
      </c>
      <c r="V23" s="100">
        <v>15</v>
      </c>
      <c r="W23" s="100">
        <v>4410</v>
      </c>
      <c r="X23" s="100">
        <v>11.17674049372561</v>
      </c>
      <c r="Y23" s="100">
        <v>3285.9617051553296</v>
      </c>
      <c r="Z23" s="100">
        <v>17</v>
      </c>
      <c r="AA23" s="100">
        <v>4998</v>
      </c>
      <c r="AB23" s="100">
        <v>15.108488887339208</v>
      </c>
      <c r="AC23" s="100">
        <v>4441.8957328777269</v>
      </c>
      <c r="AD23" s="100">
        <v>10.123216127841504</v>
      </c>
      <c r="AE23" s="100">
        <v>2976.225541585402</v>
      </c>
      <c r="AF23" s="100">
        <v>14</v>
      </c>
      <c r="AG23" s="100">
        <v>4116</v>
      </c>
      <c r="AH23" s="100">
        <v>14</v>
      </c>
      <c r="AI23" s="100">
        <v>4116</v>
      </c>
      <c r="AJ23" s="100">
        <v>6.2016239951646677</v>
      </c>
      <c r="AK23" s="100">
        <v>1823.2774545784123</v>
      </c>
      <c r="AL23" s="100">
        <v>16</v>
      </c>
      <c r="AM23" s="100">
        <v>4704</v>
      </c>
      <c r="AN23" s="100">
        <v>16</v>
      </c>
      <c r="AO23" s="100">
        <v>4704</v>
      </c>
      <c r="AP23" s="100">
        <v>16</v>
      </c>
      <c r="AQ23" s="100">
        <v>4704</v>
      </c>
      <c r="AR23" s="100">
        <v>15</v>
      </c>
      <c r="AS23" s="100">
        <v>4410</v>
      </c>
      <c r="AT23" s="100">
        <v>20</v>
      </c>
      <c r="AU23" s="100">
        <v>5880</v>
      </c>
      <c r="AV23" s="100">
        <v>21.559990282320545</v>
      </c>
      <c r="AW23" s="100">
        <v>6338.63714300224</v>
      </c>
      <c r="AX23" s="100">
        <v>19</v>
      </c>
      <c r="AY23" s="100">
        <v>5586</v>
      </c>
      <c r="AZ23" s="100">
        <v>17</v>
      </c>
      <c r="BA23" s="100">
        <v>4998</v>
      </c>
      <c r="BB23" s="100">
        <v>20.603566670879573</v>
      </c>
      <c r="BC23" s="100">
        <v>6057.4486012385942</v>
      </c>
      <c r="BD23" s="100">
        <v>14.249949795214452</v>
      </c>
      <c r="BE23" s="100">
        <v>4189.485239793049</v>
      </c>
      <c r="BF23" s="100">
        <v>16.53779097462602</v>
      </c>
      <c r="BG23" s="100">
        <v>4862.1105465400497</v>
      </c>
      <c r="BH23" s="100">
        <v>6.0982652629341407</v>
      </c>
      <c r="BI23" s="100">
        <v>1792.8899873026373</v>
      </c>
      <c r="BJ23" s="100">
        <v>24</v>
      </c>
      <c r="BK23" s="100">
        <v>7056</v>
      </c>
      <c r="BL23" s="100">
        <v>14</v>
      </c>
      <c r="BM23" s="100">
        <v>4116</v>
      </c>
      <c r="BN23" s="100">
        <v>0.67592462377909812</v>
      </c>
      <c r="BO23" s="100">
        <v>198.72183939105486</v>
      </c>
      <c r="BP23" s="100">
        <v>13</v>
      </c>
      <c r="BQ23" s="100">
        <v>3822</v>
      </c>
      <c r="BR23" s="100">
        <v>14.883612292928024</v>
      </c>
      <c r="BS23" s="100">
        <v>4375.7820141208394</v>
      </c>
      <c r="BT23" s="100">
        <v>18</v>
      </c>
      <c r="BU23" s="100">
        <v>5292</v>
      </c>
      <c r="BV23" s="100">
        <v>10.608035591152552</v>
      </c>
      <c r="BW23" s="100">
        <v>3118.7624637988501</v>
      </c>
      <c r="BX23" s="100">
        <v>5.8110893364247742</v>
      </c>
      <c r="BY23" s="100">
        <v>1708.4602649088836</v>
      </c>
      <c r="BZ23" s="100">
        <v>13</v>
      </c>
      <c r="CA23" s="100">
        <v>3822</v>
      </c>
      <c r="CB23" s="100">
        <v>13</v>
      </c>
      <c r="CC23" s="100">
        <v>3822</v>
      </c>
      <c r="CD23" s="100">
        <v>17</v>
      </c>
      <c r="CE23" s="100">
        <v>4998</v>
      </c>
      <c r="CF23" s="100">
        <v>24</v>
      </c>
      <c r="CG23" s="100">
        <v>7056</v>
      </c>
      <c r="CH23" s="100">
        <v>22</v>
      </c>
      <c r="CI23" s="100">
        <v>6468</v>
      </c>
      <c r="CJ23" s="100">
        <v>14</v>
      </c>
      <c r="CK23" s="100">
        <v>4116</v>
      </c>
      <c r="CL23" s="100">
        <v>17</v>
      </c>
      <c r="CM23" s="100">
        <v>4998</v>
      </c>
      <c r="CN23" s="100">
        <v>21</v>
      </c>
      <c r="CO23" s="100">
        <v>6174</v>
      </c>
      <c r="CP23" s="100">
        <v>0.99417619664508428</v>
      </c>
      <c r="CQ23" s="100">
        <v>292.28780181365477</v>
      </c>
      <c r="CR23" s="100">
        <v>16.880846036520538</v>
      </c>
      <c r="CS23" s="100">
        <v>4962.9687347370382</v>
      </c>
      <c r="CT23" s="100">
        <v>2.9401768376280007E-16</v>
      </c>
      <c r="CU23" s="100">
        <v>8.6441199026263225E-14</v>
      </c>
    </row>
    <row r="24" spans="2:99">
      <c r="C24" s="99" t="s">
        <v>190</v>
      </c>
      <c r="D24" s="100">
        <v>19</v>
      </c>
      <c r="E24" s="100">
        <v>6976.8</v>
      </c>
      <c r="F24" s="100">
        <v>17</v>
      </c>
      <c r="G24" s="100">
        <v>6242.4</v>
      </c>
      <c r="H24" s="100">
        <v>13</v>
      </c>
      <c r="I24" s="100">
        <v>4773.5999999999995</v>
      </c>
      <c r="J24" s="100">
        <v>19</v>
      </c>
      <c r="K24" s="100">
        <v>6976.8</v>
      </c>
      <c r="L24" s="100">
        <v>21</v>
      </c>
      <c r="M24" s="100">
        <v>7711.2</v>
      </c>
      <c r="N24" s="100">
        <v>11</v>
      </c>
      <c r="O24" s="100">
        <v>4039.2</v>
      </c>
      <c r="P24" s="100">
        <v>18</v>
      </c>
      <c r="Q24" s="100">
        <v>6609.5999999999995</v>
      </c>
      <c r="R24" s="100">
        <v>10</v>
      </c>
      <c r="S24" s="100">
        <v>3672</v>
      </c>
      <c r="T24" s="100">
        <v>16</v>
      </c>
      <c r="U24" s="100">
        <v>5875.2</v>
      </c>
      <c r="V24" s="100">
        <v>16</v>
      </c>
      <c r="W24" s="100">
        <v>5875.2</v>
      </c>
      <c r="X24" s="100">
        <v>10.316991224977487</v>
      </c>
      <c r="Y24" s="100">
        <v>3788.3991778117334</v>
      </c>
      <c r="Z24" s="100">
        <v>16</v>
      </c>
      <c r="AA24" s="100">
        <v>5875.2</v>
      </c>
      <c r="AB24" s="100">
        <v>15.947849381080275</v>
      </c>
      <c r="AC24" s="100">
        <v>5856.050292732677</v>
      </c>
      <c r="AD24" s="100">
        <v>9.1108945150573533</v>
      </c>
      <c r="AE24" s="100">
        <v>3345.5204659290598</v>
      </c>
      <c r="AF24" s="100">
        <v>13</v>
      </c>
      <c r="AG24" s="100">
        <v>4773.5999999999995</v>
      </c>
      <c r="AH24" s="100">
        <v>14</v>
      </c>
      <c r="AI24" s="100">
        <v>5140.8</v>
      </c>
      <c r="AJ24" s="100">
        <v>6.8217863946811343</v>
      </c>
      <c r="AK24" s="100">
        <v>2504.9599641269124</v>
      </c>
      <c r="AL24" s="100">
        <v>19</v>
      </c>
      <c r="AM24" s="100">
        <v>6976.8</v>
      </c>
      <c r="AN24" s="100">
        <v>15</v>
      </c>
      <c r="AO24" s="100">
        <v>5508</v>
      </c>
      <c r="AP24" s="100">
        <v>15</v>
      </c>
      <c r="AQ24" s="100">
        <v>5508</v>
      </c>
      <c r="AR24" s="100">
        <v>16</v>
      </c>
      <c r="AS24" s="100">
        <v>5875.2</v>
      </c>
      <c r="AT24" s="100">
        <v>19</v>
      </c>
      <c r="AU24" s="100">
        <v>6976.8</v>
      </c>
      <c r="AV24" s="100">
        <v>21.559990282320545</v>
      </c>
      <c r="AW24" s="100">
        <v>7916.8284316681038</v>
      </c>
      <c r="AX24" s="100">
        <v>21</v>
      </c>
      <c r="AY24" s="100">
        <v>7711.2</v>
      </c>
      <c r="AZ24" s="100">
        <v>16</v>
      </c>
      <c r="BA24" s="100">
        <v>5875.2</v>
      </c>
      <c r="BB24" s="100">
        <v>18.641322226033903</v>
      </c>
      <c r="BC24" s="100">
        <v>6845.093521399649</v>
      </c>
      <c r="BD24" s="100">
        <v>12.573485113424516</v>
      </c>
      <c r="BE24" s="100">
        <v>4616.983733649482</v>
      </c>
      <c r="BF24" s="100">
        <v>16.53779097462602</v>
      </c>
      <c r="BG24" s="100">
        <v>6072.6768458826746</v>
      </c>
      <c r="BH24" s="100">
        <v>6.4192265925622536</v>
      </c>
      <c r="BI24" s="100">
        <v>2357.1400047888596</v>
      </c>
      <c r="BJ24" s="100">
        <v>23</v>
      </c>
      <c r="BK24" s="100">
        <v>8445.6</v>
      </c>
      <c r="BL24" s="100">
        <v>15</v>
      </c>
      <c r="BM24" s="100">
        <v>5508</v>
      </c>
      <c r="BN24" s="100">
        <v>0.64034964358019819</v>
      </c>
      <c r="BO24" s="100">
        <v>235.13638912264878</v>
      </c>
      <c r="BP24" s="100">
        <v>12</v>
      </c>
      <c r="BQ24" s="100">
        <v>4406.3999999999996</v>
      </c>
      <c r="BR24" s="100">
        <v>12.899130653870955</v>
      </c>
      <c r="BS24" s="100">
        <v>4736.5607761014144</v>
      </c>
      <c r="BT24" s="100">
        <v>17</v>
      </c>
      <c r="BU24" s="100">
        <v>6242.4</v>
      </c>
      <c r="BV24" s="100">
        <v>11.786706212391724</v>
      </c>
      <c r="BW24" s="100">
        <v>4328.0785211902412</v>
      </c>
      <c r="BX24" s="100">
        <v>5.1993957220642724</v>
      </c>
      <c r="BY24" s="100">
        <v>1909.2181091420007</v>
      </c>
      <c r="BZ24" s="100">
        <v>15</v>
      </c>
      <c r="CA24" s="100">
        <v>5508</v>
      </c>
      <c r="CB24" s="100">
        <v>11</v>
      </c>
      <c r="CC24" s="100">
        <v>4039.2</v>
      </c>
      <c r="CD24" s="100">
        <v>16</v>
      </c>
      <c r="CE24" s="100">
        <v>5875.2</v>
      </c>
      <c r="CF24" s="100">
        <v>21</v>
      </c>
      <c r="CG24" s="100">
        <v>7711.2</v>
      </c>
      <c r="CH24" s="100">
        <v>20</v>
      </c>
      <c r="CI24" s="100">
        <v>7344</v>
      </c>
      <c r="CJ24" s="100">
        <v>15</v>
      </c>
      <c r="CK24" s="100">
        <v>5508</v>
      </c>
      <c r="CL24" s="100">
        <v>17</v>
      </c>
      <c r="CM24" s="100">
        <v>6242.4</v>
      </c>
      <c r="CN24" s="100">
        <v>21</v>
      </c>
      <c r="CO24" s="100">
        <v>7711.2</v>
      </c>
      <c r="CP24" s="100">
        <v>0.99417619664508428</v>
      </c>
      <c r="CQ24" s="100">
        <v>365.06149940807495</v>
      </c>
      <c r="CR24" s="100">
        <v>15.412946381170924</v>
      </c>
      <c r="CS24" s="100">
        <v>5659.6339111659627</v>
      </c>
      <c r="CT24" s="100">
        <v>2.7441650484528009E-16</v>
      </c>
      <c r="CU24" s="100">
        <v>1.0076574057918684E-13</v>
      </c>
    </row>
    <row r="25" spans="2:99">
      <c r="C25" s="99" t="s">
        <v>191</v>
      </c>
      <c r="D25" s="100">
        <v>21</v>
      </c>
      <c r="E25" s="100">
        <v>11138.4</v>
      </c>
      <c r="F25" s="100">
        <v>16</v>
      </c>
      <c r="G25" s="100">
        <v>8486.4</v>
      </c>
      <c r="H25" s="100">
        <v>14</v>
      </c>
      <c r="I25" s="100">
        <v>7425.5999999999995</v>
      </c>
      <c r="J25" s="100">
        <v>18</v>
      </c>
      <c r="K25" s="100">
        <v>9547.1999999999989</v>
      </c>
      <c r="L25" s="100">
        <v>18</v>
      </c>
      <c r="M25" s="100">
        <v>9547.1999999999989</v>
      </c>
      <c r="N25" s="100">
        <v>10</v>
      </c>
      <c r="O25" s="100">
        <v>5304</v>
      </c>
      <c r="P25" s="100">
        <v>19</v>
      </c>
      <c r="Q25" s="100">
        <v>10077.6</v>
      </c>
      <c r="R25" s="100">
        <v>10</v>
      </c>
      <c r="S25" s="100">
        <v>5304</v>
      </c>
      <c r="T25" s="100">
        <v>16</v>
      </c>
      <c r="U25" s="100">
        <v>8486.4</v>
      </c>
      <c r="V25" s="100">
        <v>18</v>
      </c>
      <c r="W25" s="100">
        <v>9547.1999999999989</v>
      </c>
      <c r="X25" s="100">
        <v>10.316991224977487</v>
      </c>
      <c r="Y25" s="100">
        <v>5472.1321457280592</v>
      </c>
      <c r="Z25" s="100">
        <v>15</v>
      </c>
      <c r="AA25" s="100">
        <v>7956</v>
      </c>
      <c r="AB25" s="100">
        <v>16.78720987482134</v>
      </c>
      <c r="AC25" s="100">
        <v>8903.9361176052389</v>
      </c>
      <c r="AD25" s="100">
        <v>10.123216127841504</v>
      </c>
      <c r="AE25" s="100">
        <v>5369.3538342071333</v>
      </c>
      <c r="AF25" s="100">
        <v>14</v>
      </c>
      <c r="AG25" s="100">
        <v>7425.5999999999995</v>
      </c>
      <c r="AH25" s="100">
        <v>14</v>
      </c>
      <c r="AI25" s="100">
        <v>7425.5999999999995</v>
      </c>
      <c r="AJ25" s="100">
        <v>6.511705194922901</v>
      </c>
      <c r="AK25" s="100">
        <v>3453.8084353871063</v>
      </c>
      <c r="AL25" s="100">
        <v>18</v>
      </c>
      <c r="AM25" s="100">
        <v>9547.1999999999989</v>
      </c>
      <c r="AN25" s="100">
        <v>16</v>
      </c>
      <c r="AO25" s="100">
        <v>8486.4</v>
      </c>
      <c r="AP25" s="100">
        <v>15</v>
      </c>
      <c r="AQ25" s="100">
        <v>7956</v>
      </c>
      <c r="AR25" s="100">
        <v>14</v>
      </c>
      <c r="AS25" s="100">
        <v>7425.5999999999995</v>
      </c>
      <c r="AT25" s="100">
        <v>19</v>
      </c>
      <c r="AU25" s="100">
        <v>10077.6</v>
      </c>
      <c r="AV25" s="100">
        <v>20.579990724033248</v>
      </c>
      <c r="AW25" s="100">
        <v>10915.627080027234</v>
      </c>
      <c r="AX25" s="100">
        <v>19</v>
      </c>
      <c r="AY25" s="100">
        <v>10077.6</v>
      </c>
      <c r="AZ25" s="100">
        <v>16</v>
      </c>
      <c r="BA25" s="100">
        <v>8486.4</v>
      </c>
      <c r="BB25" s="100">
        <v>19.62244444845674</v>
      </c>
      <c r="BC25" s="100">
        <v>10407.744535461454</v>
      </c>
      <c r="BD25" s="100">
        <v>14.249949795214452</v>
      </c>
      <c r="BE25" s="100">
        <v>7558.1733713817448</v>
      </c>
      <c r="BF25" s="100">
        <v>14.884011877163418</v>
      </c>
      <c r="BG25" s="100">
        <v>7894.4798996474765</v>
      </c>
      <c r="BH25" s="100">
        <v>6.0982652629341407</v>
      </c>
      <c r="BI25" s="100">
        <v>3234.5198954602679</v>
      </c>
      <c r="BJ25" s="100">
        <v>24</v>
      </c>
      <c r="BK25" s="100">
        <v>12729.599999999999</v>
      </c>
      <c r="BL25" s="100">
        <v>15</v>
      </c>
      <c r="BM25" s="100">
        <v>7956</v>
      </c>
      <c r="BN25" s="100">
        <v>0.64034964358019819</v>
      </c>
      <c r="BO25" s="100">
        <v>339.64145095493711</v>
      </c>
      <c r="BP25" s="100">
        <v>12</v>
      </c>
      <c r="BQ25" s="100">
        <v>6364.7999999999993</v>
      </c>
      <c r="BR25" s="100">
        <v>14.883612292928024</v>
      </c>
      <c r="BS25" s="100">
        <v>7894.2679601690234</v>
      </c>
      <c r="BT25" s="100">
        <v>19</v>
      </c>
      <c r="BU25" s="100">
        <v>10077.6</v>
      </c>
      <c r="BV25" s="100">
        <v>11.786706212391724</v>
      </c>
      <c r="BW25" s="100">
        <v>6251.6689750525702</v>
      </c>
      <c r="BX25" s="100">
        <v>5.8110893364247742</v>
      </c>
      <c r="BY25" s="100">
        <v>3082.2017840397002</v>
      </c>
      <c r="BZ25" s="100">
        <v>14</v>
      </c>
      <c r="CA25" s="100">
        <v>7425.5999999999995</v>
      </c>
      <c r="CB25" s="100">
        <v>13</v>
      </c>
      <c r="CC25" s="100">
        <v>6895.2</v>
      </c>
      <c r="CD25" s="100">
        <v>15</v>
      </c>
      <c r="CE25" s="100">
        <v>7956</v>
      </c>
      <c r="CF25" s="100">
        <v>22</v>
      </c>
      <c r="CG25" s="100">
        <v>11668.8</v>
      </c>
      <c r="CH25" s="100">
        <v>22</v>
      </c>
      <c r="CI25" s="100">
        <v>11668.8</v>
      </c>
      <c r="CJ25" s="100">
        <v>14</v>
      </c>
      <c r="CK25" s="100">
        <v>7425.5999999999995</v>
      </c>
      <c r="CL25" s="100">
        <v>17</v>
      </c>
      <c r="CM25" s="100">
        <v>9016.7999999999993</v>
      </c>
      <c r="CN25" s="100">
        <v>21</v>
      </c>
      <c r="CO25" s="100">
        <v>11138.4</v>
      </c>
      <c r="CP25" s="100">
        <v>0.94898636952485327</v>
      </c>
      <c r="CQ25" s="100">
        <v>503.34237039598213</v>
      </c>
      <c r="CR25" s="100">
        <v>16.880846036520538</v>
      </c>
      <c r="CS25" s="100">
        <v>8953.6007377704937</v>
      </c>
      <c r="CT25" s="100">
        <v>2.7441650484528009E-16</v>
      </c>
      <c r="CU25" s="100">
        <v>1.4555051416993656E-13</v>
      </c>
    </row>
    <row r="26" spans="2:99">
      <c r="C26" s="99" t="s">
        <v>192</v>
      </c>
      <c r="D26" s="100">
        <v>21</v>
      </c>
      <c r="E26" s="100">
        <v>10206</v>
      </c>
      <c r="F26" s="100">
        <v>18</v>
      </c>
      <c r="G26" s="100">
        <v>8748</v>
      </c>
      <c r="H26" s="100">
        <v>14</v>
      </c>
      <c r="I26" s="100">
        <v>6804</v>
      </c>
      <c r="J26" s="100">
        <v>19</v>
      </c>
      <c r="K26" s="100">
        <v>9234</v>
      </c>
      <c r="L26" s="100">
        <v>17</v>
      </c>
      <c r="M26" s="100">
        <v>8262</v>
      </c>
      <c r="N26" s="100">
        <v>10</v>
      </c>
      <c r="O26" s="100">
        <v>4860</v>
      </c>
      <c r="P26" s="100">
        <v>18</v>
      </c>
      <c r="Q26" s="100">
        <v>8748</v>
      </c>
      <c r="R26" s="100">
        <v>10</v>
      </c>
      <c r="S26" s="100">
        <v>4860</v>
      </c>
      <c r="T26" s="100">
        <v>17</v>
      </c>
      <c r="U26" s="100">
        <v>8262</v>
      </c>
      <c r="V26" s="100">
        <v>17</v>
      </c>
      <c r="W26" s="100">
        <v>8262</v>
      </c>
      <c r="X26" s="100">
        <v>11.17674049372561</v>
      </c>
      <c r="Y26" s="100">
        <v>5431.8958799506463</v>
      </c>
      <c r="Z26" s="100">
        <v>16</v>
      </c>
      <c r="AA26" s="100">
        <v>7776</v>
      </c>
      <c r="AB26" s="100">
        <v>15.108488887339208</v>
      </c>
      <c r="AC26" s="100">
        <v>7342.7255992468554</v>
      </c>
      <c r="AD26" s="100">
        <v>10.123216127841504</v>
      </c>
      <c r="AE26" s="100">
        <v>4919.8830381309708</v>
      </c>
      <c r="AF26" s="100">
        <v>13</v>
      </c>
      <c r="AG26" s="100">
        <v>6318</v>
      </c>
      <c r="AH26" s="100">
        <v>13</v>
      </c>
      <c r="AI26" s="100">
        <v>6318</v>
      </c>
      <c r="AJ26" s="100">
        <v>5.8915427954064343</v>
      </c>
      <c r="AK26" s="100">
        <v>2863.2897985675272</v>
      </c>
      <c r="AL26" s="100">
        <v>18</v>
      </c>
      <c r="AM26" s="100">
        <v>8748</v>
      </c>
      <c r="AN26" s="100">
        <v>16</v>
      </c>
      <c r="AO26" s="100">
        <v>7776</v>
      </c>
      <c r="AP26" s="100">
        <v>15</v>
      </c>
      <c r="AQ26" s="100">
        <v>7290</v>
      </c>
      <c r="AR26" s="100">
        <v>14</v>
      </c>
      <c r="AS26" s="100">
        <v>6804</v>
      </c>
      <c r="AT26" s="100">
        <v>20</v>
      </c>
      <c r="AU26" s="100">
        <v>9720</v>
      </c>
      <c r="AV26" s="100">
        <v>21.559990282320545</v>
      </c>
      <c r="AW26" s="100">
        <v>10478.155277207785</v>
      </c>
      <c r="AX26" s="100">
        <v>22</v>
      </c>
      <c r="AY26" s="100">
        <v>10692</v>
      </c>
      <c r="AZ26" s="100">
        <v>16</v>
      </c>
      <c r="BA26" s="100">
        <v>7776</v>
      </c>
      <c r="BB26" s="100">
        <v>19.62244444845674</v>
      </c>
      <c r="BC26" s="100">
        <v>9536.5080019499765</v>
      </c>
      <c r="BD26" s="100">
        <v>15.088182136109419</v>
      </c>
      <c r="BE26" s="100">
        <v>7332.8565181491776</v>
      </c>
      <c r="BF26" s="100">
        <v>14.884011877163418</v>
      </c>
      <c r="BG26" s="100">
        <v>7233.6297723014213</v>
      </c>
      <c r="BH26" s="100">
        <v>6.4192265925622536</v>
      </c>
      <c r="BI26" s="100">
        <v>3119.7441239852551</v>
      </c>
      <c r="BJ26" s="100">
        <v>24</v>
      </c>
      <c r="BK26" s="100">
        <v>11664</v>
      </c>
      <c r="BL26" s="100">
        <v>16</v>
      </c>
      <c r="BM26" s="100">
        <v>7776</v>
      </c>
      <c r="BN26" s="100">
        <v>0.64034964358019819</v>
      </c>
      <c r="BO26" s="100">
        <v>311.20992677997634</v>
      </c>
      <c r="BP26" s="100">
        <v>13</v>
      </c>
      <c r="BQ26" s="100">
        <v>6318</v>
      </c>
      <c r="BR26" s="100">
        <v>12.899130653870955</v>
      </c>
      <c r="BS26" s="100">
        <v>6268.977497781284</v>
      </c>
      <c r="BT26" s="100">
        <v>20</v>
      </c>
      <c r="BU26" s="100">
        <v>9720</v>
      </c>
      <c r="BV26" s="100">
        <v>12.376041523011311</v>
      </c>
      <c r="BW26" s="100">
        <v>6014.7561801834972</v>
      </c>
      <c r="BX26" s="100">
        <v>5.1993957220642724</v>
      </c>
      <c r="BY26" s="100">
        <v>2526.9063209232363</v>
      </c>
      <c r="BZ26" s="100">
        <v>13</v>
      </c>
      <c r="CA26" s="100">
        <v>6318</v>
      </c>
      <c r="CB26" s="100">
        <v>12</v>
      </c>
      <c r="CC26" s="100">
        <v>5832</v>
      </c>
      <c r="CD26" s="100">
        <v>17</v>
      </c>
      <c r="CE26" s="100">
        <v>8262</v>
      </c>
      <c r="CF26" s="100">
        <v>21</v>
      </c>
      <c r="CG26" s="100">
        <v>10206</v>
      </c>
      <c r="CH26" s="100">
        <v>21</v>
      </c>
      <c r="CI26" s="100">
        <v>10206</v>
      </c>
      <c r="CJ26" s="100">
        <v>16</v>
      </c>
      <c r="CK26" s="100">
        <v>7776</v>
      </c>
      <c r="CL26" s="100">
        <v>19</v>
      </c>
      <c r="CM26" s="100">
        <v>9234</v>
      </c>
      <c r="CN26" s="100">
        <v>19</v>
      </c>
      <c r="CO26" s="100">
        <v>9234</v>
      </c>
      <c r="CP26" s="100">
        <v>1.1297456780057775</v>
      </c>
      <c r="CQ26" s="100">
        <v>549.05639951080786</v>
      </c>
      <c r="CR26" s="100">
        <v>16.880846036520538</v>
      </c>
      <c r="CS26" s="100">
        <v>8204.0911737489805</v>
      </c>
      <c r="CT26" s="100">
        <v>2.5481532592776005E-16</v>
      </c>
      <c r="CU26" s="100">
        <v>1.2384024840089137E-13</v>
      </c>
    </row>
    <row r="27" spans="2:99">
      <c r="C27" s="99" t="s">
        <v>193</v>
      </c>
      <c r="D27" s="100">
        <v>21</v>
      </c>
      <c r="E27" s="100">
        <v>8971.1999999999989</v>
      </c>
      <c r="F27" s="100">
        <v>17</v>
      </c>
      <c r="G27" s="100">
        <v>7262.4</v>
      </c>
      <c r="H27" s="100">
        <v>14</v>
      </c>
      <c r="I27" s="100">
        <v>5980.8</v>
      </c>
      <c r="J27" s="100">
        <v>18</v>
      </c>
      <c r="K27" s="100">
        <v>7689.5999999999995</v>
      </c>
      <c r="L27" s="100">
        <v>20</v>
      </c>
      <c r="M27" s="100">
        <v>8544</v>
      </c>
      <c r="N27" s="100">
        <v>12</v>
      </c>
      <c r="O27" s="100">
        <v>5126.3999999999996</v>
      </c>
      <c r="P27" s="100">
        <v>17</v>
      </c>
      <c r="Q27" s="100">
        <v>7262.4</v>
      </c>
      <c r="R27" s="100">
        <v>10</v>
      </c>
      <c r="S27" s="100">
        <v>4272</v>
      </c>
      <c r="T27" s="100">
        <v>15</v>
      </c>
      <c r="U27" s="100">
        <v>6408</v>
      </c>
      <c r="V27" s="100">
        <v>15</v>
      </c>
      <c r="W27" s="100">
        <v>6408</v>
      </c>
      <c r="X27" s="100">
        <v>11.17674049372561</v>
      </c>
      <c r="Y27" s="100">
        <v>4774.7035389195808</v>
      </c>
      <c r="Z27" s="100">
        <v>15</v>
      </c>
      <c r="AA27" s="100">
        <v>6408</v>
      </c>
      <c r="AB27" s="100">
        <v>18.465930862303477</v>
      </c>
      <c r="AC27" s="100">
        <v>7888.6456643760448</v>
      </c>
      <c r="AD27" s="100">
        <v>9.6170553214494277</v>
      </c>
      <c r="AE27" s="100">
        <v>4108.4060333231955</v>
      </c>
      <c r="AF27" s="100">
        <v>12</v>
      </c>
      <c r="AG27" s="100">
        <v>5126.3999999999996</v>
      </c>
      <c r="AH27" s="100">
        <v>14</v>
      </c>
      <c r="AI27" s="100">
        <v>5980.8</v>
      </c>
      <c r="AJ27" s="100">
        <v>5.8915427954064343</v>
      </c>
      <c r="AK27" s="100">
        <v>2516.8670821976289</v>
      </c>
      <c r="AL27" s="100">
        <v>19</v>
      </c>
      <c r="AM27" s="100">
        <v>8116.8</v>
      </c>
      <c r="AN27" s="100">
        <v>16</v>
      </c>
      <c r="AO27" s="100">
        <v>6835.2</v>
      </c>
      <c r="AP27" s="100">
        <v>16</v>
      </c>
      <c r="AQ27" s="100">
        <v>6835.2</v>
      </c>
      <c r="AR27" s="100">
        <v>16</v>
      </c>
      <c r="AS27" s="100">
        <v>6835.2</v>
      </c>
      <c r="AT27" s="100">
        <v>18</v>
      </c>
      <c r="AU27" s="100">
        <v>7689.5999999999995</v>
      </c>
      <c r="AV27" s="100">
        <v>22.539989840607841</v>
      </c>
      <c r="AW27" s="100">
        <v>9629.0836599076702</v>
      </c>
      <c r="AX27" s="100">
        <v>21</v>
      </c>
      <c r="AY27" s="100">
        <v>8971.1999999999989</v>
      </c>
      <c r="AZ27" s="100">
        <v>16</v>
      </c>
      <c r="BA27" s="100">
        <v>6835.2</v>
      </c>
      <c r="BB27" s="100">
        <v>21.58468889330241</v>
      </c>
      <c r="BC27" s="100">
        <v>9220.9790952187886</v>
      </c>
      <c r="BD27" s="100">
        <v>14.249949795214452</v>
      </c>
      <c r="BE27" s="100">
        <v>6087.5785525156134</v>
      </c>
      <c r="BF27" s="100">
        <v>15.71090142589472</v>
      </c>
      <c r="BG27" s="100">
        <v>6711.6970891422243</v>
      </c>
      <c r="BH27" s="100">
        <v>6.7401879221903656</v>
      </c>
      <c r="BI27" s="100">
        <v>2879.4082803597239</v>
      </c>
      <c r="BJ27" s="100">
        <v>22</v>
      </c>
      <c r="BK27" s="100">
        <v>9398.4</v>
      </c>
      <c r="BL27" s="100">
        <v>17</v>
      </c>
      <c r="BM27" s="100">
        <v>7262.4</v>
      </c>
      <c r="BN27" s="100">
        <v>0.71149960397799805</v>
      </c>
      <c r="BO27" s="100">
        <v>303.95263081940078</v>
      </c>
      <c r="BP27" s="100">
        <v>13</v>
      </c>
      <c r="BQ27" s="100">
        <v>5553.5999999999995</v>
      </c>
      <c r="BR27" s="100">
        <v>12.899130653870955</v>
      </c>
      <c r="BS27" s="100">
        <v>5510.5086153336715</v>
      </c>
      <c r="BT27" s="100">
        <v>17</v>
      </c>
      <c r="BU27" s="100">
        <v>7262.4</v>
      </c>
      <c r="BV27" s="100">
        <v>11.786706212391724</v>
      </c>
      <c r="BW27" s="100">
        <v>5035.2808939337447</v>
      </c>
      <c r="BX27" s="100">
        <v>4.893548914884021</v>
      </c>
      <c r="BY27" s="100">
        <v>2090.5240964384539</v>
      </c>
      <c r="BZ27" s="100">
        <v>14</v>
      </c>
      <c r="CA27" s="100">
        <v>5980.8</v>
      </c>
      <c r="CB27" s="100">
        <v>13</v>
      </c>
      <c r="CC27" s="100">
        <v>5553.5999999999995</v>
      </c>
      <c r="CD27" s="100">
        <v>15</v>
      </c>
      <c r="CE27" s="100">
        <v>6408</v>
      </c>
      <c r="CF27" s="100">
        <v>23</v>
      </c>
      <c r="CG27" s="100">
        <v>9825.6</v>
      </c>
      <c r="CH27" s="100">
        <v>23</v>
      </c>
      <c r="CI27" s="100">
        <v>9825.6</v>
      </c>
      <c r="CJ27" s="100">
        <v>14</v>
      </c>
      <c r="CK27" s="100">
        <v>5980.8</v>
      </c>
      <c r="CL27" s="100">
        <v>17</v>
      </c>
      <c r="CM27" s="100">
        <v>7262.4</v>
      </c>
      <c r="CN27" s="100">
        <v>19</v>
      </c>
      <c r="CO27" s="100">
        <v>8116.8</v>
      </c>
      <c r="CP27" s="100">
        <v>1.1297456780057775</v>
      </c>
      <c r="CQ27" s="100">
        <v>482.62735364406814</v>
      </c>
      <c r="CR27" s="100">
        <v>17.614795864195344</v>
      </c>
      <c r="CS27" s="100">
        <v>7525.040793184251</v>
      </c>
      <c r="CT27" s="100">
        <v>2.7441650484528009E-16</v>
      </c>
      <c r="CU27" s="100">
        <v>1.1723073086990366E-13</v>
      </c>
    </row>
    <row r="28" spans="2:99">
      <c r="C28" s="99" t="s">
        <v>194</v>
      </c>
      <c r="D28" s="100">
        <v>18</v>
      </c>
      <c r="E28" s="100">
        <v>13284</v>
      </c>
      <c r="F28" s="100">
        <v>15</v>
      </c>
      <c r="G28" s="100">
        <v>11070</v>
      </c>
      <c r="H28" s="100">
        <v>13</v>
      </c>
      <c r="I28" s="100">
        <v>9594</v>
      </c>
      <c r="J28" s="100">
        <v>18</v>
      </c>
      <c r="K28" s="100">
        <v>13284</v>
      </c>
      <c r="L28" s="100">
        <v>20</v>
      </c>
      <c r="M28" s="100">
        <v>14760</v>
      </c>
      <c r="N28" s="100">
        <v>11</v>
      </c>
      <c r="O28" s="100">
        <v>8118</v>
      </c>
      <c r="P28" s="100">
        <v>18</v>
      </c>
      <c r="Q28" s="100">
        <v>13284</v>
      </c>
      <c r="R28" s="100">
        <v>11</v>
      </c>
      <c r="S28" s="100">
        <v>8118</v>
      </c>
      <c r="T28" s="100">
        <v>16</v>
      </c>
      <c r="U28" s="100">
        <v>11808</v>
      </c>
      <c r="V28" s="100">
        <v>17</v>
      </c>
      <c r="W28" s="100">
        <v>12546</v>
      </c>
      <c r="X28" s="100">
        <v>10.316991224977487</v>
      </c>
      <c r="Y28" s="100">
        <v>7613.9395240333852</v>
      </c>
      <c r="Z28" s="100">
        <v>14</v>
      </c>
      <c r="AA28" s="100">
        <v>10332</v>
      </c>
      <c r="AB28" s="100">
        <v>16.78720987482134</v>
      </c>
      <c r="AC28" s="100">
        <v>12388.960887618148</v>
      </c>
      <c r="AD28" s="100">
        <v>9.6170553214494277</v>
      </c>
      <c r="AE28" s="100">
        <v>7097.3868272296777</v>
      </c>
      <c r="AF28" s="100">
        <v>13</v>
      </c>
      <c r="AG28" s="100">
        <v>9594</v>
      </c>
      <c r="AH28" s="100">
        <v>14</v>
      </c>
      <c r="AI28" s="100">
        <v>10332</v>
      </c>
      <c r="AJ28" s="100">
        <v>5.581461595648201</v>
      </c>
      <c r="AK28" s="100">
        <v>4119.1186575883721</v>
      </c>
      <c r="AL28" s="100">
        <v>18</v>
      </c>
      <c r="AM28" s="100">
        <v>13284</v>
      </c>
      <c r="AN28" s="100">
        <v>15</v>
      </c>
      <c r="AO28" s="100">
        <v>11070</v>
      </c>
      <c r="AP28" s="100">
        <v>16</v>
      </c>
      <c r="AQ28" s="100">
        <v>11808</v>
      </c>
      <c r="AR28" s="100">
        <v>15</v>
      </c>
      <c r="AS28" s="100">
        <v>11070</v>
      </c>
      <c r="AT28" s="100">
        <v>18</v>
      </c>
      <c r="AU28" s="100">
        <v>13284</v>
      </c>
      <c r="AV28" s="100">
        <v>22.539989840607841</v>
      </c>
      <c r="AW28" s="100">
        <v>16634.512502368587</v>
      </c>
      <c r="AX28" s="100">
        <v>19</v>
      </c>
      <c r="AY28" s="100">
        <v>14022</v>
      </c>
      <c r="AZ28" s="100">
        <v>17</v>
      </c>
      <c r="BA28" s="100">
        <v>12546</v>
      </c>
      <c r="BB28" s="100">
        <v>21.58468889330241</v>
      </c>
      <c r="BC28" s="100">
        <v>15929.500403257178</v>
      </c>
      <c r="BD28" s="100">
        <v>13.411717454319483</v>
      </c>
      <c r="BE28" s="100">
        <v>9897.8474812877776</v>
      </c>
      <c r="BF28" s="100">
        <v>14.057122328432117</v>
      </c>
      <c r="BG28" s="100">
        <v>10374.156278382901</v>
      </c>
      <c r="BH28" s="100">
        <v>6.0982652629341407</v>
      </c>
      <c r="BI28" s="100">
        <v>4500.5197640453962</v>
      </c>
      <c r="BJ28" s="100">
        <v>21</v>
      </c>
      <c r="BK28" s="100">
        <v>15498</v>
      </c>
      <c r="BL28" s="100">
        <v>15</v>
      </c>
      <c r="BM28" s="100">
        <v>11070</v>
      </c>
      <c r="BN28" s="100">
        <v>0.71149960397799805</v>
      </c>
      <c r="BO28" s="100">
        <v>525.08670773576262</v>
      </c>
      <c r="BP28" s="100">
        <v>13</v>
      </c>
      <c r="BQ28" s="100">
        <v>9594</v>
      </c>
      <c r="BR28" s="100">
        <v>14.883612292928024</v>
      </c>
      <c r="BS28" s="100">
        <v>10984.105872180882</v>
      </c>
      <c r="BT28" s="100">
        <v>18</v>
      </c>
      <c r="BU28" s="100">
        <v>13284</v>
      </c>
      <c r="BV28" s="100">
        <v>11.786706212391724</v>
      </c>
      <c r="BW28" s="100">
        <v>8698.589184745093</v>
      </c>
      <c r="BX28" s="100">
        <v>5.5052425292445237</v>
      </c>
      <c r="BY28" s="100">
        <v>4062.8689865824585</v>
      </c>
      <c r="BZ28" s="100">
        <v>12</v>
      </c>
      <c r="CA28" s="100">
        <v>8856</v>
      </c>
      <c r="CB28" s="100">
        <v>13</v>
      </c>
      <c r="CC28" s="100">
        <v>9594</v>
      </c>
      <c r="CD28" s="100">
        <v>17</v>
      </c>
      <c r="CE28" s="100">
        <v>12546</v>
      </c>
      <c r="CF28" s="100">
        <v>20</v>
      </c>
      <c r="CG28" s="100">
        <v>14760</v>
      </c>
      <c r="CH28" s="100">
        <v>21</v>
      </c>
      <c r="CI28" s="100">
        <v>15498</v>
      </c>
      <c r="CJ28" s="100">
        <v>15</v>
      </c>
      <c r="CK28" s="100">
        <v>11070</v>
      </c>
      <c r="CL28" s="100">
        <v>18</v>
      </c>
      <c r="CM28" s="100">
        <v>13284</v>
      </c>
      <c r="CN28" s="100">
        <v>20</v>
      </c>
      <c r="CO28" s="100">
        <v>14760</v>
      </c>
      <c r="CP28" s="100">
        <v>0.99417619664508428</v>
      </c>
      <c r="CQ28" s="100">
        <v>733.70203312407216</v>
      </c>
      <c r="CR28" s="100">
        <v>15.412946381170924</v>
      </c>
      <c r="CS28" s="100">
        <v>11374.754429304141</v>
      </c>
      <c r="CT28" s="100">
        <v>2.7441650484528009E-16</v>
      </c>
      <c r="CU28" s="100">
        <v>2.025193805758167E-13</v>
      </c>
    </row>
    <row r="29" spans="2:99">
      <c r="C29" s="99" t="s">
        <v>195</v>
      </c>
      <c r="D29" s="100">
        <v>20</v>
      </c>
      <c r="E29" s="100">
        <v>6768</v>
      </c>
      <c r="F29" s="100">
        <v>17</v>
      </c>
      <c r="G29" s="100">
        <v>5752.7999999999993</v>
      </c>
      <c r="H29" s="100">
        <v>14</v>
      </c>
      <c r="I29" s="100">
        <v>4737.5999999999995</v>
      </c>
      <c r="J29" s="100">
        <v>19</v>
      </c>
      <c r="K29" s="100">
        <v>6429.5999999999995</v>
      </c>
      <c r="L29" s="100">
        <v>19</v>
      </c>
      <c r="M29" s="100">
        <v>6429.5999999999995</v>
      </c>
      <c r="N29" s="100">
        <v>10</v>
      </c>
      <c r="O29" s="100">
        <v>3384</v>
      </c>
      <c r="P29" s="100">
        <v>19</v>
      </c>
      <c r="Q29" s="100">
        <v>6429.5999999999995</v>
      </c>
      <c r="R29" s="100">
        <v>12</v>
      </c>
      <c r="S29" s="100">
        <v>4060.7999999999997</v>
      </c>
      <c r="T29" s="100">
        <v>17</v>
      </c>
      <c r="U29" s="100">
        <v>5752.7999999999993</v>
      </c>
      <c r="V29" s="100">
        <v>17</v>
      </c>
      <c r="W29" s="100">
        <v>5752.7999999999993</v>
      </c>
      <c r="X29" s="100">
        <v>11.17674049372561</v>
      </c>
      <c r="Y29" s="100">
        <v>3782.2089830767463</v>
      </c>
      <c r="Z29" s="100">
        <v>17</v>
      </c>
      <c r="AA29" s="100">
        <v>5752.7999999999993</v>
      </c>
      <c r="AB29" s="100">
        <v>16.78720987482134</v>
      </c>
      <c r="AC29" s="100">
        <v>5680.791821639541</v>
      </c>
      <c r="AD29" s="100">
        <v>9.6170553214494277</v>
      </c>
      <c r="AE29" s="100">
        <v>3254.4115207784862</v>
      </c>
      <c r="AF29" s="100">
        <v>13</v>
      </c>
      <c r="AG29" s="100">
        <v>4399.2</v>
      </c>
      <c r="AH29" s="100">
        <v>14</v>
      </c>
      <c r="AI29" s="100">
        <v>4737.5999999999995</v>
      </c>
      <c r="AJ29" s="100">
        <v>6.8217863946811343</v>
      </c>
      <c r="AK29" s="100">
        <v>2308.4925159600957</v>
      </c>
      <c r="AL29" s="100">
        <v>18</v>
      </c>
      <c r="AM29" s="100">
        <v>6091.2</v>
      </c>
      <c r="AN29" s="100">
        <v>17</v>
      </c>
      <c r="AO29" s="100">
        <v>5752.7999999999993</v>
      </c>
      <c r="AP29" s="100">
        <v>16</v>
      </c>
      <c r="AQ29" s="100">
        <v>5414.4</v>
      </c>
      <c r="AR29" s="100">
        <v>16</v>
      </c>
      <c r="AS29" s="100">
        <v>5414.4</v>
      </c>
      <c r="AT29" s="100">
        <v>19</v>
      </c>
      <c r="AU29" s="100">
        <v>6429.5999999999995</v>
      </c>
      <c r="AV29" s="100">
        <v>20.579990724033248</v>
      </c>
      <c r="AW29" s="100">
        <v>6964.2688610128507</v>
      </c>
      <c r="AX29" s="100">
        <v>19</v>
      </c>
      <c r="AY29" s="100">
        <v>6429.5999999999995</v>
      </c>
      <c r="AZ29" s="100">
        <v>16</v>
      </c>
      <c r="BA29" s="100">
        <v>5414.4</v>
      </c>
      <c r="BB29" s="100">
        <v>21.58468889330241</v>
      </c>
      <c r="BC29" s="100">
        <v>7304.2587214935347</v>
      </c>
      <c r="BD29" s="100">
        <v>14.249949795214452</v>
      </c>
      <c r="BE29" s="100">
        <v>4822.1830107005699</v>
      </c>
      <c r="BF29" s="100">
        <v>15.71090142589472</v>
      </c>
      <c r="BG29" s="100">
        <v>5316.5690425227731</v>
      </c>
      <c r="BH29" s="100">
        <v>6.4192265925622536</v>
      </c>
      <c r="BI29" s="100">
        <v>2172.2662789230667</v>
      </c>
      <c r="BJ29" s="100">
        <v>21</v>
      </c>
      <c r="BK29" s="100">
        <v>7106.4</v>
      </c>
      <c r="BL29" s="100">
        <v>16</v>
      </c>
      <c r="BM29" s="100">
        <v>5414.4</v>
      </c>
      <c r="BN29" s="100">
        <v>0.67592462377909812</v>
      </c>
      <c r="BO29" s="100">
        <v>228.73289268684678</v>
      </c>
      <c r="BP29" s="100">
        <v>12</v>
      </c>
      <c r="BQ29" s="100">
        <v>4060.7999999999997</v>
      </c>
      <c r="BR29" s="100">
        <v>12.899130653870955</v>
      </c>
      <c r="BS29" s="100">
        <v>4365.0658132699309</v>
      </c>
      <c r="BT29" s="100">
        <v>18</v>
      </c>
      <c r="BU29" s="100">
        <v>6091.2</v>
      </c>
      <c r="BV29" s="100">
        <v>11.786706212391724</v>
      </c>
      <c r="BW29" s="100">
        <v>3988.6213822733594</v>
      </c>
      <c r="BX29" s="100">
        <v>5.8110893364247742</v>
      </c>
      <c r="BY29" s="100">
        <v>1966.4726314461434</v>
      </c>
      <c r="BZ29" s="100">
        <v>14</v>
      </c>
      <c r="CA29" s="100">
        <v>4737.5999999999995</v>
      </c>
      <c r="CB29" s="100">
        <v>12</v>
      </c>
      <c r="CC29" s="100">
        <v>4060.7999999999997</v>
      </c>
      <c r="CD29" s="100">
        <v>16</v>
      </c>
      <c r="CE29" s="100">
        <v>5414.4</v>
      </c>
      <c r="CF29" s="100">
        <v>21</v>
      </c>
      <c r="CG29" s="100">
        <v>7106.4</v>
      </c>
      <c r="CH29" s="100">
        <v>20</v>
      </c>
      <c r="CI29" s="100">
        <v>6768</v>
      </c>
      <c r="CJ29" s="100">
        <v>15</v>
      </c>
      <c r="CK29" s="100">
        <v>5076</v>
      </c>
      <c r="CL29" s="100">
        <v>18</v>
      </c>
      <c r="CM29" s="100">
        <v>6091.2</v>
      </c>
      <c r="CN29" s="100">
        <v>19</v>
      </c>
      <c r="CO29" s="100">
        <v>6429.5999999999995</v>
      </c>
      <c r="CP29" s="100">
        <v>0.99417619664508428</v>
      </c>
      <c r="CQ29" s="100">
        <v>336.4292249446965</v>
      </c>
      <c r="CR29" s="100">
        <v>16.146896208845732</v>
      </c>
      <c r="CS29" s="100">
        <v>5464.1096770733957</v>
      </c>
      <c r="CT29" s="100">
        <v>2.7441650484528009E-16</v>
      </c>
      <c r="CU29" s="100">
        <v>9.2862545239642776E-14</v>
      </c>
    </row>
    <row r="30" spans="2:99">
      <c r="C30" s="99" t="s">
        <v>196</v>
      </c>
      <c r="D30" s="100">
        <v>20</v>
      </c>
      <c r="E30" s="100">
        <v>2784</v>
      </c>
      <c r="F30" s="100">
        <v>17</v>
      </c>
      <c r="G30" s="100">
        <v>2366.3999999999996</v>
      </c>
      <c r="H30" s="100">
        <v>13</v>
      </c>
      <c r="I30" s="100">
        <v>1809.6</v>
      </c>
      <c r="J30" s="100">
        <v>19</v>
      </c>
      <c r="K30" s="100">
        <v>2644.7999999999997</v>
      </c>
      <c r="L30" s="100">
        <v>18</v>
      </c>
      <c r="M30" s="100">
        <v>2505.6</v>
      </c>
      <c r="N30" s="100">
        <v>11</v>
      </c>
      <c r="O30" s="100">
        <v>1531.1999999999998</v>
      </c>
      <c r="P30" s="100">
        <v>21</v>
      </c>
      <c r="Q30" s="100">
        <v>2923.2</v>
      </c>
      <c r="R30" s="100">
        <v>10</v>
      </c>
      <c r="S30" s="100">
        <v>1392</v>
      </c>
      <c r="T30" s="100">
        <v>18</v>
      </c>
      <c r="U30" s="100">
        <v>2505.6</v>
      </c>
      <c r="V30" s="100">
        <v>15</v>
      </c>
      <c r="W30" s="100">
        <v>2088</v>
      </c>
      <c r="X30" s="100">
        <v>11.17674049372561</v>
      </c>
      <c r="Y30" s="100">
        <v>1555.8022767266048</v>
      </c>
      <c r="Z30" s="100">
        <v>15</v>
      </c>
      <c r="AA30" s="100">
        <v>2088</v>
      </c>
      <c r="AB30" s="100">
        <v>15.947849381080275</v>
      </c>
      <c r="AC30" s="100">
        <v>2219.9406338463741</v>
      </c>
      <c r="AD30" s="100">
        <v>9.6170553214494277</v>
      </c>
      <c r="AE30" s="100">
        <v>1338.6941007457601</v>
      </c>
      <c r="AF30" s="100">
        <v>14</v>
      </c>
      <c r="AG30" s="100">
        <v>1948.7999999999997</v>
      </c>
      <c r="AH30" s="100">
        <v>14</v>
      </c>
      <c r="AI30" s="100">
        <v>1948.7999999999997</v>
      </c>
      <c r="AJ30" s="100">
        <v>6.2016239951646677</v>
      </c>
      <c r="AK30" s="100">
        <v>863.26606012692162</v>
      </c>
      <c r="AL30" s="100">
        <v>18</v>
      </c>
      <c r="AM30" s="100">
        <v>2505.6</v>
      </c>
      <c r="AN30" s="100">
        <v>18</v>
      </c>
      <c r="AO30" s="100">
        <v>2505.6</v>
      </c>
      <c r="AP30" s="100">
        <v>15</v>
      </c>
      <c r="AQ30" s="100">
        <v>2088</v>
      </c>
      <c r="AR30" s="100">
        <v>16</v>
      </c>
      <c r="AS30" s="100">
        <v>2227.1999999999998</v>
      </c>
      <c r="AT30" s="100">
        <v>18</v>
      </c>
      <c r="AU30" s="100">
        <v>2505.6</v>
      </c>
      <c r="AV30" s="100">
        <v>21.559990282320545</v>
      </c>
      <c r="AW30" s="100">
        <v>3001.1506472990195</v>
      </c>
      <c r="AX30" s="100">
        <v>21</v>
      </c>
      <c r="AY30" s="100">
        <v>2923.2</v>
      </c>
      <c r="AZ30" s="100">
        <v>16</v>
      </c>
      <c r="BA30" s="100">
        <v>2227.1999999999998</v>
      </c>
      <c r="BB30" s="100">
        <v>22.565811115725246</v>
      </c>
      <c r="BC30" s="100">
        <v>3141.1609073089539</v>
      </c>
      <c r="BD30" s="100">
        <v>13.411717454319483</v>
      </c>
      <c r="BE30" s="100">
        <v>1866.9110696412718</v>
      </c>
      <c r="BF30" s="100">
        <v>14.884011877163418</v>
      </c>
      <c r="BG30" s="100">
        <v>2071.8544533011477</v>
      </c>
      <c r="BH30" s="100">
        <v>6.4192265925622536</v>
      </c>
      <c r="BI30" s="100">
        <v>893.55634168466565</v>
      </c>
      <c r="BJ30" s="100">
        <v>20</v>
      </c>
      <c r="BK30" s="100">
        <v>2784</v>
      </c>
      <c r="BL30" s="100">
        <v>15</v>
      </c>
      <c r="BM30" s="100">
        <v>2088</v>
      </c>
      <c r="BN30" s="100">
        <v>0.64034964358019819</v>
      </c>
      <c r="BO30" s="100">
        <v>89.136670386363576</v>
      </c>
      <c r="BP30" s="100">
        <v>12</v>
      </c>
      <c r="BQ30" s="100">
        <v>1670.3999999999999</v>
      </c>
      <c r="BR30" s="100">
        <v>13.89137147339949</v>
      </c>
      <c r="BS30" s="100">
        <v>1933.6789090972088</v>
      </c>
      <c r="BT30" s="100">
        <v>19</v>
      </c>
      <c r="BU30" s="100">
        <v>2644.7999999999997</v>
      </c>
      <c r="BV30" s="100">
        <v>12.376041523011311</v>
      </c>
      <c r="BW30" s="100">
        <v>1722.7449800031743</v>
      </c>
      <c r="BX30" s="100">
        <v>5.8110893364247742</v>
      </c>
      <c r="BY30" s="100">
        <v>808.90363563032849</v>
      </c>
      <c r="BZ30" s="100">
        <v>14</v>
      </c>
      <c r="CA30" s="100">
        <v>1948.7999999999997</v>
      </c>
      <c r="CB30" s="100">
        <v>12</v>
      </c>
      <c r="CC30" s="100">
        <v>1670.3999999999999</v>
      </c>
      <c r="CD30" s="100">
        <v>15</v>
      </c>
      <c r="CE30" s="100">
        <v>2088</v>
      </c>
      <c r="CF30" s="100">
        <v>22</v>
      </c>
      <c r="CG30" s="100">
        <v>3062.3999999999996</v>
      </c>
      <c r="CH30" s="100">
        <v>23</v>
      </c>
      <c r="CI30" s="100">
        <v>3201.6</v>
      </c>
      <c r="CJ30" s="100">
        <v>14</v>
      </c>
      <c r="CK30" s="100">
        <v>1948.7999999999997</v>
      </c>
      <c r="CL30" s="100">
        <v>17</v>
      </c>
      <c r="CM30" s="100">
        <v>2366.3999999999996</v>
      </c>
      <c r="CN30" s="100">
        <v>21</v>
      </c>
      <c r="CO30" s="100">
        <v>2923.2</v>
      </c>
      <c r="CP30" s="100">
        <v>1.1297456780057775</v>
      </c>
      <c r="CQ30" s="100">
        <v>157.26059837840421</v>
      </c>
      <c r="CR30" s="100">
        <v>15.412946381170924</v>
      </c>
      <c r="CS30" s="100">
        <v>2145.4821362589923</v>
      </c>
      <c r="CT30" s="100">
        <v>3.3322004159784009E-16</v>
      </c>
      <c r="CU30" s="100">
        <v>4.6384229790419337E-14</v>
      </c>
    </row>
    <row r="31" spans="2:99">
      <c r="C31" s="99" t="s">
        <v>197</v>
      </c>
      <c r="D31" s="100">
        <v>20</v>
      </c>
      <c r="E31" s="100">
        <v>6816</v>
      </c>
      <c r="F31" s="100">
        <v>18</v>
      </c>
      <c r="G31" s="100">
        <v>6134.4000000000005</v>
      </c>
      <c r="H31" s="100">
        <v>13</v>
      </c>
      <c r="I31" s="100">
        <v>4430.4000000000005</v>
      </c>
      <c r="J31" s="100">
        <v>19</v>
      </c>
      <c r="K31" s="100">
        <v>6475.2</v>
      </c>
      <c r="L31" s="100">
        <v>19</v>
      </c>
      <c r="M31" s="100">
        <v>6475.2</v>
      </c>
      <c r="N31" s="100">
        <v>11</v>
      </c>
      <c r="O31" s="100">
        <v>3748.8</v>
      </c>
      <c r="P31" s="100">
        <v>17</v>
      </c>
      <c r="Q31" s="100">
        <v>5793.6</v>
      </c>
      <c r="R31" s="100">
        <v>11</v>
      </c>
      <c r="S31" s="100">
        <v>3748.8</v>
      </c>
      <c r="T31" s="100">
        <v>16</v>
      </c>
      <c r="U31" s="100">
        <v>5452.8</v>
      </c>
      <c r="V31" s="100">
        <v>17</v>
      </c>
      <c r="W31" s="100">
        <v>5793.6</v>
      </c>
      <c r="X31" s="100">
        <v>10.316991224977487</v>
      </c>
      <c r="Y31" s="100">
        <v>3516.0306094723278</v>
      </c>
      <c r="Z31" s="100">
        <v>15</v>
      </c>
      <c r="AA31" s="100">
        <v>5112</v>
      </c>
      <c r="AB31" s="100">
        <v>15.947849381080275</v>
      </c>
      <c r="AC31" s="100">
        <v>5435.0270690721582</v>
      </c>
      <c r="AD31" s="100">
        <v>10.123216127841504</v>
      </c>
      <c r="AE31" s="100">
        <v>3449.9920563683845</v>
      </c>
      <c r="AF31" s="100">
        <v>14</v>
      </c>
      <c r="AG31" s="100">
        <v>4771.2</v>
      </c>
      <c r="AH31" s="100">
        <v>14</v>
      </c>
      <c r="AI31" s="100">
        <v>4771.2</v>
      </c>
      <c r="AJ31" s="100">
        <v>5.8915427954064343</v>
      </c>
      <c r="AK31" s="100">
        <v>2007.8377846745129</v>
      </c>
      <c r="AL31" s="100">
        <v>18</v>
      </c>
      <c r="AM31" s="100">
        <v>6134.4000000000005</v>
      </c>
      <c r="AN31" s="100">
        <v>18</v>
      </c>
      <c r="AO31" s="100">
        <v>6134.4000000000005</v>
      </c>
      <c r="AP31" s="100">
        <v>16</v>
      </c>
      <c r="AQ31" s="100">
        <v>5452.8</v>
      </c>
      <c r="AR31" s="100">
        <v>16</v>
      </c>
      <c r="AS31" s="100">
        <v>5452.8</v>
      </c>
      <c r="AT31" s="100">
        <v>17</v>
      </c>
      <c r="AU31" s="100">
        <v>5793.6</v>
      </c>
      <c r="AV31" s="100">
        <v>22.539989840607841</v>
      </c>
      <c r="AW31" s="100">
        <v>7681.6285376791529</v>
      </c>
      <c r="AX31" s="100">
        <v>21</v>
      </c>
      <c r="AY31" s="100">
        <v>7156.8</v>
      </c>
      <c r="AZ31" s="100">
        <v>16</v>
      </c>
      <c r="BA31" s="100">
        <v>5452.8</v>
      </c>
      <c r="BB31" s="100">
        <v>20.603566670879573</v>
      </c>
      <c r="BC31" s="100">
        <v>7021.6955214357586</v>
      </c>
      <c r="BD31" s="100">
        <v>15.088182136109419</v>
      </c>
      <c r="BE31" s="100">
        <v>5142.0524719860896</v>
      </c>
      <c r="BF31" s="100">
        <v>15.71090142589472</v>
      </c>
      <c r="BG31" s="100">
        <v>5354.2752059449213</v>
      </c>
      <c r="BH31" s="100">
        <v>7.0611492518184793</v>
      </c>
      <c r="BI31" s="100">
        <v>2406.4396650197377</v>
      </c>
      <c r="BJ31" s="100">
        <v>22</v>
      </c>
      <c r="BK31" s="100">
        <v>7497.6</v>
      </c>
      <c r="BL31" s="100">
        <v>17</v>
      </c>
      <c r="BM31" s="100">
        <v>5793.6</v>
      </c>
      <c r="BN31" s="100">
        <v>0.64034964358019819</v>
      </c>
      <c r="BO31" s="100">
        <v>218.23115853213156</v>
      </c>
      <c r="BP31" s="100">
        <v>11</v>
      </c>
      <c r="BQ31" s="100">
        <v>3748.8</v>
      </c>
      <c r="BR31" s="100">
        <v>13.89137147339949</v>
      </c>
      <c r="BS31" s="100">
        <v>4734.1793981345463</v>
      </c>
      <c r="BT31" s="100">
        <v>20</v>
      </c>
      <c r="BU31" s="100">
        <v>6816</v>
      </c>
      <c r="BV31" s="100">
        <v>11.197370901772139</v>
      </c>
      <c r="BW31" s="100">
        <v>3816.0640033239451</v>
      </c>
      <c r="BX31" s="100">
        <v>5.8110893364247742</v>
      </c>
      <c r="BY31" s="100">
        <v>1980.4192458535631</v>
      </c>
      <c r="BZ31" s="100">
        <v>15</v>
      </c>
      <c r="CA31" s="100">
        <v>5112</v>
      </c>
      <c r="CB31" s="100">
        <v>12</v>
      </c>
      <c r="CC31" s="100">
        <v>4089.6000000000004</v>
      </c>
      <c r="CD31" s="100">
        <v>16</v>
      </c>
      <c r="CE31" s="100">
        <v>5452.8</v>
      </c>
      <c r="CF31" s="100">
        <v>22</v>
      </c>
      <c r="CG31" s="100">
        <v>7497.6</v>
      </c>
      <c r="CH31" s="100">
        <v>24</v>
      </c>
      <c r="CI31" s="100">
        <v>8179.2000000000007</v>
      </c>
      <c r="CJ31" s="100">
        <v>15</v>
      </c>
      <c r="CK31" s="100">
        <v>5112</v>
      </c>
      <c r="CL31" s="100">
        <v>18</v>
      </c>
      <c r="CM31" s="100">
        <v>6134.4000000000005</v>
      </c>
      <c r="CN31" s="100">
        <v>20</v>
      </c>
      <c r="CO31" s="100">
        <v>6816</v>
      </c>
      <c r="CP31" s="100">
        <v>1.1297456780057775</v>
      </c>
      <c r="CQ31" s="100">
        <v>385.017327064369</v>
      </c>
      <c r="CR31" s="100">
        <v>17.614795864195344</v>
      </c>
      <c r="CS31" s="100">
        <v>6003.122430517773</v>
      </c>
      <c r="CT31" s="100">
        <v>3.1361886268032006E-16</v>
      </c>
      <c r="CU31" s="100">
        <v>1.0688130840145308E-13</v>
      </c>
    </row>
    <row r="32" spans="2:99">
      <c r="C32" s="99" t="s">
        <v>198</v>
      </c>
      <c r="D32" s="100">
        <v>19</v>
      </c>
      <c r="E32" s="100">
        <v>15960</v>
      </c>
      <c r="F32" s="100">
        <v>16</v>
      </c>
      <c r="G32" s="100">
        <v>13440</v>
      </c>
      <c r="H32" s="100">
        <v>12</v>
      </c>
      <c r="I32" s="100">
        <v>10080</v>
      </c>
      <c r="J32" s="100">
        <v>16</v>
      </c>
      <c r="K32" s="100">
        <v>13440</v>
      </c>
      <c r="L32" s="100">
        <v>20</v>
      </c>
      <c r="M32" s="100">
        <v>16800</v>
      </c>
      <c r="N32" s="100">
        <v>11</v>
      </c>
      <c r="O32" s="100">
        <v>9240</v>
      </c>
      <c r="P32" s="100">
        <v>19</v>
      </c>
      <c r="Q32" s="100">
        <v>15960</v>
      </c>
      <c r="R32" s="100">
        <v>10</v>
      </c>
      <c r="S32" s="100">
        <v>8400</v>
      </c>
      <c r="T32" s="100">
        <v>16</v>
      </c>
      <c r="U32" s="100">
        <v>13440</v>
      </c>
      <c r="V32" s="100">
        <v>16</v>
      </c>
      <c r="W32" s="100">
        <v>13440</v>
      </c>
      <c r="X32" s="100">
        <v>10.316991224977487</v>
      </c>
      <c r="Y32" s="100">
        <v>8666.2726289810889</v>
      </c>
      <c r="Z32" s="100">
        <v>14</v>
      </c>
      <c r="AA32" s="100">
        <v>11760</v>
      </c>
      <c r="AB32" s="100">
        <v>17.626570368562408</v>
      </c>
      <c r="AC32" s="100">
        <v>14806.319109592423</v>
      </c>
      <c r="AD32" s="100">
        <v>8.6047337086652789</v>
      </c>
      <c r="AE32" s="100">
        <v>7227.9763152788346</v>
      </c>
      <c r="AF32" s="100">
        <v>13</v>
      </c>
      <c r="AG32" s="100">
        <v>10920</v>
      </c>
      <c r="AH32" s="100">
        <v>14</v>
      </c>
      <c r="AI32" s="100">
        <v>11760</v>
      </c>
      <c r="AJ32" s="100">
        <v>5.8915427954064343</v>
      </c>
      <c r="AK32" s="100">
        <v>4948.8959481414049</v>
      </c>
      <c r="AL32" s="100">
        <v>17</v>
      </c>
      <c r="AM32" s="100">
        <v>14280</v>
      </c>
      <c r="AN32" s="100">
        <v>17</v>
      </c>
      <c r="AO32" s="100">
        <v>14280</v>
      </c>
      <c r="AP32" s="100">
        <v>15</v>
      </c>
      <c r="AQ32" s="100">
        <v>12600</v>
      </c>
      <c r="AR32" s="100">
        <v>14</v>
      </c>
      <c r="AS32" s="100">
        <v>11760</v>
      </c>
      <c r="AT32" s="100">
        <v>17</v>
      </c>
      <c r="AU32" s="100">
        <v>14280</v>
      </c>
      <c r="AV32" s="100">
        <v>20.579990724033248</v>
      </c>
      <c r="AW32" s="100">
        <v>17287.192208187927</v>
      </c>
      <c r="AX32" s="100">
        <v>21</v>
      </c>
      <c r="AY32" s="100">
        <v>17640</v>
      </c>
      <c r="AZ32" s="100">
        <v>16</v>
      </c>
      <c r="BA32" s="100">
        <v>13440</v>
      </c>
      <c r="BB32" s="100">
        <v>20.603566670879573</v>
      </c>
      <c r="BC32" s="100">
        <v>17306.996003538843</v>
      </c>
      <c r="BD32" s="100">
        <v>15.088182136109419</v>
      </c>
      <c r="BE32" s="100">
        <v>12674.072994331911</v>
      </c>
      <c r="BF32" s="100">
        <v>16.53779097462602</v>
      </c>
      <c r="BG32" s="100">
        <v>13891.744418685857</v>
      </c>
      <c r="BH32" s="100">
        <v>6.7401879221903656</v>
      </c>
      <c r="BI32" s="100">
        <v>5661.7578546399072</v>
      </c>
      <c r="BJ32" s="100">
        <v>23</v>
      </c>
      <c r="BK32" s="100">
        <v>19320</v>
      </c>
      <c r="BL32" s="100">
        <v>15</v>
      </c>
      <c r="BM32" s="100">
        <v>12600</v>
      </c>
      <c r="BN32" s="100">
        <v>0.60477466338129826</v>
      </c>
      <c r="BO32" s="100">
        <v>508.01071724029055</v>
      </c>
      <c r="BP32" s="100">
        <v>12</v>
      </c>
      <c r="BQ32" s="100">
        <v>10080</v>
      </c>
      <c r="BR32" s="100">
        <v>12.899130653870955</v>
      </c>
      <c r="BS32" s="100">
        <v>10835.269749251602</v>
      </c>
      <c r="BT32" s="100">
        <v>18</v>
      </c>
      <c r="BU32" s="100">
        <v>15120</v>
      </c>
      <c r="BV32" s="100">
        <v>11.197370901772139</v>
      </c>
      <c r="BW32" s="100">
        <v>9405.7915574885974</v>
      </c>
      <c r="BX32" s="100">
        <v>5.5052425292445237</v>
      </c>
      <c r="BY32" s="100">
        <v>4624.4037245653999</v>
      </c>
      <c r="BZ32" s="100">
        <v>14</v>
      </c>
      <c r="CA32" s="100">
        <v>11760</v>
      </c>
      <c r="CB32" s="100">
        <v>14</v>
      </c>
      <c r="CC32" s="100">
        <v>11760</v>
      </c>
      <c r="CD32" s="100">
        <v>15</v>
      </c>
      <c r="CE32" s="100">
        <v>12600</v>
      </c>
      <c r="CF32" s="100">
        <v>22</v>
      </c>
      <c r="CG32" s="100">
        <v>18480</v>
      </c>
      <c r="CH32" s="100">
        <v>20</v>
      </c>
      <c r="CI32" s="100">
        <v>16800</v>
      </c>
      <c r="CJ32" s="100">
        <v>15</v>
      </c>
      <c r="CK32" s="100">
        <v>12600</v>
      </c>
      <c r="CL32" s="100">
        <v>16</v>
      </c>
      <c r="CM32" s="100">
        <v>13440</v>
      </c>
      <c r="CN32" s="100">
        <v>21</v>
      </c>
      <c r="CO32" s="100">
        <v>17640</v>
      </c>
      <c r="CP32" s="100">
        <v>1.0393660237653153</v>
      </c>
      <c r="CQ32" s="100">
        <v>873.06745996286486</v>
      </c>
      <c r="CR32" s="100">
        <v>17.614795864195344</v>
      </c>
      <c r="CS32" s="100">
        <v>14796.42852592409</v>
      </c>
      <c r="CT32" s="100">
        <v>2.9401768376280007E-16</v>
      </c>
      <c r="CU32" s="100">
        <v>2.4697485436075208E-13</v>
      </c>
    </row>
    <row r="33" spans="2:99">
      <c r="C33" s="99" t="s">
        <v>199</v>
      </c>
      <c r="D33" s="100">
        <v>19</v>
      </c>
      <c r="E33" s="100">
        <v>9006</v>
      </c>
      <c r="F33" s="100">
        <v>15</v>
      </c>
      <c r="G33" s="100">
        <v>7110</v>
      </c>
      <c r="H33" s="100">
        <v>13</v>
      </c>
      <c r="I33" s="100">
        <v>6162</v>
      </c>
      <c r="J33" s="100">
        <v>17</v>
      </c>
      <c r="K33" s="100">
        <v>8058</v>
      </c>
      <c r="L33" s="100">
        <v>19</v>
      </c>
      <c r="M33" s="100">
        <v>9006</v>
      </c>
      <c r="N33" s="100">
        <v>10</v>
      </c>
      <c r="O33" s="100">
        <v>4740</v>
      </c>
      <c r="P33" s="100">
        <v>18</v>
      </c>
      <c r="Q33" s="100">
        <v>8532</v>
      </c>
      <c r="R33" s="100">
        <v>11</v>
      </c>
      <c r="S33" s="100">
        <v>5214</v>
      </c>
      <c r="T33" s="100">
        <v>15</v>
      </c>
      <c r="U33" s="100">
        <v>7110</v>
      </c>
      <c r="V33" s="100">
        <v>15</v>
      </c>
      <c r="W33" s="100">
        <v>7110</v>
      </c>
      <c r="X33" s="100">
        <v>9.4572419562293639</v>
      </c>
      <c r="Y33" s="100">
        <v>4482.7326872527183</v>
      </c>
      <c r="Z33" s="100">
        <v>16</v>
      </c>
      <c r="AA33" s="100">
        <v>7584</v>
      </c>
      <c r="AB33" s="100">
        <v>17.626570368562408</v>
      </c>
      <c r="AC33" s="100">
        <v>8354.9943546985814</v>
      </c>
      <c r="AD33" s="100">
        <v>9.1108945150573533</v>
      </c>
      <c r="AE33" s="100">
        <v>4318.5640001371858</v>
      </c>
      <c r="AF33" s="100">
        <v>14</v>
      </c>
      <c r="AG33" s="100">
        <v>6636</v>
      </c>
      <c r="AH33" s="100">
        <v>14</v>
      </c>
      <c r="AI33" s="100">
        <v>6636</v>
      </c>
      <c r="AJ33" s="100">
        <v>6.511705194922901</v>
      </c>
      <c r="AK33" s="100">
        <v>3086.5482623934549</v>
      </c>
      <c r="AL33" s="100">
        <v>19</v>
      </c>
      <c r="AM33" s="100">
        <v>9006</v>
      </c>
      <c r="AN33" s="100">
        <v>17</v>
      </c>
      <c r="AO33" s="100">
        <v>8058</v>
      </c>
      <c r="AP33" s="100">
        <v>16</v>
      </c>
      <c r="AQ33" s="100">
        <v>7584</v>
      </c>
      <c r="AR33" s="100">
        <v>15</v>
      </c>
      <c r="AS33" s="100">
        <v>7110</v>
      </c>
      <c r="AT33" s="100">
        <v>17</v>
      </c>
      <c r="AU33" s="100">
        <v>8058</v>
      </c>
      <c r="AV33" s="100">
        <v>21.559990282320545</v>
      </c>
      <c r="AW33" s="100">
        <v>10219.435393819938</v>
      </c>
      <c r="AX33" s="100">
        <v>20</v>
      </c>
      <c r="AY33" s="100">
        <v>9480</v>
      </c>
      <c r="AZ33" s="100">
        <v>16</v>
      </c>
      <c r="BA33" s="100">
        <v>7584</v>
      </c>
      <c r="BB33" s="100">
        <v>21.58468889330241</v>
      </c>
      <c r="BC33" s="100">
        <v>10231.142535425342</v>
      </c>
      <c r="BD33" s="100">
        <v>15.088182136109419</v>
      </c>
      <c r="BE33" s="100">
        <v>7151.7983325158648</v>
      </c>
      <c r="BF33" s="100">
        <v>14.884011877163418</v>
      </c>
      <c r="BG33" s="100">
        <v>7055.0216297754605</v>
      </c>
      <c r="BH33" s="100">
        <v>6.7401879221903656</v>
      </c>
      <c r="BI33" s="100">
        <v>3194.8490751182335</v>
      </c>
      <c r="BJ33" s="100">
        <v>21</v>
      </c>
      <c r="BK33" s="100">
        <v>9954</v>
      </c>
      <c r="BL33" s="100">
        <v>16</v>
      </c>
      <c r="BM33" s="100">
        <v>7584</v>
      </c>
      <c r="BN33" s="100">
        <v>0.60477466338129826</v>
      </c>
      <c r="BO33" s="100">
        <v>286.66319044273536</v>
      </c>
      <c r="BP33" s="100">
        <v>13</v>
      </c>
      <c r="BQ33" s="100">
        <v>6162</v>
      </c>
      <c r="BR33" s="100">
        <v>13.89137147339949</v>
      </c>
      <c r="BS33" s="100">
        <v>6584.5100783913585</v>
      </c>
      <c r="BT33" s="100">
        <v>17</v>
      </c>
      <c r="BU33" s="100">
        <v>8058</v>
      </c>
      <c r="BV33" s="100">
        <v>11.197370901772139</v>
      </c>
      <c r="BW33" s="100">
        <v>5307.5538074399938</v>
      </c>
      <c r="BX33" s="100">
        <v>5.1993957220642724</v>
      </c>
      <c r="BY33" s="100">
        <v>2464.513572258465</v>
      </c>
      <c r="BZ33" s="100">
        <v>13</v>
      </c>
      <c r="CA33" s="100">
        <v>6162</v>
      </c>
      <c r="CB33" s="100">
        <v>12</v>
      </c>
      <c r="CC33" s="100">
        <v>5688</v>
      </c>
      <c r="CD33" s="100">
        <v>15</v>
      </c>
      <c r="CE33" s="100">
        <v>7110</v>
      </c>
      <c r="CF33" s="100">
        <v>22</v>
      </c>
      <c r="CG33" s="100">
        <v>10428</v>
      </c>
      <c r="CH33" s="100">
        <v>21</v>
      </c>
      <c r="CI33" s="100">
        <v>9954</v>
      </c>
      <c r="CJ33" s="100">
        <v>14</v>
      </c>
      <c r="CK33" s="100">
        <v>6636</v>
      </c>
      <c r="CL33" s="100">
        <v>19</v>
      </c>
      <c r="CM33" s="100">
        <v>9006</v>
      </c>
      <c r="CN33" s="100">
        <v>21</v>
      </c>
      <c r="CO33" s="100">
        <v>9954</v>
      </c>
      <c r="CP33" s="100">
        <v>1.0393660237653153</v>
      </c>
      <c r="CQ33" s="100">
        <v>492.65949526475947</v>
      </c>
      <c r="CR33" s="100">
        <v>15.412946381170924</v>
      </c>
      <c r="CS33" s="100">
        <v>7305.7365846750181</v>
      </c>
      <c r="CT33" s="100">
        <v>3.1361886268032006E-16</v>
      </c>
      <c r="CU33" s="100">
        <v>1.486553409104717E-13</v>
      </c>
    </row>
    <row r="34" spans="2:99">
      <c r="C34" s="99" t="s">
        <v>200</v>
      </c>
      <c r="D34" s="100">
        <v>19</v>
      </c>
      <c r="E34" s="100">
        <v>10419.6</v>
      </c>
      <c r="F34" s="100">
        <v>16</v>
      </c>
      <c r="G34" s="100">
        <v>8774.4</v>
      </c>
      <c r="H34" s="100">
        <v>14</v>
      </c>
      <c r="I34" s="100">
        <v>7677.5999999999995</v>
      </c>
      <c r="J34" s="100">
        <v>19</v>
      </c>
      <c r="K34" s="100">
        <v>10419.6</v>
      </c>
      <c r="L34" s="100">
        <v>20</v>
      </c>
      <c r="M34" s="100">
        <v>10968</v>
      </c>
      <c r="N34" s="100">
        <v>11</v>
      </c>
      <c r="O34" s="100">
        <v>6032.4</v>
      </c>
      <c r="P34" s="100">
        <v>20</v>
      </c>
      <c r="Q34" s="100">
        <v>10968</v>
      </c>
      <c r="R34" s="100">
        <v>11</v>
      </c>
      <c r="S34" s="100">
        <v>6032.4</v>
      </c>
      <c r="T34" s="100">
        <v>16</v>
      </c>
      <c r="U34" s="100">
        <v>8774.4</v>
      </c>
      <c r="V34" s="100">
        <v>17</v>
      </c>
      <c r="W34" s="100">
        <v>9322.7999999999993</v>
      </c>
      <c r="X34" s="100">
        <v>10.316991224977487</v>
      </c>
      <c r="Y34" s="100">
        <v>5657.8379877776533</v>
      </c>
      <c r="Z34" s="100">
        <v>15</v>
      </c>
      <c r="AA34" s="100">
        <v>8226</v>
      </c>
      <c r="AB34" s="100">
        <v>15.947849381080275</v>
      </c>
      <c r="AC34" s="100">
        <v>8745.8006005844218</v>
      </c>
      <c r="AD34" s="100">
        <v>9.1108945150573533</v>
      </c>
      <c r="AE34" s="100">
        <v>4996.4145520574521</v>
      </c>
      <c r="AF34" s="100">
        <v>12</v>
      </c>
      <c r="AG34" s="100">
        <v>6580.7999999999993</v>
      </c>
      <c r="AH34" s="100">
        <v>13</v>
      </c>
      <c r="AI34" s="100">
        <v>7129.2</v>
      </c>
      <c r="AJ34" s="100">
        <v>5.8915427954064343</v>
      </c>
      <c r="AK34" s="100">
        <v>3230.9220690008883</v>
      </c>
      <c r="AL34" s="100">
        <v>17</v>
      </c>
      <c r="AM34" s="100">
        <v>9322.7999999999993</v>
      </c>
      <c r="AN34" s="100">
        <v>16</v>
      </c>
      <c r="AO34" s="100">
        <v>8774.4</v>
      </c>
      <c r="AP34" s="100">
        <v>14</v>
      </c>
      <c r="AQ34" s="100">
        <v>7677.5999999999995</v>
      </c>
      <c r="AR34" s="100">
        <v>15</v>
      </c>
      <c r="AS34" s="100">
        <v>8226</v>
      </c>
      <c r="AT34" s="100">
        <v>17</v>
      </c>
      <c r="AU34" s="100">
        <v>9322.7999999999993</v>
      </c>
      <c r="AV34" s="100">
        <v>19.599991165745948</v>
      </c>
      <c r="AW34" s="100">
        <v>10748.635155295078</v>
      </c>
      <c r="AX34" s="100">
        <v>21</v>
      </c>
      <c r="AY34" s="100">
        <v>11516.4</v>
      </c>
      <c r="AZ34" s="100">
        <v>17</v>
      </c>
      <c r="BA34" s="100">
        <v>9322.7999999999993</v>
      </c>
      <c r="BB34" s="100">
        <v>18.641322226033903</v>
      </c>
      <c r="BC34" s="100">
        <v>10222.901108756992</v>
      </c>
      <c r="BD34" s="100">
        <v>13.411717454319483</v>
      </c>
      <c r="BE34" s="100">
        <v>7354.9858519488043</v>
      </c>
      <c r="BF34" s="100">
        <v>14.057122328432117</v>
      </c>
      <c r="BG34" s="100">
        <v>7708.9258849121725</v>
      </c>
      <c r="BH34" s="100">
        <v>6.7401879221903656</v>
      </c>
      <c r="BI34" s="100">
        <v>3696.3190565291961</v>
      </c>
      <c r="BJ34" s="100">
        <v>21</v>
      </c>
      <c r="BK34" s="100">
        <v>11516.4</v>
      </c>
      <c r="BL34" s="100">
        <v>15</v>
      </c>
      <c r="BM34" s="100">
        <v>8226</v>
      </c>
      <c r="BN34" s="100">
        <v>0.64034964358019819</v>
      </c>
      <c r="BO34" s="100">
        <v>351.16774453938069</v>
      </c>
      <c r="BP34" s="100">
        <v>13</v>
      </c>
      <c r="BQ34" s="100">
        <v>7129.2</v>
      </c>
      <c r="BR34" s="100">
        <v>12.899130653870955</v>
      </c>
      <c r="BS34" s="100">
        <v>7073.8832505828314</v>
      </c>
      <c r="BT34" s="100">
        <v>19</v>
      </c>
      <c r="BU34" s="100">
        <v>10419.6</v>
      </c>
      <c r="BV34" s="100">
        <v>10.608035591152552</v>
      </c>
      <c r="BW34" s="100">
        <v>5817.4467181880591</v>
      </c>
      <c r="BX34" s="100">
        <v>5.1993957220642724</v>
      </c>
      <c r="BY34" s="100">
        <v>2851.348613980047</v>
      </c>
      <c r="BZ34" s="100">
        <v>15</v>
      </c>
      <c r="CA34" s="100">
        <v>8226</v>
      </c>
      <c r="CB34" s="100">
        <v>12</v>
      </c>
      <c r="CC34" s="100">
        <v>6580.7999999999993</v>
      </c>
      <c r="CD34" s="100">
        <v>16</v>
      </c>
      <c r="CE34" s="100">
        <v>8774.4</v>
      </c>
      <c r="CF34" s="100">
        <v>22</v>
      </c>
      <c r="CG34" s="100">
        <v>12064.8</v>
      </c>
      <c r="CH34" s="100">
        <v>23</v>
      </c>
      <c r="CI34" s="100">
        <v>12613.199999999999</v>
      </c>
      <c r="CJ34" s="100">
        <v>14</v>
      </c>
      <c r="CK34" s="100">
        <v>7677.5999999999995</v>
      </c>
      <c r="CL34" s="100">
        <v>18</v>
      </c>
      <c r="CM34" s="100">
        <v>9871.1999999999989</v>
      </c>
      <c r="CN34" s="100">
        <v>19</v>
      </c>
      <c r="CO34" s="100">
        <v>10419.6</v>
      </c>
      <c r="CP34" s="100">
        <v>1.0393660237653153</v>
      </c>
      <c r="CQ34" s="100">
        <v>569.98832743289893</v>
      </c>
      <c r="CR34" s="100">
        <v>15.412946381170924</v>
      </c>
      <c r="CS34" s="100">
        <v>8452.4597954341352</v>
      </c>
      <c r="CT34" s="100">
        <v>3.1361886268032006E-16</v>
      </c>
      <c r="CU34" s="100">
        <v>1.719885842938875E-13</v>
      </c>
    </row>
    <row r="35" spans="2:99">
      <c r="C35" s="99" t="s">
        <v>201</v>
      </c>
      <c r="D35" s="100">
        <v>21</v>
      </c>
      <c r="E35" s="100">
        <v>10558.799999999997</v>
      </c>
      <c r="F35" s="100">
        <v>15</v>
      </c>
      <c r="G35" s="100">
        <v>7541.9999999999982</v>
      </c>
      <c r="H35" s="100">
        <v>13</v>
      </c>
      <c r="I35" s="100">
        <v>6536.3999999999987</v>
      </c>
      <c r="J35" s="100">
        <v>19</v>
      </c>
      <c r="K35" s="100">
        <v>9553.1999999999989</v>
      </c>
      <c r="L35" s="100">
        <v>17</v>
      </c>
      <c r="M35" s="100">
        <v>8547.5999999999985</v>
      </c>
      <c r="N35" s="100">
        <v>11</v>
      </c>
      <c r="O35" s="100">
        <v>5530.7999999999993</v>
      </c>
      <c r="P35" s="100">
        <v>17</v>
      </c>
      <c r="Q35" s="100">
        <v>8547.5999999999985</v>
      </c>
      <c r="R35" s="100">
        <v>12</v>
      </c>
      <c r="S35" s="100">
        <v>6033.5999999999985</v>
      </c>
      <c r="T35" s="100">
        <v>18</v>
      </c>
      <c r="U35" s="100">
        <v>9050.3999999999978</v>
      </c>
      <c r="V35" s="100">
        <v>17</v>
      </c>
      <c r="W35" s="100">
        <v>8547.5999999999985</v>
      </c>
      <c r="X35" s="100">
        <v>10.316991224977487</v>
      </c>
      <c r="Y35" s="100">
        <v>5187.3831879186791</v>
      </c>
      <c r="Z35" s="100">
        <v>17</v>
      </c>
      <c r="AA35" s="100">
        <v>8547.5999999999985</v>
      </c>
      <c r="AB35" s="100">
        <v>16.78720987482134</v>
      </c>
      <c r="AC35" s="100">
        <v>8440.6091250601676</v>
      </c>
      <c r="AD35" s="100">
        <v>10.123216127841504</v>
      </c>
      <c r="AE35" s="100">
        <v>5089.9530690787069</v>
      </c>
      <c r="AF35" s="100">
        <v>12</v>
      </c>
      <c r="AG35" s="100">
        <v>6033.5999999999985</v>
      </c>
      <c r="AH35" s="100">
        <v>13</v>
      </c>
      <c r="AI35" s="100">
        <v>6536.3999999999987</v>
      </c>
      <c r="AJ35" s="100">
        <v>5.8915427954064343</v>
      </c>
      <c r="AK35" s="100">
        <v>2962.2677175303547</v>
      </c>
      <c r="AL35" s="100">
        <v>17</v>
      </c>
      <c r="AM35" s="100">
        <v>8547.5999999999985</v>
      </c>
      <c r="AN35" s="100">
        <v>17</v>
      </c>
      <c r="AO35" s="100">
        <v>8547.5999999999985</v>
      </c>
      <c r="AP35" s="100">
        <v>14</v>
      </c>
      <c r="AQ35" s="100">
        <v>7039.1999999999989</v>
      </c>
      <c r="AR35" s="100">
        <v>15</v>
      </c>
      <c r="AS35" s="100">
        <v>7541.9999999999982</v>
      </c>
      <c r="AT35" s="100">
        <v>18</v>
      </c>
      <c r="AU35" s="100">
        <v>9050.3999999999978</v>
      </c>
      <c r="AV35" s="100">
        <v>23.519989398895138</v>
      </c>
      <c r="AW35" s="100">
        <v>11825.850669764473</v>
      </c>
      <c r="AX35" s="100">
        <v>21</v>
      </c>
      <c r="AY35" s="100">
        <v>10558.799999999997</v>
      </c>
      <c r="AZ35" s="100">
        <v>17</v>
      </c>
      <c r="BA35" s="100">
        <v>8547.5999999999985</v>
      </c>
      <c r="BB35" s="100">
        <v>20.603566670879573</v>
      </c>
      <c r="BC35" s="100">
        <v>10359.473322118247</v>
      </c>
      <c r="BD35" s="100">
        <v>14.249949795214452</v>
      </c>
      <c r="BE35" s="100">
        <v>7164.8747570338246</v>
      </c>
      <c r="BF35" s="100">
        <v>16.53779097462602</v>
      </c>
      <c r="BG35" s="100">
        <v>8315.2013020419618</v>
      </c>
      <c r="BH35" s="100">
        <v>6.7401879221903656</v>
      </c>
      <c r="BI35" s="100">
        <v>3388.9664872773151</v>
      </c>
      <c r="BJ35" s="100">
        <v>20</v>
      </c>
      <c r="BK35" s="100">
        <v>10055.999999999998</v>
      </c>
      <c r="BL35" s="100">
        <v>16</v>
      </c>
      <c r="BM35" s="100">
        <v>8044.7999999999984</v>
      </c>
      <c r="BN35" s="100">
        <v>0.64034964358019819</v>
      </c>
      <c r="BO35" s="100">
        <v>321.96780079212357</v>
      </c>
      <c r="BP35" s="100">
        <v>13</v>
      </c>
      <c r="BQ35" s="100">
        <v>6536.3999999999987</v>
      </c>
      <c r="BR35" s="100">
        <v>12.899130653870955</v>
      </c>
      <c r="BS35" s="100">
        <v>6485.6828927663146</v>
      </c>
      <c r="BT35" s="100">
        <v>20</v>
      </c>
      <c r="BU35" s="100">
        <v>10055.999999999998</v>
      </c>
      <c r="BV35" s="100">
        <v>11.197370901772139</v>
      </c>
      <c r="BW35" s="100">
        <v>5630.0380894110303</v>
      </c>
      <c r="BX35" s="100">
        <v>4.893548914884021</v>
      </c>
      <c r="BY35" s="100">
        <v>2460.4763944036854</v>
      </c>
      <c r="BZ35" s="100">
        <v>15</v>
      </c>
      <c r="CA35" s="100">
        <v>7541.9999999999982</v>
      </c>
      <c r="CB35" s="100">
        <v>11</v>
      </c>
      <c r="CC35" s="100">
        <v>5530.7999999999993</v>
      </c>
      <c r="CD35" s="100">
        <v>16</v>
      </c>
      <c r="CE35" s="100">
        <v>8044.7999999999984</v>
      </c>
      <c r="CF35" s="100">
        <v>21</v>
      </c>
      <c r="CG35" s="100">
        <v>10558.799999999997</v>
      </c>
      <c r="CH35" s="100">
        <v>22</v>
      </c>
      <c r="CI35" s="100">
        <v>11061.599999999999</v>
      </c>
      <c r="CJ35" s="100">
        <v>14</v>
      </c>
      <c r="CK35" s="100">
        <v>7039.1999999999989</v>
      </c>
      <c r="CL35" s="100">
        <v>17</v>
      </c>
      <c r="CM35" s="100">
        <v>8547.5999999999985</v>
      </c>
      <c r="CN35" s="100">
        <v>19</v>
      </c>
      <c r="CO35" s="100">
        <v>9553.1999999999989</v>
      </c>
      <c r="CP35" s="100">
        <v>0.94898636952485327</v>
      </c>
      <c r="CQ35" s="100">
        <v>477.15034659709613</v>
      </c>
      <c r="CR35" s="100">
        <v>17.614795864195344</v>
      </c>
      <c r="CS35" s="100">
        <v>8856.7193605174161</v>
      </c>
      <c r="CT35" s="100">
        <v>2.9401768376280007E-16</v>
      </c>
      <c r="CU35" s="100">
        <v>1.4783209139593585E-13</v>
      </c>
    </row>
    <row r="36" spans="2:99">
      <c r="C36" s="99" t="s">
        <v>202</v>
      </c>
      <c r="D36" s="100">
        <v>20</v>
      </c>
      <c r="E36" s="100">
        <v>15216</v>
      </c>
      <c r="F36" s="100">
        <v>17</v>
      </c>
      <c r="G36" s="100">
        <v>12933.599999999999</v>
      </c>
      <c r="H36" s="100">
        <v>14</v>
      </c>
      <c r="I36" s="100">
        <v>10651.199999999999</v>
      </c>
      <c r="J36" s="100">
        <v>18</v>
      </c>
      <c r="K36" s="100">
        <v>13694.4</v>
      </c>
      <c r="L36" s="100">
        <v>17</v>
      </c>
      <c r="M36" s="100">
        <v>12933.599999999999</v>
      </c>
      <c r="N36" s="100">
        <v>12</v>
      </c>
      <c r="O36" s="100">
        <v>9129.5999999999985</v>
      </c>
      <c r="P36" s="100">
        <v>17</v>
      </c>
      <c r="Q36" s="100">
        <v>12933.599999999999</v>
      </c>
      <c r="R36" s="100">
        <v>11</v>
      </c>
      <c r="S36" s="100">
        <v>8368.7999999999993</v>
      </c>
      <c r="T36" s="100">
        <v>17</v>
      </c>
      <c r="U36" s="100">
        <v>12933.599999999999</v>
      </c>
      <c r="V36" s="100">
        <v>15</v>
      </c>
      <c r="W36" s="100">
        <v>11412</v>
      </c>
      <c r="X36" s="100">
        <v>11.17674049372561</v>
      </c>
      <c r="Y36" s="100">
        <v>8503.2641676264429</v>
      </c>
      <c r="Z36" s="100">
        <v>15</v>
      </c>
      <c r="AA36" s="100">
        <v>11412</v>
      </c>
      <c r="AB36" s="100">
        <v>15.108488887339208</v>
      </c>
      <c r="AC36" s="100">
        <v>11494.538345487668</v>
      </c>
      <c r="AD36" s="100">
        <v>9.1108945150573533</v>
      </c>
      <c r="AE36" s="100">
        <v>6931.5685470556336</v>
      </c>
      <c r="AF36" s="100">
        <v>12</v>
      </c>
      <c r="AG36" s="100">
        <v>9129.5999999999985</v>
      </c>
      <c r="AH36" s="100">
        <v>13</v>
      </c>
      <c r="AI36" s="100">
        <v>9890.4</v>
      </c>
      <c r="AJ36" s="100">
        <v>5.8915427954064343</v>
      </c>
      <c r="AK36" s="100">
        <v>4482.2857587452154</v>
      </c>
      <c r="AL36" s="100">
        <v>17</v>
      </c>
      <c r="AM36" s="100">
        <v>12933.599999999999</v>
      </c>
      <c r="AN36" s="100">
        <v>15</v>
      </c>
      <c r="AO36" s="100">
        <v>11412</v>
      </c>
      <c r="AP36" s="100">
        <v>16</v>
      </c>
      <c r="AQ36" s="100">
        <v>12172.8</v>
      </c>
      <c r="AR36" s="100">
        <v>16</v>
      </c>
      <c r="AS36" s="100">
        <v>12172.8</v>
      </c>
      <c r="AT36" s="100">
        <v>18</v>
      </c>
      <c r="AU36" s="100">
        <v>13694.4</v>
      </c>
      <c r="AV36" s="100">
        <v>22.539989840607841</v>
      </c>
      <c r="AW36" s="100">
        <v>17148.424270734446</v>
      </c>
      <c r="AX36" s="100">
        <v>20</v>
      </c>
      <c r="AY36" s="100">
        <v>15216</v>
      </c>
      <c r="AZ36" s="100">
        <v>15</v>
      </c>
      <c r="BA36" s="100">
        <v>11412</v>
      </c>
      <c r="BB36" s="100">
        <v>19.62244444845674</v>
      </c>
      <c r="BC36" s="100">
        <v>14928.755736385887</v>
      </c>
      <c r="BD36" s="100">
        <v>15.088182136109419</v>
      </c>
      <c r="BE36" s="100">
        <v>11479.088969152044</v>
      </c>
      <c r="BF36" s="100">
        <v>14.884011877163418</v>
      </c>
      <c r="BG36" s="100">
        <v>11323.756236145928</v>
      </c>
      <c r="BH36" s="100">
        <v>6.4192265925622536</v>
      </c>
      <c r="BI36" s="100">
        <v>4883.7475916213625</v>
      </c>
      <c r="BJ36" s="100">
        <v>24</v>
      </c>
      <c r="BK36" s="100">
        <v>18259.199999999997</v>
      </c>
      <c r="BL36" s="100">
        <v>15</v>
      </c>
      <c r="BM36" s="100">
        <v>11412</v>
      </c>
      <c r="BN36" s="100">
        <v>0.64034964358019819</v>
      </c>
      <c r="BO36" s="100">
        <v>487.17800883581475</v>
      </c>
      <c r="BP36" s="100">
        <v>11</v>
      </c>
      <c r="BQ36" s="100">
        <v>8368.7999999999993</v>
      </c>
      <c r="BR36" s="100">
        <v>12.899130653870955</v>
      </c>
      <c r="BS36" s="100">
        <v>9813.658601465022</v>
      </c>
      <c r="BT36" s="100">
        <v>16</v>
      </c>
      <c r="BU36" s="100">
        <v>12172.8</v>
      </c>
      <c r="BV36" s="100">
        <v>11.786706212391724</v>
      </c>
      <c r="BW36" s="100">
        <v>8967.3260863876239</v>
      </c>
      <c r="BX36" s="100">
        <v>5.1993957220642724</v>
      </c>
      <c r="BY36" s="100">
        <v>3955.7002653464983</v>
      </c>
      <c r="BZ36" s="100">
        <v>13</v>
      </c>
      <c r="CA36" s="100">
        <v>9890.4</v>
      </c>
      <c r="CB36" s="100">
        <v>12</v>
      </c>
      <c r="CC36" s="100">
        <v>9129.5999999999985</v>
      </c>
      <c r="CD36" s="100">
        <v>14</v>
      </c>
      <c r="CE36" s="100">
        <v>10651.199999999999</v>
      </c>
      <c r="CF36" s="100">
        <v>22</v>
      </c>
      <c r="CG36" s="100">
        <v>16737.599999999999</v>
      </c>
      <c r="CH36" s="100">
        <v>20</v>
      </c>
      <c r="CI36" s="100">
        <v>15216</v>
      </c>
      <c r="CJ36" s="100">
        <v>16</v>
      </c>
      <c r="CK36" s="100">
        <v>12172.8</v>
      </c>
      <c r="CL36" s="100">
        <v>16</v>
      </c>
      <c r="CM36" s="100">
        <v>12172.8</v>
      </c>
      <c r="CN36" s="100">
        <v>21</v>
      </c>
      <c r="CO36" s="100">
        <v>15976.8</v>
      </c>
      <c r="CP36" s="100">
        <v>1.0845558508855466</v>
      </c>
      <c r="CQ36" s="100">
        <v>825.13009135372386</v>
      </c>
      <c r="CR36" s="100">
        <v>15.412946381170924</v>
      </c>
      <c r="CS36" s="100">
        <v>11726.169606794838</v>
      </c>
      <c r="CT36" s="100">
        <v>2.9401768376280007E-16</v>
      </c>
      <c r="CU36" s="100">
        <v>2.2368865380673827E-13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10</v>
      </c>
      <c r="G37" s="100">
        <v>8604</v>
      </c>
      <c r="H37" s="100">
        <v>10</v>
      </c>
      <c r="I37" s="100">
        <v>8604</v>
      </c>
      <c r="J37" s="100">
        <v>12</v>
      </c>
      <c r="K37" s="100">
        <v>10324.799999999999</v>
      </c>
      <c r="L37" s="100">
        <v>7</v>
      </c>
      <c r="M37" s="100">
        <v>6022.8</v>
      </c>
      <c r="N37" s="100">
        <v>12</v>
      </c>
      <c r="O37" s="100">
        <v>10324.799999999999</v>
      </c>
      <c r="P37" s="100">
        <v>13</v>
      </c>
      <c r="Q37" s="100">
        <v>11185.199999999999</v>
      </c>
      <c r="R37" s="100">
        <v>10</v>
      </c>
      <c r="S37" s="100">
        <v>8604</v>
      </c>
      <c r="T37" s="100">
        <v>9</v>
      </c>
      <c r="U37" s="100">
        <v>7743.5999999999995</v>
      </c>
      <c r="V37" s="100">
        <v>14</v>
      </c>
      <c r="W37" s="100">
        <v>12045.6</v>
      </c>
      <c r="X37" s="100">
        <v>6.8779941499849917</v>
      </c>
      <c r="Y37" s="100">
        <v>5917.8261666470871</v>
      </c>
      <c r="Z37" s="100">
        <v>11</v>
      </c>
      <c r="AA37" s="100">
        <v>9464.4</v>
      </c>
      <c r="AB37" s="100">
        <v>7.5542444436696039</v>
      </c>
      <c r="AC37" s="100">
        <v>6499.6719193333274</v>
      </c>
      <c r="AD37" s="100">
        <v>7.5924120958811283</v>
      </c>
      <c r="AE37" s="100">
        <v>6532.5113672961224</v>
      </c>
      <c r="AF37" s="100">
        <v>12</v>
      </c>
      <c r="AG37" s="100">
        <v>10324.799999999999</v>
      </c>
      <c r="AH37" s="100">
        <v>7</v>
      </c>
      <c r="AI37" s="100">
        <v>6022.8</v>
      </c>
      <c r="AJ37" s="100">
        <v>3.7209743970988005</v>
      </c>
      <c r="AK37" s="100">
        <v>3201.526371263808</v>
      </c>
      <c r="AL37" s="100">
        <v>14</v>
      </c>
      <c r="AM37" s="100">
        <v>12045.6</v>
      </c>
      <c r="AN37" s="100">
        <v>13</v>
      </c>
      <c r="AO37" s="100">
        <v>11185.199999999999</v>
      </c>
      <c r="AP37" s="100">
        <v>13</v>
      </c>
      <c r="AQ37" s="100">
        <v>11185.199999999999</v>
      </c>
      <c r="AR37" s="100">
        <v>11</v>
      </c>
      <c r="AS37" s="100">
        <v>9464.4</v>
      </c>
      <c r="AT37" s="100">
        <v>14</v>
      </c>
      <c r="AU37" s="100">
        <v>12045.6</v>
      </c>
      <c r="AV37" s="100">
        <v>9.7999955828729739</v>
      </c>
      <c r="AW37" s="100">
        <v>8431.9161995039067</v>
      </c>
      <c r="AX37" s="100">
        <v>9</v>
      </c>
      <c r="AY37" s="100">
        <v>7743.5999999999995</v>
      </c>
      <c r="AZ37" s="100">
        <v>12</v>
      </c>
      <c r="BA37" s="100">
        <v>10324.799999999999</v>
      </c>
      <c r="BB37" s="100">
        <v>13.735711113919715</v>
      </c>
      <c r="BC37" s="100">
        <v>11818.205842416523</v>
      </c>
      <c r="BD37" s="100">
        <v>9.2205557498446442</v>
      </c>
      <c r="BE37" s="100">
        <v>7933.3661671663313</v>
      </c>
      <c r="BF37" s="100">
        <v>7.4420059385817092</v>
      </c>
      <c r="BG37" s="100">
        <v>6403.1019095557022</v>
      </c>
      <c r="BH37" s="100">
        <v>2.5676906370249015</v>
      </c>
      <c r="BI37" s="100">
        <v>2209.2410240962254</v>
      </c>
      <c r="BJ37" s="100">
        <v>13</v>
      </c>
      <c r="BK37" s="100">
        <v>11185.199999999999</v>
      </c>
      <c r="BL37" s="100">
        <v>15</v>
      </c>
      <c r="BM37" s="100">
        <v>12906</v>
      </c>
      <c r="BN37" s="100">
        <v>0.49804972278459858</v>
      </c>
      <c r="BO37" s="100">
        <v>428.52198148386861</v>
      </c>
      <c r="BP37" s="100">
        <v>8</v>
      </c>
      <c r="BQ37" s="100">
        <v>6883.2</v>
      </c>
      <c r="BR37" s="100">
        <v>8.930167375756815</v>
      </c>
      <c r="BS37" s="100">
        <v>7683.5160101011634</v>
      </c>
      <c r="BT37" s="100">
        <v>14</v>
      </c>
      <c r="BU37" s="100">
        <v>12045.6</v>
      </c>
      <c r="BV37" s="100">
        <v>4.7146824849566897</v>
      </c>
      <c r="BW37" s="100">
        <v>4056.5128100567358</v>
      </c>
      <c r="BX37" s="100">
        <v>4.2818553005235174</v>
      </c>
      <c r="BY37" s="100">
        <v>3684.108300570434</v>
      </c>
      <c r="BZ37" s="100">
        <v>13</v>
      </c>
      <c r="CA37" s="100">
        <v>11185.199999999999</v>
      </c>
      <c r="CB37" s="100">
        <v>12</v>
      </c>
      <c r="CC37" s="100">
        <v>10324.799999999999</v>
      </c>
      <c r="CD37" s="100">
        <v>8</v>
      </c>
      <c r="CE37" s="100">
        <v>6883.2</v>
      </c>
      <c r="CF37" s="100">
        <v>11</v>
      </c>
      <c r="CG37" s="100">
        <v>9464.4</v>
      </c>
      <c r="CH37" s="100">
        <v>14</v>
      </c>
      <c r="CI37" s="100">
        <v>12045.6</v>
      </c>
      <c r="CJ37" s="100">
        <v>11</v>
      </c>
      <c r="CK37" s="100">
        <v>9464.4</v>
      </c>
      <c r="CL37" s="100">
        <v>13</v>
      </c>
      <c r="CM37" s="100">
        <v>11185.199999999999</v>
      </c>
      <c r="CN37" s="100">
        <v>12</v>
      </c>
      <c r="CO37" s="100">
        <v>10324.799999999999</v>
      </c>
      <c r="CP37" s="100">
        <v>0.36151861696184884</v>
      </c>
      <c r="CQ37" s="100">
        <v>311.05061803397473</v>
      </c>
      <c r="CR37" s="100">
        <v>9.5413477597724778</v>
      </c>
      <c r="CS37" s="100">
        <v>8209.37561250824</v>
      </c>
      <c r="CT37" s="100">
        <v>2.5481532592776005E-16</v>
      </c>
      <c r="CU37" s="100">
        <v>2.1924310642824473E-13</v>
      </c>
    </row>
    <row r="38" spans="2:99">
      <c r="C38" s="99" t="s">
        <v>204</v>
      </c>
      <c r="D38" s="100">
        <v>10</v>
      </c>
      <c r="E38" s="100">
        <v>12420</v>
      </c>
      <c r="F38" s="100">
        <v>10</v>
      </c>
      <c r="G38" s="100">
        <v>12420</v>
      </c>
      <c r="H38" s="100">
        <v>9</v>
      </c>
      <c r="I38" s="100">
        <v>11178</v>
      </c>
      <c r="J38" s="100">
        <v>12</v>
      </c>
      <c r="K38" s="100">
        <v>14904</v>
      </c>
      <c r="L38" s="100">
        <v>7</v>
      </c>
      <c r="M38" s="100">
        <v>8694</v>
      </c>
      <c r="N38" s="100">
        <v>12</v>
      </c>
      <c r="O38" s="100">
        <v>14904</v>
      </c>
      <c r="P38" s="100">
        <v>13</v>
      </c>
      <c r="Q38" s="100">
        <v>16146</v>
      </c>
      <c r="R38" s="100">
        <v>10</v>
      </c>
      <c r="S38" s="100">
        <v>12420</v>
      </c>
      <c r="T38" s="100">
        <v>10</v>
      </c>
      <c r="U38" s="100">
        <v>12420</v>
      </c>
      <c r="V38" s="100">
        <v>13</v>
      </c>
      <c r="W38" s="100">
        <v>16146</v>
      </c>
      <c r="X38" s="100">
        <v>6.0182448812368676</v>
      </c>
      <c r="Y38" s="100">
        <v>7474.66014249619</v>
      </c>
      <c r="Z38" s="100">
        <v>10</v>
      </c>
      <c r="AA38" s="100">
        <v>12420</v>
      </c>
      <c r="AB38" s="100">
        <v>8.3936049374106698</v>
      </c>
      <c r="AC38" s="100">
        <v>10424.857332264051</v>
      </c>
      <c r="AD38" s="100">
        <v>6.5800904830969769</v>
      </c>
      <c r="AE38" s="100">
        <v>8172.4723800064448</v>
      </c>
      <c r="AF38" s="100">
        <v>13</v>
      </c>
      <c r="AG38" s="100">
        <v>16146</v>
      </c>
      <c r="AH38" s="100">
        <v>8</v>
      </c>
      <c r="AI38" s="100">
        <v>9936</v>
      </c>
      <c r="AJ38" s="100">
        <v>3.4108931973405672</v>
      </c>
      <c r="AK38" s="100">
        <v>4236.3293510969843</v>
      </c>
      <c r="AL38" s="100">
        <v>13</v>
      </c>
      <c r="AM38" s="100">
        <v>16146</v>
      </c>
      <c r="AN38" s="100">
        <v>13</v>
      </c>
      <c r="AO38" s="100">
        <v>16146</v>
      </c>
      <c r="AP38" s="100">
        <v>14</v>
      </c>
      <c r="AQ38" s="100">
        <v>17388</v>
      </c>
      <c r="AR38" s="100">
        <v>12</v>
      </c>
      <c r="AS38" s="100">
        <v>14904</v>
      </c>
      <c r="AT38" s="100">
        <v>16</v>
      </c>
      <c r="AU38" s="100">
        <v>19872</v>
      </c>
      <c r="AV38" s="100">
        <v>10.779995141160272</v>
      </c>
      <c r="AW38" s="100">
        <v>13388.753965321059</v>
      </c>
      <c r="AX38" s="100">
        <v>8</v>
      </c>
      <c r="AY38" s="100">
        <v>9936</v>
      </c>
      <c r="AZ38" s="100">
        <v>10</v>
      </c>
      <c r="BA38" s="100">
        <v>12420</v>
      </c>
      <c r="BB38" s="100">
        <v>13.735711113919715</v>
      </c>
      <c r="BC38" s="100">
        <v>17059.753203488286</v>
      </c>
      <c r="BD38" s="100">
        <v>9.2205557498446442</v>
      </c>
      <c r="BE38" s="100">
        <v>11451.930241307047</v>
      </c>
      <c r="BF38" s="100">
        <v>8.2688954873130101</v>
      </c>
      <c r="BG38" s="100">
        <v>10269.968195242758</v>
      </c>
      <c r="BH38" s="100">
        <v>2.5676906370249015</v>
      </c>
      <c r="BI38" s="100">
        <v>3189.0717711849279</v>
      </c>
      <c r="BJ38" s="100">
        <v>12</v>
      </c>
      <c r="BK38" s="100">
        <v>14904</v>
      </c>
      <c r="BL38" s="100">
        <v>15</v>
      </c>
      <c r="BM38" s="100">
        <v>18630</v>
      </c>
      <c r="BN38" s="100">
        <v>0.53362470298349851</v>
      </c>
      <c r="BO38" s="100">
        <v>662.76188110550515</v>
      </c>
      <c r="BP38" s="100">
        <v>8</v>
      </c>
      <c r="BQ38" s="100">
        <v>9936</v>
      </c>
      <c r="BR38" s="100">
        <v>7.9379265562282804</v>
      </c>
      <c r="BS38" s="100">
        <v>9858.9047828355251</v>
      </c>
      <c r="BT38" s="100">
        <v>13</v>
      </c>
      <c r="BU38" s="100">
        <v>16146</v>
      </c>
      <c r="BV38" s="100">
        <v>4.1253471743371044</v>
      </c>
      <c r="BW38" s="100">
        <v>5123.6811905266841</v>
      </c>
      <c r="BX38" s="100">
        <v>4.893548914884021</v>
      </c>
      <c r="BY38" s="100">
        <v>6077.7877522859544</v>
      </c>
      <c r="BZ38" s="100">
        <v>12</v>
      </c>
      <c r="CA38" s="100">
        <v>14904</v>
      </c>
      <c r="CB38" s="100">
        <v>13</v>
      </c>
      <c r="CC38" s="100">
        <v>16146</v>
      </c>
      <c r="CD38" s="100">
        <v>8</v>
      </c>
      <c r="CE38" s="100">
        <v>9936</v>
      </c>
      <c r="CF38" s="100">
        <v>10</v>
      </c>
      <c r="CG38" s="100">
        <v>12420</v>
      </c>
      <c r="CH38" s="100">
        <v>13</v>
      </c>
      <c r="CI38" s="100">
        <v>16146</v>
      </c>
      <c r="CJ38" s="100">
        <v>11</v>
      </c>
      <c r="CK38" s="100">
        <v>13662</v>
      </c>
      <c r="CL38" s="100">
        <v>12</v>
      </c>
      <c r="CM38" s="100">
        <v>14904</v>
      </c>
      <c r="CN38" s="100">
        <v>10</v>
      </c>
      <c r="CO38" s="100">
        <v>12420</v>
      </c>
      <c r="CP38" s="100">
        <v>0.31632878984161777</v>
      </c>
      <c r="CQ38" s="100">
        <v>392.88035698328929</v>
      </c>
      <c r="CR38" s="100">
        <v>9.5413477597724778</v>
      </c>
      <c r="CS38" s="100">
        <v>11850.353917637418</v>
      </c>
      <c r="CT38" s="100">
        <v>2.3521414701024007E-16</v>
      </c>
      <c r="CU38" s="100">
        <v>2.9213597058671815E-13</v>
      </c>
    </row>
    <row r="39" spans="2:99">
      <c r="C39" s="99" t="s">
        <v>205</v>
      </c>
      <c r="D39" s="100">
        <v>10</v>
      </c>
      <c r="E39" s="100">
        <v>14232</v>
      </c>
      <c r="F39" s="100">
        <v>9</v>
      </c>
      <c r="G39" s="100">
        <v>12808.800000000001</v>
      </c>
      <c r="H39" s="100">
        <v>9</v>
      </c>
      <c r="I39" s="100">
        <v>12808.800000000001</v>
      </c>
      <c r="J39" s="100">
        <v>11</v>
      </c>
      <c r="K39" s="100">
        <v>15655.2</v>
      </c>
      <c r="L39" s="100">
        <v>8</v>
      </c>
      <c r="M39" s="100">
        <v>11385.6</v>
      </c>
      <c r="N39" s="100">
        <v>11</v>
      </c>
      <c r="O39" s="100">
        <v>15655.2</v>
      </c>
      <c r="P39" s="100">
        <v>12</v>
      </c>
      <c r="Q39" s="100">
        <v>17078.400000000001</v>
      </c>
      <c r="R39" s="100">
        <v>10</v>
      </c>
      <c r="S39" s="100">
        <v>14232</v>
      </c>
      <c r="T39" s="100">
        <v>10</v>
      </c>
      <c r="U39" s="100">
        <v>14232</v>
      </c>
      <c r="V39" s="100">
        <v>13</v>
      </c>
      <c r="W39" s="100">
        <v>18501.600000000002</v>
      </c>
      <c r="X39" s="100">
        <v>6.8779941499849917</v>
      </c>
      <c r="Y39" s="100">
        <v>9788.7612742586407</v>
      </c>
      <c r="Z39" s="100">
        <v>9</v>
      </c>
      <c r="AA39" s="100">
        <v>12808.800000000001</v>
      </c>
      <c r="AB39" s="100">
        <v>7.5542444436696039</v>
      </c>
      <c r="AC39" s="100">
        <v>10751.200692230581</v>
      </c>
      <c r="AD39" s="100">
        <v>7.5924120958811283</v>
      </c>
      <c r="AE39" s="100">
        <v>10805.520894858022</v>
      </c>
      <c r="AF39" s="100">
        <v>12</v>
      </c>
      <c r="AG39" s="100">
        <v>17078.400000000001</v>
      </c>
      <c r="AH39" s="100">
        <v>8</v>
      </c>
      <c r="AI39" s="100">
        <v>11385.6</v>
      </c>
      <c r="AJ39" s="100">
        <v>3.1008119975823338</v>
      </c>
      <c r="AK39" s="100">
        <v>4413.0756349591775</v>
      </c>
      <c r="AL39" s="100">
        <v>12</v>
      </c>
      <c r="AM39" s="100">
        <v>17078.400000000001</v>
      </c>
      <c r="AN39" s="100">
        <v>11</v>
      </c>
      <c r="AO39" s="100">
        <v>15655.2</v>
      </c>
      <c r="AP39" s="100">
        <v>12</v>
      </c>
      <c r="AQ39" s="100">
        <v>17078.400000000001</v>
      </c>
      <c r="AR39" s="100">
        <v>11</v>
      </c>
      <c r="AS39" s="100">
        <v>15655.2</v>
      </c>
      <c r="AT39" s="100">
        <v>14</v>
      </c>
      <c r="AU39" s="100">
        <v>19924.8</v>
      </c>
      <c r="AV39" s="100">
        <v>9.7999955828729739</v>
      </c>
      <c r="AW39" s="100">
        <v>13947.353713544817</v>
      </c>
      <c r="AX39" s="100">
        <v>7</v>
      </c>
      <c r="AY39" s="100">
        <v>9962.4</v>
      </c>
      <c r="AZ39" s="100">
        <v>11</v>
      </c>
      <c r="BA39" s="100">
        <v>15655.2</v>
      </c>
      <c r="BB39" s="100">
        <v>12.754588891496878</v>
      </c>
      <c r="BC39" s="100">
        <v>18152.330910378358</v>
      </c>
      <c r="BD39" s="100">
        <v>7.5440910680547093</v>
      </c>
      <c r="BE39" s="100">
        <v>10736.750408055463</v>
      </c>
      <c r="BF39" s="100">
        <v>6.6151163898504084</v>
      </c>
      <c r="BG39" s="100">
        <v>9414.6336460351013</v>
      </c>
      <c r="BH39" s="100">
        <v>2.2467293073967887</v>
      </c>
      <c r="BI39" s="100">
        <v>3197.5451502871097</v>
      </c>
      <c r="BJ39" s="100">
        <v>13</v>
      </c>
      <c r="BK39" s="100">
        <v>18501.600000000002</v>
      </c>
      <c r="BL39" s="100">
        <v>15</v>
      </c>
      <c r="BM39" s="100">
        <v>21348</v>
      </c>
      <c r="BN39" s="100">
        <v>0.49804972278459858</v>
      </c>
      <c r="BO39" s="100">
        <v>708.82436546704071</v>
      </c>
      <c r="BP39" s="100">
        <v>9</v>
      </c>
      <c r="BQ39" s="100">
        <v>12808.800000000001</v>
      </c>
      <c r="BR39" s="100">
        <v>7.9379265562282804</v>
      </c>
      <c r="BS39" s="100">
        <v>11297.257074824089</v>
      </c>
      <c r="BT39" s="100">
        <v>13</v>
      </c>
      <c r="BU39" s="100">
        <v>18501.600000000002</v>
      </c>
      <c r="BV39" s="100">
        <v>4.1253471743371044</v>
      </c>
      <c r="BW39" s="100">
        <v>5871.1940985165675</v>
      </c>
      <c r="BX39" s="100">
        <v>4.2818553005235174</v>
      </c>
      <c r="BY39" s="100">
        <v>6093.9364637050703</v>
      </c>
      <c r="BZ39" s="100">
        <v>12</v>
      </c>
      <c r="CA39" s="100">
        <v>17078.400000000001</v>
      </c>
      <c r="CB39" s="100">
        <v>12</v>
      </c>
      <c r="CC39" s="100">
        <v>17078.400000000001</v>
      </c>
      <c r="CD39" s="100">
        <v>9</v>
      </c>
      <c r="CE39" s="100">
        <v>12808.800000000001</v>
      </c>
      <c r="CF39" s="100">
        <v>11</v>
      </c>
      <c r="CG39" s="100">
        <v>15655.2</v>
      </c>
      <c r="CH39" s="100">
        <v>13</v>
      </c>
      <c r="CI39" s="100">
        <v>18501.600000000002</v>
      </c>
      <c r="CJ39" s="100">
        <v>11</v>
      </c>
      <c r="CK39" s="100">
        <v>15655.2</v>
      </c>
      <c r="CL39" s="100">
        <v>12</v>
      </c>
      <c r="CM39" s="100">
        <v>17078.400000000001</v>
      </c>
      <c r="CN39" s="100">
        <v>10</v>
      </c>
      <c r="CO39" s="100">
        <v>14232</v>
      </c>
      <c r="CP39" s="100">
        <v>0.31632878984161777</v>
      </c>
      <c r="CQ39" s="100">
        <v>450.19913370259042</v>
      </c>
      <c r="CR39" s="100">
        <v>11.00924741512209</v>
      </c>
      <c r="CS39" s="100">
        <v>15668.360921201758</v>
      </c>
      <c r="CT39" s="100">
        <v>2.1561296809272006E-16</v>
      </c>
      <c r="CU39" s="100">
        <v>3.0686037618955921E-13</v>
      </c>
    </row>
    <row r="40" spans="2:99">
      <c r="C40" s="99" t="s">
        <v>206</v>
      </c>
      <c r="D40" s="100">
        <v>10</v>
      </c>
      <c r="E40" s="100">
        <v>7248</v>
      </c>
      <c r="F40" s="100">
        <v>10</v>
      </c>
      <c r="G40" s="100">
        <v>7248</v>
      </c>
      <c r="H40" s="100">
        <v>11</v>
      </c>
      <c r="I40" s="100">
        <v>7972.7999999999993</v>
      </c>
      <c r="J40" s="100">
        <v>13</v>
      </c>
      <c r="K40" s="100">
        <v>9422.4</v>
      </c>
      <c r="L40" s="100">
        <v>8</v>
      </c>
      <c r="M40" s="100">
        <v>5798.4</v>
      </c>
      <c r="N40" s="100">
        <v>13</v>
      </c>
      <c r="O40" s="100">
        <v>9422.4</v>
      </c>
      <c r="P40" s="100">
        <v>14</v>
      </c>
      <c r="Q40" s="100">
        <v>10147.199999999999</v>
      </c>
      <c r="R40" s="100">
        <v>10</v>
      </c>
      <c r="S40" s="100">
        <v>7248</v>
      </c>
      <c r="T40" s="100">
        <v>9</v>
      </c>
      <c r="U40" s="100">
        <v>6523.2</v>
      </c>
      <c r="V40" s="100">
        <v>14</v>
      </c>
      <c r="W40" s="100">
        <v>10147.199999999999</v>
      </c>
      <c r="X40" s="100">
        <v>6.8779941499849917</v>
      </c>
      <c r="Y40" s="100">
        <v>4985.170159909122</v>
      </c>
      <c r="Z40" s="100">
        <v>10</v>
      </c>
      <c r="AA40" s="100">
        <v>7248</v>
      </c>
      <c r="AB40" s="100">
        <v>7.5542444436696039</v>
      </c>
      <c r="AC40" s="100">
        <v>5475.3163727717283</v>
      </c>
      <c r="AD40" s="100">
        <v>7.086251289489053</v>
      </c>
      <c r="AE40" s="100">
        <v>5136.1149346216653</v>
      </c>
      <c r="AF40" s="100">
        <v>12</v>
      </c>
      <c r="AG40" s="100">
        <v>8697.5999999999985</v>
      </c>
      <c r="AH40" s="100">
        <v>8</v>
      </c>
      <c r="AI40" s="100">
        <v>5798.4</v>
      </c>
      <c r="AJ40" s="100">
        <v>3.7209743970988005</v>
      </c>
      <c r="AK40" s="100">
        <v>2696.9622430172103</v>
      </c>
      <c r="AL40" s="100">
        <v>14</v>
      </c>
      <c r="AM40" s="100">
        <v>10147.199999999999</v>
      </c>
      <c r="AN40" s="100">
        <v>11</v>
      </c>
      <c r="AO40" s="100">
        <v>7972.7999999999993</v>
      </c>
      <c r="AP40" s="100">
        <v>12</v>
      </c>
      <c r="AQ40" s="100">
        <v>8697.5999999999985</v>
      </c>
      <c r="AR40" s="100">
        <v>12</v>
      </c>
      <c r="AS40" s="100">
        <v>8697.5999999999985</v>
      </c>
      <c r="AT40" s="100">
        <v>14</v>
      </c>
      <c r="AU40" s="100">
        <v>10147.199999999999</v>
      </c>
      <c r="AV40" s="100">
        <v>10.779995141160272</v>
      </c>
      <c r="AW40" s="100">
        <v>7813.3404783129645</v>
      </c>
      <c r="AX40" s="100">
        <v>9</v>
      </c>
      <c r="AY40" s="100">
        <v>6523.2</v>
      </c>
      <c r="AZ40" s="100">
        <v>11</v>
      </c>
      <c r="BA40" s="100">
        <v>7972.7999999999993</v>
      </c>
      <c r="BB40" s="100">
        <v>13.735711113919715</v>
      </c>
      <c r="BC40" s="100">
        <v>9955.6434153690079</v>
      </c>
      <c r="BD40" s="100">
        <v>8.3823234089496772</v>
      </c>
      <c r="BE40" s="100">
        <v>6075.5080068067255</v>
      </c>
      <c r="BF40" s="100">
        <v>7.4420059385817092</v>
      </c>
      <c r="BG40" s="100">
        <v>5393.9659042840221</v>
      </c>
      <c r="BH40" s="100">
        <v>2.2467293073967887</v>
      </c>
      <c r="BI40" s="100">
        <v>1628.4294020011923</v>
      </c>
      <c r="BJ40" s="100">
        <v>13</v>
      </c>
      <c r="BK40" s="100">
        <v>9422.4</v>
      </c>
      <c r="BL40" s="100">
        <v>16</v>
      </c>
      <c r="BM40" s="100">
        <v>11596.8</v>
      </c>
      <c r="BN40" s="100">
        <v>0.60477466338129826</v>
      </c>
      <c r="BO40" s="100">
        <v>438.34067601876495</v>
      </c>
      <c r="BP40" s="100">
        <v>9</v>
      </c>
      <c r="BQ40" s="100">
        <v>6523.2</v>
      </c>
      <c r="BR40" s="100">
        <v>8.930167375756815</v>
      </c>
      <c r="BS40" s="100">
        <v>6472.5853139485389</v>
      </c>
      <c r="BT40" s="100">
        <v>13</v>
      </c>
      <c r="BU40" s="100">
        <v>9422.4</v>
      </c>
      <c r="BV40" s="100">
        <v>4.7146824849566897</v>
      </c>
      <c r="BW40" s="100">
        <v>3417.2018650966083</v>
      </c>
      <c r="BX40" s="100">
        <v>4.5877021077037696</v>
      </c>
      <c r="BY40" s="100">
        <v>3325.1664876636919</v>
      </c>
      <c r="BZ40" s="100">
        <v>13</v>
      </c>
      <c r="CA40" s="100">
        <v>9422.4</v>
      </c>
      <c r="CB40" s="100">
        <v>14</v>
      </c>
      <c r="CC40" s="100">
        <v>10147.199999999999</v>
      </c>
      <c r="CD40" s="100">
        <v>9</v>
      </c>
      <c r="CE40" s="100">
        <v>6523.2</v>
      </c>
      <c r="CF40" s="100">
        <v>10</v>
      </c>
      <c r="CG40" s="100">
        <v>7248</v>
      </c>
      <c r="CH40" s="100">
        <v>14</v>
      </c>
      <c r="CI40" s="100">
        <v>10147.199999999999</v>
      </c>
      <c r="CJ40" s="100">
        <v>10</v>
      </c>
      <c r="CK40" s="100">
        <v>7248</v>
      </c>
      <c r="CL40" s="100">
        <v>13</v>
      </c>
      <c r="CM40" s="100">
        <v>9422.4</v>
      </c>
      <c r="CN40" s="100">
        <v>11</v>
      </c>
      <c r="CO40" s="100">
        <v>7972.7999999999993</v>
      </c>
      <c r="CP40" s="100">
        <v>0.36151861696184884</v>
      </c>
      <c r="CQ40" s="100">
        <v>262.02869357394803</v>
      </c>
      <c r="CR40" s="100">
        <v>11.743197242796894</v>
      </c>
      <c r="CS40" s="100">
        <v>8511.4693615791875</v>
      </c>
      <c r="CT40" s="100">
        <v>2.1561296809272006E-16</v>
      </c>
      <c r="CU40" s="100">
        <v>1.5627627927360348E-13</v>
      </c>
    </row>
    <row r="41" spans="2:99">
      <c r="C41" s="99" t="s">
        <v>207</v>
      </c>
      <c r="D41" s="100">
        <v>10</v>
      </c>
      <c r="E41" s="100">
        <v>6600</v>
      </c>
      <c r="F41" s="100">
        <v>10</v>
      </c>
      <c r="G41" s="100">
        <v>6600</v>
      </c>
      <c r="H41" s="100">
        <v>10</v>
      </c>
      <c r="I41" s="100">
        <v>6600</v>
      </c>
      <c r="J41" s="100">
        <v>12</v>
      </c>
      <c r="K41" s="100">
        <v>7920</v>
      </c>
      <c r="L41" s="100">
        <v>8</v>
      </c>
      <c r="M41" s="100">
        <v>5280</v>
      </c>
      <c r="N41" s="100">
        <v>14</v>
      </c>
      <c r="O41" s="100">
        <v>9240</v>
      </c>
      <c r="P41" s="100">
        <v>13</v>
      </c>
      <c r="Q41" s="100">
        <v>8580</v>
      </c>
      <c r="R41" s="100">
        <v>10</v>
      </c>
      <c r="S41" s="100">
        <v>6600</v>
      </c>
      <c r="T41" s="100">
        <v>10</v>
      </c>
      <c r="U41" s="100">
        <v>6600</v>
      </c>
      <c r="V41" s="100">
        <v>15</v>
      </c>
      <c r="W41" s="100">
        <v>9900</v>
      </c>
      <c r="X41" s="100">
        <v>6.0182448812368676</v>
      </c>
      <c r="Y41" s="100">
        <v>3972.0416216163326</v>
      </c>
      <c r="Z41" s="100">
        <v>11</v>
      </c>
      <c r="AA41" s="100">
        <v>7260</v>
      </c>
      <c r="AB41" s="100">
        <v>7.5542444436696039</v>
      </c>
      <c r="AC41" s="100">
        <v>4985.8013328219386</v>
      </c>
      <c r="AD41" s="100">
        <v>7.086251289489053</v>
      </c>
      <c r="AE41" s="100">
        <v>4676.9258510627751</v>
      </c>
      <c r="AF41" s="100">
        <v>13</v>
      </c>
      <c r="AG41" s="100">
        <v>8580</v>
      </c>
      <c r="AH41" s="100">
        <v>9</v>
      </c>
      <c r="AI41" s="100">
        <v>5940</v>
      </c>
      <c r="AJ41" s="100">
        <v>3.4108931973405672</v>
      </c>
      <c r="AK41" s="100">
        <v>2251.1895102447743</v>
      </c>
      <c r="AL41" s="100">
        <v>13</v>
      </c>
      <c r="AM41" s="100">
        <v>8580</v>
      </c>
      <c r="AN41" s="100">
        <v>13</v>
      </c>
      <c r="AO41" s="100">
        <v>8580</v>
      </c>
      <c r="AP41" s="100">
        <v>14</v>
      </c>
      <c r="AQ41" s="100">
        <v>9240</v>
      </c>
      <c r="AR41" s="100">
        <v>12</v>
      </c>
      <c r="AS41" s="100">
        <v>7920</v>
      </c>
      <c r="AT41" s="100">
        <v>15</v>
      </c>
      <c r="AU41" s="100">
        <v>9900</v>
      </c>
      <c r="AV41" s="100">
        <v>10.779995141160272</v>
      </c>
      <c r="AW41" s="100">
        <v>7114.7967931657795</v>
      </c>
      <c r="AX41" s="100">
        <v>9</v>
      </c>
      <c r="AY41" s="100">
        <v>5940</v>
      </c>
      <c r="AZ41" s="100">
        <v>11</v>
      </c>
      <c r="BA41" s="100">
        <v>7260</v>
      </c>
      <c r="BB41" s="100">
        <v>14.716833336342553</v>
      </c>
      <c r="BC41" s="100">
        <v>9713.110001986086</v>
      </c>
      <c r="BD41" s="100">
        <v>9.2205557498446442</v>
      </c>
      <c r="BE41" s="100">
        <v>6085.5667948974651</v>
      </c>
      <c r="BF41" s="100">
        <v>8.2688954873130101</v>
      </c>
      <c r="BG41" s="100">
        <v>5457.4710216265867</v>
      </c>
      <c r="BH41" s="100">
        <v>2.2467293073967887</v>
      </c>
      <c r="BI41" s="100">
        <v>1482.8413428818806</v>
      </c>
      <c r="BJ41" s="100">
        <v>14</v>
      </c>
      <c r="BK41" s="100">
        <v>9240</v>
      </c>
      <c r="BL41" s="100">
        <v>16</v>
      </c>
      <c r="BM41" s="100">
        <v>10560</v>
      </c>
      <c r="BN41" s="100">
        <v>0.56919968318239833</v>
      </c>
      <c r="BO41" s="100">
        <v>375.67179090038292</v>
      </c>
      <c r="BP41" s="100">
        <v>9</v>
      </c>
      <c r="BQ41" s="100">
        <v>5940</v>
      </c>
      <c r="BR41" s="100">
        <v>8.930167375756815</v>
      </c>
      <c r="BS41" s="100">
        <v>5893.910467999498</v>
      </c>
      <c r="BT41" s="100">
        <v>13</v>
      </c>
      <c r="BU41" s="100">
        <v>8580</v>
      </c>
      <c r="BV41" s="100">
        <v>4.7146824849566897</v>
      </c>
      <c r="BW41" s="100">
        <v>3111.6904400714152</v>
      </c>
      <c r="BX41" s="100">
        <v>4.5877021077037696</v>
      </c>
      <c r="BY41" s="100">
        <v>3027.8833910844878</v>
      </c>
      <c r="BZ41" s="100">
        <v>14</v>
      </c>
      <c r="CA41" s="100">
        <v>9240</v>
      </c>
      <c r="CB41" s="100">
        <v>13</v>
      </c>
      <c r="CC41" s="100">
        <v>8580</v>
      </c>
      <c r="CD41" s="100">
        <v>9</v>
      </c>
      <c r="CE41" s="100">
        <v>5940</v>
      </c>
      <c r="CF41" s="100">
        <v>11</v>
      </c>
      <c r="CG41" s="100">
        <v>7260</v>
      </c>
      <c r="CH41" s="100">
        <v>13</v>
      </c>
      <c r="CI41" s="100">
        <v>8580</v>
      </c>
      <c r="CJ41" s="100">
        <v>11</v>
      </c>
      <c r="CK41" s="100">
        <v>7260</v>
      </c>
      <c r="CL41" s="100">
        <v>12</v>
      </c>
      <c r="CM41" s="100">
        <v>7920</v>
      </c>
      <c r="CN41" s="100">
        <v>12</v>
      </c>
      <c r="CO41" s="100">
        <v>7920</v>
      </c>
      <c r="CP41" s="100">
        <v>0.31632878984161777</v>
      </c>
      <c r="CQ41" s="100">
        <v>208.77700129546773</v>
      </c>
      <c r="CR41" s="100">
        <v>11.00924741512209</v>
      </c>
      <c r="CS41" s="100">
        <v>7266.1032939805791</v>
      </c>
      <c r="CT41" s="100">
        <v>2.3521414701024007E-16</v>
      </c>
      <c r="CU41" s="100">
        <v>1.5524133702675845E-13</v>
      </c>
    </row>
    <row r="42" spans="2:99">
      <c r="C42" s="99" t="s">
        <v>208</v>
      </c>
      <c r="D42" s="100">
        <v>11</v>
      </c>
      <c r="E42" s="100">
        <v>9306</v>
      </c>
      <c r="F42" s="100">
        <v>9</v>
      </c>
      <c r="G42" s="100">
        <v>7614</v>
      </c>
      <c r="H42" s="100">
        <v>10</v>
      </c>
      <c r="I42" s="100">
        <v>8460</v>
      </c>
      <c r="J42" s="100">
        <v>11</v>
      </c>
      <c r="K42" s="100">
        <v>9306</v>
      </c>
      <c r="L42" s="100">
        <v>8</v>
      </c>
      <c r="M42" s="100">
        <v>6768</v>
      </c>
      <c r="N42" s="100">
        <v>13</v>
      </c>
      <c r="O42" s="100">
        <v>10998</v>
      </c>
      <c r="P42" s="100">
        <v>12</v>
      </c>
      <c r="Q42" s="100">
        <v>10152</v>
      </c>
      <c r="R42" s="100">
        <v>10</v>
      </c>
      <c r="S42" s="100">
        <v>8460</v>
      </c>
      <c r="T42" s="100">
        <v>9</v>
      </c>
      <c r="U42" s="100">
        <v>7614</v>
      </c>
      <c r="V42" s="100">
        <v>15</v>
      </c>
      <c r="W42" s="100">
        <v>12690</v>
      </c>
      <c r="X42" s="100">
        <v>6.8779941499849917</v>
      </c>
      <c r="Y42" s="100">
        <v>5818.783050887303</v>
      </c>
      <c r="Z42" s="100">
        <v>10</v>
      </c>
      <c r="AA42" s="100">
        <v>8460</v>
      </c>
      <c r="AB42" s="100">
        <v>7.5542444436696039</v>
      </c>
      <c r="AC42" s="100">
        <v>6390.8907993444845</v>
      </c>
      <c r="AD42" s="100">
        <v>8.0985729022732027</v>
      </c>
      <c r="AE42" s="100">
        <v>6851.3926753231299</v>
      </c>
      <c r="AF42" s="100">
        <v>14</v>
      </c>
      <c r="AG42" s="100">
        <v>11844</v>
      </c>
      <c r="AH42" s="100">
        <v>8</v>
      </c>
      <c r="AI42" s="100">
        <v>6768</v>
      </c>
      <c r="AJ42" s="100">
        <v>3.7209743970988005</v>
      </c>
      <c r="AK42" s="100">
        <v>3147.9443399455854</v>
      </c>
      <c r="AL42" s="100">
        <v>13</v>
      </c>
      <c r="AM42" s="100">
        <v>10998</v>
      </c>
      <c r="AN42" s="100">
        <v>12</v>
      </c>
      <c r="AO42" s="100">
        <v>10152</v>
      </c>
      <c r="AP42" s="100">
        <v>14</v>
      </c>
      <c r="AQ42" s="100">
        <v>11844</v>
      </c>
      <c r="AR42" s="100">
        <v>12</v>
      </c>
      <c r="AS42" s="100">
        <v>10152</v>
      </c>
      <c r="AT42" s="100">
        <v>13</v>
      </c>
      <c r="AU42" s="100">
        <v>10998</v>
      </c>
      <c r="AV42" s="100">
        <v>9.7999955828729739</v>
      </c>
      <c r="AW42" s="100">
        <v>8290.7962631105365</v>
      </c>
      <c r="AX42" s="100">
        <v>8</v>
      </c>
      <c r="AY42" s="100">
        <v>6768</v>
      </c>
      <c r="AZ42" s="100">
        <v>12</v>
      </c>
      <c r="BA42" s="100">
        <v>10152</v>
      </c>
      <c r="BB42" s="100">
        <v>13.735711113919715</v>
      </c>
      <c r="BC42" s="100">
        <v>11620.411602376078</v>
      </c>
      <c r="BD42" s="100">
        <v>8.3823234089496772</v>
      </c>
      <c r="BE42" s="100">
        <v>7091.4456039714269</v>
      </c>
      <c r="BF42" s="100">
        <v>7.4420059385817092</v>
      </c>
      <c r="BG42" s="100">
        <v>6295.9370240401258</v>
      </c>
      <c r="BH42" s="100">
        <v>2.2467293073967887</v>
      </c>
      <c r="BI42" s="100">
        <v>1900.7329940576833</v>
      </c>
      <c r="BJ42" s="100">
        <v>14</v>
      </c>
      <c r="BK42" s="100">
        <v>11844</v>
      </c>
      <c r="BL42" s="100">
        <v>16</v>
      </c>
      <c r="BM42" s="100">
        <v>13536</v>
      </c>
      <c r="BN42" s="100">
        <v>0.49804972278459858</v>
      </c>
      <c r="BO42" s="100">
        <v>421.35006547577041</v>
      </c>
      <c r="BP42" s="100">
        <v>9</v>
      </c>
      <c r="BQ42" s="100">
        <v>7614</v>
      </c>
      <c r="BR42" s="100">
        <v>8.930167375756815</v>
      </c>
      <c r="BS42" s="100">
        <v>7554.9215998902655</v>
      </c>
      <c r="BT42" s="100">
        <v>15</v>
      </c>
      <c r="BU42" s="100">
        <v>12690</v>
      </c>
      <c r="BV42" s="100">
        <v>5.304017795576276</v>
      </c>
      <c r="BW42" s="100">
        <v>4487.1990550575292</v>
      </c>
      <c r="BX42" s="100">
        <v>4.5877021077037696</v>
      </c>
      <c r="BY42" s="100">
        <v>3881.195983117389</v>
      </c>
      <c r="BZ42" s="100">
        <v>15</v>
      </c>
      <c r="CA42" s="100">
        <v>12690</v>
      </c>
      <c r="CB42" s="100">
        <v>14</v>
      </c>
      <c r="CC42" s="100">
        <v>11844</v>
      </c>
      <c r="CD42" s="100">
        <v>9</v>
      </c>
      <c r="CE42" s="100">
        <v>7614</v>
      </c>
      <c r="CF42" s="100">
        <v>11</v>
      </c>
      <c r="CG42" s="100">
        <v>9306</v>
      </c>
      <c r="CH42" s="100">
        <v>14</v>
      </c>
      <c r="CI42" s="100">
        <v>11844</v>
      </c>
      <c r="CJ42" s="100">
        <v>11</v>
      </c>
      <c r="CK42" s="100">
        <v>9306</v>
      </c>
      <c r="CL42" s="100">
        <v>12</v>
      </c>
      <c r="CM42" s="100">
        <v>10152</v>
      </c>
      <c r="CN42" s="100">
        <v>12</v>
      </c>
      <c r="CO42" s="100">
        <v>10152</v>
      </c>
      <c r="CP42" s="100">
        <v>0.31632878984161777</v>
      </c>
      <c r="CQ42" s="100">
        <v>267.61415620600866</v>
      </c>
      <c r="CR42" s="100">
        <v>10.275297587447284</v>
      </c>
      <c r="CS42" s="100">
        <v>8692.9017589804025</v>
      </c>
      <c r="CT42" s="100">
        <v>2.5481532592776005E-16</v>
      </c>
      <c r="CU42" s="100">
        <v>2.15573765734885E-13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10</v>
      </c>
      <c r="I43" s="100">
        <v>10224</v>
      </c>
      <c r="J43" s="100">
        <v>13</v>
      </c>
      <c r="K43" s="100">
        <v>13291.199999999999</v>
      </c>
      <c r="L43" s="100">
        <v>8</v>
      </c>
      <c r="M43" s="100">
        <v>8179.2</v>
      </c>
      <c r="N43" s="100">
        <v>11</v>
      </c>
      <c r="O43" s="100">
        <v>11246.4</v>
      </c>
      <c r="P43" s="100">
        <v>13</v>
      </c>
      <c r="Q43" s="100">
        <v>13291.199999999999</v>
      </c>
      <c r="R43" s="100">
        <v>10</v>
      </c>
      <c r="S43" s="100">
        <v>10224</v>
      </c>
      <c r="T43" s="100">
        <v>9</v>
      </c>
      <c r="U43" s="100">
        <v>9201.6</v>
      </c>
      <c r="V43" s="100">
        <v>15</v>
      </c>
      <c r="W43" s="100">
        <v>15336</v>
      </c>
      <c r="X43" s="100">
        <v>6.8779941499849917</v>
      </c>
      <c r="Y43" s="100">
        <v>7032.0612189446556</v>
      </c>
      <c r="Z43" s="100">
        <v>10</v>
      </c>
      <c r="AA43" s="100">
        <v>10224</v>
      </c>
      <c r="AB43" s="100">
        <v>6.7148839499285362</v>
      </c>
      <c r="AC43" s="100">
        <v>6865.297350406935</v>
      </c>
      <c r="AD43" s="100">
        <v>6.5800904830969769</v>
      </c>
      <c r="AE43" s="100">
        <v>6727.4845099183494</v>
      </c>
      <c r="AF43" s="100">
        <v>13</v>
      </c>
      <c r="AG43" s="100">
        <v>13291.199999999999</v>
      </c>
      <c r="AH43" s="100">
        <v>7</v>
      </c>
      <c r="AI43" s="100">
        <v>7156.8</v>
      </c>
      <c r="AJ43" s="100">
        <v>3.7209743970988005</v>
      </c>
      <c r="AK43" s="100">
        <v>3804.3242235938137</v>
      </c>
      <c r="AL43" s="100">
        <v>13</v>
      </c>
      <c r="AM43" s="100">
        <v>13291.199999999999</v>
      </c>
      <c r="AN43" s="100">
        <v>11</v>
      </c>
      <c r="AO43" s="100">
        <v>11246.4</v>
      </c>
      <c r="AP43" s="100">
        <v>12</v>
      </c>
      <c r="AQ43" s="100">
        <v>12268.8</v>
      </c>
      <c r="AR43" s="100">
        <v>12</v>
      </c>
      <c r="AS43" s="100">
        <v>12268.8</v>
      </c>
      <c r="AT43" s="100">
        <v>13</v>
      </c>
      <c r="AU43" s="100">
        <v>13291.199999999999</v>
      </c>
      <c r="AV43" s="100">
        <v>9.7999955828729739</v>
      </c>
      <c r="AW43" s="100">
        <v>10019.515483929328</v>
      </c>
      <c r="AX43" s="100">
        <v>9</v>
      </c>
      <c r="AY43" s="100">
        <v>9201.6</v>
      </c>
      <c r="AZ43" s="100">
        <v>11</v>
      </c>
      <c r="BA43" s="100">
        <v>11246.4</v>
      </c>
      <c r="BB43" s="100">
        <v>14.716833336342553</v>
      </c>
      <c r="BC43" s="100">
        <v>15046.490403076627</v>
      </c>
      <c r="BD43" s="100">
        <v>9.2205557498446442</v>
      </c>
      <c r="BE43" s="100">
        <v>9427.0961986411639</v>
      </c>
      <c r="BF43" s="100">
        <v>7.4420059385817092</v>
      </c>
      <c r="BG43" s="100">
        <v>7608.7068716059393</v>
      </c>
      <c r="BH43" s="100">
        <v>2.5676906370249015</v>
      </c>
      <c r="BI43" s="100">
        <v>2625.2069072942591</v>
      </c>
      <c r="BJ43" s="100">
        <v>13</v>
      </c>
      <c r="BK43" s="100">
        <v>13291.199999999999</v>
      </c>
      <c r="BL43" s="100">
        <v>15</v>
      </c>
      <c r="BM43" s="100">
        <v>15336</v>
      </c>
      <c r="BN43" s="100">
        <v>0.49804972278459858</v>
      </c>
      <c r="BO43" s="100">
        <v>509.20603657497355</v>
      </c>
      <c r="BP43" s="100">
        <v>9</v>
      </c>
      <c r="BQ43" s="100">
        <v>9201.6</v>
      </c>
      <c r="BR43" s="100">
        <v>7.9379265562282804</v>
      </c>
      <c r="BS43" s="100">
        <v>8115.7361110877937</v>
      </c>
      <c r="BT43" s="100">
        <v>14</v>
      </c>
      <c r="BU43" s="100">
        <v>14313.6</v>
      </c>
      <c r="BV43" s="100">
        <v>5.304017795576276</v>
      </c>
      <c r="BW43" s="100">
        <v>5422.8277941971846</v>
      </c>
      <c r="BX43" s="100">
        <v>4.5877021077037696</v>
      </c>
      <c r="BY43" s="100">
        <v>4690.4666349163335</v>
      </c>
      <c r="BZ43" s="100">
        <v>12</v>
      </c>
      <c r="CA43" s="100">
        <v>12268.8</v>
      </c>
      <c r="CB43" s="100">
        <v>14</v>
      </c>
      <c r="CC43" s="100">
        <v>14313.6</v>
      </c>
      <c r="CD43" s="100">
        <v>8</v>
      </c>
      <c r="CE43" s="100">
        <v>8179.2</v>
      </c>
      <c r="CF43" s="100">
        <v>11</v>
      </c>
      <c r="CG43" s="100">
        <v>11246.4</v>
      </c>
      <c r="CH43" s="100">
        <v>14</v>
      </c>
      <c r="CI43" s="100">
        <v>14313.6</v>
      </c>
      <c r="CJ43" s="100">
        <v>12</v>
      </c>
      <c r="CK43" s="100">
        <v>12268.8</v>
      </c>
      <c r="CL43" s="100">
        <v>13</v>
      </c>
      <c r="CM43" s="100">
        <v>13291.199999999999</v>
      </c>
      <c r="CN43" s="100">
        <v>11</v>
      </c>
      <c r="CO43" s="100">
        <v>11246.4</v>
      </c>
      <c r="CP43" s="100">
        <v>0.31632878984161777</v>
      </c>
      <c r="CQ43" s="100">
        <v>323.41455473407001</v>
      </c>
      <c r="CR43" s="100">
        <v>10.275297587447284</v>
      </c>
      <c r="CS43" s="100">
        <v>10505.464253406102</v>
      </c>
      <c r="CT43" s="100">
        <v>2.5481532592776005E-16</v>
      </c>
      <c r="CU43" s="100">
        <v>2.6052318922854187E-13</v>
      </c>
    </row>
    <row r="44" spans="2:99">
      <c r="C44" s="99" t="s">
        <v>210</v>
      </c>
      <c r="D44" s="100">
        <v>11</v>
      </c>
      <c r="E44" s="100">
        <v>11246.4</v>
      </c>
      <c r="F44" s="100">
        <v>10</v>
      </c>
      <c r="G44" s="100">
        <v>10224</v>
      </c>
      <c r="H44" s="100">
        <v>10</v>
      </c>
      <c r="I44" s="100">
        <v>10224</v>
      </c>
      <c r="J44" s="100">
        <v>11</v>
      </c>
      <c r="K44" s="100">
        <v>11246.4</v>
      </c>
      <c r="L44" s="100">
        <v>8</v>
      </c>
      <c r="M44" s="100">
        <v>8179.2</v>
      </c>
      <c r="N44" s="100">
        <v>12</v>
      </c>
      <c r="O44" s="100">
        <v>12268.8</v>
      </c>
      <c r="P44" s="100">
        <v>13</v>
      </c>
      <c r="Q44" s="100">
        <v>13291.199999999999</v>
      </c>
      <c r="R44" s="100">
        <v>9</v>
      </c>
      <c r="S44" s="100">
        <v>9201.6</v>
      </c>
      <c r="T44" s="100">
        <v>9</v>
      </c>
      <c r="U44" s="100">
        <v>9201.6</v>
      </c>
      <c r="V44" s="100">
        <v>14</v>
      </c>
      <c r="W44" s="100">
        <v>14313.6</v>
      </c>
      <c r="X44" s="100">
        <v>6.0182448812368676</v>
      </c>
      <c r="Y44" s="100">
        <v>6153.0535665765738</v>
      </c>
      <c r="Z44" s="100">
        <v>10</v>
      </c>
      <c r="AA44" s="100">
        <v>10224</v>
      </c>
      <c r="AB44" s="100">
        <v>8.3936049374106698</v>
      </c>
      <c r="AC44" s="100">
        <v>8581.6216880086686</v>
      </c>
      <c r="AD44" s="100">
        <v>6.5800904830969769</v>
      </c>
      <c r="AE44" s="100">
        <v>6727.4845099183494</v>
      </c>
      <c r="AF44" s="100">
        <v>14</v>
      </c>
      <c r="AG44" s="100">
        <v>14313.6</v>
      </c>
      <c r="AH44" s="100">
        <v>8</v>
      </c>
      <c r="AI44" s="100">
        <v>8179.2</v>
      </c>
      <c r="AJ44" s="100">
        <v>3.7209743970988005</v>
      </c>
      <c r="AK44" s="100">
        <v>3804.3242235938137</v>
      </c>
      <c r="AL44" s="100">
        <v>13</v>
      </c>
      <c r="AM44" s="100">
        <v>13291.199999999999</v>
      </c>
      <c r="AN44" s="100">
        <v>13</v>
      </c>
      <c r="AO44" s="100">
        <v>13291.199999999999</v>
      </c>
      <c r="AP44" s="100">
        <v>14</v>
      </c>
      <c r="AQ44" s="100">
        <v>14313.6</v>
      </c>
      <c r="AR44" s="100">
        <v>11</v>
      </c>
      <c r="AS44" s="100">
        <v>11246.4</v>
      </c>
      <c r="AT44" s="100">
        <v>14</v>
      </c>
      <c r="AU44" s="100">
        <v>14313.6</v>
      </c>
      <c r="AV44" s="100">
        <v>10.779995141160272</v>
      </c>
      <c r="AW44" s="100">
        <v>11021.467032322262</v>
      </c>
      <c r="AX44" s="100">
        <v>9</v>
      </c>
      <c r="AY44" s="100">
        <v>9201.6</v>
      </c>
      <c r="AZ44" s="100">
        <v>12</v>
      </c>
      <c r="BA44" s="100">
        <v>12268.8</v>
      </c>
      <c r="BB44" s="100">
        <v>12.754588891496878</v>
      </c>
      <c r="BC44" s="100">
        <v>13040.291682666408</v>
      </c>
      <c r="BD44" s="100">
        <v>8.3823234089496772</v>
      </c>
      <c r="BE44" s="100">
        <v>8570.0874533101505</v>
      </c>
      <c r="BF44" s="100">
        <v>8.2688954873130101</v>
      </c>
      <c r="BG44" s="100">
        <v>8454.1187462288217</v>
      </c>
      <c r="BH44" s="100">
        <v>2.2467293073967887</v>
      </c>
      <c r="BI44" s="100">
        <v>2297.0560438824768</v>
      </c>
      <c r="BJ44" s="100">
        <v>12</v>
      </c>
      <c r="BK44" s="100">
        <v>12268.8</v>
      </c>
      <c r="BL44" s="100">
        <v>14</v>
      </c>
      <c r="BM44" s="100">
        <v>14313.6</v>
      </c>
      <c r="BN44" s="100">
        <v>0.56919968318239833</v>
      </c>
      <c r="BO44" s="100">
        <v>581.94975608568404</v>
      </c>
      <c r="BP44" s="100">
        <v>8</v>
      </c>
      <c r="BQ44" s="100">
        <v>8179.2</v>
      </c>
      <c r="BR44" s="100">
        <v>8.930167375756815</v>
      </c>
      <c r="BS44" s="100">
        <v>9130.2031249737665</v>
      </c>
      <c r="BT44" s="100">
        <v>15</v>
      </c>
      <c r="BU44" s="100">
        <v>15336</v>
      </c>
      <c r="BV44" s="100">
        <v>4.7146824849566897</v>
      </c>
      <c r="BW44" s="100">
        <v>4820.2913726197194</v>
      </c>
      <c r="BX44" s="100">
        <v>4.5877021077037696</v>
      </c>
      <c r="BY44" s="100">
        <v>4690.4666349163335</v>
      </c>
      <c r="BZ44" s="100">
        <v>13</v>
      </c>
      <c r="CA44" s="100">
        <v>13291.199999999999</v>
      </c>
      <c r="CB44" s="100">
        <v>14</v>
      </c>
      <c r="CC44" s="100">
        <v>14313.6</v>
      </c>
      <c r="CD44" s="100">
        <v>9</v>
      </c>
      <c r="CE44" s="100">
        <v>9201.6</v>
      </c>
      <c r="CF44" s="100">
        <v>11</v>
      </c>
      <c r="CG44" s="100">
        <v>11246.4</v>
      </c>
      <c r="CH44" s="100">
        <v>14</v>
      </c>
      <c r="CI44" s="100">
        <v>14313.6</v>
      </c>
      <c r="CJ44" s="100">
        <v>11</v>
      </c>
      <c r="CK44" s="100">
        <v>11246.4</v>
      </c>
      <c r="CL44" s="100">
        <v>13</v>
      </c>
      <c r="CM44" s="100">
        <v>13291.199999999999</v>
      </c>
      <c r="CN44" s="100">
        <v>10</v>
      </c>
      <c r="CO44" s="100">
        <v>10224</v>
      </c>
      <c r="CP44" s="100">
        <v>0.36151861696184884</v>
      </c>
      <c r="CQ44" s="100">
        <v>369.61663398179422</v>
      </c>
      <c r="CR44" s="100">
        <v>11.00924741512209</v>
      </c>
      <c r="CS44" s="100">
        <v>11255.854557220824</v>
      </c>
      <c r="CT44" s="100">
        <v>2.3521414701024007E-16</v>
      </c>
      <c r="CU44" s="100">
        <v>2.4048294390326942E-13</v>
      </c>
    </row>
    <row r="45" spans="2:99">
      <c r="C45" s="99" t="s">
        <v>211</v>
      </c>
      <c r="D45" s="100">
        <v>10</v>
      </c>
      <c r="E45" s="100">
        <v>12492</v>
      </c>
      <c r="F45" s="100">
        <v>10</v>
      </c>
      <c r="G45" s="100">
        <v>12492</v>
      </c>
      <c r="H45" s="100">
        <v>9</v>
      </c>
      <c r="I45" s="100">
        <v>11242.800000000001</v>
      </c>
      <c r="J45" s="100">
        <v>11</v>
      </c>
      <c r="K45" s="100">
        <v>13741.2</v>
      </c>
      <c r="L45" s="100">
        <v>7</v>
      </c>
      <c r="M45" s="100">
        <v>8744.4</v>
      </c>
      <c r="N45" s="100">
        <v>11</v>
      </c>
      <c r="O45" s="100">
        <v>13741.2</v>
      </c>
      <c r="P45" s="100">
        <v>14</v>
      </c>
      <c r="Q45" s="100">
        <v>17488.8</v>
      </c>
      <c r="R45" s="100">
        <v>11</v>
      </c>
      <c r="S45" s="100">
        <v>13741.2</v>
      </c>
      <c r="T45" s="100">
        <v>9</v>
      </c>
      <c r="U45" s="100">
        <v>11242.800000000001</v>
      </c>
      <c r="V45" s="100">
        <v>13</v>
      </c>
      <c r="W45" s="100">
        <v>16239.6</v>
      </c>
      <c r="X45" s="100">
        <v>6.0182448812368676</v>
      </c>
      <c r="Y45" s="100">
        <v>7517.9915056410955</v>
      </c>
      <c r="Z45" s="100">
        <v>10</v>
      </c>
      <c r="AA45" s="100">
        <v>12492</v>
      </c>
      <c r="AB45" s="100">
        <v>6.7148839499285362</v>
      </c>
      <c r="AC45" s="100">
        <v>8388.2330302507271</v>
      </c>
      <c r="AD45" s="100">
        <v>7.5924120958811283</v>
      </c>
      <c r="AE45" s="100">
        <v>9484.4411901747062</v>
      </c>
      <c r="AF45" s="100">
        <v>12</v>
      </c>
      <c r="AG45" s="100">
        <v>14990.400000000001</v>
      </c>
      <c r="AH45" s="100">
        <v>8</v>
      </c>
      <c r="AI45" s="100">
        <v>9993.6</v>
      </c>
      <c r="AJ45" s="100">
        <v>3.7209743970988005</v>
      </c>
      <c r="AK45" s="100">
        <v>4648.2412168558221</v>
      </c>
      <c r="AL45" s="100">
        <v>12</v>
      </c>
      <c r="AM45" s="100">
        <v>14990.400000000001</v>
      </c>
      <c r="AN45" s="100">
        <v>13</v>
      </c>
      <c r="AO45" s="100">
        <v>16239.6</v>
      </c>
      <c r="AP45" s="100">
        <v>12</v>
      </c>
      <c r="AQ45" s="100">
        <v>14990.400000000001</v>
      </c>
      <c r="AR45" s="100">
        <v>11</v>
      </c>
      <c r="AS45" s="100">
        <v>13741.2</v>
      </c>
      <c r="AT45" s="100">
        <v>14</v>
      </c>
      <c r="AU45" s="100">
        <v>17488.8</v>
      </c>
      <c r="AV45" s="100">
        <v>10.779995141160272</v>
      </c>
      <c r="AW45" s="100">
        <v>13466.369930337412</v>
      </c>
      <c r="AX45" s="100">
        <v>8</v>
      </c>
      <c r="AY45" s="100">
        <v>9993.6</v>
      </c>
      <c r="AZ45" s="100">
        <v>11</v>
      </c>
      <c r="BA45" s="100">
        <v>13741.2</v>
      </c>
      <c r="BB45" s="100">
        <v>14.716833336342553</v>
      </c>
      <c r="BC45" s="100">
        <v>18384.268203759118</v>
      </c>
      <c r="BD45" s="100">
        <v>8.3823234089496772</v>
      </c>
      <c r="BE45" s="100">
        <v>10471.198402459937</v>
      </c>
      <c r="BF45" s="100">
        <v>6.6151163898504084</v>
      </c>
      <c r="BG45" s="100">
        <v>8263.6033942011309</v>
      </c>
      <c r="BH45" s="100">
        <v>2.5676906370249015</v>
      </c>
      <c r="BI45" s="100">
        <v>3207.559143771507</v>
      </c>
      <c r="BJ45" s="100">
        <v>12</v>
      </c>
      <c r="BK45" s="100">
        <v>14990.400000000001</v>
      </c>
      <c r="BL45" s="100">
        <v>13</v>
      </c>
      <c r="BM45" s="100">
        <v>16239.6</v>
      </c>
      <c r="BN45" s="100">
        <v>0.49804972278459858</v>
      </c>
      <c r="BO45" s="100">
        <v>622.16371370252057</v>
      </c>
      <c r="BP45" s="100">
        <v>8</v>
      </c>
      <c r="BQ45" s="100">
        <v>9993.6</v>
      </c>
      <c r="BR45" s="100">
        <v>7.9379265562282804</v>
      </c>
      <c r="BS45" s="100">
        <v>9916.0578540403676</v>
      </c>
      <c r="BT45" s="100">
        <v>14</v>
      </c>
      <c r="BU45" s="100">
        <v>17488.8</v>
      </c>
      <c r="BV45" s="100">
        <v>4.1253471743371044</v>
      </c>
      <c r="BW45" s="100">
        <v>5153.3836901819113</v>
      </c>
      <c r="BX45" s="100">
        <v>4.2818553005235174</v>
      </c>
      <c r="BY45" s="100">
        <v>5348.893641413978</v>
      </c>
      <c r="BZ45" s="100">
        <v>13</v>
      </c>
      <c r="CA45" s="100">
        <v>16239.6</v>
      </c>
      <c r="CB45" s="100">
        <v>14</v>
      </c>
      <c r="CC45" s="100">
        <v>17488.8</v>
      </c>
      <c r="CD45" s="100">
        <v>9</v>
      </c>
      <c r="CE45" s="100">
        <v>11242.800000000001</v>
      </c>
      <c r="CF45" s="100">
        <v>10</v>
      </c>
      <c r="CG45" s="100">
        <v>12492</v>
      </c>
      <c r="CH45" s="100">
        <v>12</v>
      </c>
      <c r="CI45" s="100">
        <v>14990.400000000001</v>
      </c>
      <c r="CJ45" s="100">
        <v>10</v>
      </c>
      <c r="CK45" s="100">
        <v>12492</v>
      </c>
      <c r="CL45" s="100">
        <v>13</v>
      </c>
      <c r="CM45" s="100">
        <v>16239.6</v>
      </c>
      <c r="CN45" s="100">
        <v>11</v>
      </c>
      <c r="CO45" s="100">
        <v>13741.2</v>
      </c>
      <c r="CP45" s="100">
        <v>0.31632878984161777</v>
      </c>
      <c r="CQ45" s="100">
        <v>395.15792427014895</v>
      </c>
      <c r="CR45" s="100">
        <v>11.00924741512209</v>
      </c>
      <c r="CS45" s="100">
        <v>13752.751870970515</v>
      </c>
      <c r="CT45" s="100">
        <v>2.1561296809272006E-16</v>
      </c>
      <c r="CU45" s="100">
        <v>2.6934371974142591E-13</v>
      </c>
    </row>
    <row r="46" spans="2:99">
      <c r="C46" s="99" t="s">
        <v>212</v>
      </c>
      <c r="D46" s="100">
        <v>11</v>
      </c>
      <c r="E46" s="100">
        <v>13332</v>
      </c>
      <c r="F46" s="100">
        <v>9</v>
      </c>
      <c r="G46" s="100">
        <v>10908</v>
      </c>
      <c r="H46" s="100">
        <v>9</v>
      </c>
      <c r="I46" s="100">
        <v>10908</v>
      </c>
      <c r="J46" s="100">
        <v>13</v>
      </c>
      <c r="K46" s="100">
        <v>15756</v>
      </c>
      <c r="L46" s="100">
        <v>8</v>
      </c>
      <c r="M46" s="100">
        <v>9696</v>
      </c>
      <c r="N46" s="100">
        <v>12</v>
      </c>
      <c r="O46" s="100">
        <v>14544</v>
      </c>
      <c r="P46" s="100">
        <v>13</v>
      </c>
      <c r="Q46" s="100">
        <v>15756</v>
      </c>
      <c r="R46" s="100">
        <v>9</v>
      </c>
      <c r="S46" s="100">
        <v>10908</v>
      </c>
      <c r="T46" s="100">
        <v>9</v>
      </c>
      <c r="U46" s="100">
        <v>10908</v>
      </c>
      <c r="V46" s="100">
        <v>13</v>
      </c>
      <c r="W46" s="100">
        <v>15756</v>
      </c>
      <c r="X46" s="100">
        <v>6.0182448812368676</v>
      </c>
      <c r="Y46" s="100">
        <v>7294.1127960590838</v>
      </c>
      <c r="Z46" s="100">
        <v>10</v>
      </c>
      <c r="AA46" s="100">
        <v>12120</v>
      </c>
      <c r="AB46" s="100">
        <v>8.3936049374106698</v>
      </c>
      <c r="AC46" s="100">
        <v>10173.049184141732</v>
      </c>
      <c r="AD46" s="100">
        <v>7.086251289489053</v>
      </c>
      <c r="AE46" s="100">
        <v>8588.5365628607324</v>
      </c>
      <c r="AF46" s="100">
        <v>12</v>
      </c>
      <c r="AG46" s="100">
        <v>14544</v>
      </c>
      <c r="AH46" s="100">
        <v>7</v>
      </c>
      <c r="AI46" s="100">
        <v>8484</v>
      </c>
      <c r="AJ46" s="100">
        <v>3.7209743970988005</v>
      </c>
      <c r="AK46" s="100">
        <v>4509.8209692837463</v>
      </c>
      <c r="AL46" s="100">
        <v>14</v>
      </c>
      <c r="AM46" s="100">
        <v>16968</v>
      </c>
      <c r="AN46" s="100">
        <v>12</v>
      </c>
      <c r="AO46" s="100">
        <v>14544</v>
      </c>
      <c r="AP46" s="100">
        <v>13</v>
      </c>
      <c r="AQ46" s="100">
        <v>15756</v>
      </c>
      <c r="AR46" s="100">
        <v>11</v>
      </c>
      <c r="AS46" s="100">
        <v>13332</v>
      </c>
      <c r="AT46" s="100">
        <v>15</v>
      </c>
      <c r="AU46" s="100">
        <v>18180</v>
      </c>
      <c r="AV46" s="100">
        <v>9.7999955828729739</v>
      </c>
      <c r="AW46" s="100">
        <v>11877.594646442045</v>
      </c>
      <c r="AX46" s="100">
        <v>8</v>
      </c>
      <c r="AY46" s="100">
        <v>9696</v>
      </c>
      <c r="AZ46" s="100">
        <v>10</v>
      </c>
      <c r="BA46" s="100">
        <v>12120</v>
      </c>
      <c r="BB46" s="100">
        <v>13.735711113919715</v>
      </c>
      <c r="BC46" s="100">
        <v>16647.681870070694</v>
      </c>
      <c r="BD46" s="100">
        <v>9.2205557498446442</v>
      </c>
      <c r="BE46" s="100">
        <v>11175.313568811709</v>
      </c>
      <c r="BF46" s="100">
        <v>6.6151163898504084</v>
      </c>
      <c r="BG46" s="100">
        <v>8017.5210644986946</v>
      </c>
      <c r="BH46" s="100">
        <v>2.2467293073967887</v>
      </c>
      <c r="BI46" s="100">
        <v>2723.0359205649079</v>
      </c>
      <c r="BJ46" s="100">
        <v>14</v>
      </c>
      <c r="BK46" s="100">
        <v>16968</v>
      </c>
      <c r="BL46" s="100">
        <v>13</v>
      </c>
      <c r="BM46" s="100">
        <v>15756</v>
      </c>
      <c r="BN46" s="100">
        <v>0.56919968318239833</v>
      </c>
      <c r="BO46" s="100">
        <v>689.87001601706675</v>
      </c>
      <c r="BP46" s="100">
        <v>9</v>
      </c>
      <c r="BQ46" s="100">
        <v>10908</v>
      </c>
      <c r="BR46" s="100">
        <v>7.9379265562282804</v>
      </c>
      <c r="BS46" s="100">
        <v>9620.7669861486756</v>
      </c>
      <c r="BT46" s="100">
        <v>12</v>
      </c>
      <c r="BU46" s="100">
        <v>14544</v>
      </c>
      <c r="BV46" s="100">
        <v>4.7146824849566897</v>
      </c>
      <c r="BW46" s="100">
        <v>5714.1951717675083</v>
      </c>
      <c r="BX46" s="100">
        <v>4.893548914884021</v>
      </c>
      <c r="BY46" s="100">
        <v>5930.9812848394331</v>
      </c>
      <c r="BZ46" s="100">
        <v>13</v>
      </c>
      <c r="CA46" s="100">
        <v>15756</v>
      </c>
      <c r="CB46" s="100">
        <v>13</v>
      </c>
      <c r="CC46" s="100">
        <v>15756</v>
      </c>
      <c r="CD46" s="100">
        <v>8</v>
      </c>
      <c r="CE46" s="100">
        <v>9696</v>
      </c>
      <c r="CF46" s="100">
        <v>10</v>
      </c>
      <c r="CG46" s="100">
        <v>12120</v>
      </c>
      <c r="CH46" s="100">
        <v>12</v>
      </c>
      <c r="CI46" s="100">
        <v>14544</v>
      </c>
      <c r="CJ46" s="100">
        <v>11</v>
      </c>
      <c r="CK46" s="100">
        <v>13332</v>
      </c>
      <c r="CL46" s="100">
        <v>12</v>
      </c>
      <c r="CM46" s="100">
        <v>14544</v>
      </c>
      <c r="CN46" s="100">
        <v>10</v>
      </c>
      <c r="CO46" s="100">
        <v>12120</v>
      </c>
      <c r="CP46" s="100">
        <v>0.36151861696184884</v>
      </c>
      <c r="CQ46" s="100">
        <v>438.16056375776077</v>
      </c>
      <c r="CR46" s="100">
        <v>11.00924741512209</v>
      </c>
      <c r="CS46" s="100">
        <v>13343.207867127972</v>
      </c>
      <c r="CT46" s="100">
        <v>2.1561296809272006E-16</v>
      </c>
      <c r="CU46" s="100">
        <v>2.6132291732837673E-13</v>
      </c>
    </row>
    <row r="47" spans="2:99">
      <c r="C47" s="99" t="s">
        <v>213</v>
      </c>
      <c r="D47" s="100">
        <v>9</v>
      </c>
      <c r="E47" s="100">
        <v>13748.4</v>
      </c>
      <c r="F47" s="100">
        <v>10</v>
      </c>
      <c r="G47" s="100">
        <v>15276</v>
      </c>
      <c r="H47" s="100">
        <v>10</v>
      </c>
      <c r="I47" s="100">
        <v>15276</v>
      </c>
      <c r="J47" s="100">
        <v>12</v>
      </c>
      <c r="K47" s="100">
        <v>18331.199999999997</v>
      </c>
      <c r="L47" s="100">
        <v>8</v>
      </c>
      <c r="M47" s="100">
        <v>12220.8</v>
      </c>
      <c r="N47" s="100">
        <v>11</v>
      </c>
      <c r="O47" s="100">
        <v>16803.599999999999</v>
      </c>
      <c r="P47" s="100">
        <v>14</v>
      </c>
      <c r="Q47" s="100">
        <v>21386.399999999998</v>
      </c>
      <c r="R47" s="100">
        <v>10</v>
      </c>
      <c r="S47" s="100">
        <v>15276</v>
      </c>
      <c r="T47" s="100">
        <v>10</v>
      </c>
      <c r="U47" s="100">
        <v>15276</v>
      </c>
      <c r="V47" s="100">
        <v>13</v>
      </c>
      <c r="W47" s="100">
        <v>19858.8</v>
      </c>
      <c r="X47" s="100">
        <v>6.8779941499849917</v>
      </c>
      <c r="Y47" s="100">
        <v>10506.823863517073</v>
      </c>
      <c r="Z47" s="100">
        <v>10</v>
      </c>
      <c r="AA47" s="100">
        <v>15276</v>
      </c>
      <c r="AB47" s="100">
        <v>7.5542444436696039</v>
      </c>
      <c r="AC47" s="100">
        <v>11539.863812149686</v>
      </c>
      <c r="AD47" s="100">
        <v>7.5924120958811283</v>
      </c>
      <c r="AE47" s="100">
        <v>11598.168717668012</v>
      </c>
      <c r="AF47" s="100">
        <v>13</v>
      </c>
      <c r="AG47" s="100">
        <v>19858.8</v>
      </c>
      <c r="AH47" s="100">
        <v>8</v>
      </c>
      <c r="AI47" s="100">
        <v>12220.8</v>
      </c>
      <c r="AJ47" s="100">
        <v>3.7209743970988005</v>
      </c>
      <c r="AK47" s="100">
        <v>5684.1604890081271</v>
      </c>
      <c r="AL47" s="100">
        <v>13</v>
      </c>
      <c r="AM47" s="100">
        <v>19858.8</v>
      </c>
      <c r="AN47" s="100">
        <v>12</v>
      </c>
      <c r="AO47" s="100">
        <v>18331.199999999997</v>
      </c>
      <c r="AP47" s="100">
        <v>12</v>
      </c>
      <c r="AQ47" s="100">
        <v>18331.199999999997</v>
      </c>
      <c r="AR47" s="100">
        <v>12</v>
      </c>
      <c r="AS47" s="100">
        <v>18331.199999999997</v>
      </c>
      <c r="AT47" s="100">
        <v>15</v>
      </c>
      <c r="AU47" s="100">
        <v>22914</v>
      </c>
      <c r="AV47" s="100">
        <v>10.779995141160272</v>
      </c>
      <c r="AW47" s="100">
        <v>16467.520577636431</v>
      </c>
      <c r="AX47" s="100">
        <v>8</v>
      </c>
      <c r="AY47" s="100">
        <v>12220.8</v>
      </c>
      <c r="AZ47" s="100">
        <v>11</v>
      </c>
      <c r="BA47" s="100">
        <v>16803.599999999999</v>
      </c>
      <c r="BB47" s="100">
        <v>13.735711113919715</v>
      </c>
      <c r="BC47" s="100">
        <v>20982.672297623754</v>
      </c>
      <c r="BD47" s="100">
        <v>9.2205557498446442</v>
      </c>
      <c r="BE47" s="100">
        <v>14085.320963462678</v>
      </c>
      <c r="BF47" s="100">
        <v>7.4420059385817092</v>
      </c>
      <c r="BG47" s="100">
        <v>11368.408271777418</v>
      </c>
      <c r="BH47" s="100">
        <v>2.2467293073967887</v>
      </c>
      <c r="BI47" s="100">
        <v>3432.1036899793344</v>
      </c>
      <c r="BJ47" s="100">
        <v>13</v>
      </c>
      <c r="BK47" s="100">
        <v>19858.8</v>
      </c>
      <c r="BL47" s="100">
        <v>15</v>
      </c>
      <c r="BM47" s="100">
        <v>22914</v>
      </c>
      <c r="BN47" s="100">
        <v>0.46247474258569865</v>
      </c>
      <c r="BO47" s="100">
        <v>706.47641677391323</v>
      </c>
      <c r="BP47" s="100">
        <v>8</v>
      </c>
      <c r="BQ47" s="100">
        <v>12220.8</v>
      </c>
      <c r="BR47" s="100">
        <v>7.9379265562282804</v>
      </c>
      <c r="BS47" s="100">
        <v>12125.97660729432</v>
      </c>
      <c r="BT47" s="100">
        <v>12</v>
      </c>
      <c r="BU47" s="100">
        <v>18331.199999999997</v>
      </c>
      <c r="BV47" s="100">
        <v>4.1253471743371044</v>
      </c>
      <c r="BW47" s="100">
        <v>6301.8803435173604</v>
      </c>
      <c r="BX47" s="100">
        <v>3.9760084933432673</v>
      </c>
      <c r="BY47" s="100">
        <v>6073.7505744311748</v>
      </c>
      <c r="BZ47" s="100">
        <v>14</v>
      </c>
      <c r="CA47" s="100">
        <v>21386.399999999998</v>
      </c>
      <c r="CB47" s="100">
        <v>11</v>
      </c>
      <c r="CC47" s="100">
        <v>16803.599999999999</v>
      </c>
      <c r="CD47" s="100">
        <v>8</v>
      </c>
      <c r="CE47" s="100">
        <v>12220.8</v>
      </c>
      <c r="CF47" s="100">
        <v>11</v>
      </c>
      <c r="CG47" s="100">
        <v>16803.599999999999</v>
      </c>
      <c r="CH47" s="100">
        <v>12</v>
      </c>
      <c r="CI47" s="100">
        <v>18331.199999999997</v>
      </c>
      <c r="CJ47" s="100">
        <v>10</v>
      </c>
      <c r="CK47" s="100">
        <v>15276</v>
      </c>
      <c r="CL47" s="100">
        <v>13</v>
      </c>
      <c r="CM47" s="100">
        <v>19858.8</v>
      </c>
      <c r="CN47" s="100">
        <v>12</v>
      </c>
      <c r="CO47" s="100">
        <v>18331.199999999997</v>
      </c>
      <c r="CP47" s="100">
        <v>0.31632878984161777</v>
      </c>
      <c r="CQ47" s="100">
        <v>483.22385936205529</v>
      </c>
      <c r="CR47" s="100">
        <v>9.5413477597724778</v>
      </c>
      <c r="CS47" s="100">
        <v>14575.362837828436</v>
      </c>
      <c r="CT47" s="100">
        <v>2.3521414701024007E-16</v>
      </c>
      <c r="CU47" s="100">
        <v>3.593131309728427E-13</v>
      </c>
    </row>
    <row r="48" spans="2:99">
      <c r="C48" s="99" t="s">
        <v>214</v>
      </c>
      <c r="D48" s="100">
        <v>9</v>
      </c>
      <c r="E48" s="100">
        <v>7808.4000000000005</v>
      </c>
      <c r="F48" s="100">
        <v>9</v>
      </c>
      <c r="G48" s="100">
        <v>7808.4000000000005</v>
      </c>
      <c r="H48" s="100">
        <v>9</v>
      </c>
      <c r="I48" s="100">
        <v>7808.4000000000005</v>
      </c>
      <c r="J48" s="100">
        <v>11</v>
      </c>
      <c r="K48" s="100">
        <v>9543.6</v>
      </c>
      <c r="L48" s="100">
        <v>8</v>
      </c>
      <c r="M48" s="100">
        <v>6940.8</v>
      </c>
      <c r="N48" s="100">
        <v>14</v>
      </c>
      <c r="O48" s="100">
        <v>12146.4</v>
      </c>
      <c r="P48" s="100">
        <v>13</v>
      </c>
      <c r="Q48" s="100">
        <v>11278.800000000001</v>
      </c>
      <c r="R48" s="100">
        <v>10</v>
      </c>
      <c r="S48" s="100">
        <v>8676</v>
      </c>
      <c r="T48" s="100">
        <v>11</v>
      </c>
      <c r="U48" s="100">
        <v>9543.6</v>
      </c>
      <c r="V48" s="100">
        <v>14</v>
      </c>
      <c r="W48" s="100">
        <v>12146.4</v>
      </c>
      <c r="X48" s="100">
        <v>6.8779941499849917</v>
      </c>
      <c r="Y48" s="100">
        <v>5967.3477245269787</v>
      </c>
      <c r="Z48" s="100">
        <v>11</v>
      </c>
      <c r="AA48" s="100">
        <v>9543.6</v>
      </c>
      <c r="AB48" s="100">
        <v>7.5542444436696039</v>
      </c>
      <c r="AC48" s="100">
        <v>6554.0624793277484</v>
      </c>
      <c r="AD48" s="100">
        <v>7.5924120958811283</v>
      </c>
      <c r="AE48" s="100">
        <v>6587.1767343864667</v>
      </c>
      <c r="AF48" s="100">
        <v>12</v>
      </c>
      <c r="AG48" s="100">
        <v>10411.200000000001</v>
      </c>
      <c r="AH48" s="100">
        <v>8</v>
      </c>
      <c r="AI48" s="100">
        <v>6940.8</v>
      </c>
      <c r="AJ48" s="100">
        <v>3.4108931973405672</v>
      </c>
      <c r="AK48" s="100">
        <v>2959.2909380126762</v>
      </c>
      <c r="AL48" s="100">
        <v>13</v>
      </c>
      <c r="AM48" s="100">
        <v>11278.800000000001</v>
      </c>
      <c r="AN48" s="100">
        <v>12</v>
      </c>
      <c r="AO48" s="100">
        <v>10411.200000000001</v>
      </c>
      <c r="AP48" s="100">
        <v>13</v>
      </c>
      <c r="AQ48" s="100">
        <v>11278.800000000001</v>
      </c>
      <c r="AR48" s="100">
        <v>11</v>
      </c>
      <c r="AS48" s="100">
        <v>9543.6</v>
      </c>
      <c r="AT48" s="100">
        <v>14</v>
      </c>
      <c r="AU48" s="100">
        <v>12146.4</v>
      </c>
      <c r="AV48" s="100">
        <v>9.7999955828729739</v>
      </c>
      <c r="AW48" s="100">
        <v>8502.4761677005918</v>
      </c>
      <c r="AX48" s="100">
        <v>8</v>
      </c>
      <c r="AY48" s="100">
        <v>6940.8</v>
      </c>
      <c r="AZ48" s="100">
        <v>12</v>
      </c>
      <c r="BA48" s="100">
        <v>10411.200000000001</v>
      </c>
      <c r="BB48" s="100">
        <v>13.735711113919715</v>
      </c>
      <c r="BC48" s="100">
        <v>11917.102962436746</v>
      </c>
      <c r="BD48" s="100">
        <v>9.2205557498446442</v>
      </c>
      <c r="BE48" s="100">
        <v>7999.7541685652131</v>
      </c>
      <c r="BF48" s="100">
        <v>8.2688954873130101</v>
      </c>
      <c r="BG48" s="100">
        <v>7174.0937247927677</v>
      </c>
      <c r="BH48" s="100">
        <v>2.5676906370249015</v>
      </c>
      <c r="BI48" s="100">
        <v>2227.7283966828045</v>
      </c>
      <c r="BJ48" s="100">
        <v>12</v>
      </c>
      <c r="BK48" s="100">
        <v>10411.200000000001</v>
      </c>
      <c r="BL48" s="100">
        <v>13</v>
      </c>
      <c r="BM48" s="100">
        <v>11278.800000000001</v>
      </c>
      <c r="BN48" s="100">
        <v>0.56919968318239833</v>
      </c>
      <c r="BO48" s="100">
        <v>493.83764512904878</v>
      </c>
      <c r="BP48" s="100">
        <v>8</v>
      </c>
      <c r="BQ48" s="100">
        <v>6940.8</v>
      </c>
      <c r="BR48" s="100">
        <v>8.930167375756815</v>
      </c>
      <c r="BS48" s="100">
        <v>7747.8132152066128</v>
      </c>
      <c r="BT48" s="100">
        <v>15</v>
      </c>
      <c r="BU48" s="100">
        <v>13014</v>
      </c>
      <c r="BV48" s="100">
        <v>4.7146824849566897</v>
      </c>
      <c r="BW48" s="100">
        <v>4090.458523948424</v>
      </c>
      <c r="BX48" s="100">
        <v>3.9760084933432673</v>
      </c>
      <c r="BY48" s="100">
        <v>3449.584968824619</v>
      </c>
      <c r="BZ48" s="100">
        <v>13</v>
      </c>
      <c r="CA48" s="100">
        <v>11278.800000000001</v>
      </c>
      <c r="CB48" s="100">
        <v>12</v>
      </c>
      <c r="CC48" s="100">
        <v>10411.200000000001</v>
      </c>
      <c r="CD48" s="100">
        <v>9</v>
      </c>
      <c r="CE48" s="100">
        <v>7808.4000000000005</v>
      </c>
      <c r="CF48" s="100">
        <v>10</v>
      </c>
      <c r="CG48" s="100">
        <v>8676</v>
      </c>
      <c r="CH48" s="100">
        <v>13</v>
      </c>
      <c r="CI48" s="100">
        <v>11278.800000000001</v>
      </c>
      <c r="CJ48" s="100">
        <v>12</v>
      </c>
      <c r="CK48" s="100">
        <v>10411.200000000001</v>
      </c>
      <c r="CL48" s="100">
        <v>12</v>
      </c>
      <c r="CM48" s="100">
        <v>10411.200000000001</v>
      </c>
      <c r="CN48" s="100">
        <v>11</v>
      </c>
      <c r="CO48" s="100">
        <v>9543.6</v>
      </c>
      <c r="CP48" s="100">
        <v>0.36151861696184884</v>
      </c>
      <c r="CQ48" s="100">
        <v>313.65355207610008</v>
      </c>
      <c r="CR48" s="100">
        <v>11.00924741512209</v>
      </c>
      <c r="CS48" s="100">
        <v>9551.623057359926</v>
      </c>
      <c r="CT48" s="100">
        <v>2.3521414701024007E-16</v>
      </c>
      <c r="CU48" s="100">
        <v>2.040717939460843E-13</v>
      </c>
    </row>
    <row r="49" spans="2:99">
      <c r="B49" s="99" t="s">
        <v>129</v>
      </c>
      <c r="C49" s="99" t="s">
        <v>215</v>
      </c>
      <c r="D49" s="100">
        <v>5.6348683433392814</v>
      </c>
      <c r="E49" s="100">
        <v>5551.47229185786</v>
      </c>
      <c r="F49" s="100">
        <v>7</v>
      </c>
      <c r="G49" s="100">
        <v>6896.4</v>
      </c>
      <c r="H49" s="100">
        <v>6.4812719061486526</v>
      </c>
      <c r="I49" s="100">
        <v>6385.349081937652</v>
      </c>
      <c r="J49" s="100">
        <v>3.4638924691410899</v>
      </c>
      <c r="K49" s="100">
        <v>3412.6268605978016</v>
      </c>
      <c r="L49" s="100">
        <v>10</v>
      </c>
      <c r="M49" s="100">
        <v>9852</v>
      </c>
      <c r="N49" s="100">
        <v>9</v>
      </c>
      <c r="O49" s="100">
        <v>8866.7999999999993</v>
      </c>
      <c r="P49" s="100">
        <v>10</v>
      </c>
      <c r="Q49" s="100">
        <v>9852</v>
      </c>
      <c r="R49" s="100">
        <v>10</v>
      </c>
      <c r="S49" s="100">
        <v>9852</v>
      </c>
      <c r="T49" s="100">
        <v>11</v>
      </c>
      <c r="U49" s="100">
        <v>10837.199999999999</v>
      </c>
      <c r="V49" s="100">
        <v>10</v>
      </c>
      <c r="W49" s="100">
        <v>9852</v>
      </c>
      <c r="X49" s="100">
        <v>10</v>
      </c>
      <c r="Y49" s="100">
        <v>9852</v>
      </c>
      <c r="Z49" s="100">
        <v>7</v>
      </c>
      <c r="AA49" s="100">
        <v>6896.4</v>
      </c>
      <c r="AB49" s="100">
        <v>7</v>
      </c>
      <c r="AC49" s="100">
        <v>6896.4</v>
      </c>
      <c r="AD49" s="100">
        <v>11</v>
      </c>
      <c r="AE49" s="100">
        <v>10837.199999999999</v>
      </c>
      <c r="AF49" s="100">
        <v>0.85096332518019646</v>
      </c>
      <c r="AG49" s="100">
        <v>838.36906796752953</v>
      </c>
      <c r="AH49" s="100">
        <v>1.8782054668908366</v>
      </c>
      <c r="AI49" s="100">
        <v>1850.408025980852</v>
      </c>
      <c r="AJ49" s="100">
        <v>2.651584188551769</v>
      </c>
      <c r="AK49" s="100">
        <v>2612.3407425612027</v>
      </c>
      <c r="AL49" s="100">
        <v>0.78492168765587189</v>
      </c>
      <c r="AM49" s="100">
        <v>773.3048466785649</v>
      </c>
      <c r="AN49" s="100">
        <v>3.3267345845505556</v>
      </c>
      <c r="AO49" s="100">
        <v>3277.4989126992073</v>
      </c>
      <c r="AP49" s="100">
        <v>0.87105181073198157</v>
      </c>
      <c r="AQ49" s="100">
        <v>858.16024393314819</v>
      </c>
      <c r="AR49" s="100">
        <v>9</v>
      </c>
      <c r="AS49" s="100">
        <v>8866.7999999999993</v>
      </c>
      <c r="AT49" s="100">
        <v>11</v>
      </c>
      <c r="AU49" s="100">
        <v>10837.199999999999</v>
      </c>
      <c r="AV49" s="100">
        <v>9</v>
      </c>
      <c r="AW49" s="100">
        <v>8866.7999999999993</v>
      </c>
      <c r="AX49" s="100">
        <v>10</v>
      </c>
      <c r="AY49" s="100">
        <v>9852</v>
      </c>
      <c r="AZ49" s="100">
        <v>6.8412515877912501</v>
      </c>
      <c r="BA49" s="100">
        <v>6740.0010642919387</v>
      </c>
      <c r="BB49" s="100">
        <v>0.93910273344541806</v>
      </c>
      <c r="BC49" s="100">
        <v>925.20401299042578</v>
      </c>
      <c r="BD49" s="100">
        <v>9</v>
      </c>
      <c r="BE49" s="100">
        <v>8866.7999999999993</v>
      </c>
      <c r="BF49" s="100">
        <v>9</v>
      </c>
      <c r="BG49" s="100">
        <v>8866.7999999999993</v>
      </c>
      <c r="BH49" s="100">
        <v>6</v>
      </c>
      <c r="BI49" s="100">
        <v>5911.2</v>
      </c>
      <c r="BJ49" s="100">
        <v>2.0793100193982466</v>
      </c>
      <c r="BK49" s="100">
        <v>2048.5362311111526</v>
      </c>
      <c r="BL49" s="100">
        <v>10</v>
      </c>
      <c r="BM49" s="100">
        <v>9852</v>
      </c>
      <c r="BN49" s="100">
        <v>7.684192392786616</v>
      </c>
      <c r="BO49" s="100">
        <v>7570.4663453733738</v>
      </c>
      <c r="BP49" s="100">
        <v>6</v>
      </c>
      <c r="BQ49" s="100">
        <v>5911.2</v>
      </c>
      <c r="BR49" s="100">
        <v>10</v>
      </c>
      <c r="BS49" s="100">
        <v>9852</v>
      </c>
      <c r="BT49" s="100">
        <v>9</v>
      </c>
      <c r="BU49" s="100">
        <v>8866.7999999999993</v>
      </c>
      <c r="BV49" s="100">
        <v>1.4267409862124214</v>
      </c>
      <c r="BW49" s="100">
        <v>1405.6252196164776</v>
      </c>
      <c r="BX49" s="100">
        <v>8</v>
      </c>
      <c r="BY49" s="100">
        <v>7881.5999999999995</v>
      </c>
      <c r="BZ49" s="100">
        <v>6.0655014673939212</v>
      </c>
      <c r="CA49" s="100">
        <v>5975.732045676491</v>
      </c>
      <c r="CB49" s="100">
        <v>10</v>
      </c>
      <c r="CC49" s="100">
        <v>9852</v>
      </c>
      <c r="CD49" s="100">
        <v>7</v>
      </c>
      <c r="CE49" s="100">
        <v>6896.4</v>
      </c>
      <c r="CF49" s="100">
        <v>9</v>
      </c>
      <c r="CG49" s="100">
        <v>8866.7999999999993</v>
      </c>
      <c r="CH49" s="100">
        <v>6</v>
      </c>
      <c r="CI49" s="100">
        <v>5911.2</v>
      </c>
      <c r="CJ49" s="100">
        <v>10</v>
      </c>
      <c r="CK49" s="100">
        <v>9852</v>
      </c>
      <c r="CL49" s="100">
        <v>10</v>
      </c>
      <c r="CM49" s="100">
        <v>9852</v>
      </c>
      <c r="CN49" s="100">
        <v>3.9858470644689548</v>
      </c>
      <c r="CO49" s="100">
        <v>3926.8565279148138</v>
      </c>
      <c r="CP49" s="100">
        <v>3.818512740527594</v>
      </c>
      <c r="CQ49" s="100">
        <v>3761.9987519677852</v>
      </c>
      <c r="CR49" s="100">
        <v>5.0663041020206609</v>
      </c>
      <c r="CS49" s="100">
        <v>4991.3228013107546</v>
      </c>
      <c r="CT49" s="100">
        <v>8.2149976475636173</v>
      </c>
      <c r="CU49" s="100">
        <v>8093.4156823796748</v>
      </c>
    </row>
    <row r="50" spans="2:99">
      <c r="C50" s="99" t="s">
        <v>216</v>
      </c>
      <c r="D50" s="100">
        <v>7</v>
      </c>
      <c r="E50" s="100">
        <v>1974</v>
      </c>
      <c r="F50" s="100">
        <v>9</v>
      </c>
      <c r="G50" s="100">
        <v>2538</v>
      </c>
      <c r="H50" s="100">
        <v>9</v>
      </c>
      <c r="I50" s="100">
        <v>2538</v>
      </c>
      <c r="J50" s="100">
        <v>8</v>
      </c>
      <c r="K50" s="100">
        <v>2256</v>
      </c>
      <c r="L50" s="100">
        <v>10</v>
      </c>
      <c r="M50" s="100">
        <v>2820</v>
      </c>
      <c r="N50" s="100">
        <v>10</v>
      </c>
      <c r="O50" s="100">
        <v>2820</v>
      </c>
      <c r="P50" s="100">
        <v>10</v>
      </c>
      <c r="Q50" s="100">
        <v>2820</v>
      </c>
      <c r="R50" s="100">
        <v>10</v>
      </c>
      <c r="S50" s="100">
        <v>2820</v>
      </c>
      <c r="T50" s="100">
        <v>11</v>
      </c>
      <c r="U50" s="100">
        <v>3102</v>
      </c>
      <c r="V50" s="100">
        <v>11</v>
      </c>
      <c r="W50" s="100">
        <v>3102</v>
      </c>
      <c r="X50" s="100">
        <v>8.597492687481239</v>
      </c>
      <c r="Y50" s="100">
        <v>2424.4929378697093</v>
      </c>
      <c r="Z50" s="100">
        <v>7</v>
      </c>
      <c r="AA50" s="100">
        <v>1974</v>
      </c>
      <c r="AB50" s="100">
        <v>6.7148839499285362</v>
      </c>
      <c r="AC50" s="100">
        <v>1893.5972738798473</v>
      </c>
      <c r="AD50" s="100">
        <v>5.5677688703128272</v>
      </c>
      <c r="AE50" s="100">
        <v>1570.1108214282174</v>
      </c>
      <c r="AF50" s="100">
        <v>6</v>
      </c>
      <c r="AG50" s="100">
        <v>1692</v>
      </c>
      <c r="AH50" s="100">
        <v>7</v>
      </c>
      <c r="AI50" s="100">
        <v>1974</v>
      </c>
      <c r="AJ50" s="100">
        <v>3.1008119975823338</v>
      </c>
      <c r="AK50" s="100">
        <v>874.42898331821812</v>
      </c>
      <c r="AL50" s="100">
        <v>8</v>
      </c>
      <c r="AM50" s="100">
        <v>2256</v>
      </c>
      <c r="AN50" s="100">
        <v>6</v>
      </c>
      <c r="AO50" s="100">
        <v>1692</v>
      </c>
      <c r="AP50" s="100">
        <v>8</v>
      </c>
      <c r="AQ50" s="100">
        <v>2256</v>
      </c>
      <c r="AR50" s="100">
        <v>10</v>
      </c>
      <c r="AS50" s="100">
        <v>2820</v>
      </c>
      <c r="AT50" s="100">
        <v>12</v>
      </c>
      <c r="AU50" s="100">
        <v>3384</v>
      </c>
      <c r="AV50" s="100">
        <v>8.8199960245856772</v>
      </c>
      <c r="AW50" s="100">
        <v>2487.2388789331608</v>
      </c>
      <c r="AX50" s="100">
        <v>11</v>
      </c>
      <c r="AY50" s="100">
        <v>3102</v>
      </c>
      <c r="AZ50" s="100">
        <v>10</v>
      </c>
      <c r="BA50" s="100">
        <v>2820</v>
      </c>
      <c r="BB50" s="100">
        <v>6.8678555569598574</v>
      </c>
      <c r="BC50" s="100">
        <v>1936.7352670626799</v>
      </c>
      <c r="BD50" s="100">
        <v>7.5440910680547093</v>
      </c>
      <c r="BE50" s="100">
        <v>2127.4336811914281</v>
      </c>
      <c r="BF50" s="100">
        <v>9.0957850360443118</v>
      </c>
      <c r="BG50" s="100">
        <v>2565.0113801644961</v>
      </c>
      <c r="BH50" s="100">
        <v>1.925767977768676</v>
      </c>
      <c r="BI50" s="100">
        <v>543.06656973076667</v>
      </c>
      <c r="BJ50" s="100">
        <v>9</v>
      </c>
      <c r="BK50" s="100">
        <v>2538</v>
      </c>
      <c r="BL50" s="100">
        <v>11</v>
      </c>
      <c r="BM50" s="100">
        <v>3102</v>
      </c>
      <c r="BN50" s="100">
        <v>0.3913247821878989</v>
      </c>
      <c r="BO50" s="100">
        <v>110.35358857698749</v>
      </c>
      <c r="BP50" s="100">
        <v>7</v>
      </c>
      <c r="BQ50" s="100">
        <v>1974</v>
      </c>
      <c r="BR50" s="100">
        <v>10.914649014813886</v>
      </c>
      <c r="BS50" s="100">
        <v>3077.9310221775158</v>
      </c>
      <c r="BT50" s="100">
        <v>9</v>
      </c>
      <c r="BU50" s="100">
        <v>2538</v>
      </c>
      <c r="BV50" s="100">
        <v>5.304017795576276</v>
      </c>
      <c r="BW50" s="100">
        <v>1495.7330183525098</v>
      </c>
      <c r="BX50" s="100">
        <v>2.4467744574420105</v>
      </c>
      <c r="BY50" s="100">
        <v>689.99039699864693</v>
      </c>
      <c r="BZ50" s="100">
        <v>8</v>
      </c>
      <c r="CA50" s="100">
        <v>2256</v>
      </c>
      <c r="CB50" s="100">
        <v>10</v>
      </c>
      <c r="CC50" s="100">
        <v>2820</v>
      </c>
      <c r="CD50" s="100">
        <v>6</v>
      </c>
      <c r="CE50" s="100">
        <v>1692</v>
      </c>
      <c r="CF50" s="100">
        <v>10</v>
      </c>
      <c r="CG50" s="100">
        <v>2820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10</v>
      </c>
      <c r="CM50" s="100">
        <v>2820</v>
      </c>
      <c r="CN50" s="100">
        <v>11</v>
      </c>
      <c r="CO50" s="100">
        <v>3102</v>
      </c>
      <c r="CP50" s="100">
        <v>0.31632878984161777</v>
      </c>
      <c r="CQ50" s="100">
        <v>89.204718735336215</v>
      </c>
      <c r="CR50" s="100">
        <v>5.1376487937236419</v>
      </c>
      <c r="CS50" s="100">
        <v>1448.8169598300669</v>
      </c>
      <c r="CT50" s="100">
        <v>2.3521414701024007E-16</v>
      </c>
      <c r="CU50" s="100">
        <v>6.6330389456887694E-14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7</v>
      </c>
      <c r="G51" s="100">
        <v>5980.8</v>
      </c>
      <c r="H51" s="100">
        <v>9</v>
      </c>
      <c r="I51" s="100">
        <v>7689.5999999999995</v>
      </c>
      <c r="J51" s="100">
        <v>8</v>
      </c>
      <c r="K51" s="100">
        <v>6835.2</v>
      </c>
      <c r="L51" s="100">
        <v>8</v>
      </c>
      <c r="M51" s="100">
        <v>6835.2</v>
      </c>
      <c r="N51" s="100">
        <v>11</v>
      </c>
      <c r="O51" s="100">
        <v>9398.4</v>
      </c>
      <c r="P51" s="100">
        <v>9</v>
      </c>
      <c r="Q51" s="100">
        <v>7689.5999999999995</v>
      </c>
      <c r="R51" s="100">
        <v>9</v>
      </c>
      <c r="S51" s="100">
        <v>7689.5999999999995</v>
      </c>
      <c r="T51" s="100">
        <v>10</v>
      </c>
      <c r="U51" s="100">
        <v>8544</v>
      </c>
      <c r="V51" s="100">
        <v>11</v>
      </c>
      <c r="W51" s="100">
        <v>9398.4</v>
      </c>
      <c r="X51" s="100">
        <v>7.7377434187331158</v>
      </c>
      <c r="Y51" s="100">
        <v>6611.1279769655739</v>
      </c>
      <c r="Z51" s="100">
        <v>7</v>
      </c>
      <c r="AA51" s="100">
        <v>5980.8</v>
      </c>
      <c r="AB51" s="100">
        <v>6.7148839499285362</v>
      </c>
      <c r="AC51" s="100">
        <v>5737.1968468189416</v>
      </c>
      <c r="AD51" s="100">
        <v>5.0616080639207519</v>
      </c>
      <c r="AE51" s="100">
        <v>4324.63792981389</v>
      </c>
      <c r="AF51" s="100">
        <v>6</v>
      </c>
      <c r="AG51" s="100">
        <v>5126.3999999999996</v>
      </c>
      <c r="AH51" s="100">
        <v>7</v>
      </c>
      <c r="AI51" s="100">
        <v>5980.8</v>
      </c>
      <c r="AJ51" s="100">
        <v>2.7907307978241005</v>
      </c>
      <c r="AK51" s="100">
        <v>2384.4003936609115</v>
      </c>
      <c r="AL51" s="100">
        <v>8</v>
      </c>
      <c r="AM51" s="100">
        <v>6835.2</v>
      </c>
      <c r="AN51" s="100">
        <v>6</v>
      </c>
      <c r="AO51" s="100">
        <v>5126.3999999999996</v>
      </c>
      <c r="AP51" s="100">
        <v>9</v>
      </c>
      <c r="AQ51" s="100">
        <v>7689.5999999999995</v>
      </c>
      <c r="AR51" s="100">
        <v>10</v>
      </c>
      <c r="AS51" s="100">
        <v>8544</v>
      </c>
      <c r="AT51" s="100">
        <v>10</v>
      </c>
      <c r="AU51" s="100">
        <v>8544</v>
      </c>
      <c r="AV51" s="100">
        <v>8.8199960245856772</v>
      </c>
      <c r="AW51" s="100">
        <v>7535.8046034060026</v>
      </c>
      <c r="AX51" s="100">
        <v>10</v>
      </c>
      <c r="AY51" s="100">
        <v>8544</v>
      </c>
      <c r="AZ51" s="100">
        <v>10</v>
      </c>
      <c r="BA51" s="100">
        <v>8544</v>
      </c>
      <c r="BB51" s="100">
        <v>5.8867333345370216</v>
      </c>
      <c r="BC51" s="100">
        <v>5029.6249610284312</v>
      </c>
      <c r="BD51" s="100">
        <v>6.7058587271597414</v>
      </c>
      <c r="BE51" s="100">
        <v>5729.4856964852825</v>
      </c>
      <c r="BF51" s="100">
        <v>7.4420059385817092</v>
      </c>
      <c r="BG51" s="100">
        <v>6358.4498739242126</v>
      </c>
      <c r="BH51" s="100">
        <v>1.925767977768676</v>
      </c>
      <c r="BI51" s="100">
        <v>1645.3761602055567</v>
      </c>
      <c r="BJ51" s="100">
        <v>8</v>
      </c>
      <c r="BK51" s="100">
        <v>6835.2</v>
      </c>
      <c r="BL51" s="100">
        <v>11</v>
      </c>
      <c r="BM51" s="100">
        <v>9398.4</v>
      </c>
      <c r="BN51" s="100">
        <v>0.35574980198899903</v>
      </c>
      <c r="BO51" s="100">
        <v>303.95263081940078</v>
      </c>
      <c r="BP51" s="100">
        <v>7</v>
      </c>
      <c r="BQ51" s="100">
        <v>5980.8</v>
      </c>
      <c r="BR51" s="100">
        <v>9.9224081952853496</v>
      </c>
      <c r="BS51" s="100">
        <v>8477.7055620518022</v>
      </c>
      <c r="BT51" s="100">
        <v>10</v>
      </c>
      <c r="BU51" s="100">
        <v>8544</v>
      </c>
      <c r="BV51" s="100">
        <v>4.7146824849566897</v>
      </c>
      <c r="BW51" s="100">
        <v>4028.2247151469955</v>
      </c>
      <c r="BX51" s="100">
        <v>2.4467744574420105</v>
      </c>
      <c r="BY51" s="100">
        <v>2090.5240964384539</v>
      </c>
      <c r="BZ51" s="100">
        <v>7</v>
      </c>
      <c r="CA51" s="100">
        <v>5980.8</v>
      </c>
      <c r="CB51" s="100">
        <v>11</v>
      </c>
      <c r="CC51" s="100">
        <v>9398.4</v>
      </c>
      <c r="CD51" s="100">
        <v>6</v>
      </c>
      <c r="CE51" s="100">
        <v>5126.3999999999996</v>
      </c>
      <c r="CF51" s="100">
        <v>8</v>
      </c>
      <c r="CG51" s="100">
        <v>6835.2</v>
      </c>
      <c r="CH51" s="100">
        <v>7</v>
      </c>
      <c r="CI51" s="100">
        <v>5980.8</v>
      </c>
      <c r="CJ51" s="100">
        <v>11</v>
      </c>
      <c r="CK51" s="100">
        <v>9398.4</v>
      </c>
      <c r="CL51" s="100">
        <v>9</v>
      </c>
      <c r="CM51" s="100">
        <v>7689.5999999999995</v>
      </c>
      <c r="CN51" s="100">
        <v>10</v>
      </c>
      <c r="CO51" s="100">
        <v>8544</v>
      </c>
      <c r="CP51" s="100">
        <v>0.31632878984161777</v>
      </c>
      <c r="CQ51" s="100">
        <v>270.27131804067824</v>
      </c>
      <c r="CR51" s="100">
        <v>5.1376487937236419</v>
      </c>
      <c r="CS51" s="100">
        <v>4389.6071293574796</v>
      </c>
      <c r="CT51" s="100">
        <v>1.7641061025768004E-16</v>
      </c>
      <c r="CU51" s="100">
        <v>1.5072522540416182E-13</v>
      </c>
    </row>
    <row r="52" spans="2:99">
      <c r="C52" s="99" t="s">
        <v>218</v>
      </c>
      <c r="D52" s="100">
        <v>7</v>
      </c>
      <c r="E52" s="100">
        <v>3780</v>
      </c>
      <c r="F52" s="100">
        <v>8</v>
      </c>
      <c r="G52" s="100">
        <v>4320</v>
      </c>
      <c r="H52" s="100">
        <v>9</v>
      </c>
      <c r="I52" s="100">
        <v>4860</v>
      </c>
      <c r="J52" s="100">
        <v>8</v>
      </c>
      <c r="K52" s="100">
        <v>4320</v>
      </c>
      <c r="L52" s="100">
        <v>9</v>
      </c>
      <c r="M52" s="100">
        <v>4860</v>
      </c>
      <c r="N52" s="100">
        <v>9</v>
      </c>
      <c r="O52" s="100">
        <v>4860</v>
      </c>
      <c r="P52" s="100">
        <v>10</v>
      </c>
      <c r="Q52" s="100">
        <v>5400</v>
      </c>
      <c r="R52" s="100">
        <v>9</v>
      </c>
      <c r="S52" s="100">
        <v>4860</v>
      </c>
      <c r="T52" s="100">
        <v>11</v>
      </c>
      <c r="U52" s="100">
        <v>5940</v>
      </c>
      <c r="V52" s="100">
        <v>11</v>
      </c>
      <c r="W52" s="100">
        <v>5940</v>
      </c>
      <c r="X52" s="100">
        <v>7.7377434187331158</v>
      </c>
      <c r="Y52" s="100">
        <v>4178.3814461158827</v>
      </c>
      <c r="Z52" s="100">
        <v>7</v>
      </c>
      <c r="AA52" s="100">
        <v>3780</v>
      </c>
      <c r="AB52" s="100">
        <v>5.8755234561874703</v>
      </c>
      <c r="AC52" s="100">
        <v>3172.7826663412338</v>
      </c>
      <c r="AD52" s="100">
        <v>5.0616080639207519</v>
      </c>
      <c r="AE52" s="100">
        <v>2733.2683545172058</v>
      </c>
      <c r="AF52" s="100">
        <v>7</v>
      </c>
      <c r="AG52" s="100">
        <v>3780</v>
      </c>
      <c r="AH52" s="100">
        <v>8</v>
      </c>
      <c r="AI52" s="100">
        <v>4320</v>
      </c>
      <c r="AJ52" s="100">
        <v>3.1008119975823338</v>
      </c>
      <c r="AK52" s="100">
        <v>1674.4384786944602</v>
      </c>
      <c r="AL52" s="100">
        <v>8</v>
      </c>
      <c r="AM52" s="100">
        <v>4320</v>
      </c>
      <c r="AN52" s="100">
        <v>6</v>
      </c>
      <c r="AO52" s="100">
        <v>3240</v>
      </c>
      <c r="AP52" s="100">
        <v>8</v>
      </c>
      <c r="AQ52" s="100">
        <v>4320</v>
      </c>
      <c r="AR52" s="100">
        <v>10</v>
      </c>
      <c r="AS52" s="100">
        <v>5400</v>
      </c>
      <c r="AT52" s="100">
        <v>11</v>
      </c>
      <c r="AU52" s="100">
        <v>5940</v>
      </c>
      <c r="AV52" s="100">
        <v>8.8199960245856772</v>
      </c>
      <c r="AW52" s="100">
        <v>4762.7978532762654</v>
      </c>
      <c r="AX52" s="100">
        <v>10</v>
      </c>
      <c r="AY52" s="100">
        <v>5400</v>
      </c>
      <c r="AZ52" s="100">
        <v>11</v>
      </c>
      <c r="BA52" s="100">
        <v>5940</v>
      </c>
      <c r="BB52" s="100">
        <v>6.8678555569598574</v>
      </c>
      <c r="BC52" s="100">
        <v>3708.6420007583229</v>
      </c>
      <c r="BD52" s="100">
        <v>7.5440910680547093</v>
      </c>
      <c r="BE52" s="100">
        <v>4073.809176749543</v>
      </c>
      <c r="BF52" s="100">
        <v>8.2688954873130101</v>
      </c>
      <c r="BG52" s="100">
        <v>4465.2035631490253</v>
      </c>
      <c r="BH52" s="100">
        <v>2.2467293073967887</v>
      </c>
      <c r="BI52" s="100">
        <v>1213.2338259942658</v>
      </c>
      <c r="BJ52" s="100">
        <v>8</v>
      </c>
      <c r="BK52" s="100">
        <v>4320</v>
      </c>
      <c r="BL52" s="100">
        <v>9</v>
      </c>
      <c r="BM52" s="100">
        <v>4860</v>
      </c>
      <c r="BN52" s="100">
        <v>0.3913247821878989</v>
      </c>
      <c r="BO52" s="100">
        <v>211.31538238146541</v>
      </c>
      <c r="BP52" s="100">
        <v>7</v>
      </c>
      <c r="BQ52" s="100">
        <v>3780</v>
      </c>
      <c r="BR52" s="100">
        <v>8.930167375756815</v>
      </c>
      <c r="BS52" s="100">
        <v>4822.2903829086799</v>
      </c>
      <c r="BT52" s="100">
        <v>9</v>
      </c>
      <c r="BU52" s="100">
        <v>4860</v>
      </c>
      <c r="BV52" s="100">
        <v>4.7146824849566897</v>
      </c>
      <c r="BW52" s="100">
        <v>2545.9285418766126</v>
      </c>
      <c r="BX52" s="100">
        <v>2.4467744574420105</v>
      </c>
      <c r="BY52" s="100">
        <v>1321.2582070186857</v>
      </c>
      <c r="BZ52" s="100">
        <v>8</v>
      </c>
      <c r="CA52" s="100">
        <v>4320</v>
      </c>
      <c r="CB52" s="100">
        <v>11</v>
      </c>
      <c r="CC52" s="100">
        <v>5940</v>
      </c>
      <c r="CD52" s="100">
        <v>6</v>
      </c>
      <c r="CE52" s="100">
        <v>3240</v>
      </c>
      <c r="CF52" s="100">
        <v>9</v>
      </c>
      <c r="CG52" s="100">
        <v>4860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9</v>
      </c>
      <c r="CM52" s="100">
        <v>4860</v>
      </c>
      <c r="CN52" s="100">
        <v>10</v>
      </c>
      <c r="CO52" s="100">
        <v>5400</v>
      </c>
      <c r="CP52" s="100">
        <v>0.31632878984161777</v>
      </c>
      <c r="CQ52" s="100">
        <v>170.81754651447361</v>
      </c>
      <c r="CR52" s="100">
        <v>5.1376487937236419</v>
      </c>
      <c r="CS52" s="100">
        <v>2774.3303486107666</v>
      </c>
      <c r="CT52" s="100">
        <v>2.1561296809272006E-16</v>
      </c>
      <c r="CU52" s="100">
        <v>1.1643100277006882E-13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8</v>
      </c>
      <c r="G53" s="100">
        <v>3254.4</v>
      </c>
      <c r="H53" s="100">
        <v>9</v>
      </c>
      <c r="I53" s="100">
        <v>3661.2000000000003</v>
      </c>
      <c r="J53" s="100">
        <v>9</v>
      </c>
      <c r="K53" s="100">
        <v>3661.2000000000003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10</v>
      </c>
      <c r="Q53" s="100">
        <v>4068</v>
      </c>
      <c r="R53" s="100">
        <v>10</v>
      </c>
      <c r="S53" s="100">
        <v>4068</v>
      </c>
      <c r="T53" s="100">
        <v>11</v>
      </c>
      <c r="U53" s="100">
        <v>4474.8</v>
      </c>
      <c r="V53" s="100">
        <v>11</v>
      </c>
      <c r="W53" s="100">
        <v>4474.8</v>
      </c>
      <c r="X53" s="100">
        <v>8.597492687481239</v>
      </c>
      <c r="Y53" s="100">
        <v>3497.4600252673681</v>
      </c>
      <c r="Z53" s="100">
        <v>7</v>
      </c>
      <c r="AA53" s="100">
        <v>2847.6</v>
      </c>
      <c r="AB53" s="100">
        <v>5.8755234561874703</v>
      </c>
      <c r="AC53" s="100">
        <v>2390.1629419770629</v>
      </c>
      <c r="AD53" s="100">
        <v>5.0616080639207519</v>
      </c>
      <c r="AE53" s="100">
        <v>2059.062160402962</v>
      </c>
      <c r="AF53" s="100">
        <v>7</v>
      </c>
      <c r="AG53" s="100">
        <v>2847.6</v>
      </c>
      <c r="AH53" s="100">
        <v>7</v>
      </c>
      <c r="AI53" s="100">
        <v>2847.6</v>
      </c>
      <c r="AJ53" s="100">
        <v>3.1008119975823338</v>
      </c>
      <c r="AK53" s="100">
        <v>1261.4103206164934</v>
      </c>
      <c r="AL53" s="100">
        <v>7</v>
      </c>
      <c r="AM53" s="100">
        <v>2847.6</v>
      </c>
      <c r="AN53" s="100">
        <v>5</v>
      </c>
      <c r="AO53" s="100">
        <v>2034</v>
      </c>
      <c r="AP53" s="100">
        <v>8</v>
      </c>
      <c r="AQ53" s="100">
        <v>3254.4</v>
      </c>
      <c r="AR53" s="100">
        <v>10</v>
      </c>
      <c r="AS53" s="100">
        <v>4068</v>
      </c>
      <c r="AT53" s="100">
        <v>11</v>
      </c>
      <c r="AU53" s="100">
        <v>4474.8</v>
      </c>
      <c r="AV53" s="100">
        <v>9.7999955828729739</v>
      </c>
      <c r="AW53" s="100">
        <v>3986.6382031127259</v>
      </c>
      <c r="AX53" s="100">
        <v>11</v>
      </c>
      <c r="AY53" s="100">
        <v>4474.8</v>
      </c>
      <c r="AZ53" s="100">
        <v>10</v>
      </c>
      <c r="BA53" s="100">
        <v>4068</v>
      </c>
      <c r="BB53" s="100">
        <v>5.8867333345370216</v>
      </c>
      <c r="BC53" s="100">
        <v>2394.7231204896607</v>
      </c>
      <c r="BD53" s="100">
        <v>7.5440910680547093</v>
      </c>
      <c r="BE53" s="100">
        <v>3068.9362464846558</v>
      </c>
      <c r="BF53" s="100">
        <v>7.4420059385817092</v>
      </c>
      <c r="BG53" s="100">
        <v>3027.4080158150396</v>
      </c>
      <c r="BH53" s="100">
        <v>1.925767977768676</v>
      </c>
      <c r="BI53" s="100">
        <v>783.40241335629742</v>
      </c>
      <c r="BJ53" s="100">
        <v>8</v>
      </c>
      <c r="BK53" s="100">
        <v>3254.4</v>
      </c>
      <c r="BL53" s="100">
        <v>10</v>
      </c>
      <c r="BM53" s="100">
        <v>4068</v>
      </c>
      <c r="BN53" s="100">
        <v>0.3913247821878989</v>
      </c>
      <c r="BO53" s="100">
        <v>159.19092139403728</v>
      </c>
      <c r="BP53" s="100">
        <v>7</v>
      </c>
      <c r="BQ53" s="100">
        <v>2847.6</v>
      </c>
      <c r="BR53" s="100">
        <v>10.914649014813886</v>
      </c>
      <c r="BS53" s="100">
        <v>4440.0792192262888</v>
      </c>
      <c r="BT53" s="100">
        <v>9</v>
      </c>
      <c r="BU53" s="100">
        <v>3661.2000000000003</v>
      </c>
      <c r="BV53" s="100">
        <v>5.304017795576276</v>
      </c>
      <c r="BW53" s="100">
        <v>2157.6744392404289</v>
      </c>
      <c r="BX53" s="100">
        <v>2.7526212646222619</v>
      </c>
      <c r="BY53" s="100">
        <v>1119.7663304483362</v>
      </c>
      <c r="BZ53" s="100">
        <v>8</v>
      </c>
      <c r="CA53" s="100">
        <v>3254.4</v>
      </c>
      <c r="CB53" s="100">
        <v>10</v>
      </c>
      <c r="CC53" s="100">
        <v>4068</v>
      </c>
      <c r="CD53" s="100">
        <v>6</v>
      </c>
      <c r="CE53" s="100">
        <v>2440.8000000000002</v>
      </c>
      <c r="CF53" s="100">
        <v>8</v>
      </c>
      <c r="CG53" s="100">
        <v>3254.4</v>
      </c>
      <c r="CH53" s="100">
        <v>8</v>
      </c>
      <c r="CI53" s="100">
        <v>3254.4</v>
      </c>
      <c r="CJ53" s="100">
        <v>11</v>
      </c>
      <c r="CK53" s="100">
        <v>4474.8</v>
      </c>
      <c r="CL53" s="100">
        <v>11</v>
      </c>
      <c r="CM53" s="100">
        <v>4474.8</v>
      </c>
      <c r="CN53" s="100">
        <v>10</v>
      </c>
      <c r="CO53" s="100">
        <v>4068</v>
      </c>
      <c r="CP53" s="100">
        <v>0.36151861696184884</v>
      </c>
      <c r="CQ53" s="100">
        <v>147.06577338008012</v>
      </c>
      <c r="CR53" s="100">
        <v>5.1376487937236419</v>
      </c>
      <c r="CS53" s="100">
        <v>2089.9955292867776</v>
      </c>
      <c r="CT53" s="100">
        <v>1.9601178917520005E-16</v>
      </c>
      <c r="CU53" s="100">
        <v>7.9737595836471381E-14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7</v>
      </c>
      <c r="G54" s="100">
        <v>2343.6</v>
      </c>
      <c r="H54" s="100">
        <v>9</v>
      </c>
      <c r="I54" s="100">
        <v>3013.2000000000003</v>
      </c>
      <c r="J54" s="100">
        <v>8</v>
      </c>
      <c r="K54" s="100">
        <v>2678.4</v>
      </c>
      <c r="L54" s="100">
        <v>9</v>
      </c>
      <c r="M54" s="100">
        <v>3013.2000000000003</v>
      </c>
      <c r="N54" s="100">
        <v>10</v>
      </c>
      <c r="O54" s="100">
        <v>3348</v>
      </c>
      <c r="P54" s="100">
        <v>10</v>
      </c>
      <c r="Q54" s="100">
        <v>3348</v>
      </c>
      <c r="R54" s="100">
        <v>9</v>
      </c>
      <c r="S54" s="100">
        <v>3013.2000000000003</v>
      </c>
      <c r="T54" s="100">
        <v>10</v>
      </c>
      <c r="U54" s="100">
        <v>3348</v>
      </c>
      <c r="V54" s="100">
        <v>10</v>
      </c>
      <c r="W54" s="100">
        <v>3348</v>
      </c>
      <c r="X54" s="100">
        <v>8.597492687481239</v>
      </c>
      <c r="Y54" s="100">
        <v>2878.4405517687187</v>
      </c>
      <c r="Z54" s="100">
        <v>7</v>
      </c>
      <c r="AA54" s="100">
        <v>2343.6</v>
      </c>
      <c r="AB54" s="100">
        <v>6.7148839499285362</v>
      </c>
      <c r="AC54" s="100">
        <v>2248.1431464360739</v>
      </c>
      <c r="AD54" s="100">
        <v>6.0739296767049025</v>
      </c>
      <c r="AE54" s="100">
        <v>2033.5516557608014</v>
      </c>
      <c r="AF54" s="100">
        <v>7</v>
      </c>
      <c r="AG54" s="100">
        <v>2343.6</v>
      </c>
      <c r="AH54" s="100">
        <v>7</v>
      </c>
      <c r="AI54" s="100">
        <v>2343.6</v>
      </c>
      <c r="AJ54" s="100">
        <v>2.7907307978241005</v>
      </c>
      <c r="AK54" s="100">
        <v>934.33667111150885</v>
      </c>
      <c r="AL54" s="100">
        <v>8</v>
      </c>
      <c r="AM54" s="100">
        <v>2678.4</v>
      </c>
      <c r="AN54" s="100">
        <v>6</v>
      </c>
      <c r="AO54" s="100">
        <v>2008.8000000000002</v>
      </c>
      <c r="AP54" s="100">
        <v>8</v>
      </c>
      <c r="AQ54" s="100">
        <v>2678.4</v>
      </c>
      <c r="AR54" s="100">
        <v>10</v>
      </c>
      <c r="AS54" s="100">
        <v>3348</v>
      </c>
      <c r="AT54" s="100">
        <v>12</v>
      </c>
      <c r="AU54" s="100">
        <v>4017.6000000000004</v>
      </c>
      <c r="AV54" s="100">
        <v>9.7999955828729739</v>
      </c>
      <c r="AW54" s="100">
        <v>3281.038521145872</v>
      </c>
      <c r="AX54" s="100">
        <v>12</v>
      </c>
      <c r="AY54" s="100">
        <v>4017.6000000000004</v>
      </c>
      <c r="AZ54" s="100">
        <v>11</v>
      </c>
      <c r="BA54" s="100">
        <v>3682.8</v>
      </c>
      <c r="BB54" s="100">
        <v>6.8678555569598574</v>
      </c>
      <c r="BC54" s="100">
        <v>2299.3580404701602</v>
      </c>
      <c r="BD54" s="100">
        <v>7.5440910680547093</v>
      </c>
      <c r="BE54" s="100">
        <v>2525.7616895847168</v>
      </c>
      <c r="BF54" s="100">
        <v>8.2688954873130101</v>
      </c>
      <c r="BG54" s="100">
        <v>2768.426209152396</v>
      </c>
      <c r="BH54" s="100">
        <v>2.2467293073967887</v>
      </c>
      <c r="BI54" s="100">
        <v>752.20497211644488</v>
      </c>
      <c r="BJ54" s="100">
        <v>8</v>
      </c>
      <c r="BK54" s="100">
        <v>2678.4</v>
      </c>
      <c r="BL54" s="100">
        <v>11</v>
      </c>
      <c r="BM54" s="100">
        <v>3682.8</v>
      </c>
      <c r="BN54" s="100">
        <v>0.35574980198899903</v>
      </c>
      <c r="BO54" s="100">
        <v>119.10503370591688</v>
      </c>
      <c r="BP54" s="100">
        <v>7</v>
      </c>
      <c r="BQ54" s="100">
        <v>2343.6</v>
      </c>
      <c r="BR54" s="100">
        <v>10.914649014813886</v>
      </c>
      <c r="BS54" s="100">
        <v>3654.2244901596891</v>
      </c>
      <c r="BT54" s="100">
        <v>9</v>
      </c>
      <c r="BU54" s="100">
        <v>3013.2000000000003</v>
      </c>
      <c r="BV54" s="100">
        <v>5.304017795576276</v>
      </c>
      <c r="BW54" s="100">
        <v>1775.7851579589374</v>
      </c>
      <c r="BX54" s="100">
        <v>2.1409276502617587</v>
      </c>
      <c r="BY54" s="100">
        <v>716.78257730763687</v>
      </c>
      <c r="BZ54" s="100">
        <v>8</v>
      </c>
      <c r="CA54" s="100">
        <v>2678.4</v>
      </c>
      <c r="CB54" s="100">
        <v>10</v>
      </c>
      <c r="CC54" s="100">
        <v>3348</v>
      </c>
      <c r="CD54" s="100">
        <v>6</v>
      </c>
      <c r="CE54" s="100">
        <v>2008.8000000000002</v>
      </c>
      <c r="CF54" s="100">
        <v>9</v>
      </c>
      <c r="CG54" s="100">
        <v>3013.2000000000003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10</v>
      </c>
      <c r="CO54" s="100">
        <v>3348</v>
      </c>
      <c r="CP54" s="100">
        <v>0.31632878984161777</v>
      </c>
      <c r="CQ54" s="100">
        <v>105.90687883897364</v>
      </c>
      <c r="CR54" s="100">
        <v>5.1376487937236419</v>
      </c>
      <c r="CS54" s="100">
        <v>1720.0848161386755</v>
      </c>
      <c r="CT54" s="100">
        <v>2.3521414701024007E-16</v>
      </c>
      <c r="CU54" s="100">
        <v>7.8749696419028382E-14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8</v>
      </c>
      <c r="G55" s="100">
        <v>5308.8</v>
      </c>
      <c r="H55" s="100">
        <v>8</v>
      </c>
      <c r="I55" s="100">
        <v>5308.8</v>
      </c>
      <c r="J55" s="100">
        <v>8</v>
      </c>
      <c r="K55" s="100">
        <v>5308.8</v>
      </c>
      <c r="L55" s="100">
        <v>9</v>
      </c>
      <c r="M55" s="100">
        <v>5972.4000000000005</v>
      </c>
      <c r="N55" s="100">
        <v>10</v>
      </c>
      <c r="O55" s="100">
        <v>6636</v>
      </c>
      <c r="P55" s="100">
        <v>9</v>
      </c>
      <c r="Q55" s="100">
        <v>5972.4000000000005</v>
      </c>
      <c r="R55" s="100">
        <v>10</v>
      </c>
      <c r="S55" s="100">
        <v>6636</v>
      </c>
      <c r="T55" s="100">
        <v>10</v>
      </c>
      <c r="U55" s="100">
        <v>6636</v>
      </c>
      <c r="V55" s="100">
        <v>11</v>
      </c>
      <c r="W55" s="100">
        <v>7299.6</v>
      </c>
      <c r="X55" s="100">
        <v>7.7377434187331158</v>
      </c>
      <c r="Y55" s="100">
        <v>5134.7665326712959</v>
      </c>
      <c r="Z55" s="100">
        <v>7</v>
      </c>
      <c r="AA55" s="100">
        <v>4645.2</v>
      </c>
      <c r="AB55" s="100">
        <v>5.8755234561874703</v>
      </c>
      <c r="AC55" s="100">
        <v>3898.9973655260055</v>
      </c>
      <c r="AD55" s="100">
        <v>5.5677688703128272</v>
      </c>
      <c r="AE55" s="100">
        <v>3694.7714223395924</v>
      </c>
      <c r="AF55" s="100">
        <v>7</v>
      </c>
      <c r="AG55" s="100">
        <v>4645.2</v>
      </c>
      <c r="AH55" s="100">
        <v>8</v>
      </c>
      <c r="AI55" s="100">
        <v>5308.8</v>
      </c>
      <c r="AJ55" s="100">
        <v>2.7907307978241005</v>
      </c>
      <c r="AK55" s="100">
        <v>1851.9289574360732</v>
      </c>
      <c r="AL55" s="100">
        <v>7</v>
      </c>
      <c r="AM55" s="100">
        <v>4645.2</v>
      </c>
      <c r="AN55" s="100">
        <v>5</v>
      </c>
      <c r="AO55" s="100">
        <v>3318</v>
      </c>
      <c r="AP55" s="100">
        <v>8</v>
      </c>
      <c r="AQ55" s="100">
        <v>5308.8</v>
      </c>
      <c r="AR55" s="100">
        <v>10</v>
      </c>
      <c r="AS55" s="100">
        <v>6636</v>
      </c>
      <c r="AT55" s="100">
        <v>10</v>
      </c>
      <c r="AU55" s="100">
        <v>6636</v>
      </c>
      <c r="AV55" s="100">
        <v>8.8199960245856772</v>
      </c>
      <c r="AW55" s="100">
        <v>5852.9493619150553</v>
      </c>
      <c r="AX55" s="100">
        <v>10</v>
      </c>
      <c r="AY55" s="100">
        <v>6636</v>
      </c>
      <c r="AZ55" s="100">
        <v>10</v>
      </c>
      <c r="BA55" s="100">
        <v>6636</v>
      </c>
      <c r="BB55" s="100">
        <v>5.8867333345370216</v>
      </c>
      <c r="BC55" s="100">
        <v>3906.4362407987678</v>
      </c>
      <c r="BD55" s="100">
        <v>7.5440910680547093</v>
      </c>
      <c r="BE55" s="100">
        <v>5006.2588327611056</v>
      </c>
      <c r="BF55" s="100">
        <v>7.4420059385817092</v>
      </c>
      <c r="BG55" s="100">
        <v>4938.5151408428228</v>
      </c>
      <c r="BH55" s="100">
        <v>2.2467293073967887</v>
      </c>
      <c r="BI55" s="100">
        <v>1490.9295683885091</v>
      </c>
      <c r="BJ55" s="100">
        <v>8</v>
      </c>
      <c r="BK55" s="100">
        <v>5308.8</v>
      </c>
      <c r="BL55" s="100">
        <v>11</v>
      </c>
      <c r="BM55" s="100">
        <v>7299.6</v>
      </c>
      <c r="BN55" s="100">
        <v>0.35574980198899903</v>
      </c>
      <c r="BO55" s="100">
        <v>236.07556859989975</v>
      </c>
      <c r="BP55" s="100">
        <v>7</v>
      </c>
      <c r="BQ55" s="100">
        <v>4645.2</v>
      </c>
      <c r="BR55" s="100">
        <v>8.930167375756815</v>
      </c>
      <c r="BS55" s="100">
        <v>5926.0590705522227</v>
      </c>
      <c r="BT55" s="100">
        <v>10</v>
      </c>
      <c r="BU55" s="100">
        <v>6636</v>
      </c>
      <c r="BV55" s="100">
        <v>4.7146824849566897</v>
      </c>
      <c r="BW55" s="100">
        <v>3128.6632970172595</v>
      </c>
      <c r="BX55" s="100">
        <v>2.7526212646222619</v>
      </c>
      <c r="BY55" s="100">
        <v>1826.639471203333</v>
      </c>
      <c r="BZ55" s="100">
        <v>8</v>
      </c>
      <c r="CA55" s="100">
        <v>5308.8</v>
      </c>
      <c r="CB55" s="100">
        <v>10</v>
      </c>
      <c r="CC55" s="100">
        <v>6636</v>
      </c>
      <c r="CD55" s="100">
        <v>6</v>
      </c>
      <c r="CE55" s="100">
        <v>3981.6000000000004</v>
      </c>
      <c r="CF55" s="100">
        <v>8</v>
      </c>
      <c r="CG55" s="100">
        <v>5308.8</v>
      </c>
      <c r="CH55" s="100">
        <v>7</v>
      </c>
      <c r="CI55" s="100">
        <v>4645.2</v>
      </c>
      <c r="CJ55" s="100">
        <v>10</v>
      </c>
      <c r="CK55" s="100">
        <v>6636</v>
      </c>
      <c r="CL55" s="100">
        <v>11</v>
      </c>
      <c r="CM55" s="100">
        <v>7299.6</v>
      </c>
      <c r="CN55" s="100">
        <v>10</v>
      </c>
      <c r="CO55" s="100">
        <v>6636</v>
      </c>
      <c r="CP55" s="100">
        <v>0.31632878984161777</v>
      </c>
      <c r="CQ55" s="100">
        <v>209.91578493889756</v>
      </c>
      <c r="CR55" s="100">
        <v>5.1376487937236419</v>
      </c>
      <c r="CS55" s="100">
        <v>3409.343739515009</v>
      </c>
      <c r="CT55" s="100">
        <v>1.9601178917520005E-16</v>
      </c>
      <c r="CU55" s="100">
        <v>1.3007342329666276E-13</v>
      </c>
    </row>
    <row r="56" spans="2:99">
      <c r="C56" s="99" t="s">
        <v>222</v>
      </c>
      <c r="D56" s="100">
        <v>4.0545924630322938</v>
      </c>
      <c r="E56" s="100">
        <v>3979.9879617124993</v>
      </c>
      <c r="F56" s="100">
        <v>5.9600582678014895</v>
      </c>
      <c r="G56" s="100">
        <v>5850.3931956739416</v>
      </c>
      <c r="H56" s="100">
        <v>5.2599581605867103</v>
      </c>
      <c r="I56" s="100">
        <v>5163.1749304319146</v>
      </c>
      <c r="J56" s="100">
        <v>5.6363653146212949</v>
      </c>
      <c r="K56" s="100">
        <v>5532.6561928322626</v>
      </c>
      <c r="L56" s="100">
        <v>9</v>
      </c>
      <c r="M56" s="100">
        <v>8834.4</v>
      </c>
      <c r="N56" s="100">
        <v>10</v>
      </c>
      <c r="O56" s="100">
        <v>9816</v>
      </c>
      <c r="P56" s="100">
        <v>7.9042186540994521</v>
      </c>
      <c r="Q56" s="100">
        <v>7758.7810308640219</v>
      </c>
      <c r="R56" s="100">
        <v>6.8519001420877004</v>
      </c>
      <c r="S56" s="100">
        <v>6725.825179473286</v>
      </c>
      <c r="T56" s="100">
        <v>9</v>
      </c>
      <c r="U56" s="100">
        <v>8834.4</v>
      </c>
      <c r="V56" s="100">
        <v>10</v>
      </c>
      <c r="W56" s="100">
        <v>9816</v>
      </c>
      <c r="X56" s="100">
        <v>7.950191265067005</v>
      </c>
      <c r="Y56" s="100">
        <v>7803.9077457897711</v>
      </c>
      <c r="Z56" s="100">
        <v>2.2661951258763602</v>
      </c>
      <c r="AA56" s="100">
        <v>2224.4971355602352</v>
      </c>
      <c r="AB56" s="100">
        <v>7.1283088917227113</v>
      </c>
      <c r="AC56" s="100">
        <v>6997.148008115013</v>
      </c>
      <c r="AD56" s="100">
        <v>10</v>
      </c>
      <c r="AE56" s="100">
        <v>9816</v>
      </c>
      <c r="AF56" s="100">
        <v>2.7008844737331534</v>
      </c>
      <c r="AG56" s="100">
        <v>2651.1881994164632</v>
      </c>
      <c r="AH56" s="100">
        <v>6.246689938647928E-23</v>
      </c>
      <c r="AI56" s="100">
        <v>6.1317508437768058E-20</v>
      </c>
      <c r="AJ56" s="100">
        <v>3.6727029201629438E-23</v>
      </c>
      <c r="AK56" s="100">
        <v>3.6051251864319454E-20</v>
      </c>
      <c r="AL56" s="100">
        <v>2.8365071660187018E-23</v>
      </c>
      <c r="AM56" s="100">
        <v>2.7843154341639573E-20</v>
      </c>
      <c r="AN56" s="100">
        <v>6</v>
      </c>
      <c r="AO56" s="100">
        <v>5889.5999999999995</v>
      </c>
      <c r="AP56" s="100">
        <v>5.8925146790658234</v>
      </c>
      <c r="AQ56" s="100">
        <v>5784.0924089710115</v>
      </c>
      <c r="AR56" s="100">
        <v>6.1853263253288997</v>
      </c>
      <c r="AS56" s="100">
        <v>6071.5163209428474</v>
      </c>
      <c r="AT56" s="100">
        <v>9.6288151521699454</v>
      </c>
      <c r="AU56" s="100">
        <v>9451.6449533700179</v>
      </c>
      <c r="AV56" s="100">
        <v>6.8114951632017027</v>
      </c>
      <c r="AW56" s="100">
        <v>6686.1636521987912</v>
      </c>
      <c r="AX56" s="100">
        <v>0</v>
      </c>
      <c r="AY56" s="100">
        <v>0</v>
      </c>
      <c r="AZ56" s="100">
        <v>6.4454568717212366</v>
      </c>
      <c r="BA56" s="100">
        <v>6326.8604652815657</v>
      </c>
      <c r="BB56" s="100">
        <v>4.9173895563220853</v>
      </c>
      <c r="BC56" s="100">
        <v>4826.9095884857588</v>
      </c>
      <c r="BD56" s="100">
        <v>6.5917695127758416</v>
      </c>
      <c r="BE56" s="100">
        <v>6470.4809537407655</v>
      </c>
      <c r="BF56" s="100">
        <v>0.676280334932577</v>
      </c>
      <c r="BG56" s="100">
        <v>663.83677676981756</v>
      </c>
      <c r="BH56" s="100">
        <v>6</v>
      </c>
      <c r="BI56" s="100">
        <v>5889.5999999999995</v>
      </c>
      <c r="BJ56" s="100">
        <v>5.0643829985700162</v>
      </c>
      <c r="BK56" s="100">
        <v>4971.1983513963278</v>
      </c>
      <c r="BL56" s="100">
        <v>7.4760312766847949</v>
      </c>
      <c r="BM56" s="100">
        <v>7338.472301193794</v>
      </c>
      <c r="BN56" s="100">
        <v>10</v>
      </c>
      <c r="BO56" s="100">
        <v>9816</v>
      </c>
      <c r="BP56" s="100">
        <v>6</v>
      </c>
      <c r="BQ56" s="100">
        <v>5889.5999999999995</v>
      </c>
      <c r="BR56" s="100">
        <v>9.8208583091233219</v>
      </c>
      <c r="BS56" s="100">
        <v>9640.1545162354523</v>
      </c>
      <c r="BT56" s="100">
        <v>7.6248080185093681</v>
      </c>
      <c r="BU56" s="100">
        <v>7484.5115509687948</v>
      </c>
      <c r="BV56" s="100">
        <v>6.6313835122516567</v>
      </c>
      <c r="BW56" s="100">
        <v>6509.3660556262257</v>
      </c>
      <c r="BX56" s="100">
        <v>6.2237011643467319</v>
      </c>
      <c r="BY56" s="100">
        <v>6109.1850629227511</v>
      </c>
      <c r="BZ56" s="100">
        <v>5.2332218936793566</v>
      </c>
      <c r="CA56" s="100">
        <v>5136.9306108356559</v>
      </c>
      <c r="CB56" s="100">
        <v>7.4760312766847949</v>
      </c>
      <c r="CC56" s="100">
        <v>7338.472301193794</v>
      </c>
      <c r="CD56" s="100">
        <v>5.4091285119542931</v>
      </c>
      <c r="CE56" s="100">
        <v>5309.6005473343339</v>
      </c>
      <c r="CF56" s="100">
        <v>5.9808250213478358</v>
      </c>
      <c r="CG56" s="100">
        <v>5870.7778409550347</v>
      </c>
      <c r="CH56" s="100">
        <v>0.41991262626532555</v>
      </c>
      <c r="CI56" s="100">
        <v>412.18623394204354</v>
      </c>
      <c r="CJ56" s="100">
        <v>11</v>
      </c>
      <c r="CK56" s="100">
        <v>10797.599999999999</v>
      </c>
      <c r="CL56" s="100">
        <v>10</v>
      </c>
      <c r="CM56" s="100">
        <v>9816</v>
      </c>
      <c r="CN56" s="100">
        <v>4.3838338494357263</v>
      </c>
      <c r="CO56" s="100">
        <v>4303.1713066061084</v>
      </c>
      <c r="CP56" s="100">
        <v>5.3109430109122187</v>
      </c>
      <c r="CQ56" s="100">
        <v>5213.2216595114332</v>
      </c>
      <c r="CR56" s="100">
        <v>0.41382693602959619</v>
      </c>
      <c r="CS56" s="100">
        <v>406.21252040665161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5</v>
      </c>
      <c r="E57" s="100">
        <v>7056</v>
      </c>
      <c r="F57" s="100">
        <v>7</v>
      </c>
      <c r="G57" s="100">
        <v>9878.4</v>
      </c>
      <c r="H57" s="100">
        <v>9</v>
      </c>
      <c r="I57" s="100">
        <v>12700.800000000001</v>
      </c>
      <c r="J57" s="100">
        <v>8</v>
      </c>
      <c r="K57" s="100">
        <v>11289.6</v>
      </c>
      <c r="L57" s="100">
        <v>10</v>
      </c>
      <c r="M57" s="100">
        <v>14112</v>
      </c>
      <c r="N57" s="100">
        <v>9</v>
      </c>
      <c r="O57" s="100">
        <v>12700.800000000001</v>
      </c>
      <c r="P57" s="100">
        <v>10</v>
      </c>
      <c r="Q57" s="100">
        <v>14112</v>
      </c>
      <c r="R57" s="100">
        <v>9</v>
      </c>
      <c r="S57" s="100">
        <v>12700.800000000001</v>
      </c>
      <c r="T57" s="100">
        <v>9</v>
      </c>
      <c r="U57" s="100">
        <v>12700.800000000001</v>
      </c>
      <c r="V57" s="100">
        <v>11</v>
      </c>
      <c r="W57" s="100">
        <v>15523.2</v>
      </c>
      <c r="X57" s="100">
        <v>8.597492687481239</v>
      </c>
      <c r="Y57" s="100">
        <v>12132.781680573526</v>
      </c>
      <c r="Z57" s="100">
        <v>6</v>
      </c>
      <c r="AA57" s="100">
        <v>8467.2000000000007</v>
      </c>
      <c r="AB57" s="100">
        <v>5.8755234561874703</v>
      </c>
      <c r="AC57" s="100">
        <v>8291.5387013717591</v>
      </c>
      <c r="AD57" s="100">
        <v>5.0616080639207519</v>
      </c>
      <c r="AE57" s="100">
        <v>7142.9412998049656</v>
      </c>
      <c r="AF57" s="100">
        <v>6</v>
      </c>
      <c r="AG57" s="100">
        <v>8467.2000000000007</v>
      </c>
      <c r="AH57" s="100">
        <v>8</v>
      </c>
      <c r="AI57" s="100">
        <v>11289.6</v>
      </c>
      <c r="AJ57" s="100">
        <v>2.7907307978241005</v>
      </c>
      <c r="AK57" s="100">
        <v>3938.2793018893708</v>
      </c>
      <c r="AL57" s="100">
        <v>7</v>
      </c>
      <c r="AM57" s="100">
        <v>9878.4</v>
      </c>
      <c r="AN57" s="100">
        <v>6</v>
      </c>
      <c r="AO57" s="100">
        <v>8467.2000000000007</v>
      </c>
      <c r="AP57" s="100">
        <v>8</v>
      </c>
      <c r="AQ57" s="100">
        <v>11289.6</v>
      </c>
      <c r="AR57" s="100">
        <v>10</v>
      </c>
      <c r="AS57" s="100">
        <v>14112</v>
      </c>
      <c r="AT57" s="100">
        <v>10</v>
      </c>
      <c r="AU57" s="100">
        <v>14112</v>
      </c>
      <c r="AV57" s="100">
        <v>8.8199960245856772</v>
      </c>
      <c r="AW57" s="100">
        <v>12446.778389895308</v>
      </c>
      <c r="AX57" s="100">
        <v>10</v>
      </c>
      <c r="AY57" s="100">
        <v>14112</v>
      </c>
      <c r="AZ57" s="100">
        <v>10</v>
      </c>
      <c r="BA57" s="100">
        <v>14112</v>
      </c>
      <c r="BB57" s="100">
        <v>5.8867333345370216</v>
      </c>
      <c r="BC57" s="100">
        <v>8307.358081698645</v>
      </c>
      <c r="BD57" s="100">
        <v>6.7058587271597414</v>
      </c>
      <c r="BE57" s="100">
        <v>9463.3078357678278</v>
      </c>
      <c r="BF57" s="100">
        <v>7.4420059385817092</v>
      </c>
      <c r="BG57" s="100">
        <v>10502.158780526508</v>
      </c>
      <c r="BH57" s="100">
        <v>1.925767977768676</v>
      </c>
      <c r="BI57" s="100">
        <v>2717.6437702271555</v>
      </c>
      <c r="BJ57" s="100">
        <v>9</v>
      </c>
      <c r="BK57" s="100">
        <v>12700.800000000001</v>
      </c>
      <c r="BL57" s="100">
        <v>11</v>
      </c>
      <c r="BM57" s="100">
        <v>15523.2</v>
      </c>
      <c r="BN57" s="100">
        <v>0.3913247821878989</v>
      </c>
      <c r="BO57" s="100">
        <v>552.23753262356297</v>
      </c>
      <c r="BP57" s="100">
        <v>6</v>
      </c>
      <c r="BQ57" s="100">
        <v>8467.2000000000007</v>
      </c>
      <c r="BR57" s="100">
        <v>9.9224081952853496</v>
      </c>
      <c r="BS57" s="100">
        <v>14002.502445186687</v>
      </c>
      <c r="BT57" s="100">
        <v>9</v>
      </c>
      <c r="BU57" s="100">
        <v>12700.800000000001</v>
      </c>
      <c r="BV57" s="100">
        <v>4.7146824849566897</v>
      </c>
      <c r="BW57" s="100">
        <v>6653.359922770881</v>
      </c>
      <c r="BX57" s="100">
        <v>2.4467744574420105</v>
      </c>
      <c r="BY57" s="100">
        <v>3452.8881143421654</v>
      </c>
      <c r="BZ57" s="100">
        <v>8</v>
      </c>
      <c r="CA57" s="100">
        <v>11289.6</v>
      </c>
      <c r="CB57" s="100">
        <v>11</v>
      </c>
      <c r="CC57" s="100">
        <v>15523.2</v>
      </c>
      <c r="CD57" s="100">
        <v>6</v>
      </c>
      <c r="CE57" s="100">
        <v>8467.2000000000007</v>
      </c>
      <c r="CF57" s="100">
        <v>8</v>
      </c>
      <c r="CG57" s="100">
        <v>11289.6</v>
      </c>
      <c r="CH57" s="100">
        <v>6</v>
      </c>
      <c r="CI57" s="100">
        <v>8467.2000000000007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9</v>
      </c>
      <c r="CO57" s="100">
        <v>12700.800000000001</v>
      </c>
      <c r="CP57" s="100">
        <v>0.31632878984161777</v>
      </c>
      <c r="CQ57" s="100">
        <v>446.40318822449103</v>
      </c>
      <c r="CR57" s="100">
        <v>4.4036989660488359</v>
      </c>
      <c r="CS57" s="100">
        <v>6214.4999808881175</v>
      </c>
      <c r="CT57" s="100">
        <v>1.9601178917520005E-16</v>
      </c>
      <c r="CU57" s="100">
        <v>2.7661183688404233E-13</v>
      </c>
    </row>
    <row r="58" spans="2:99">
      <c r="C58" s="99" t="s">
        <v>224</v>
      </c>
      <c r="D58" s="100">
        <v>5.6348683433392814</v>
      </c>
      <c r="E58" s="100">
        <v>6633.3670137790023</v>
      </c>
      <c r="F58" s="100">
        <v>7</v>
      </c>
      <c r="G58" s="100">
        <v>8240.4</v>
      </c>
      <c r="H58" s="100">
        <v>5.8331447155337868</v>
      </c>
      <c r="I58" s="100">
        <v>6866.7779591263743</v>
      </c>
      <c r="J58" s="100">
        <v>3.8968790277837257</v>
      </c>
      <c r="K58" s="100">
        <v>4587.405991507002</v>
      </c>
      <c r="L58" s="100">
        <v>9</v>
      </c>
      <c r="M58" s="100">
        <v>10594.800000000001</v>
      </c>
      <c r="N58" s="100">
        <v>9</v>
      </c>
      <c r="O58" s="100">
        <v>10594.800000000001</v>
      </c>
      <c r="P58" s="100">
        <v>9</v>
      </c>
      <c r="Q58" s="100">
        <v>10594.800000000001</v>
      </c>
      <c r="R58" s="100">
        <v>10</v>
      </c>
      <c r="S58" s="100">
        <v>11772</v>
      </c>
      <c r="T58" s="100">
        <v>9</v>
      </c>
      <c r="U58" s="100">
        <v>10594.800000000001</v>
      </c>
      <c r="V58" s="100">
        <v>11</v>
      </c>
      <c r="W58" s="100">
        <v>12949.2</v>
      </c>
      <c r="X58" s="100">
        <v>10</v>
      </c>
      <c r="Y58" s="100">
        <v>11772</v>
      </c>
      <c r="Z58" s="100">
        <v>6</v>
      </c>
      <c r="AA58" s="100">
        <v>7063.2000000000007</v>
      </c>
      <c r="AB58" s="100">
        <v>8</v>
      </c>
      <c r="AC58" s="100">
        <v>9417.6</v>
      </c>
      <c r="AD58" s="100">
        <v>11</v>
      </c>
      <c r="AE58" s="100">
        <v>12949.2</v>
      </c>
      <c r="AF58" s="100">
        <v>0.85096332518019646</v>
      </c>
      <c r="AG58" s="100">
        <v>1001.7540264021274</v>
      </c>
      <c r="AH58" s="100">
        <v>1.8782054668908366</v>
      </c>
      <c r="AI58" s="100">
        <v>2211.0234756238929</v>
      </c>
      <c r="AJ58" s="100">
        <v>2.9462046539464102</v>
      </c>
      <c r="AK58" s="100">
        <v>3468.272118625714</v>
      </c>
      <c r="AL58" s="100">
        <v>0.89705335732099645</v>
      </c>
      <c r="AM58" s="100">
        <v>1056.011212238277</v>
      </c>
      <c r="AN58" s="100">
        <v>3.9920815014606665</v>
      </c>
      <c r="AO58" s="100">
        <v>4699.4783435194968</v>
      </c>
      <c r="AP58" s="100">
        <v>0.76217033439048387</v>
      </c>
      <c r="AQ58" s="100">
        <v>897.22691764447768</v>
      </c>
      <c r="AR58" s="100">
        <v>10</v>
      </c>
      <c r="AS58" s="100">
        <v>11772</v>
      </c>
      <c r="AT58" s="100">
        <v>11</v>
      </c>
      <c r="AU58" s="100">
        <v>12949.2</v>
      </c>
      <c r="AV58" s="100">
        <v>8</v>
      </c>
      <c r="AW58" s="100">
        <v>9417.6</v>
      </c>
      <c r="AX58" s="100">
        <v>11</v>
      </c>
      <c r="AY58" s="100">
        <v>12949.2</v>
      </c>
      <c r="AZ58" s="100">
        <v>6.8412515877912501</v>
      </c>
      <c r="BA58" s="100">
        <v>8053.5213691478602</v>
      </c>
      <c r="BB58" s="100">
        <v>0.80494520009607262</v>
      </c>
      <c r="BC58" s="100">
        <v>947.58148955309673</v>
      </c>
      <c r="BD58" s="100">
        <v>8</v>
      </c>
      <c r="BE58" s="100">
        <v>9417.6</v>
      </c>
      <c r="BF58" s="100">
        <v>10</v>
      </c>
      <c r="BG58" s="100">
        <v>11772</v>
      </c>
      <c r="BH58" s="100">
        <v>6</v>
      </c>
      <c r="BI58" s="100">
        <v>7063.2000000000007</v>
      </c>
      <c r="BJ58" s="100">
        <v>2.0793100193982466</v>
      </c>
      <c r="BK58" s="100">
        <v>2447.7637548356161</v>
      </c>
      <c r="BL58" s="100">
        <v>11</v>
      </c>
      <c r="BM58" s="100">
        <v>12949.2</v>
      </c>
      <c r="BN58" s="100">
        <v>8.4526116320652793</v>
      </c>
      <c r="BO58" s="100">
        <v>9950.4144132672463</v>
      </c>
      <c r="BP58" s="100">
        <v>6</v>
      </c>
      <c r="BQ58" s="100">
        <v>7063.2000000000007</v>
      </c>
      <c r="BR58" s="100">
        <v>10</v>
      </c>
      <c r="BS58" s="100">
        <v>11772</v>
      </c>
      <c r="BT58" s="100">
        <v>10</v>
      </c>
      <c r="BU58" s="100">
        <v>11772</v>
      </c>
      <c r="BV58" s="100">
        <v>1.4267409862124214</v>
      </c>
      <c r="BW58" s="100">
        <v>1679.5594889692625</v>
      </c>
      <c r="BX58" s="100">
        <v>8</v>
      </c>
      <c r="BY58" s="100">
        <v>9417.6</v>
      </c>
      <c r="BZ58" s="100">
        <v>6.0655014673939212</v>
      </c>
      <c r="CA58" s="100">
        <v>7140.3083274161245</v>
      </c>
      <c r="CB58" s="100">
        <v>11</v>
      </c>
      <c r="CC58" s="100">
        <v>12949.2</v>
      </c>
      <c r="CD58" s="100">
        <v>6</v>
      </c>
      <c r="CE58" s="100">
        <v>7063.2000000000007</v>
      </c>
      <c r="CF58" s="100">
        <v>9</v>
      </c>
      <c r="CG58" s="100">
        <v>10594.800000000001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10</v>
      </c>
      <c r="CM58" s="100">
        <v>11772</v>
      </c>
      <c r="CN58" s="100">
        <v>4.4287189605210617</v>
      </c>
      <c r="CO58" s="100">
        <v>5213.4879603253939</v>
      </c>
      <c r="CP58" s="100">
        <v>4.4549315306155268</v>
      </c>
      <c r="CQ58" s="100">
        <v>5244.3453978405987</v>
      </c>
      <c r="CR58" s="100">
        <v>5.0663041020206609</v>
      </c>
      <c r="CS58" s="100">
        <v>5964.0531888987225</v>
      </c>
      <c r="CT58" s="100">
        <v>8.2149976475636173</v>
      </c>
      <c r="CU58" s="100">
        <v>9670.69523071189</v>
      </c>
    </row>
    <row r="59" spans="2:99">
      <c r="C59" s="99" t="s">
        <v>225</v>
      </c>
      <c r="D59" s="100">
        <v>6</v>
      </c>
      <c r="E59" s="100">
        <v>1821.6</v>
      </c>
      <c r="F59" s="100">
        <v>7</v>
      </c>
      <c r="G59" s="100">
        <v>2125.1999999999998</v>
      </c>
      <c r="H59" s="100">
        <v>10</v>
      </c>
      <c r="I59" s="100">
        <v>3035.9999999999995</v>
      </c>
      <c r="J59" s="100">
        <v>8</v>
      </c>
      <c r="K59" s="100">
        <v>2428.7999999999997</v>
      </c>
      <c r="L59" s="100">
        <v>9</v>
      </c>
      <c r="M59" s="100">
        <v>2732.3999999999996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11</v>
      </c>
      <c r="S59" s="100">
        <v>3339.5999999999995</v>
      </c>
      <c r="T59" s="100">
        <v>10</v>
      </c>
      <c r="U59" s="100">
        <v>3035.9999999999995</v>
      </c>
      <c r="V59" s="100">
        <v>10</v>
      </c>
      <c r="W59" s="100">
        <v>3035.9999999999995</v>
      </c>
      <c r="X59" s="100">
        <v>8.597492687481239</v>
      </c>
      <c r="Y59" s="100">
        <v>2610.1987799193039</v>
      </c>
      <c r="Z59" s="100">
        <v>6</v>
      </c>
      <c r="AA59" s="100">
        <v>1821.6</v>
      </c>
      <c r="AB59" s="100">
        <v>6.7148839499285362</v>
      </c>
      <c r="AC59" s="100">
        <v>2038.6387671983034</v>
      </c>
      <c r="AD59" s="100">
        <v>5.0616080639207519</v>
      </c>
      <c r="AE59" s="100">
        <v>1536.7042082063401</v>
      </c>
      <c r="AF59" s="100">
        <v>7</v>
      </c>
      <c r="AG59" s="100">
        <v>2125.1999999999998</v>
      </c>
      <c r="AH59" s="100">
        <v>8</v>
      </c>
      <c r="AI59" s="100">
        <v>2428.7999999999997</v>
      </c>
      <c r="AJ59" s="100">
        <v>3.1008119975823338</v>
      </c>
      <c r="AK59" s="100">
        <v>941.40652246599643</v>
      </c>
      <c r="AL59" s="100">
        <v>7</v>
      </c>
      <c r="AM59" s="100">
        <v>2125.1999999999998</v>
      </c>
      <c r="AN59" s="100">
        <v>5</v>
      </c>
      <c r="AO59" s="100">
        <v>1517.9999999999998</v>
      </c>
      <c r="AP59" s="100">
        <v>8</v>
      </c>
      <c r="AQ59" s="100">
        <v>2428.7999999999997</v>
      </c>
      <c r="AR59" s="100">
        <v>10</v>
      </c>
      <c r="AS59" s="100">
        <v>3035.9999999999995</v>
      </c>
      <c r="AT59" s="100">
        <v>10</v>
      </c>
      <c r="AU59" s="100">
        <v>3035.9999999999995</v>
      </c>
      <c r="AV59" s="100">
        <v>8.8199960245856772</v>
      </c>
      <c r="AW59" s="100">
        <v>2677.7507930642114</v>
      </c>
      <c r="AX59" s="100">
        <v>11</v>
      </c>
      <c r="AY59" s="100">
        <v>3339.5999999999995</v>
      </c>
      <c r="AZ59" s="100">
        <v>10</v>
      </c>
      <c r="BA59" s="100">
        <v>3035.9999999999995</v>
      </c>
      <c r="BB59" s="100">
        <v>6.8678555569598574</v>
      </c>
      <c r="BC59" s="100">
        <v>2085.0809470930126</v>
      </c>
      <c r="BD59" s="100">
        <v>7.5440910680547093</v>
      </c>
      <c r="BE59" s="100">
        <v>2290.3860482614095</v>
      </c>
      <c r="BF59" s="100">
        <v>8.2688954873130101</v>
      </c>
      <c r="BG59" s="100">
        <v>2510.4366699482298</v>
      </c>
      <c r="BH59" s="100">
        <v>2.2467293073967887</v>
      </c>
      <c r="BI59" s="100">
        <v>682.10701772566495</v>
      </c>
      <c r="BJ59" s="100">
        <v>8</v>
      </c>
      <c r="BK59" s="100">
        <v>2428.7999999999997</v>
      </c>
      <c r="BL59" s="100">
        <v>10</v>
      </c>
      <c r="BM59" s="100">
        <v>3035.9999999999995</v>
      </c>
      <c r="BN59" s="100">
        <v>0.3913247821878989</v>
      </c>
      <c r="BO59" s="100">
        <v>118.80620387224609</v>
      </c>
      <c r="BP59" s="100">
        <v>6</v>
      </c>
      <c r="BQ59" s="100">
        <v>1821.6</v>
      </c>
      <c r="BR59" s="100">
        <v>9.9224081952853496</v>
      </c>
      <c r="BS59" s="100">
        <v>3012.443128088632</v>
      </c>
      <c r="BT59" s="100">
        <v>10</v>
      </c>
      <c r="BU59" s="100">
        <v>3035.9999999999995</v>
      </c>
      <c r="BV59" s="100">
        <v>4.7146824849566897</v>
      </c>
      <c r="BW59" s="100">
        <v>1431.3776024328508</v>
      </c>
      <c r="BX59" s="100">
        <v>2.1409276502617587</v>
      </c>
      <c r="BY59" s="100">
        <v>649.98563461946992</v>
      </c>
      <c r="BZ59" s="100">
        <v>8</v>
      </c>
      <c r="CA59" s="100">
        <v>2428.7999999999997</v>
      </c>
      <c r="CB59" s="100">
        <v>11</v>
      </c>
      <c r="CC59" s="100">
        <v>3339.5999999999995</v>
      </c>
      <c r="CD59" s="100">
        <v>6</v>
      </c>
      <c r="CE59" s="100">
        <v>1821.6</v>
      </c>
      <c r="CF59" s="100">
        <v>8</v>
      </c>
      <c r="CG59" s="100">
        <v>2428.7999999999997</v>
      </c>
      <c r="CH59" s="100">
        <v>8</v>
      </c>
      <c r="CI59" s="100">
        <v>2428.7999999999997</v>
      </c>
      <c r="CJ59" s="100">
        <v>11</v>
      </c>
      <c r="CK59" s="100">
        <v>3339.5999999999995</v>
      </c>
      <c r="CL59" s="100">
        <v>10</v>
      </c>
      <c r="CM59" s="100">
        <v>3035.9999999999995</v>
      </c>
      <c r="CN59" s="100">
        <v>10</v>
      </c>
      <c r="CO59" s="100">
        <v>3035.9999999999995</v>
      </c>
      <c r="CP59" s="100">
        <v>0.31632878984161777</v>
      </c>
      <c r="CQ59" s="100">
        <v>96.037420595915151</v>
      </c>
      <c r="CR59" s="100">
        <v>5.1376487937236419</v>
      </c>
      <c r="CS59" s="100">
        <v>1559.7901737744976</v>
      </c>
      <c r="CT59" s="100">
        <v>2.3521414701024007E-16</v>
      </c>
      <c r="CU59" s="100">
        <v>7.1411015032308873E-14</v>
      </c>
    </row>
    <row r="60" spans="2:99">
      <c r="C60" s="99" t="s">
        <v>226</v>
      </c>
      <c r="D60" s="100">
        <v>7</v>
      </c>
      <c r="E60" s="100">
        <v>4561.2</v>
      </c>
      <c r="F60" s="100">
        <v>7</v>
      </c>
      <c r="G60" s="100">
        <v>4561.2</v>
      </c>
      <c r="H60" s="100">
        <v>8</v>
      </c>
      <c r="I60" s="100">
        <v>5212.8</v>
      </c>
      <c r="J60" s="100">
        <v>9</v>
      </c>
      <c r="K60" s="100">
        <v>5864.4000000000005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10</v>
      </c>
      <c r="Q60" s="100">
        <v>6516</v>
      </c>
      <c r="R60" s="100">
        <v>9</v>
      </c>
      <c r="S60" s="100">
        <v>5864.4000000000005</v>
      </c>
      <c r="T60" s="100">
        <v>10</v>
      </c>
      <c r="U60" s="100">
        <v>6516</v>
      </c>
      <c r="V60" s="100">
        <v>11</v>
      </c>
      <c r="W60" s="100">
        <v>7167.6</v>
      </c>
      <c r="X60" s="100">
        <v>7.7377434187331158</v>
      </c>
      <c r="Y60" s="100">
        <v>5041.9136116464988</v>
      </c>
      <c r="Z60" s="100">
        <v>7</v>
      </c>
      <c r="AA60" s="100">
        <v>4561.2</v>
      </c>
      <c r="AB60" s="100">
        <v>6.7148839499285362</v>
      </c>
      <c r="AC60" s="100">
        <v>4375.4183817734347</v>
      </c>
      <c r="AD60" s="100">
        <v>6.0739296767049025</v>
      </c>
      <c r="AE60" s="100">
        <v>3957.7725773409147</v>
      </c>
      <c r="AF60" s="100">
        <v>6</v>
      </c>
      <c r="AG60" s="100">
        <v>3909.6000000000004</v>
      </c>
      <c r="AH60" s="100">
        <v>7</v>
      </c>
      <c r="AI60" s="100">
        <v>4561.2</v>
      </c>
      <c r="AJ60" s="100">
        <v>2.7907307978241005</v>
      </c>
      <c r="AK60" s="100">
        <v>1818.4401878621838</v>
      </c>
      <c r="AL60" s="100">
        <v>7</v>
      </c>
      <c r="AM60" s="100">
        <v>4561.2</v>
      </c>
      <c r="AN60" s="100">
        <v>5</v>
      </c>
      <c r="AO60" s="100">
        <v>3258</v>
      </c>
      <c r="AP60" s="100">
        <v>8</v>
      </c>
      <c r="AQ60" s="100">
        <v>5212.8</v>
      </c>
      <c r="AR60" s="100">
        <v>9</v>
      </c>
      <c r="AS60" s="100">
        <v>5864.4000000000005</v>
      </c>
      <c r="AT60" s="100">
        <v>11</v>
      </c>
      <c r="AU60" s="100">
        <v>7167.6</v>
      </c>
      <c r="AV60" s="100">
        <v>8.8199960245856772</v>
      </c>
      <c r="AW60" s="100">
        <v>5747.1094096200277</v>
      </c>
      <c r="AX60" s="100">
        <v>11</v>
      </c>
      <c r="AY60" s="100">
        <v>7167.6</v>
      </c>
      <c r="AZ60" s="100">
        <v>11</v>
      </c>
      <c r="BA60" s="100">
        <v>7167.6</v>
      </c>
      <c r="BB60" s="100">
        <v>5.8867333345370216</v>
      </c>
      <c r="BC60" s="100">
        <v>3835.7954407843235</v>
      </c>
      <c r="BD60" s="100">
        <v>6.7058587271597414</v>
      </c>
      <c r="BE60" s="100">
        <v>4369.5375466172873</v>
      </c>
      <c r="BF60" s="100">
        <v>7.4420059385817092</v>
      </c>
      <c r="BG60" s="100">
        <v>4849.2110695798419</v>
      </c>
      <c r="BH60" s="100">
        <v>2.2467293073967887</v>
      </c>
      <c r="BI60" s="100">
        <v>1463.9688166997475</v>
      </c>
      <c r="BJ60" s="100">
        <v>9</v>
      </c>
      <c r="BK60" s="100">
        <v>5864.4000000000005</v>
      </c>
      <c r="BL60" s="100">
        <v>10</v>
      </c>
      <c r="BM60" s="100">
        <v>6516</v>
      </c>
      <c r="BN60" s="100">
        <v>0.3913247821878989</v>
      </c>
      <c r="BO60" s="100">
        <v>254.98722807363492</v>
      </c>
      <c r="BP60" s="100">
        <v>7</v>
      </c>
      <c r="BQ60" s="100">
        <v>4561.2</v>
      </c>
      <c r="BR60" s="100">
        <v>10.914649014813886</v>
      </c>
      <c r="BS60" s="100">
        <v>7111.9852980527285</v>
      </c>
      <c r="BT60" s="100">
        <v>10</v>
      </c>
      <c r="BU60" s="100">
        <v>6516</v>
      </c>
      <c r="BV60" s="100">
        <v>5.304017795576276</v>
      </c>
      <c r="BW60" s="100">
        <v>3456.0979955975017</v>
      </c>
      <c r="BX60" s="100">
        <v>2.4467744574420105</v>
      </c>
      <c r="BY60" s="100">
        <v>1594.3182364692141</v>
      </c>
      <c r="BZ60" s="100">
        <v>7</v>
      </c>
      <c r="CA60" s="100">
        <v>4561.2</v>
      </c>
      <c r="CB60" s="100">
        <v>10</v>
      </c>
      <c r="CC60" s="100">
        <v>6516</v>
      </c>
      <c r="CD60" s="100">
        <v>6</v>
      </c>
      <c r="CE60" s="100">
        <v>3909.6000000000004</v>
      </c>
      <c r="CF60" s="100">
        <v>9</v>
      </c>
      <c r="CG60" s="100">
        <v>5864.4000000000005</v>
      </c>
      <c r="CH60" s="100">
        <v>7</v>
      </c>
      <c r="CI60" s="100">
        <v>4561.2</v>
      </c>
      <c r="CJ60" s="100">
        <v>10</v>
      </c>
      <c r="CK60" s="100">
        <v>6516</v>
      </c>
      <c r="CL60" s="100">
        <v>10</v>
      </c>
      <c r="CM60" s="100">
        <v>6516</v>
      </c>
      <c r="CN60" s="100">
        <v>10</v>
      </c>
      <c r="CO60" s="100">
        <v>6516</v>
      </c>
      <c r="CP60" s="100">
        <v>0.31632878984161777</v>
      </c>
      <c r="CQ60" s="100">
        <v>206.11983946079815</v>
      </c>
      <c r="CR60" s="100">
        <v>5.1376487937236419</v>
      </c>
      <c r="CS60" s="100">
        <v>3347.6919539903251</v>
      </c>
      <c r="CT60" s="100">
        <v>2.1561296809272006E-16</v>
      </c>
      <c r="CU60" s="100">
        <v>1.4049341000921639E-13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8</v>
      </c>
      <c r="G61" s="100">
        <v>7612.7999999999993</v>
      </c>
      <c r="H61" s="100">
        <v>8</v>
      </c>
      <c r="I61" s="100">
        <v>7612.7999999999993</v>
      </c>
      <c r="J61" s="100">
        <v>9</v>
      </c>
      <c r="K61" s="100">
        <v>8564.4</v>
      </c>
      <c r="L61" s="100">
        <v>8</v>
      </c>
      <c r="M61" s="100">
        <v>7612.7999999999993</v>
      </c>
      <c r="N61" s="100">
        <v>9</v>
      </c>
      <c r="O61" s="100">
        <v>8564.4</v>
      </c>
      <c r="P61" s="100">
        <v>9</v>
      </c>
      <c r="Q61" s="100">
        <v>8564.4</v>
      </c>
      <c r="R61" s="100">
        <v>9</v>
      </c>
      <c r="S61" s="100">
        <v>8564.4</v>
      </c>
      <c r="T61" s="100">
        <v>10</v>
      </c>
      <c r="U61" s="100">
        <v>9516</v>
      </c>
      <c r="V61" s="100">
        <v>9</v>
      </c>
      <c r="W61" s="100">
        <v>8564.4</v>
      </c>
      <c r="X61" s="100">
        <v>7.7377434187331158</v>
      </c>
      <c r="Y61" s="100">
        <v>7363.2366372664319</v>
      </c>
      <c r="Z61" s="100">
        <v>6</v>
      </c>
      <c r="AA61" s="100">
        <v>5709.5999999999995</v>
      </c>
      <c r="AB61" s="100">
        <v>6.7148839499285362</v>
      </c>
      <c r="AC61" s="100">
        <v>6389.8835667519943</v>
      </c>
      <c r="AD61" s="100">
        <v>5.0616080639207519</v>
      </c>
      <c r="AE61" s="100">
        <v>4816.6262336269874</v>
      </c>
      <c r="AF61" s="100">
        <v>7</v>
      </c>
      <c r="AG61" s="100">
        <v>6661.1999999999989</v>
      </c>
      <c r="AH61" s="100">
        <v>7</v>
      </c>
      <c r="AI61" s="100">
        <v>6661.1999999999989</v>
      </c>
      <c r="AJ61" s="100">
        <v>2.7907307978241005</v>
      </c>
      <c r="AK61" s="100">
        <v>2655.6594272094139</v>
      </c>
      <c r="AL61" s="100">
        <v>7</v>
      </c>
      <c r="AM61" s="100">
        <v>6661.1999999999989</v>
      </c>
      <c r="AN61" s="100">
        <v>5</v>
      </c>
      <c r="AO61" s="100">
        <v>4758</v>
      </c>
      <c r="AP61" s="100">
        <v>8</v>
      </c>
      <c r="AQ61" s="100">
        <v>7612.7999999999993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7.8399964662983797</v>
      </c>
      <c r="AW61" s="100">
        <v>7460.5406373295373</v>
      </c>
      <c r="AX61" s="100">
        <v>10</v>
      </c>
      <c r="AY61" s="100">
        <v>9516</v>
      </c>
      <c r="AZ61" s="100">
        <v>10</v>
      </c>
      <c r="BA61" s="100">
        <v>9516</v>
      </c>
      <c r="BB61" s="100">
        <v>5.8867333345370216</v>
      </c>
      <c r="BC61" s="100">
        <v>5601.8154411454288</v>
      </c>
      <c r="BD61" s="100">
        <v>7.5440910680547093</v>
      </c>
      <c r="BE61" s="100">
        <v>7178.9570603608609</v>
      </c>
      <c r="BF61" s="100">
        <v>7.4420059385817092</v>
      </c>
      <c r="BG61" s="100">
        <v>7081.8128511543537</v>
      </c>
      <c r="BH61" s="100">
        <v>1.925767977768676</v>
      </c>
      <c r="BI61" s="100">
        <v>1832.560807644672</v>
      </c>
      <c r="BJ61" s="100">
        <v>9</v>
      </c>
      <c r="BK61" s="100">
        <v>8564.4</v>
      </c>
      <c r="BL61" s="100">
        <v>11</v>
      </c>
      <c r="BM61" s="100">
        <v>10467.599999999999</v>
      </c>
      <c r="BN61" s="100">
        <v>0.35574980198899903</v>
      </c>
      <c r="BO61" s="100">
        <v>338.53151157273146</v>
      </c>
      <c r="BP61" s="100">
        <v>7</v>
      </c>
      <c r="BQ61" s="100">
        <v>6661.1999999999989</v>
      </c>
      <c r="BR61" s="100">
        <v>10.914649014813886</v>
      </c>
      <c r="BS61" s="100">
        <v>10386.380002496893</v>
      </c>
      <c r="BT61" s="100">
        <v>9</v>
      </c>
      <c r="BU61" s="100">
        <v>8564.4</v>
      </c>
      <c r="BV61" s="100">
        <v>4.7146824849566897</v>
      </c>
      <c r="BW61" s="100">
        <v>4486.491852684786</v>
      </c>
      <c r="BX61" s="100">
        <v>2.4467744574420105</v>
      </c>
      <c r="BY61" s="100">
        <v>2328.3505737018168</v>
      </c>
      <c r="BZ61" s="100">
        <v>8</v>
      </c>
      <c r="CA61" s="100">
        <v>7612.7999999999993</v>
      </c>
      <c r="CB61" s="100">
        <v>11</v>
      </c>
      <c r="CC61" s="100">
        <v>10467.599999999999</v>
      </c>
      <c r="CD61" s="100">
        <v>6</v>
      </c>
      <c r="CE61" s="100">
        <v>5709.5999999999995</v>
      </c>
      <c r="CF61" s="100">
        <v>8</v>
      </c>
      <c r="CG61" s="100">
        <v>7612.7999999999993</v>
      </c>
      <c r="CH61" s="100">
        <v>6</v>
      </c>
      <c r="CI61" s="100">
        <v>5709.5999999999995</v>
      </c>
      <c r="CJ61" s="100">
        <v>9</v>
      </c>
      <c r="CK61" s="100">
        <v>8564.4</v>
      </c>
      <c r="CL61" s="100">
        <v>9</v>
      </c>
      <c r="CM61" s="100">
        <v>8564.4</v>
      </c>
      <c r="CN61" s="100">
        <v>10</v>
      </c>
      <c r="CO61" s="100">
        <v>9516</v>
      </c>
      <c r="CP61" s="100">
        <v>0.27113896272138666</v>
      </c>
      <c r="CQ61" s="100">
        <v>258.01583692567152</v>
      </c>
      <c r="CR61" s="100">
        <v>4.4036989660488359</v>
      </c>
      <c r="CS61" s="100">
        <v>4190.5599360920714</v>
      </c>
      <c r="CT61" s="100">
        <v>1.9601178917520005E-16</v>
      </c>
      <c r="CU61" s="100">
        <v>1.8652481857912036E-13</v>
      </c>
    </row>
    <row r="62" spans="2:99">
      <c r="C62" s="99" t="s">
        <v>228</v>
      </c>
      <c r="D62" s="100">
        <v>4.0545924630322938</v>
      </c>
      <c r="E62" s="100">
        <v>6767.9257392935051</v>
      </c>
      <c r="F62" s="100">
        <v>5.9600582678014895</v>
      </c>
      <c r="G62" s="100">
        <v>9948.5292606142466</v>
      </c>
      <c r="H62" s="100">
        <v>4.7339623445280399</v>
      </c>
      <c r="I62" s="100">
        <v>7901.9299454862048</v>
      </c>
      <c r="J62" s="100">
        <v>5.6363653146212949</v>
      </c>
      <c r="K62" s="100">
        <v>9408.2209831658656</v>
      </c>
      <c r="L62" s="100">
        <v>8</v>
      </c>
      <c r="M62" s="100">
        <v>13353.6</v>
      </c>
      <c r="N62" s="100">
        <v>9</v>
      </c>
      <c r="O62" s="100">
        <v>15022.800000000001</v>
      </c>
      <c r="P62" s="100">
        <v>7.1137967886895082</v>
      </c>
      <c r="Q62" s="100">
        <v>11874.349599680527</v>
      </c>
      <c r="R62" s="100">
        <v>5.481520113670161</v>
      </c>
      <c r="S62" s="100">
        <v>9149.7533737382328</v>
      </c>
      <c r="T62" s="100">
        <v>10</v>
      </c>
      <c r="U62" s="100">
        <v>16692</v>
      </c>
      <c r="V62" s="100">
        <v>10</v>
      </c>
      <c r="W62" s="100">
        <v>16692</v>
      </c>
      <c r="X62" s="100">
        <v>7.1551721385603049</v>
      </c>
      <c r="Y62" s="100">
        <v>11943.413333684861</v>
      </c>
      <c r="Z62" s="100">
        <v>2.6438943135224204</v>
      </c>
      <c r="AA62" s="100">
        <v>4413.1883881316244</v>
      </c>
      <c r="AB62" s="100">
        <v>7.1283088917227113</v>
      </c>
      <c r="AC62" s="100">
        <v>11898.57320206355</v>
      </c>
      <c r="AD62" s="100">
        <v>9</v>
      </c>
      <c r="AE62" s="100">
        <v>15022.800000000001</v>
      </c>
      <c r="AF62" s="100">
        <v>2.7008844737331534</v>
      </c>
      <c r="AG62" s="100">
        <v>4508.3163635553801</v>
      </c>
      <c r="AH62" s="100">
        <v>6.246689938647928E-23</v>
      </c>
      <c r="AI62" s="100">
        <v>1.0426974845591122E-19</v>
      </c>
      <c r="AJ62" s="100">
        <v>4.131790785183312E-23</v>
      </c>
      <c r="AK62" s="100">
        <v>6.8967851786279845E-20</v>
      </c>
      <c r="AL62" s="100">
        <v>2.8365071660187018E-23</v>
      </c>
      <c r="AM62" s="100">
        <v>4.7346977615184174E-20</v>
      </c>
      <c r="AN62" s="100">
        <v>5</v>
      </c>
      <c r="AO62" s="100">
        <v>8346</v>
      </c>
      <c r="AP62" s="100">
        <v>5.8925146790658234</v>
      </c>
      <c r="AQ62" s="100">
        <v>9835.7855022966723</v>
      </c>
      <c r="AR62" s="100">
        <v>6.8725848059209991</v>
      </c>
      <c r="AS62" s="100">
        <v>11471.718558043332</v>
      </c>
      <c r="AT62" s="100">
        <v>8.8264138894891158</v>
      </c>
      <c r="AU62" s="100">
        <v>14733.050064335232</v>
      </c>
      <c r="AV62" s="100">
        <v>7.662932058601915</v>
      </c>
      <c r="AW62" s="100">
        <v>12790.966192218317</v>
      </c>
      <c r="AX62" s="100">
        <v>0</v>
      </c>
      <c r="AY62" s="100">
        <v>0</v>
      </c>
      <c r="AZ62" s="100">
        <v>6.4454568717212366</v>
      </c>
      <c r="BA62" s="100">
        <v>10758.756610277089</v>
      </c>
      <c r="BB62" s="100">
        <v>4.9173895563220853</v>
      </c>
      <c r="BC62" s="100">
        <v>8208.1066474128256</v>
      </c>
      <c r="BD62" s="100">
        <v>5.7677983236788606</v>
      </c>
      <c r="BE62" s="100">
        <v>9627.6089618847545</v>
      </c>
      <c r="BF62" s="100">
        <v>0.676280334932577</v>
      </c>
      <c r="BG62" s="100">
        <v>1128.8471350694576</v>
      </c>
      <c r="BH62" s="100">
        <v>6</v>
      </c>
      <c r="BI62" s="100">
        <v>10015.200000000001</v>
      </c>
      <c r="BJ62" s="100">
        <v>5.0643829985700162</v>
      </c>
      <c r="BK62" s="100">
        <v>8453.4681012130713</v>
      </c>
      <c r="BL62" s="100">
        <v>8.223634404353275</v>
      </c>
      <c r="BM62" s="100">
        <v>13726.890547746487</v>
      </c>
      <c r="BN62" s="100">
        <v>9</v>
      </c>
      <c r="BO62" s="100">
        <v>15022.800000000001</v>
      </c>
      <c r="BP62" s="100">
        <v>6</v>
      </c>
      <c r="BQ62" s="100">
        <v>10015.200000000001</v>
      </c>
      <c r="BR62" s="100">
        <v>8.8387724782109895</v>
      </c>
      <c r="BS62" s="100">
        <v>14753.679020629785</v>
      </c>
      <c r="BT62" s="100">
        <v>6.0998464148074945</v>
      </c>
      <c r="BU62" s="100">
        <v>10181.86363559667</v>
      </c>
      <c r="BV62" s="100">
        <v>5.8945631220014736</v>
      </c>
      <c r="BW62" s="100">
        <v>9839.2047632448594</v>
      </c>
      <c r="BX62" s="100">
        <v>5.4457385188033918</v>
      </c>
      <c r="BY62" s="100">
        <v>9090.0267355866217</v>
      </c>
      <c r="BZ62" s="100">
        <v>5.2332218936793566</v>
      </c>
      <c r="CA62" s="100">
        <v>8735.2939849295817</v>
      </c>
      <c r="CB62" s="100">
        <v>6.7284281490163149</v>
      </c>
      <c r="CC62" s="100">
        <v>11231.092266338033</v>
      </c>
      <c r="CD62" s="100">
        <v>4.5076070932952437</v>
      </c>
      <c r="CE62" s="100">
        <v>7524.0977601284212</v>
      </c>
      <c r="CF62" s="100">
        <v>6.7284281490163149</v>
      </c>
      <c r="CG62" s="100">
        <v>11231.092266338033</v>
      </c>
      <c r="CH62" s="100">
        <v>0.48989806397621322</v>
      </c>
      <c r="CI62" s="100">
        <v>817.73784838909512</v>
      </c>
      <c r="CJ62" s="100">
        <v>9</v>
      </c>
      <c r="CK62" s="100">
        <v>15022.800000000001</v>
      </c>
      <c r="CL62" s="100">
        <v>10</v>
      </c>
      <c r="CM62" s="100">
        <v>16692</v>
      </c>
      <c r="CN62" s="100">
        <v>4.3838338494357263</v>
      </c>
      <c r="CO62" s="100">
        <v>7317.4954614781145</v>
      </c>
      <c r="CP62" s="100">
        <v>4.5522368664961865</v>
      </c>
      <c r="CQ62" s="100">
        <v>7598.5937775554348</v>
      </c>
      <c r="CR62" s="100">
        <v>0.41382693602959619</v>
      </c>
      <c r="CS62" s="100">
        <v>690.75992162060197</v>
      </c>
      <c r="CT62" s="100">
        <v>9</v>
      </c>
      <c r="CU62" s="100">
        <v>15022.800000000001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7</v>
      </c>
      <c r="G63" s="100">
        <v>5569.2</v>
      </c>
      <c r="H63" s="100">
        <v>10</v>
      </c>
      <c r="I63" s="100">
        <v>7956</v>
      </c>
      <c r="J63" s="100">
        <v>8</v>
      </c>
      <c r="K63" s="100">
        <v>6364.8</v>
      </c>
      <c r="L63" s="100">
        <v>9</v>
      </c>
      <c r="M63" s="100">
        <v>7160.4000000000005</v>
      </c>
      <c r="N63" s="100">
        <v>10</v>
      </c>
      <c r="O63" s="100">
        <v>7956</v>
      </c>
      <c r="P63" s="100">
        <v>9</v>
      </c>
      <c r="Q63" s="100">
        <v>7160.4000000000005</v>
      </c>
      <c r="R63" s="100">
        <v>9</v>
      </c>
      <c r="S63" s="100">
        <v>7160.4000000000005</v>
      </c>
      <c r="T63" s="100">
        <v>9</v>
      </c>
      <c r="U63" s="100">
        <v>7160.4000000000005</v>
      </c>
      <c r="V63" s="100">
        <v>11</v>
      </c>
      <c r="W63" s="100">
        <v>8751.6</v>
      </c>
      <c r="X63" s="100">
        <v>8.597492687481239</v>
      </c>
      <c r="Y63" s="100">
        <v>6840.1651821600735</v>
      </c>
      <c r="Z63" s="100">
        <v>7</v>
      </c>
      <c r="AA63" s="100">
        <v>5569.2</v>
      </c>
      <c r="AB63" s="100">
        <v>5.8755234561874703</v>
      </c>
      <c r="AC63" s="100">
        <v>4674.5664617427519</v>
      </c>
      <c r="AD63" s="100">
        <v>5.5677688703128272</v>
      </c>
      <c r="AE63" s="100">
        <v>4429.7169132208855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2.7907307978241005</v>
      </c>
      <c r="AK63" s="100">
        <v>2220.3054227488542</v>
      </c>
      <c r="AL63" s="100">
        <v>7</v>
      </c>
      <c r="AM63" s="100">
        <v>5569.2</v>
      </c>
      <c r="AN63" s="100">
        <v>6</v>
      </c>
      <c r="AO63" s="100">
        <v>4773.6000000000004</v>
      </c>
      <c r="AP63" s="100">
        <v>8</v>
      </c>
      <c r="AQ63" s="100">
        <v>6364.8</v>
      </c>
      <c r="AR63" s="100">
        <v>10</v>
      </c>
      <c r="AS63" s="100">
        <v>7956</v>
      </c>
      <c r="AT63" s="100">
        <v>10</v>
      </c>
      <c r="AU63" s="100">
        <v>7956</v>
      </c>
      <c r="AV63" s="100">
        <v>9.7999955828729739</v>
      </c>
      <c r="AW63" s="100">
        <v>7796.8764857337383</v>
      </c>
      <c r="AX63" s="100">
        <v>11</v>
      </c>
      <c r="AY63" s="100">
        <v>8751.6</v>
      </c>
      <c r="AZ63" s="100">
        <v>10</v>
      </c>
      <c r="BA63" s="100">
        <v>7956</v>
      </c>
      <c r="BB63" s="100">
        <v>5.8867333345370216</v>
      </c>
      <c r="BC63" s="100">
        <v>4683.4850409576547</v>
      </c>
      <c r="BD63" s="100">
        <v>6.7058587271597414</v>
      </c>
      <c r="BE63" s="100">
        <v>5335.1812033282904</v>
      </c>
      <c r="BF63" s="100">
        <v>7.4420059385817092</v>
      </c>
      <c r="BG63" s="100">
        <v>5920.8599247356078</v>
      </c>
      <c r="BH63" s="100">
        <v>1.925767977768676</v>
      </c>
      <c r="BI63" s="100">
        <v>1532.1410031127587</v>
      </c>
      <c r="BJ63" s="100">
        <v>8</v>
      </c>
      <c r="BK63" s="100">
        <v>6364.8</v>
      </c>
      <c r="BL63" s="100">
        <v>11</v>
      </c>
      <c r="BM63" s="100">
        <v>8751.6</v>
      </c>
      <c r="BN63" s="100">
        <v>0.3913247821878989</v>
      </c>
      <c r="BO63" s="100">
        <v>311.3379967086924</v>
      </c>
      <c r="BP63" s="100">
        <v>7</v>
      </c>
      <c r="BQ63" s="100">
        <v>5569.2</v>
      </c>
      <c r="BR63" s="100">
        <v>9.9224081952853496</v>
      </c>
      <c r="BS63" s="100">
        <v>7894.2679601690243</v>
      </c>
      <c r="BT63" s="100">
        <v>8</v>
      </c>
      <c r="BU63" s="100">
        <v>6364.8</v>
      </c>
      <c r="BV63" s="100">
        <v>4.7146824849566897</v>
      </c>
      <c r="BW63" s="100">
        <v>3751.0013850315427</v>
      </c>
      <c r="BX63" s="100">
        <v>2.1409276502617587</v>
      </c>
      <c r="BY63" s="100">
        <v>1703.3220385482553</v>
      </c>
      <c r="BZ63" s="100">
        <v>7</v>
      </c>
      <c r="CA63" s="100">
        <v>5569.2</v>
      </c>
      <c r="CB63" s="100">
        <v>10</v>
      </c>
      <c r="CC63" s="100">
        <v>7956</v>
      </c>
      <c r="CD63" s="100">
        <v>6</v>
      </c>
      <c r="CE63" s="100">
        <v>4773.6000000000004</v>
      </c>
      <c r="CF63" s="100">
        <v>9</v>
      </c>
      <c r="CG63" s="100">
        <v>7160.4000000000005</v>
      </c>
      <c r="CH63" s="100">
        <v>7</v>
      </c>
      <c r="CI63" s="100">
        <v>5569.2</v>
      </c>
      <c r="CJ63" s="100">
        <v>11</v>
      </c>
      <c r="CK63" s="100">
        <v>8751.6</v>
      </c>
      <c r="CL63" s="100">
        <v>10</v>
      </c>
      <c r="CM63" s="100">
        <v>7956</v>
      </c>
      <c r="CN63" s="100">
        <v>9</v>
      </c>
      <c r="CO63" s="100">
        <v>7160.4000000000005</v>
      </c>
      <c r="CP63" s="100">
        <v>0.27113896272138666</v>
      </c>
      <c r="CQ63" s="100">
        <v>215.71815874113523</v>
      </c>
      <c r="CR63" s="100">
        <v>5.1376487937236419</v>
      </c>
      <c r="CS63" s="100">
        <v>4087.5133802865298</v>
      </c>
      <c r="CT63" s="100">
        <v>2.1561296809272006E-16</v>
      </c>
      <c r="CU63" s="100">
        <v>1.7154167741456808E-13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10</v>
      </c>
      <c r="Q64" s="100">
        <v>10091.999999999998</v>
      </c>
      <c r="R64" s="100">
        <v>9</v>
      </c>
      <c r="S64" s="100">
        <v>9082.7999999999993</v>
      </c>
      <c r="T64" s="100">
        <v>9</v>
      </c>
      <c r="U64" s="100">
        <v>9082.7999999999993</v>
      </c>
      <c r="V64" s="100">
        <v>10</v>
      </c>
      <c r="W64" s="100">
        <v>10091.999999999998</v>
      </c>
      <c r="X64" s="100">
        <v>7.7377434187331158</v>
      </c>
      <c r="Y64" s="100">
        <v>7808.9306581854589</v>
      </c>
      <c r="Z64" s="100">
        <v>7</v>
      </c>
      <c r="AA64" s="100">
        <v>7064.3999999999987</v>
      </c>
      <c r="AB64" s="100">
        <v>5.8755234561874703</v>
      </c>
      <c r="AC64" s="100">
        <v>5929.5782719843937</v>
      </c>
      <c r="AD64" s="100">
        <v>5.0616080639207519</v>
      </c>
      <c r="AE64" s="100">
        <v>5108.1748581088223</v>
      </c>
      <c r="AF64" s="100">
        <v>7</v>
      </c>
      <c r="AG64" s="100">
        <v>7064.3999999999987</v>
      </c>
      <c r="AH64" s="100">
        <v>7</v>
      </c>
      <c r="AI64" s="100">
        <v>7064.3999999999987</v>
      </c>
      <c r="AJ64" s="100">
        <v>3.1008119975823338</v>
      </c>
      <c r="AK64" s="100">
        <v>3129.3394679600906</v>
      </c>
      <c r="AL64" s="100">
        <v>8</v>
      </c>
      <c r="AM64" s="100">
        <v>8073.5999999999985</v>
      </c>
      <c r="AN64" s="100">
        <v>6</v>
      </c>
      <c r="AO64" s="100">
        <v>6055.1999999999989</v>
      </c>
      <c r="AP64" s="100">
        <v>7</v>
      </c>
      <c r="AQ64" s="100">
        <v>7064.3999999999987</v>
      </c>
      <c r="AR64" s="100">
        <v>9</v>
      </c>
      <c r="AS64" s="100">
        <v>9082.7999999999993</v>
      </c>
      <c r="AT64" s="100">
        <v>10</v>
      </c>
      <c r="AU64" s="100">
        <v>10091.999999999998</v>
      </c>
      <c r="AV64" s="100">
        <v>8.8199960245856772</v>
      </c>
      <c r="AW64" s="100">
        <v>8901.1399880118643</v>
      </c>
      <c r="AX64" s="100">
        <v>10</v>
      </c>
      <c r="AY64" s="100">
        <v>10091.999999999998</v>
      </c>
      <c r="AZ64" s="100">
        <v>9</v>
      </c>
      <c r="BA64" s="100">
        <v>9082.7999999999993</v>
      </c>
      <c r="BB64" s="100">
        <v>5.8867333345370216</v>
      </c>
      <c r="BC64" s="100">
        <v>5940.891281214761</v>
      </c>
      <c r="BD64" s="100">
        <v>6.7058587271597414</v>
      </c>
      <c r="BE64" s="100">
        <v>6767.5526274496096</v>
      </c>
      <c r="BF64" s="100">
        <v>7.4420059385817092</v>
      </c>
      <c r="BG64" s="100">
        <v>7510.4723932166598</v>
      </c>
      <c r="BH64" s="100">
        <v>2.2467293073967887</v>
      </c>
      <c r="BI64" s="100">
        <v>2267.3992170248389</v>
      </c>
      <c r="BJ64" s="100">
        <v>9</v>
      </c>
      <c r="BK64" s="100">
        <v>9082.7999999999993</v>
      </c>
      <c r="BL64" s="100">
        <v>10</v>
      </c>
      <c r="BM64" s="100">
        <v>10091.999999999998</v>
      </c>
      <c r="BN64" s="100">
        <v>0.3913247821878989</v>
      </c>
      <c r="BO64" s="100">
        <v>394.92497018402747</v>
      </c>
      <c r="BP64" s="100">
        <v>6</v>
      </c>
      <c r="BQ64" s="100">
        <v>6055.1999999999989</v>
      </c>
      <c r="BR64" s="100">
        <v>8.930167375756815</v>
      </c>
      <c r="BS64" s="100">
        <v>9012.3249156137754</v>
      </c>
      <c r="BT64" s="100">
        <v>9</v>
      </c>
      <c r="BU64" s="100">
        <v>9082.7999999999993</v>
      </c>
      <c r="BV64" s="100">
        <v>4.7146824849566897</v>
      </c>
      <c r="BW64" s="100">
        <v>4758.0575638182909</v>
      </c>
      <c r="BX64" s="100">
        <v>2.1409276502617587</v>
      </c>
      <c r="BY64" s="100">
        <v>2160.6241846441667</v>
      </c>
      <c r="BZ64" s="100">
        <v>7</v>
      </c>
      <c r="CA64" s="100">
        <v>7064.3999999999987</v>
      </c>
      <c r="CB64" s="100">
        <v>9</v>
      </c>
      <c r="CC64" s="100">
        <v>9082.7999999999993</v>
      </c>
      <c r="CD64" s="100">
        <v>6</v>
      </c>
      <c r="CE64" s="100">
        <v>6055.1999999999989</v>
      </c>
      <c r="CF64" s="100">
        <v>9</v>
      </c>
      <c r="CG64" s="100">
        <v>9082.7999999999993</v>
      </c>
      <c r="CH64" s="100">
        <v>7</v>
      </c>
      <c r="CI64" s="100">
        <v>7064.3999999999987</v>
      </c>
      <c r="CJ64" s="100">
        <v>11</v>
      </c>
      <c r="CK64" s="100">
        <v>11101.199999999997</v>
      </c>
      <c r="CL64" s="100">
        <v>9</v>
      </c>
      <c r="CM64" s="100">
        <v>9082.7999999999993</v>
      </c>
      <c r="CN64" s="100">
        <v>9</v>
      </c>
      <c r="CO64" s="100">
        <v>9082.7999999999993</v>
      </c>
      <c r="CP64" s="100">
        <v>0.31632878984161777</v>
      </c>
      <c r="CQ64" s="100">
        <v>319.2390147081606</v>
      </c>
      <c r="CR64" s="100">
        <v>5.1376487937236419</v>
      </c>
      <c r="CS64" s="100">
        <v>5184.9151626258981</v>
      </c>
      <c r="CT64" s="100">
        <v>1.9601178917520005E-16</v>
      </c>
      <c r="CU64" s="100">
        <v>1.9781509763561187E-13</v>
      </c>
    </row>
    <row r="65" spans="2:99">
      <c r="C65" s="99" t="s">
        <v>231</v>
      </c>
      <c r="D65" s="100">
        <v>6</v>
      </c>
      <c r="E65" s="100">
        <v>6156</v>
      </c>
      <c r="F65" s="100">
        <v>8</v>
      </c>
      <c r="G65" s="100">
        <v>8208</v>
      </c>
      <c r="H65" s="100">
        <v>8</v>
      </c>
      <c r="I65" s="100">
        <v>8208</v>
      </c>
      <c r="J65" s="100">
        <v>8</v>
      </c>
      <c r="K65" s="100">
        <v>8208</v>
      </c>
      <c r="L65" s="100">
        <v>9</v>
      </c>
      <c r="M65" s="100">
        <v>9234</v>
      </c>
      <c r="N65" s="100">
        <v>10</v>
      </c>
      <c r="O65" s="100">
        <v>10260</v>
      </c>
      <c r="P65" s="100">
        <v>9</v>
      </c>
      <c r="Q65" s="100">
        <v>9234</v>
      </c>
      <c r="R65" s="100">
        <v>9</v>
      </c>
      <c r="S65" s="100">
        <v>9234</v>
      </c>
      <c r="T65" s="100">
        <v>11</v>
      </c>
      <c r="U65" s="100">
        <v>11286</v>
      </c>
      <c r="V65" s="100">
        <v>10</v>
      </c>
      <c r="W65" s="100">
        <v>10260</v>
      </c>
      <c r="X65" s="100">
        <v>8.597492687481239</v>
      </c>
      <c r="Y65" s="100">
        <v>8821.0274973557516</v>
      </c>
      <c r="Z65" s="100">
        <v>7</v>
      </c>
      <c r="AA65" s="100">
        <v>7182</v>
      </c>
      <c r="AB65" s="100">
        <v>6.7148839499285362</v>
      </c>
      <c r="AC65" s="100">
        <v>6889.4709326266784</v>
      </c>
      <c r="AD65" s="100">
        <v>5.5677688703128272</v>
      </c>
      <c r="AE65" s="100">
        <v>5712.5308609409603</v>
      </c>
      <c r="AF65" s="100">
        <v>7</v>
      </c>
      <c r="AG65" s="100">
        <v>7182</v>
      </c>
      <c r="AH65" s="100">
        <v>8</v>
      </c>
      <c r="AI65" s="100">
        <v>8208</v>
      </c>
      <c r="AJ65" s="100">
        <v>2.4806495980658672</v>
      </c>
      <c r="AK65" s="100">
        <v>2545.1464876155796</v>
      </c>
      <c r="AL65" s="100">
        <v>8</v>
      </c>
      <c r="AM65" s="100">
        <v>8208</v>
      </c>
      <c r="AN65" s="100">
        <v>5</v>
      </c>
      <c r="AO65" s="100">
        <v>5130</v>
      </c>
      <c r="AP65" s="100">
        <v>9</v>
      </c>
      <c r="AQ65" s="100">
        <v>9234</v>
      </c>
      <c r="AR65" s="100">
        <v>9</v>
      </c>
      <c r="AS65" s="100">
        <v>9234</v>
      </c>
      <c r="AT65" s="100">
        <v>10</v>
      </c>
      <c r="AU65" s="100">
        <v>10260</v>
      </c>
      <c r="AV65" s="100">
        <v>9.7999955828729739</v>
      </c>
      <c r="AW65" s="100">
        <v>10054.795468027671</v>
      </c>
      <c r="AX65" s="100">
        <v>10</v>
      </c>
      <c r="AY65" s="100">
        <v>10260</v>
      </c>
      <c r="AZ65" s="100">
        <v>10</v>
      </c>
      <c r="BA65" s="100">
        <v>10260</v>
      </c>
      <c r="BB65" s="100">
        <v>5.8867333345370216</v>
      </c>
      <c r="BC65" s="100">
        <v>6039.7884012349841</v>
      </c>
      <c r="BD65" s="100">
        <v>6.7058587271597414</v>
      </c>
      <c r="BE65" s="100">
        <v>6880.211054065895</v>
      </c>
      <c r="BF65" s="100">
        <v>8.2688954873130101</v>
      </c>
      <c r="BG65" s="100">
        <v>8483.886769983148</v>
      </c>
      <c r="BH65" s="100">
        <v>1.925767977768676</v>
      </c>
      <c r="BI65" s="100">
        <v>1975.8379451906617</v>
      </c>
      <c r="BJ65" s="100">
        <v>8</v>
      </c>
      <c r="BK65" s="100">
        <v>8208</v>
      </c>
      <c r="BL65" s="100">
        <v>9</v>
      </c>
      <c r="BM65" s="100">
        <v>9234</v>
      </c>
      <c r="BN65" s="100">
        <v>0.35574980198899903</v>
      </c>
      <c r="BO65" s="100">
        <v>364.99929684071299</v>
      </c>
      <c r="BP65" s="100">
        <v>7</v>
      </c>
      <c r="BQ65" s="100">
        <v>7182</v>
      </c>
      <c r="BR65" s="100">
        <v>10.914649014813886</v>
      </c>
      <c r="BS65" s="100">
        <v>11198.429889199047</v>
      </c>
      <c r="BT65" s="100">
        <v>10</v>
      </c>
      <c r="BU65" s="100">
        <v>10260</v>
      </c>
      <c r="BV65" s="100">
        <v>4.7146824849566897</v>
      </c>
      <c r="BW65" s="100">
        <v>4837.2642295655633</v>
      </c>
      <c r="BX65" s="100">
        <v>2.4467744574420105</v>
      </c>
      <c r="BY65" s="100">
        <v>2510.3905933355027</v>
      </c>
      <c r="BZ65" s="100">
        <v>8</v>
      </c>
      <c r="CA65" s="100">
        <v>8208</v>
      </c>
      <c r="CB65" s="100">
        <v>10</v>
      </c>
      <c r="CC65" s="100">
        <v>10260</v>
      </c>
      <c r="CD65" s="100">
        <v>6</v>
      </c>
      <c r="CE65" s="100">
        <v>6156</v>
      </c>
      <c r="CF65" s="100">
        <v>8</v>
      </c>
      <c r="CG65" s="100">
        <v>8208</v>
      </c>
      <c r="CH65" s="100">
        <v>6</v>
      </c>
      <c r="CI65" s="100">
        <v>6156</v>
      </c>
      <c r="CJ65" s="100">
        <v>11</v>
      </c>
      <c r="CK65" s="100">
        <v>11286</v>
      </c>
      <c r="CL65" s="100">
        <v>9</v>
      </c>
      <c r="CM65" s="100">
        <v>9234</v>
      </c>
      <c r="CN65" s="100">
        <v>9</v>
      </c>
      <c r="CO65" s="100">
        <v>9234</v>
      </c>
      <c r="CP65" s="100">
        <v>0.31632878984161777</v>
      </c>
      <c r="CQ65" s="100">
        <v>324.55333837749981</v>
      </c>
      <c r="CR65" s="100">
        <v>5.1376487937236419</v>
      </c>
      <c r="CS65" s="100">
        <v>5271.2276623604566</v>
      </c>
      <c r="CT65" s="100">
        <v>1.9601178917520005E-16</v>
      </c>
      <c r="CU65" s="100">
        <v>2.0110809569375524E-13</v>
      </c>
    </row>
    <row r="66" spans="2:99">
      <c r="C66" s="99" t="s">
        <v>232</v>
      </c>
      <c r="D66" s="100">
        <v>6</v>
      </c>
      <c r="E66" s="100">
        <v>7142.4</v>
      </c>
      <c r="F66" s="100">
        <v>8</v>
      </c>
      <c r="G66" s="100">
        <v>9523.1999999999989</v>
      </c>
      <c r="H66" s="100">
        <v>9</v>
      </c>
      <c r="I66" s="100">
        <v>10713.599999999999</v>
      </c>
      <c r="J66" s="100">
        <v>8</v>
      </c>
      <c r="K66" s="100">
        <v>9523.1999999999989</v>
      </c>
      <c r="L66" s="100">
        <v>8</v>
      </c>
      <c r="M66" s="100">
        <v>9523.1999999999989</v>
      </c>
      <c r="N66" s="100">
        <v>10</v>
      </c>
      <c r="O66" s="100">
        <v>11903.999999999998</v>
      </c>
      <c r="P66" s="100">
        <v>9</v>
      </c>
      <c r="Q66" s="100">
        <v>10713.599999999999</v>
      </c>
      <c r="R66" s="100">
        <v>10</v>
      </c>
      <c r="S66" s="100">
        <v>11903.999999999998</v>
      </c>
      <c r="T66" s="100">
        <v>10</v>
      </c>
      <c r="U66" s="100">
        <v>11903.999999999998</v>
      </c>
      <c r="V66" s="100">
        <v>11</v>
      </c>
      <c r="W66" s="100">
        <v>13094.399999999998</v>
      </c>
      <c r="X66" s="100">
        <v>7.7377434187331158</v>
      </c>
      <c r="Y66" s="100">
        <v>9211.0097656598991</v>
      </c>
      <c r="Z66" s="100">
        <v>7</v>
      </c>
      <c r="AA66" s="100">
        <v>8332.7999999999993</v>
      </c>
      <c r="AB66" s="100">
        <v>5.8755234561874703</v>
      </c>
      <c r="AC66" s="100">
        <v>6994.2231222455639</v>
      </c>
      <c r="AD66" s="100">
        <v>5.0616080639207519</v>
      </c>
      <c r="AE66" s="100">
        <v>6025.3382392912627</v>
      </c>
      <c r="AF66" s="100">
        <v>7</v>
      </c>
      <c r="AG66" s="100">
        <v>8332.7999999999993</v>
      </c>
      <c r="AH66" s="100">
        <v>7</v>
      </c>
      <c r="AI66" s="100">
        <v>8332.7999999999993</v>
      </c>
      <c r="AJ66" s="100">
        <v>2.7907307978241005</v>
      </c>
      <c r="AK66" s="100">
        <v>3322.0859417298088</v>
      </c>
      <c r="AL66" s="100">
        <v>7</v>
      </c>
      <c r="AM66" s="100">
        <v>8332.7999999999993</v>
      </c>
      <c r="AN66" s="100">
        <v>6</v>
      </c>
      <c r="AO66" s="100">
        <v>7142.4</v>
      </c>
      <c r="AP66" s="100">
        <v>8</v>
      </c>
      <c r="AQ66" s="100">
        <v>9523.1999999999989</v>
      </c>
      <c r="AR66" s="100">
        <v>9</v>
      </c>
      <c r="AS66" s="100">
        <v>10713.599999999999</v>
      </c>
      <c r="AT66" s="100">
        <v>11</v>
      </c>
      <c r="AU66" s="100">
        <v>13094.399999999998</v>
      </c>
      <c r="AV66" s="100">
        <v>7.8399964662983797</v>
      </c>
      <c r="AW66" s="100">
        <v>9332.7317934815892</v>
      </c>
      <c r="AX66" s="100">
        <v>10</v>
      </c>
      <c r="AY66" s="100">
        <v>11903.999999999998</v>
      </c>
      <c r="AZ66" s="100">
        <v>9</v>
      </c>
      <c r="BA66" s="100">
        <v>10713.599999999999</v>
      </c>
      <c r="BB66" s="100">
        <v>6.8678555569598574</v>
      </c>
      <c r="BC66" s="100">
        <v>8175.495255005013</v>
      </c>
      <c r="BD66" s="100">
        <v>7.5440910680547093</v>
      </c>
      <c r="BE66" s="100">
        <v>8980.4860074123244</v>
      </c>
      <c r="BF66" s="100">
        <v>7.4420059385817092</v>
      </c>
      <c r="BG66" s="100">
        <v>8858.9638692876651</v>
      </c>
      <c r="BH66" s="100">
        <v>1.925767977768676</v>
      </c>
      <c r="BI66" s="100">
        <v>2292.4342007358318</v>
      </c>
      <c r="BJ66" s="100">
        <v>9</v>
      </c>
      <c r="BK66" s="100">
        <v>10713.599999999999</v>
      </c>
      <c r="BL66" s="100">
        <v>10</v>
      </c>
      <c r="BM66" s="100">
        <v>11903.999999999998</v>
      </c>
      <c r="BN66" s="100">
        <v>0.3913247821878989</v>
      </c>
      <c r="BO66" s="100">
        <v>465.83302071647478</v>
      </c>
      <c r="BP66" s="100">
        <v>6</v>
      </c>
      <c r="BQ66" s="100">
        <v>7142.4</v>
      </c>
      <c r="BR66" s="100">
        <v>8.930167375756815</v>
      </c>
      <c r="BS66" s="100">
        <v>10630.471244100911</v>
      </c>
      <c r="BT66" s="100">
        <v>8</v>
      </c>
      <c r="BU66" s="100">
        <v>9523.1999999999989</v>
      </c>
      <c r="BV66" s="100">
        <v>4.7146824849566897</v>
      </c>
      <c r="BW66" s="100">
        <v>5612.3580300924432</v>
      </c>
      <c r="BX66" s="100">
        <v>2.4467744574420105</v>
      </c>
      <c r="BY66" s="100">
        <v>2912.6403141389692</v>
      </c>
      <c r="BZ66" s="100">
        <v>7</v>
      </c>
      <c r="CA66" s="100">
        <v>8332.7999999999993</v>
      </c>
      <c r="CB66" s="100">
        <v>11</v>
      </c>
      <c r="CC66" s="100">
        <v>13094.399999999998</v>
      </c>
      <c r="CD66" s="100">
        <v>6</v>
      </c>
      <c r="CE66" s="100">
        <v>7142.4</v>
      </c>
      <c r="CF66" s="100">
        <v>8</v>
      </c>
      <c r="CG66" s="100">
        <v>9523.1999999999989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9</v>
      </c>
      <c r="CM66" s="100">
        <v>10713.599999999999</v>
      </c>
      <c r="CN66" s="100">
        <v>10</v>
      </c>
      <c r="CO66" s="100">
        <v>11903.999999999998</v>
      </c>
      <c r="CP66" s="100">
        <v>0.27113896272138666</v>
      </c>
      <c r="CQ66" s="100">
        <v>322.76382122353863</v>
      </c>
      <c r="CR66" s="100">
        <v>5.1376487937236419</v>
      </c>
      <c r="CS66" s="100">
        <v>6115.8571240486226</v>
      </c>
      <c r="CT66" s="100">
        <v>1.7641061025768004E-16</v>
      </c>
      <c r="CU66" s="100">
        <v>2.0999919045074229E-13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8</v>
      </c>
      <c r="G67" s="100">
        <v>8985.6</v>
      </c>
      <c r="H67" s="100">
        <v>10</v>
      </c>
      <c r="I67" s="100">
        <v>11232</v>
      </c>
      <c r="J67" s="100">
        <v>8</v>
      </c>
      <c r="K67" s="100">
        <v>8985.6</v>
      </c>
      <c r="L67" s="100">
        <v>10</v>
      </c>
      <c r="M67" s="100">
        <v>11232</v>
      </c>
      <c r="N67" s="100">
        <v>9</v>
      </c>
      <c r="O67" s="100">
        <v>10108.800000000001</v>
      </c>
      <c r="P67" s="100">
        <v>10</v>
      </c>
      <c r="Q67" s="100">
        <v>11232</v>
      </c>
      <c r="R67" s="100">
        <v>9</v>
      </c>
      <c r="S67" s="100">
        <v>10108.800000000001</v>
      </c>
      <c r="T67" s="100">
        <v>11</v>
      </c>
      <c r="U67" s="100">
        <v>12355.2</v>
      </c>
      <c r="V67" s="100">
        <v>11</v>
      </c>
      <c r="W67" s="100">
        <v>12355.2</v>
      </c>
      <c r="X67" s="100">
        <v>8.597492687481239</v>
      </c>
      <c r="Y67" s="100">
        <v>9656.703786578928</v>
      </c>
      <c r="Z67" s="100">
        <v>6</v>
      </c>
      <c r="AA67" s="100">
        <v>6739.2000000000007</v>
      </c>
      <c r="AB67" s="100">
        <v>5.8755234561874703</v>
      </c>
      <c r="AC67" s="100">
        <v>6599.3879459897671</v>
      </c>
      <c r="AD67" s="100">
        <v>5.5677688703128272</v>
      </c>
      <c r="AE67" s="100">
        <v>6253.7179951353673</v>
      </c>
      <c r="AF67" s="100">
        <v>6</v>
      </c>
      <c r="AG67" s="100">
        <v>6739.2000000000007</v>
      </c>
      <c r="AH67" s="100">
        <v>7</v>
      </c>
      <c r="AI67" s="100">
        <v>7862.4000000000005</v>
      </c>
      <c r="AJ67" s="100">
        <v>3.1008119975823338</v>
      </c>
      <c r="AK67" s="100">
        <v>3482.8320356844774</v>
      </c>
      <c r="AL67" s="100">
        <v>8</v>
      </c>
      <c r="AM67" s="100">
        <v>8985.6</v>
      </c>
      <c r="AN67" s="100">
        <v>6</v>
      </c>
      <c r="AO67" s="100">
        <v>6739.2000000000007</v>
      </c>
      <c r="AP67" s="100">
        <v>8</v>
      </c>
      <c r="AQ67" s="100">
        <v>8985.6</v>
      </c>
      <c r="AR67" s="100">
        <v>9</v>
      </c>
      <c r="AS67" s="100">
        <v>10108.800000000001</v>
      </c>
      <c r="AT67" s="100">
        <v>11</v>
      </c>
      <c r="AU67" s="100">
        <v>12355.2</v>
      </c>
      <c r="AV67" s="100">
        <v>8.8199960245856772</v>
      </c>
      <c r="AW67" s="100">
        <v>9906.6195348146339</v>
      </c>
      <c r="AX67" s="100">
        <v>10</v>
      </c>
      <c r="AY67" s="100">
        <v>11232</v>
      </c>
      <c r="AZ67" s="100">
        <v>10</v>
      </c>
      <c r="BA67" s="100">
        <v>11232</v>
      </c>
      <c r="BB67" s="100">
        <v>5.8867333345370216</v>
      </c>
      <c r="BC67" s="100">
        <v>6611.9788813519826</v>
      </c>
      <c r="BD67" s="100">
        <v>7.5440910680547093</v>
      </c>
      <c r="BE67" s="100">
        <v>8473.5230876390506</v>
      </c>
      <c r="BF67" s="100">
        <v>8.2688954873130101</v>
      </c>
      <c r="BG67" s="100">
        <v>9287.623411349974</v>
      </c>
      <c r="BH67" s="100">
        <v>1.925767977768676</v>
      </c>
      <c r="BI67" s="100">
        <v>2163.0225926297771</v>
      </c>
      <c r="BJ67" s="100">
        <v>8</v>
      </c>
      <c r="BK67" s="100">
        <v>8985.6</v>
      </c>
      <c r="BL67" s="100">
        <v>11</v>
      </c>
      <c r="BM67" s="100">
        <v>12355.2</v>
      </c>
      <c r="BN67" s="100">
        <v>0.3913247821878989</v>
      </c>
      <c r="BO67" s="100">
        <v>439.53599535344807</v>
      </c>
      <c r="BP67" s="100">
        <v>6</v>
      </c>
      <c r="BQ67" s="100">
        <v>6739.2000000000007</v>
      </c>
      <c r="BR67" s="100">
        <v>9.9224081952853496</v>
      </c>
      <c r="BS67" s="100">
        <v>11144.848884944506</v>
      </c>
      <c r="BT67" s="100">
        <v>9</v>
      </c>
      <c r="BU67" s="100">
        <v>10108.800000000001</v>
      </c>
      <c r="BV67" s="100">
        <v>5.304017795576276</v>
      </c>
      <c r="BW67" s="100">
        <v>5957.4727879912734</v>
      </c>
      <c r="BX67" s="100">
        <v>2.4467744574420105</v>
      </c>
      <c r="BY67" s="100">
        <v>2748.2170705988665</v>
      </c>
      <c r="BZ67" s="100">
        <v>7</v>
      </c>
      <c r="CA67" s="100">
        <v>7862.4000000000005</v>
      </c>
      <c r="CB67" s="100">
        <v>10</v>
      </c>
      <c r="CC67" s="100">
        <v>11232</v>
      </c>
      <c r="CD67" s="100">
        <v>6</v>
      </c>
      <c r="CE67" s="100">
        <v>6739.2000000000007</v>
      </c>
      <c r="CF67" s="100">
        <v>8</v>
      </c>
      <c r="CG67" s="100">
        <v>8985.6</v>
      </c>
      <c r="CH67" s="100">
        <v>7</v>
      </c>
      <c r="CI67" s="100">
        <v>7862.4000000000005</v>
      </c>
      <c r="CJ67" s="100">
        <v>10</v>
      </c>
      <c r="CK67" s="100">
        <v>11232</v>
      </c>
      <c r="CL67" s="100">
        <v>9</v>
      </c>
      <c r="CM67" s="100">
        <v>10108.800000000001</v>
      </c>
      <c r="CN67" s="100">
        <v>9</v>
      </c>
      <c r="CO67" s="100">
        <v>10108.800000000001</v>
      </c>
      <c r="CP67" s="100">
        <v>0.31632878984161777</v>
      </c>
      <c r="CQ67" s="100">
        <v>355.30049675010508</v>
      </c>
      <c r="CR67" s="100">
        <v>4.4036989660488359</v>
      </c>
      <c r="CS67" s="100">
        <v>4946.2346786660528</v>
      </c>
      <c r="CT67" s="100">
        <v>1.9601178917520005E-16</v>
      </c>
      <c r="CU67" s="100">
        <v>2.201604416015847E-13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7</v>
      </c>
      <c r="G68" s="100">
        <v>7232.4000000000005</v>
      </c>
      <c r="H68" s="100">
        <v>10</v>
      </c>
      <c r="I68" s="100">
        <v>10332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10</v>
      </c>
      <c r="O68" s="100">
        <v>10332</v>
      </c>
      <c r="P68" s="100">
        <v>9</v>
      </c>
      <c r="Q68" s="100">
        <v>9298.8000000000011</v>
      </c>
      <c r="R68" s="100">
        <v>9</v>
      </c>
      <c r="S68" s="100">
        <v>9298.8000000000011</v>
      </c>
      <c r="T68" s="100">
        <v>11</v>
      </c>
      <c r="U68" s="100">
        <v>11365.2</v>
      </c>
      <c r="V68" s="100">
        <v>9</v>
      </c>
      <c r="W68" s="100">
        <v>9298.8000000000011</v>
      </c>
      <c r="X68" s="100">
        <v>8.597492687481239</v>
      </c>
      <c r="Y68" s="100">
        <v>8882.9294447056163</v>
      </c>
      <c r="Z68" s="100">
        <v>7</v>
      </c>
      <c r="AA68" s="100">
        <v>7232.4000000000005</v>
      </c>
      <c r="AB68" s="100">
        <v>6.7148839499285362</v>
      </c>
      <c r="AC68" s="100">
        <v>6937.8180970661642</v>
      </c>
      <c r="AD68" s="100">
        <v>5.0616080639207519</v>
      </c>
      <c r="AE68" s="100">
        <v>5229.653451642921</v>
      </c>
      <c r="AF68" s="100">
        <v>7</v>
      </c>
      <c r="AG68" s="100">
        <v>7232.4000000000005</v>
      </c>
      <c r="AH68" s="100">
        <v>8</v>
      </c>
      <c r="AI68" s="100">
        <v>8265.6</v>
      </c>
      <c r="AJ68" s="100">
        <v>3.1008119975823338</v>
      </c>
      <c r="AK68" s="100">
        <v>3203.7589559020676</v>
      </c>
      <c r="AL68" s="100">
        <v>8</v>
      </c>
      <c r="AM68" s="100">
        <v>8265.6</v>
      </c>
      <c r="AN68" s="100">
        <v>5</v>
      </c>
      <c r="AO68" s="100">
        <v>5166</v>
      </c>
      <c r="AP68" s="100">
        <v>8</v>
      </c>
      <c r="AQ68" s="100">
        <v>8265.6</v>
      </c>
      <c r="AR68" s="100">
        <v>9</v>
      </c>
      <c r="AS68" s="100">
        <v>9298.8000000000011</v>
      </c>
      <c r="AT68" s="100">
        <v>10</v>
      </c>
      <c r="AU68" s="100">
        <v>10332</v>
      </c>
      <c r="AV68" s="100">
        <v>7.8399964662983797</v>
      </c>
      <c r="AW68" s="100">
        <v>8100.2843489794859</v>
      </c>
      <c r="AX68" s="100">
        <v>12</v>
      </c>
      <c r="AY68" s="100">
        <v>12398.400000000001</v>
      </c>
      <c r="AZ68" s="100">
        <v>9</v>
      </c>
      <c r="BA68" s="100">
        <v>9298.8000000000011</v>
      </c>
      <c r="BB68" s="100">
        <v>5.8867333345370216</v>
      </c>
      <c r="BC68" s="100">
        <v>6082.1728812436513</v>
      </c>
      <c r="BD68" s="100">
        <v>6.7058587271597414</v>
      </c>
      <c r="BE68" s="100">
        <v>6928.493236901445</v>
      </c>
      <c r="BF68" s="100">
        <v>7.4420059385817092</v>
      </c>
      <c r="BG68" s="100">
        <v>7689.0805357426225</v>
      </c>
      <c r="BH68" s="100">
        <v>1.925767977768676</v>
      </c>
      <c r="BI68" s="100">
        <v>1989.7034746305962</v>
      </c>
      <c r="BJ68" s="100">
        <v>9</v>
      </c>
      <c r="BK68" s="100">
        <v>9298.8000000000011</v>
      </c>
      <c r="BL68" s="100">
        <v>11</v>
      </c>
      <c r="BM68" s="100">
        <v>11365.2</v>
      </c>
      <c r="BN68" s="100">
        <v>0.3201748217900991</v>
      </c>
      <c r="BO68" s="100">
        <v>330.80462587353043</v>
      </c>
      <c r="BP68" s="100">
        <v>6</v>
      </c>
      <c r="BQ68" s="100">
        <v>6199.2000000000007</v>
      </c>
      <c r="BR68" s="100">
        <v>9.9224081952853496</v>
      </c>
      <c r="BS68" s="100">
        <v>10251.832147368823</v>
      </c>
      <c r="BT68" s="100">
        <v>10</v>
      </c>
      <c r="BU68" s="100">
        <v>10332</v>
      </c>
      <c r="BV68" s="100">
        <v>4.7146824849566897</v>
      </c>
      <c r="BW68" s="100">
        <v>4871.2099434572519</v>
      </c>
      <c r="BX68" s="100">
        <v>2.4467744574420105</v>
      </c>
      <c r="BY68" s="100">
        <v>2528.0073694290854</v>
      </c>
      <c r="BZ68" s="100">
        <v>8</v>
      </c>
      <c r="CA68" s="100">
        <v>8265.6</v>
      </c>
      <c r="CB68" s="100">
        <v>9</v>
      </c>
      <c r="CC68" s="100">
        <v>9298.8000000000011</v>
      </c>
      <c r="CD68" s="100">
        <v>6</v>
      </c>
      <c r="CE68" s="100">
        <v>6199.2000000000007</v>
      </c>
      <c r="CF68" s="100">
        <v>8</v>
      </c>
      <c r="CG68" s="100">
        <v>8265.6</v>
      </c>
      <c r="CH68" s="100">
        <v>7</v>
      </c>
      <c r="CI68" s="100">
        <v>7232.4000000000005</v>
      </c>
      <c r="CJ68" s="100">
        <v>9</v>
      </c>
      <c r="CK68" s="100">
        <v>9298.8000000000011</v>
      </c>
      <c r="CL68" s="100">
        <v>10</v>
      </c>
      <c r="CM68" s="100">
        <v>10332</v>
      </c>
      <c r="CN68" s="100">
        <v>9</v>
      </c>
      <c r="CO68" s="100">
        <v>9298.8000000000011</v>
      </c>
      <c r="CP68" s="100">
        <v>0.31632878984161777</v>
      </c>
      <c r="CQ68" s="100">
        <v>326.83090566435948</v>
      </c>
      <c r="CR68" s="100">
        <v>5.1376487937236419</v>
      </c>
      <c r="CS68" s="100">
        <v>5308.2187336752668</v>
      </c>
      <c r="CT68" s="100">
        <v>1.9601178917520005E-16</v>
      </c>
      <c r="CU68" s="100">
        <v>2.025193805758167E-13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7</v>
      </c>
      <c r="G69" s="100">
        <v>5308.8</v>
      </c>
      <c r="H69" s="100">
        <v>8</v>
      </c>
      <c r="I69" s="100">
        <v>6067.2</v>
      </c>
      <c r="J69" s="100">
        <v>9</v>
      </c>
      <c r="K69" s="100">
        <v>6825.5999999999995</v>
      </c>
      <c r="L69" s="100">
        <v>9</v>
      </c>
      <c r="M69" s="100">
        <v>6825.5999999999995</v>
      </c>
      <c r="N69" s="100">
        <v>10</v>
      </c>
      <c r="O69" s="100">
        <v>7584</v>
      </c>
      <c r="P69" s="100">
        <v>10</v>
      </c>
      <c r="Q69" s="100">
        <v>7584</v>
      </c>
      <c r="R69" s="100">
        <v>9</v>
      </c>
      <c r="S69" s="100">
        <v>6825.5999999999995</v>
      </c>
      <c r="T69" s="100">
        <v>10</v>
      </c>
      <c r="U69" s="100">
        <v>7584</v>
      </c>
      <c r="V69" s="100">
        <v>10</v>
      </c>
      <c r="W69" s="100">
        <v>7584</v>
      </c>
      <c r="X69" s="100">
        <v>8.597492687481239</v>
      </c>
      <c r="Y69" s="100">
        <v>6520.3384541857713</v>
      </c>
      <c r="Z69" s="100">
        <v>7</v>
      </c>
      <c r="AA69" s="100">
        <v>5308.8</v>
      </c>
      <c r="AB69" s="100">
        <v>5.8755234561874703</v>
      </c>
      <c r="AC69" s="100">
        <v>4455.9969891725777</v>
      </c>
      <c r="AD69" s="100">
        <v>5.5677688703128272</v>
      </c>
      <c r="AE69" s="100">
        <v>4222.5959112452483</v>
      </c>
      <c r="AF69" s="100">
        <v>6</v>
      </c>
      <c r="AG69" s="100">
        <v>4550.3999999999996</v>
      </c>
      <c r="AH69" s="100">
        <v>7</v>
      </c>
      <c r="AI69" s="100">
        <v>5308.8</v>
      </c>
      <c r="AJ69" s="100">
        <v>3.1008119975823338</v>
      </c>
      <c r="AK69" s="100">
        <v>2351.655818966442</v>
      </c>
      <c r="AL69" s="100">
        <v>8</v>
      </c>
      <c r="AM69" s="100">
        <v>6067.2</v>
      </c>
      <c r="AN69" s="100">
        <v>5</v>
      </c>
      <c r="AO69" s="100">
        <v>3792</v>
      </c>
      <c r="AP69" s="100">
        <v>8</v>
      </c>
      <c r="AQ69" s="100">
        <v>6067.2</v>
      </c>
      <c r="AR69" s="100">
        <v>9</v>
      </c>
      <c r="AS69" s="100">
        <v>6825.5999999999995</v>
      </c>
      <c r="AT69" s="100">
        <v>12</v>
      </c>
      <c r="AU69" s="100">
        <v>9100.7999999999993</v>
      </c>
      <c r="AV69" s="100">
        <v>8.8199960245856772</v>
      </c>
      <c r="AW69" s="100">
        <v>6689.0849850457771</v>
      </c>
      <c r="AX69" s="100">
        <v>12</v>
      </c>
      <c r="AY69" s="100">
        <v>9100.7999999999993</v>
      </c>
      <c r="AZ69" s="100">
        <v>10</v>
      </c>
      <c r="BA69" s="100">
        <v>7584</v>
      </c>
      <c r="BB69" s="100">
        <v>5.8867333345370216</v>
      </c>
      <c r="BC69" s="100">
        <v>4464.4985609128771</v>
      </c>
      <c r="BD69" s="100">
        <v>6.7058587271597414</v>
      </c>
      <c r="BE69" s="100">
        <v>5085.7232586779473</v>
      </c>
      <c r="BF69" s="100">
        <v>8.2688954873130101</v>
      </c>
      <c r="BG69" s="100">
        <v>6271.1303375781863</v>
      </c>
      <c r="BH69" s="100">
        <v>1.925767977768676</v>
      </c>
      <c r="BI69" s="100">
        <v>1460.5024343397638</v>
      </c>
      <c r="BJ69" s="100">
        <v>9</v>
      </c>
      <c r="BK69" s="100">
        <v>6825.5999999999995</v>
      </c>
      <c r="BL69" s="100">
        <v>11</v>
      </c>
      <c r="BM69" s="100">
        <v>8342.4</v>
      </c>
      <c r="BN69" s="100">
        <v>0.3913247821878989</v>
      </c>
      <c r="BO69" s="100">
        <v>296.78071481130252</v>
      </c>
      <c r="BP69" s="100">
        <v>7</v>
      </c>
      <c r="BQ69" s="100">
        <v>5308.8</v>
      </c>
      <c r="BR69" s="100">
        <v>9.9224081952853496</v>
      </c>
      <c r="BS69" s="100">
        <v>7525.1543753044089</v>
      </c>
      <c r="BT69" s="100">
        <v>10</v>
      </c>
      <c r="BU69" s="100">
        <v>7584</v>
      </c>
      <c r="BV69" s="100">
        <v>5.304017795576276</v>
      </c>
      <c r="BW69" s="100">
        <v>4022.5670961650476</v>
      </c>
      <c r="BX69" s="100">
        <v>2.4467744574420105</v>
      </c>
      <c r="BY69" s="100">
        <v>1855.6337485240208</v>
      </c>
      <c r="BZ69" s="100">
        <v>8</v>
      </c>
      <c r="CA69" s="100">
        <v>6067.2</v>
      </c>
      <c r="CB69" s="100">
        <v>11</v>
      </c>
      <c r="CC69" s="100">
        <v>8342.4</v>
      </c>
      <c r="CD69" s="100">
        <v>6</v>
      </c>
      <c r="CE69" s="100">
        <v>4550.3999999999996</v>
      </c>
      <c r="CF69" s="100">
        <v>9</v>
      </c>
      <c r="CG69" s="100">
        <v>6825.5999999999995</v>
      </c>
      <c r="CH69" s="100">
        <v>7</v>
      </c>
      <c r="CI69" s="100">
        <v>5308.8</v>
      </c>
      <c r="CJ69" s="100">
        <v>11</v>
      </c>
      <c r="CK69" s="100">
        <v>8342.4</v>
      </c>
      <c r="CL69" s="100">
        <v>9</v>
      </c>
      <c r="CM69" s="100">
        <v>6825.5999999999995</v>
      </c>
      <c r="CN69" s="100">
        <v>11</v>
      </c>
      <c r="CO69" s="100">
        <v>8342.4</v>
      </c>
      <c r="CP69" s="100">
        <v>0.31632878984161777</v>
      </c>
      <c r="CQ69" s="100">
        <v>239.90375421588291</v>
      </c>
      <c r="CR69" s="100">
        <v>5.1376487937236419</v>
      </c>
      <c r="CS69" s="100">
        <v>3896.39284516001</v>
      </c>
      <c r="CT69" s="100">
        <v>1.9601178917520005E-16</v>
      </c>
      <c r="CU69" s="100">
        <v>1.486553409104717E-13</v>
      </c>
    </row>
    <row r="70" spans="2:99">
      <c r="C70" s="99" t="s">
        <v>236</v>
      </c>
      <c r="D70" s="100">
        <v>6</v>
      </c>
      <c r="E70" s="100">
        <v>3211.2</v>
      </c>
      <c r="F70" s="100">
        <v>8</v>
      </c>
      <c r="G70" s="100">
        <v>4281.5999999999995</v>
      </c>
      <c r="H70" s="100">
        <v>9</v>
      </c>
      <c r="I70" s="100">
        <v>4816.7999999999993</v>
      </c>
      <c r="J70" s="100">
        <v>9</v>
      </c>
      <c r="K70" s="100">
        <v>4816.7999999999993</v>
      </c>
      <c r="L70" s="100">
        <v>9</v>
      </c>
      <c r="M70" s="100">
        <v>4816.7999999999993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9</v>
      </c>
      <c r="S70" s="100">
        <v>4816.7999999999993</v>
      </c>
      <c r="T70" s="100">
        <v>11</v>
      </c>
      <c r="U70" s="100">
        <v>5887.1999999999989</v>
      </c>
      <c r="V70" s="100">
        <v>10</v>
      </c>
      <c r="W70" s="100">
        <v>5351.9999999999991</v>
      </c>
      <c r="X70" s="100">
        <v>8.597492687481239</v>
      </c>
      <c r="Y70" s="100">
        <v>4601.3780863399588</v>
      </c>
      <c r="Z70" s="100">
        <v>7</v>
      </c>
      <c r="AA70" s="100">
        <v>3746.3999999999996</v>
      </c>
      <c r="AB70" s="100">
        <v>5.8755234561874703</v>
      </c>
      <c r="AC70" s="100">
        <v>3144.5801537515335</v>
      </c>
      <c r="AD70" s="100">
        <v>5.0616080639207519</v>
      </c>
      <c r="AE70" s="100">
        <v>2708.9726358103862</v>
      </c>
      <c r="AF70" s="100">
        <v>7</v>
      </c>
      <c r="AG70" s="100">
        <v>3746.3999999999996</v>
      </c>
      <c r="AH70" s="100">
        <v>7</v>
      </c>
      <c r="AI70" s="100">
        <v>3746.3999999999996</v>
      </c>
      <c r="AJ70" s="100">
        <v>3.1008119975823338</v>
      </c>
      <c r="AK70" s="100">
        <v>1659.5545811060649</v>
      </c>
      <c r="AL70" s="100">
        <v>8</v>
      </c>
      <c r="AM70" s="100">
        <v>4281.5999999999995</v>
      </c>
      <c r="AN70" s="100">
        <v>5</v>
      </c>
      <c r="AO70" s="100">
        <v>2675.9999999999995</v>
      </c>
      <c r="AP70" s="100">
        <v>8</v>
      </c>
      <c r="AQ70" s="100">
        <v>4281.5999999999995</v>
      </c>
      <c r="AR70" s="100">
        <v>9</v>
      </c>
      <c r="AS70" s="100">
        <v>4816.7999999999993</v>
      </c>
      <c r="AT70" s="100">
        <v>12</v>
      </c>
      <c r="AU70" s="100">
        <v>6422.4</v>
      </c>
      <c r="AV70" s="100">
        <v>9.7999955828729739</v>
      </c>
      <c r="AW70" s="100">
        <v>5244.957635953615</v>
      </c>
      <c r="AX70" s="100">
        <v>10</v>
      </c>
      <c r="AY70" s="100">
        <v>5351.9999999999991</v>
      </c>
      <c r="AZ70" s="100">
        <v>9</v>
      </c>
      <c r="BA70" s="100">
        <v>4816.7999999999993</v>
      </c>
      <c r="BB70" s="100">
        <v>6.8678555569598574</v>
      </c>
      <c r="BC70" s="100">
        <v>3675.6762940849153</v>
      </c>
      <c r="BD70" s="100">
        <v>7.5440910680547093</v>
      </c>
      <c r="BE70" s="100">
        <v>4037.59753962288</v>
      </c>
      <c r="BF70" s="100">
        <v>7.4420059385817092</v>
      </c>
      <c r="BG70" s="100">
        <v>3982.96157832893</v>
      </c>
      <c r="BH70" s="100">
        <v>1.925767977768676</v>
      </c>
      <c r="BI70" s="100">
        <v>1030.6710217017953</v>
      </c>
      <c r="BJ70" s="100">
        <v>9</v>
      </c>
      <c r="BK70" s="100">
        <v>4816.7999999999993</v>
      </c>
      <c r="BL70" s="100">
        <v>10</v>
      </c>
      <c r="BM70" s="100">
        <v>5351.9999999999991</v>
      </c>
      <c r="BN70" s="100">
        <v>0.3913247821878989</v>
      </c>
      <c r="BO70" s="100">
        <v>209.43702342696346</v>
      </c>
      <c r="BP70" s="100">
        <v>6</v>
      </c>
      <c r="BQ70" s="100">
        <v>3211.2</v>
      </c>
      <c r="BR70" s="100">
        <v>9.9224081952853496</v>
      </c>
      <c r="BS70" s="100">
        <v>5310.4728661167183</v>
      </c>
      <c r="BT70" s="100">
        <v>9</v>
      </c>
      <c r="BU70" s="100">
        <v>4816.7999999999993</v>
      </c>
      <c r="BV70" s="100">
        <v>4.7146824849566897</v>
      </c>
      <c r="BW70" s="100">
        <v>2523.2980659488198</v>
      </c>
      <c r="BX70" s="100">
        <v>2.4467744574420105</v>
      </c>
      <c r="BY70" s="100">
        <v>1309.5136896229637</v>
      </c>
      <c r="BZ70" s="100">
        <v>8</v>
      </c>
      <c r="CA70" s="100">
        <v>4281.5999999999995</v>
      </c>
      <c r="CB70" s="100">
        <v>12</v>
      </c>
      <c r="CC70" s="100">
        <v>6422.4</v>
      </c>
      <c r="CD70" s="100">
        <v>6</v>
      </c>
      <c r="CE70" s="100">
        <v>3211.2</v>
      </c>
      <c r="CF70" s="100">
        <v>8</v>
      </c>
      <c r="CG70" s="100">
        <v>4281.5999999999995</v>
      </c>
      <c r="CH70" s="100">
        <v>8</v>
      </c>
      <c r="CI70" s="100">
        <v>4281.5999999999995</v>
      </c>
      <c r="CJ70" s="100">
        <v>10</v>
      </c>
      <c r="CK70" s="100">
        <v>5351.9999999999991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0.31632878984161777</v>
      </c>
      <c r="CQ70" s="100">
        <v>169.2991683232338</v>
      </c>
      <c r="CR70" s="100">
        <v>4.4036989660488359</v>
      </c>
      <c r="CS70" s="100">
        <v>2356.8596866293365</v>
      </c>
      <c r="CT70" s="100">
        <v>2.1561296809272006E-16</v>
      </c>
      <c r="CU70" s="100">
        <v>1.1539606052322377E-13</v>
      </c>
    </row>
    <row r="71" spans="2:99">
      <c r="B71" s="99" t="s">
        <v>130</v>
      </c>
      <c r="C71" s="99" t="s">
        <v>237</v>
      </c>
      <c r="D71" s="100">
        <v>12.208881410568443</v>
      </c>
      <c r="E71" s="100">
        <v>6885.8091155606016</v>
      </c>
      <c r="F71" s="100">
        <v>10</v>
      </c>
      <c r="G71" s="100">
        <v>5640</v>
      </c>
      <c r="H71" s="100">
        <v>8.425653477993249</v>
      </c>
      <c r="I71" s="100">
        <v>4752.0685615881921</v>
      </c>
      <c r="J71" s="100">
        <v>4.7628521450689982</v>
      </c>
      <c r="K71" s="100">
        <v>2686.2486098189152</v>
      </c>
      <c r="L71" s="100">
        <v>11</v>
      </c>
      <c r="M71" s="100">
        <v>6204</v>
      </c>
      <c r="N71" s="100">
        <v>8</v>
      </c>
      <c r="O71" s="100">
        <v>4512</v>
      </c>
      <c r="P71" s="100">
        <v>10</v>
      </c>
      <c r="Q71" s="100">
        <v>5640</v>
      </c>
      <c r="R71" s="100">
        <v>10</v>
      </c>
      <c r="S71" s="100">
        <v>5640</v>
      </c>
      <c r="T71" s="100">
        <v>8</v>
      </c>
      <c r="U71" s="100">
        <v>4512</v>
      </c>
      <c r="V71" s="100">
        <v>12</v>
      </c>
      <c r="W71" s="100">
        <v>6768</v>
      </c>
      <c r="X71" s="100">
        <v>9</v>
      </c>
      <c r="Y71" s="100">
        <v>5076</v>
      </c>
      <c r="Z71" s="100">
        <v>12</v>
      </c>
      <c r="AA71" s="100">
        <v>6768</v>
      </c>
      <c r="AB71" s="100">
        <v>14</v>
      </c>
      <c r="AC71" s="100">
        <v>7896</v>
      </c>
      <c r="AD71" s="100">
        <v>9</v>
      </c>
      <c r="AE71" s="100">
        <v>5076</v>
      </c>
      <c r="AF71" s="100">
        <v>1.7019266503603929</v>
      </c>
      <c r="AG71" s="100">
        <v>959.8866308032616</v>
      </c>
      <c r="AH71" s="100">
        <v>2.6831506669869092</v>
      </c>
      <c r="AI71" s="100">
        <v>1513.2969761806169</v>
      </c>
      <c r="AJ71" s="100">
        <v>2.651584188551769</v>
      </c>
      <c r="AK71" s="100">
        <v>1495.4934823431977</v>
      </c>
      <c r="AL71" s="100">
        <v>1.23344836631637</v>
      </c>
      <c r="AM71" s="100">
        <v>695.66487860243274</v>
      </c>
      <c r="AN71" s="100">
        <v>9.314856836741555</v>
      </c>
      <c r="AO71" s="100">
        <v>5253.5792559222373</v>
      </c>
      <c r="AP71" s="100">
        <v>1.1976962397564748</v>
      </c>
      <c r="AQ71" s="100">
        <v>675.5006792226518</v>
      </c>
      <c r="AR71" s="100">
        <v>9</v>
      </c>
      <c r="AS71" s="100">
        <v>5076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13</v>
      </c>
      <c r="AY71" s="100">
        <v>7332</v>
      </c>
      <c r="AZ71" s="100">
        <v>10.641946914341943</v>
      </c>
      <c r="BA71" s="100">
        <v>6002.0580596888558</v>
      </c>
      <c r="BB71" s="100">
        <v>1.2074178001441089</v>
      </c>
      <c r="BC71" s="100">
        <v>680.98363928127742</v>
      </c>
      <c r="BD71" s="100">
        <v>13</v>
      </c>
      <c r="BE71" s="100">
        <v>7332</v>
      </c>
      <c r="BF71" s="100">
        <v>9</v>
      </c>
      <c r="BG71" s="100">
        <v>5076</v>
      </c>
      <c r="BH71" s="100">
        <v>13</v>
      </c>
      <c r="BI71" s="100">
        <v>7332</v>
      </c>
      <c r="BJ71" s="100">
        <v>2.0793100193982466</v>
      </c>
      <c r="BK71" s="100">
        <v>1172.7308509406112</v>
      </c>
      <c r="BL71" s="100">
        <v>12</v>
      </c>
      <c r="BM71" s="100">
        <v>6768</v>
      </c>
      <c r="BN71" s="100">
        <v>9.2210308713439399</v>
      </c>
      <c r="BO71" s="100">
        <v>5200.6614114379818</v>
      </c>
      <c r="BP71" s="100">
        <v>11</v>
      </c>
      <c r="BQ71" s="100">
        <v>6204</v>
      </c>
      <c r="BR71" s="100">
        <v>12</v>
      </c>
      <c r="BS71" s="100">
        <v>6768</v>
      </c>
      <c r="BT71" s="100">
        <v>11</v>
      </c>
      <c r="BU71" s="100">
        <v>6204</v>
      </c>
      <c r="BV71" s="100">
        <v>2.4967967258717376</v>
      </c>
      <c r="BW71" s="100">
        <v>1408.1933533916599</v>
      </c>
      <c r="BX71" s="100">
        <v>11</v>
      </c>
      <c r="BY71" s="100">
        <v>6204</v>
      </c>
      <c r="BZ71" s="100">
        <v>9.5315023059047324</v>
      </c>
      <c r="CA71" s="100">
        <v>5375.7673005302695</v>
      </c>
      <c r="CB71" s="100">
        <v>8</v>
      </c>
      <c r="CC71" s="100">
        <v>4512</v>
      </c>
      <c r="CD71" s="100">
        <v>8</v>
      </c>
      <c r="CE71" s="100">
        <v>4512</v>
      </c>
      <c r="CF71" s="100">
        <v>10</v>
      </c>
      <c r="CG71" s="100">
        <v>5640</v>
      </c>
      <c r="CH71" s="100">
        <v>8</v>
      </c>
      <c r="CI71" s="100">
        <v>4512</v>
      </c>
      <c r="CJ71" s="100">
        <v>14</v>
      </c>
      <c r="CK71" s="100">
        <v>7896</v>
      </c>
      <c r="CL71" s="100">
        <v>10</v>
      </c>
      <c r="CM71" s="100">
        <v>5640</v>
      </c>
      <c r="CN71" s="100">
        <v>5.7573346486773795</v>
      </c>
      <c r="CO71" s="100">
        <v>3247.1367418540422</v>
      </c>
      <c r="CP71" s="100">
        <v>8.9098630612310536</v>
      </c>
      <c r="CQ71" s="100">
        <v>5025.162766534314</v>
      </c>
      <c r="CR71" s="100">
        <v>10.132608204041322</v>
      </c>
      <c r="CS71" s="100">
        <v>5714.7910270793054</v>
      </c>
      <c r="CT71" s="100">
        <v>8.2149976475636173</v>
      </c>
      <c r="CU71" s="100">
        <v>4633.2586732258806</v>
      </c>
    </row>
    <row r="72" spans="2:99">
      <c r="C72" s="99" t="s">
        <v>238</v>
      </c>
      <c r="D72" s="100">
        <v>12.208881410568443</v>
      </c>
      <c r="E72" s="100">
        <v>908.34077694629207</v>
      </c>
      <c r="F72" s="100">
        <v>9</v>
      </c>
      <c r="G72" s="100">
        <v>669.59999999999991</v>
      </c>
      <c r="H72" s="100">
        <v>9.0737806686081139</v>
      </c>
      <c r="I72" s="100">
        <v>675.08928174444361</v>
      </c>
      <c r="J72" s="100">
        <v>5.6288252623542707</v>
      </c>
      <c r="K72" s="100">
        <v>418.78459951915767</v>
      </c>
      <c r="L72" s="100">
        <v>11</v>
      </c>
      <c r="M72" s="100">
        <v>818.39999999999986</v>
      </c>
      <c r="N72" s="100">
        <v>8</v>
      </c>
      <c r="O72" s="100">
        <v>595.19999999999993</v>
      </c>
      <c r="P72" s="100">
        <v>10</v>
      </c>
      <c r="Q72" s="100">
        <v>743.99999999999989</v>
      </c>
      <c r="R72" s="100">
        <v>10</v>
      </c>
      <c r="S72" s="100">
        <v>743.99999999999989</v>
      </c>
      <c r="T72" s="100">
        <v>8</v>
      </c>
      <c r="U72" s="100">
        <v>595.19999999999993</v>
      </c>
      <c r="V72" s="100">
        <v>10</v>
      </c>
      <c r="W72" s="100">
        <v>743.99999999999989</v>
      </c>
      <c r="X72" s="100">
        <v>9</v>
      </c>
      <c r="Y72" s="100">
        <v>669.59999999999991</v>
      </c>
      <c r="Z72" s="100">
        <v>10</v>
      </c>
      <c r="AA72" s="100">
        <v>743.99999999999989</v>
      </c>
      <c r="AB72" s="100">
        <v>16</v>
      </c>
      <c r="AC72" s="100">
        <v>1190.3999999999999</v>
      </c>
      <c r="AD72" s="100">
        <v>11</v>
      </c>
      <c r="AE72" s="100">
        <v>818.39999999999986</v>
      </c>
      <c r="AF72" s="100">
        <v>1.9855810920871251</v>
      </c>
      <c r="AG72" s="100">
        <v>147.72723325128209</v>
      </c>
      <c r="AH72" s="100">
        <v>2.6831506669869092</v>
      </c>
      <c r="AI72" s="100">
        <v>199.62640962382602</v>
      </c>
      <c r="AJ72" s="100">
        <v>2.3569637231571279</v>
      </c>
      <c r="AK72" s="100">
        <v>175.35810100289029</v>
      </c>
      <c r="AL72" s="100">
        <v>1.4577117056466191</v>
      </c>
      <c r="AM72" s="100">
        <v>108.45375090010845</v>
      </c>
      <c r="AN72" s="100">
        <v>8.6495099198314431</v>
      </c>
      <c r="AO72" s="100">
        <v>643.5235380354593</v>
      </c>
      <c r="AP72" s="100">
        <v>1.4154591924394702</v>
      </c>
      <c r="AQ72" s="100">
        <v>105.31016391749657</v>
      </c>
      <c r="AR72" s="100">
        <v>9</v>
      </c>
      <c r="AS72" s="100">
        <v>669.59999999999991</v>
      </c>
      <c r="AT72" s="100">
        <v>10</v>
      </c>
      <c r="AU72" s="100">
        <v>743.99999999999989</v>
      </c>
      <c r="AV72" s="100">
        <v>8</v>
      </c>
      <c r="AW72" s="100">
        <v>595.19999999999993</v>
      </c>
      <c r="AX72" s="100">
        <v>12</v>
      </c>
      <c r="AY72" s="100">
        <v>892.8</v>
      </c>
      <c r="AZ72" s="100">
        <v>10.641946914341943</v>
      </c>
      <c r="BA72" s="100">
        <v>791.76085042704051</v>
      </c>
      <c r="BB72" s="100">
        <v>1.2074178001441089</v>
      </c>
      <c r="BC72" s="100">
        <v>89.831884330721692</v>
      </c>
      <c r="BD72" s="100">
        <v>13</v>
      </c>
      <c r="BE72" s="100">
        <v>967.19999999999993</v>
      </c>
      <c r="BF72" s="100">
        <v>10</v>
      </c>
      <c r="BG72" s="100">
        <v>743.99999999999989</v>
      </c>
      <c r="BH72" s="100">
        <v>14</v>
      </c>
      <c r="BI72" s="100">
        <v>1041.5999999999999</v>
      </c>
      <c r="BJ72" s="100">
        <v>1.8482755727984417</v>
      </c>
      <c r="BK72" s="100">
        <v>137.51170261620405</v>
      </c>
      <c r="BL72" s="100">
        <v>10</v>
      </c>
      <c r="BM72" s="100">
        <v>743.99999999999989</v>
      </c>
      <c r="BN72" s="100">
        <v>9.2210308713439399</v>
      </c>
      <c r="BO72" s="100">
        <v>686.04469682798901</v>
      </c>
      <c r="BP72" s="100">
        <v>12</v>
      </c>
      <c r="BQ72" s="100">
        <v>892.8</v>
      </c>
      <c r="BR72" s="100">
        <v>12</v>
      </c>
      <c r="BS72" s="100">
        <v>892.8</v>
      </c>
      <c r="BT72" s="100">
        <v>10</v>
      </c>
      <c r="BU72" s="100">
        <v>743.99999999999989</v>
      </c>
      <c r="BV72" s="100">
        <v>2.6751393491482904</v>
      </c>
      <c r="BW72" s="100">
        <v>199.03036757663278</v>
      </c>
      <c r="BX72" s="100">
        <v>11</v>
      </c>
      <c r="BY72" s="100">
        <v>818.39999999999986</v>
      </c>
      <c r="BZ72" s="100">
        <v>9.5315023059047324</v>
      </c>
      <c r="CA72" s="100">
        <v>709.14377155931197</v>
      </c>
      <c r="CB72" s="100">
        <v>8</v>
      </c>
      <c r="CC72" s="100">
        <v>595.19999999999993</v>
      </c>
      <c r="CD72" s="100">
        <v>9</v>
      </c>
      <c r="CE72" s="100">
        <v>669.59999999999991</v>
      </c>
      <c r="CF72" s="100">
        <v>11</v>
      </c>
      <c r="CG72" s="100">
        <v>818.39999999999986</v>
      </c>
      <c r="CH72" s="100">
        <v>9</v>
      </c>
      <c r="CI72" s="100">
        <v>669.59999999999991</v>
      </c>
      <c r="CJ72" s="100">
        <v>14</v>
      </c>
      <c r="CK72" s="100">
        <v>1041.5999999999999</v>
      </c>
      <c r="CL72" s="100">
        <v>12</v>
      </c>
      <c r="CM72" s="100">
        <v>892.8</v>
      </c>
      <c r="CN72" s="100">
        <v>6.6430784407815917</v>
      </c>
      <c r="CO72" s="100">
        <v>494.24503599415038</v>
      </c>
      <c r="CP72" s="100">
        <v>8.9098630612310536</v>
      </c>
      <c r="CQ72" s="100">
        <v>662.89381175559026</v>
      </c>
      <c r="CR72" s="100">
        <v>9.408850475181227</v>
      </c>
      <c r="CS72" s="100">
        <v>700.01847535348315</v>
      </c>
      <c r="CT72" s="100">
        <v>8.9618156155239443</v>
      </c>
      <c r="CU72" s="100">
        <v>666.7590817949814</v>
      </c>
    </row>
    <row r="73" spans="2:99">
      <c r="C73" s="99" t="s">
        <v>239</v>
      </c>
      <c r="D73" s="100">
        <v>12.208881410568443</v>
      </c>
      <c r="E73" s="100">
        <v>6827.2064847898728</v>
      </c>
      <c r="F73" s="100">
        <v>9</v>
      </c>
      <c r="G73" s="100">
        <v>5032.7999999999993</v>
      </c>
      <c r="H73" s="100">
        <v>7.7775262873783833</v>
      </c>
      <c r="I73" s="100">
        <v>4349.1926999019915</v>
      </c>
      <c r="J73" s="100">
        <v>4.7628521450689982</v>
      </c>
      <c r="K73" s="100">
        <v>2663.3869195225834</v>
      </c>
      <c r="L73" s="100">
        <v>11</v>
      </c>
      <c r="M73" s="100">
        <v>6151.1999999999989</v>
      </c>
      <c r="N73" s="100">
        <v>7</v>
      </c>
      <c r="O73" s="100">
        <v>3914.3999999999996</v>
      </c>
      <c r="P73" s="100">
        <v>9</v>
      </c>
      <c r="Q73" s="100">
        <v>5032.7999999999993</v>
      </c>
      <c r="R73" s="100">
        <v>11</v>
      </c>
      <c r="S73" s="100">
        <v>6151.1999999999989</v>
      </c>
      <c r="T73" s="100">
        <v>8</v>
      </c>
      <c r="U73" s="100">
        <v>4473.5999999999995</v>
      </c>
      <c r="V73" s="100">
        <v>11</v>
      </c>
      <c r="W73" s="100">
        <v>6151.1999999999989</v>
      </c>
      <c r="X73" s="100">
        <v>8</v>
      </c>
      <c r="Y73" s="100">
        <v>4473.5999999999995</v>
      </c>
      <c r="Z73" s="100">
        <v>11</v>
      </c>
      <c r="AA73" s="100">
        <v>6151.1999999999989</v>
      </c>
      <c r="AB73" s="100">
        <v>13</v>
      </c>
      <c r="AC73" s="100">
        <v>7269.5999999999995</v>
      </c>
      <c r="AD73" s="100">
        <v>9</v>
      </c>
      <c r="AE73" s="100">
        <v>5032.7999999999993</v>
      </c>
      <c r="AF73" s="100">
        <v>1.9855810920871251</v>
      </c>
      <c r="AG73" s="100">
        <v>1110.3369466951201</v>
      </c>
      <c r="AH73" s="100">
        <v>2.6831506669869092</v>
      </c>
      <c r="AI73" s="100">
        <v>1500.4178529790795</v>
      </c>
      <c r="AJ73" s="100">
        <v>2.3569637231571279</v>
      </c>
      <c r="AK73" s="100">
        <v>1318.0141139894658</v>
      </c>
      <c r="AL73" s="100">
        <v>1.23344836631637</v>
      </c>
      <c r="AM73" s="100">
        <v>689.74432644411399</v>
      </c>
      <c r="AN73" s="100">
        <v>9.314856836741555</v>
      </c>
      <c r="AO73" s="100">
        <v>5208.8679431058772</v>
      </c>
      <c r="AP73" s="100">
        <v>1.3065777160979724</v>
      </c>
      <c r="AQ73" s="100">
        <v>730.63825884198604</v>
      </c>
      <c r="AR73" s="100">
        <v>9</v>
      </c>
      <c r="AS73" s="100">
        <v>5032.7999999999993</v>
      </c>
      <c r="AT73" s="100">
        <v>10</v>
      </c>
      <c r="AU73" s="100">
        <v>5591.9999999999991</v>
      </c>
      <c r="AV73" s="100">
        <v>7</v>
      </c>
      <c r="AW73" s="100">
        <v>3914.3999999999996</v>
      </c>
      <c r="AX73" s="100">
        <v>13</v>
      </c>
      <c r="AY73" s="100">
        <v>7269.5999999999995</v>
      </c>
      <c r="AZ73" s="100">
        <v>10.641946914341943</v>
      </c>
      <c r="BA73" s="100">
        <v>5950.9767145000142</v>
      </c>
      <c r="BB73" s="100">
        <v>1.2074178001441089</v>
      </c>
      <c r="BC73" s="100">
        <v>675.1880338405856</v>
      </c>
      <c r="BD73" s="100">
        <v>14</v>
      </c>
      <c r="BE73" s="100">
        <v>7828.7999999999993</v>
      </c>
      <c r="BF73" s="100">
        <v>9</v>
      </c>
      <c r="BG73" s="100">
        <v>5032.7999999999993</v>
      </c>
      <c r="BH73" s="100">
        <v>12</v>
      </c>
      <c r="BI73" s="100">
        <v>6710.4</v>
      </c>
      <c r="BJ73" s="100">
        <v>2.0793100193982466</v>
      </c>
      <c r="BK73" s="100">
        <v>1162.7501628474993</v>
      </c>
      <c r="BL73" s="100">
        <v>11</v>
      </c>
      <c r="BM73" s="100">
        <v>6151.1999999999989</v>
      </c>
      <c r="BN73" s="100">
        <v>9.2210308713439399</v>
      </c>
      <c r="BO73" s="100">
        <v>5156.4004632555307</v>
      </c>
      <c r="BP73" s="100">
        <v>11</v>
      </c>
      <c r="BQ73" s="100">
        <v>6151.1999999999989</v>
      </c>
      <c r="BR73" s="100">
        <v>11</v>
      </c>
      <c r="BS73" s="100">
        <v>6151.1999999999989</v>
      </c>
      <c r="BT73" s="100">
        <v>11</v>
      </c>
      <c r="BU73" s="100">
        <v>6151.1999999999989</v>
      </c>
      <c r="BV73" s="100">
        <v>2.6751393491482904</v>
      </c>
      <c r="BW73" s="100">
        <v>1495.9379240437238</v>
      </c>
      <c r="BX73" s="100">
        <v>12</v>
      </c>
      <c r="BY73" s="100">
        <v>6710.4</v>
      </c>
      <c r="BZ73" s="100">
        <v>8.6650020962770302</v>
      </c>
      <c r="CA73" s="100">
        <v>4845.4691722381149</v>
      </c>
      <c r="CB73" s="100">
        <v>8</v>
      </c>
      <c r="CC73" s="100">
        <v>4473.5999999999995</v>
      </c>
      <c r="CD73" s="100">
        <v>9</v>
      </c>
      <c r="CE73" s="100">
        <v>5032.7999999999993</v>
      </c>
      <c r="CF73" s="100">
        <v>10</v>
      </c>
      <c r="CG73" s="100">
        <v>5591.9999999999991</v>
      </c>
      <c r="CH73" s="100">
        <v>7</v>
      </c>
      <c r="CI73" s="100">
        <v>3914.3999999999996</v>
      </c>
      <c r="CJ73" s="100">
        <v>15</v>
      </c>
      <c r="CK73" s="100">
        <v>8387.9999999999982</v>
      </c>
      <c r="CL73" s="100">
        <v>10</v>
      </c>
      <c r="CM73" s="100">
        <v>5591.9999999999991</v>
      </c>
      <c r="CN73" s="100">
        <v>6.6430784407815917</v>
      </c>
      <c r="CO73" s="100">
        <v>3714.8094640850654</v>
      </c>
      <c r="CP73" s="100">
        <v>8.27344427114312</v>
      </c>
      <c r="CQ73" s="100">
        <v>4626.5100364232321</v>
      </c>
      <c r="CR73" s="100">
        <v>8.685092746321132</v>
      </c>
      <c r="CS73" s="100">
        <v>4856.7038637427768</v>
      </c>
      <c r="CT73" s="100">
        <v>8.2149976475636173</v>
      </c>
      <c r="CU73" s="100">
        <v>4593.826684517574</v>
      </c>
    </row>
    <row r="74" spans="2:99">
      <c r="C74" s="99" t="s">
        <v>240</v>
      </c>
      <c r="D74" s="100">
        <v>13.148026134458323</v>
      </c>
      <c r="E74" s="100">
        <v>5301.284137413596</v>
      </c>
      <c r="F74" s="100">
        <v>9</v>
      </c>
      <c r="G74" s="100">
        <v>3628.7999999999997</v>
      </c>
      <c r="H74" s="100">
        <v>8.425653477993249</v>
      </c>
      <c r="I74" s="100">
        <v>3397.2234823268777</v>
      </c>
      <c r="J74" s="100">
        <v>4.7628521450689982</v>
      </c>
      <c r="K74" s="100">
        <v>1920.3819848918201</v>
      </c>
      <c r="L74" s="100">
        <v>11</v>
      </c>
      <c r="M74" s="100">
        <v>4435.2</v>
      </c>
      <c r="N74" s="100">
        <v>8</v>
      </c>
      <c r="O74" s="100">
        <v>3225.6</v>
      </c>
      <c r="P74" s="100">
        <v>9</v>
      </c>
      <c r="Q74" s="100">
        <v>3628.7999999999997</v>
      </c>
      <c r="R74" s="100">
        <v>10</v>
      </c>
      <c r="S74" s="100">
        <v>4032</v>
      </c>
      <c r="T74" s="100">
        <v>7</v>
      </c>
      <c r="U74" s="100">
        <v>2822.4</v>
      </c>
      <c r="V74" s="100">
        <v>11</v>
      </c>
      <c r="W74" s="100">
        <v>4435.2</v>
      </c>
      <c r="X74" s="100">
        <v>9</v>
      </c>
      <c r="Y74" s="100">
        <v>3628.7999999999997</v>
      </c>
      <c r="Z74" s="100">
        <v>10</v>
      </c>
      <c r="AA74" s="100">
        <v>4032</v>
      </c>
      <c r="AB74" s="100">
        <v>14</v>
      </c>
      <c r="AC74" s="100">
        <v>5644.8</v>
      </c>
      <c r="AD74" s="100">
        <v>10</v>
      </c>
      <c r="AE74" s="100">
        <v>4032</v>
      </c>
      <c r="AF74" s="100">
        <v>1.9855810920871251</v>
      </c>
      <c r="AG74" s="100">
        <v>800.58629632952886</v>
      </c>
      <c r="AH74" s="100">
        <v>2.6831506669869092</v>
      </c>
      <c r="AI74" s="100">
        <v>1081.8463489291219</v>
      </c>
      <c r="AJ74" s="100">
        <v>2.651584188551769</v>
      </c>
      <c r="AK74" s="100">
        <v>1069.1187448240732</v>
      </c>
      <c r="AL74" s="100">
        <v>1.23344836631637</v>
      </c>
      <c r="AM74" s="100">
        <v>497.3263812987604</v>
      </c>
      <c r="AN74" s="100">
        <v>9.314856836741555</v>
      </c>
      <c r="AO74" s="100">
        <v>3755.7502765741947</v>
      </c>
      <c r="AP74" s="100">
        <v>1.4154591924394702</v>
      </c>
      <c r="AQ74" s="100">
        <v>570.71314639159436</v>
      </c>
      <c r="AR74" s="100">
        <v>8</v>
      </c>
      <c r="AS74" s="100">
        <v>3225.6</v>
      </c>
      <c r="AT74" s="100">
        <v>9</v>
      </c>
      <c r="AU74" s="100">
        <v>3628.7999999999997</v>
      </c>
      <c r="AV74" s="100">
        <v>7</v>
      </c>
      <c r="AW74" s="100">
        <v>2822.4</v>
      </c>
      <c r="AX74" s="100">
        <v>13</v>
      </c>
      <c r="AY74" s="100">
        <v>5241.5999999999995</v>
      </c>
      <c r="AZ74" s="100">
        <v>9.8818078490318051</v>
      </c>
      <c r="BA74" s="100">
        <v>3984.3449247296239</v>
      </c>
      <c r="BB74" s="100">
        <v>1.3415753334934544</v>
      </c>
      <c r="BC74" s="100">
        <v>540.92317446456082</v>
      </c>
      <c r="BD74" s="100">
        <v>14</v>
      </c>
      <c r="BE74" s="100">
        <v>5644.8</v>
      </c>
      <c r="BF74" s="100">
        <v>10</v>
      </c>
      <c r="BG74" s="100">
        <v>4032</v>
      </c>
      <c r="BH74" s="100">
        <v>13</v>
      </c>
      <c r="BI74" s="100">
        <v>5241.5999999999995</v>
      </c>
      <c r="BJ74" s="100">
        <v>2.0793100193982466</v>
      </c>
      <c r="BK74" s="100">
        <v>838.37779982137295</v>
      </c>
      <c r="BL74" s="100">
        <v>12</v>
      </c>
      <c r="BM74" s="100">
        <v>4838.3999999999996</v>
      </c>
      <c r="BN74" s="100">
        <v>9.2210308713439399</v>
      </c>
      <c r="BO74" s="100">
        <v>3717.9196473258767</v>
      </c>
      <c r="BP74" s="100">
        <v>12</v>
      </c>
      <c r="BQ74" s="100">
        <v>4838.3999999999996</v>
      </c>
      <c r="BR74" s="100">
        <v>13</v>
      </c>
      <c r="BS74" s="100">
        <v>5241.5999999999995</v>
      </c>
      <c r="BT74" s="100">
        <v>11</v>
      </c>
      <c r="BU74" s="100">
        <v>4435.2</v>
      </c>
      <c r="BV74" s="100">
        <v>2.6751393491482904</v>
      </c>
      <c r="BW74" s="100">
        <v>1078.6161855765906</v>
      </c>
      <c r="BX74" s="100">
        <v>10</v>
      </c>
      <c r="BY74" s="100">
        <v>4032</v>
      </c>
      <c r="BZ74" s="100">
        <v>10.398002515532436</v>
      </c>
      <c r="CA74" s="100">
        <v>4192.4746142626782</v>
      </c>
      <c r="CB74" s="100">
        <v>8</v>
      </c>
      <c r="CC74" s="100">
        <v>3225.6</v>
      </c>
      <c r="CD74" s="100">
        <v>8</v>
      </c>
      <c r="CE74" s="100">
        <v>3225.6</v>
      </c>
      <c r="CF74" s="100">
        <v>10</v>
      </c>
      <c r="CG74" s="100">
        <v>4032</v>
      </c>
      <c r="CH74" s="100">
        <v>8</v>
      </c>
      <c r="CI74" s="100">
        <v>3225.6</v>
      </c>
      <c r="CJ74" s="100">
        <v>15</v>
      </c>
      <c r="CK74" s="100">
        <v>6048</v>
      </c>
      <c r="CL74" s="100">
        <v>11</v>
      </c>
      <c r="CM74" s="100">
        <v>4435.2</v>
      </c>
      <c r="CN74" s="100">
        <v>6.2002065447294861</v>
      </c>
      <c r="CO74" s="100">
        <v>2499.9232788349286</v>
      </c>
      <c r="CP74" s="100">
        <v>8.27344427114312</v>
      </c>
      <c r="CQ74" s="100">
        <v>3335.852730124906</v>
      </c>
      <c r="CR74" s="100">
        <v>10.856365932901415</v>
      </c>
      <c r="CS74" s="100">
        <v>4377.2867441458502</v>
      </c>
      <c r="CT74" s="100">
        <v>7.4681796796032875</v>
      </c>
      <c r="CU74" s="100">
        <v>3011.1700468160457</v>
      </c>
    </row>
    <row r="75" spans="2:99">
      <c r="C75" s="99" t="s">
        <v>241</v>
      </c>
      <c r="D75" s="100">
        <v>11.269736686678563</v>
      </c>
      <c r="E75" s="100">
        <v>7248.6946368716508</v>
      </c>
      <c r="F75" s="100">
        <v>10</v>
      </c>
      <c r="G75" s="100">
        <v>6431.9999999999991</v>
      </c>
      <c r="H75" s="100">
        <v>8.425653477993249</v>
      </c>
      <c r="I75" s="100">
        <v>5419.3803170452575</v>
      </c>
      <c r="J75" s="100">
        <v>5.195838703711634</v>
      </c>
      <c r="K75" s="100">
        <v>3341.9634542273225</v>
      </c>
      <c r="L75" s="100">
        <v>12</v>
      </c>
      <c r="M75" s="100">
        <v>7718.4</v>
      </c>
      <c r="N75" s="100">
        <v>7</v>
      </c>
      <c r="O75" s="100">
        <v>4502.3999999999996</v>
      </c>
      <c r="P75" s="100">
        <v>9</v>
      </c>
      <c r="Q75" s="100">
        <v>5788.7999999999993</v>
      </c>
      <c r="R75" s="100">
        <v>11</v>
      </c>
      <c r="S75" s="100">
        <v>7075.1999999999989</v>
      </c>
      <c r="T75" s="100">
        <v>7</v>
      </c>
      <c r="U75" s="100">
        <v>4502.3999999999996</v>
      </c>
      <c r="V75" s="100">
        <v>12</v>
      </c>
      <c r="W75" s="100">
        <v>7718.4</v>
      </c>
      <c r="X75" s="100">
        <v>8</v>
      </c>
      <c r="Y75" s="100">
        <v>5145.5999999999995</v>
      </c>
      <c r="Z75" s="100">
        <v>11</v>
      </c>
      <c r="AA75" s="100">
        <v>7075.1999999999989</v>
      </c>
      <c r="AB75" s="100">
        <v>14</v>
      </c>
      <c r="AC75" s="100">
        <v>9004.7999999999993</v>
      </c>
      <c r="AD75" s="100">
        <v>10</v>
      </c>
      <c r="AE75" s="100">
        <v>6431.9999999999991</v>
      </c>
      <c r="AF75" s="100">
        <v>1.8437538712237589</v>
      </c>
      <c r="AG75" s="100">
        <v>1185.9024899711217</v>
      </c>
      <c r="AH75" s="100">
        <v>2.6831506669869092</v>
      </c>
      <c r="AI75" s="100">
        <v>1725.8025090059798</v>
      </c>
      <c r="AJ75" s="100">
        <v>2.651584188551769</v>
      </c>
      <c r="AK75" s="100">
        <v>1705.4989500764977</v>
      </c>
      <c r="AL75" s="100">
        <v>1.3455800359814947</v>
      </c>
      <c r="AM75" s="100">
        <v>865.47707914329726</v>
      </c>
      <c r="AN75" s="100">
        <v>8.6495099198314431</v>
      </c>
      <c r="AO75" s="100">
        <v>5563.3647804355833</v>
      </c>
      <c r="AP75" s="100">
        <v>1.3065777160979724</v>
      </c>
      <c r="AQ75" s="100">
        <v>840.39078699421577</v>
      </c>
      <c r="AR75" s="100">
        <v>9</v>
      </c>
      <c r="AS75" s="100">
        <v>5788.7999999999993</v>
      </c>
      <c r="AT75" s="100">
        <v>10</v>
      </c>
      <c r="AU75" s="100">
        <v>6431.9999999999991</v>
      </c>
      <c r="AV75" s="100">
        <v>8</v>
      </c>
      <c r="AW75" s="100">
        <v>5145.5999999999995</v>
      </c>
      <c r="AX75" s="100">
        <v>13</v>
      </c>
      <c r="AY75" s="100">
        <v>8361.5999999999985</v>
      </c>
      <c r="AZ75" s="100">
        <v>9.8818078490318051</v>
      </c>
      <c r="BA75" s="100">
        <v>6355.9788084972561</v>
      </c>
      <c r="BB75" s="100">
        <v>1.3415753334934544</v>
      </c>
      <c r="BC75" s="100">
        <v>862.90125450298979</v>
      </c>
      <c r="BD75" s="100">
        <v>14</v>
      </c>
      <c r="BE75" s="100">
        <v>9004.7999999999993</v>
      </c>
      <c r="BF75" s="100">
        <v>10</v>
      </c>
      <c r="BG75" s="100">
        <v>6431.9999999999991</v>
      </c>
      <c r="BH75" s="100">
        <v>12</v>
      </c>
      <c r="BI75" s="100">
        <v>7718.4</v>
      </c>
      <c r="BJ75" s="100">
        <v>1.8482755727984417</v>
      </c>
      <c r="BK75" s="100">
        <v>1188.8108484239576</v>
      </c>
      <c r="BL75" s="100">
        <v>11</v>
      </c>
      <c r="BM75" s="100">
        <v>7075.1999999999989</v>
      </c>
      <c r="BN75" s="100">
        <v>8.4526116320652793</v>
      </c>
      <c r="BO75" s="100">
        <v>5436.719801744387</v>
      </c>
      <c r="BP75" s="100">
        <v>12</v>
      </c>
      <c r="BQ75" s="100">
        <v>7718.4</v>
      </c>
      <c r="BR75" s="100">
        <v>12</v>
      </c>
      <c r="BS75" s="100">
        <v>7718.4</v>
      </c>
      <c r="BT75" s="100">
        <v>12</v>
      </c>
      <c r="BU75" s="100">
        <v>7718.4</v>
      </c>
      <c r="BV75" s="100">
        <v>2.8534819724248428</v>
      </c>
      <c r="BW75" s="100">
        <v>1835.3596046636587</v>
      </c>
      <c r="BX75" s="100">
        <v>12</v>
      </c>
      <c r="BY75" s="100">
        <v>7718.4</v>
      </c>
      <c r="BZ75" s="100">
        <v>9.5315023059047324</v>
      </c>
      <c r="CA75" s="100">
        <v>6130.6622831579234</v>
      </c>
      <c r="CB75" s="100">
        <v>8</v>
      </c>
      <c r="CC75" s="100">
        <v>5145.5999999999995</v>
      </c>
      <c r="CD75" s="100">
        <v>8</v>
      </c>
      <c r="CE75" s="100">
        <v>5145.5999999999995</v>
      </c>
      <c r="CF75" s="100">
        <v>11</v>
      </c>
      <c r="CG75" s="100">
        <v>7075.1999999999989</v>
      </c>
      <c r="CH75" s="100">
        <v>8</v>
      </c>
      <c r="CI75" s="100">
        <v>5145.5999999999995</v>
      </c>
      <c r="CJ75" s="100">
        <v>14</v>
      </c>
      <c r="CK75" s="100">
        <v>9004.7999999999993</v>
      </c>
      <c r="CL75" s="100">
        <v>11</v>
      </c>
      <c r="CM75" s="100">
        <v>7075.1999999999989</v>
      </c>
      <c r="CN75" s="100">
        <v>5.7573346486773795</v>
      </c>
      <c r="CO75" s="100">
        <v>3703.11764602929</v>
      </c>
      <c r="CP75" s="100">
        <v>8.9098630612310536</v>
      </c>
      <c r="CQ75" s="100">
        <v>5730.823920983813</v>
      </c>
      <c r="CR75" s="100">
        <v>9.408850475181227</v>
      </c>
      <c r="CS75" s="100">
        <v>6051.772625636565</v>
      </c>
      <c r="CT75" s="100">
        <v>8.2149976475636173</v>
      </c>
      <c r="CU75" s="100">
        <v>5283.8864869129184</v>
      </c>
    </row>
    <row r="76" spans="2:99">
      <c r="C76" s="99" t="s">
        <v>242</v>
      </c>
      <c r="D76" s="100">
        <v>11.269736686678563</v>
      </c>
      <c r="E76" s="100">
        <v>8776.8709315852648</v>
      </c>
      <c r="F76" s="100">
        <v>8</v>
      </c>
      <c r="G76" s="100">
        <v>6230.4</v>
      </c>
      <c r="H76" s="100">
        <v>7.7775262873783833</v>
      </c>
      <c r="I76" s="100">
        <v>6057.1374726102849</v>
      </c>
      <c r="J76" s="100">
        <v>4.7628521450689982</v>
      </c>
      <c r="K76" s="100">
        <v>3709.3092505797358</v>
      </c>
      <c r="L76" s="100">
        <v>11</v>
      </c>
      <c r="M76" s="100">
        <v>8566.7999999999993</v>
      </c>
      <c r="N76" s="100">
        <v>8</v>
      </c>
      <c r="O76" s="100">
        <v>6230.4</v>
      </c>
      <c r="P76" s="100">
        <v>11</v>
      </c>
      <c r="Q76" s="100">
        <v>8566.7999999999993</v>
      </c>
      <c r="R76" s="100">
        <v>10</v>
      </c>
      <c r="S76" s="100">
        <v>7788</v>
      </c>
      <c r="T76" s="100">
        <v>7</v>
      </c>
      <c r="U76" s="100">
        <v>5451.5999999999995</v>
      </c>
      <c r="V76" s="100">
        <v>11</v>
      </c>
      <c r="W76" s="100">
        <v>8566.7999999999993</v>
      </c>
      <c r="X76" s="100">
        <v>9</v>
      </c>
      <c r="Y76" s="100">
        <v>7009.2</v>
      </c>
      <c r="Z76" s="100">
        <v>11</v>
      </c>
      <c r="AA76" s="100">
        <v>8566.7999999999993</v>
      </c>
      <c r="AB76" s="100">
        <v>14</v>
      </c>
      <c r="AC76" s="100">
        <v>10903.199999999999</v>
      </c>
      <c r="AD76" s="100">
        <v>10</v>
      </c>
      <c r="AE76" s="100">
        <v>7788</v>
      </c>
      <c r="AF76" s="100">
        <v>1.8437538712237589</v>
      </c>
      <c r="AG76" s="100">
        <v>1435.9155149090634</v>
      </c>
      <c r="AH76" s="100">
        <v>2.4148356002882183</v>
      </c>
      <c r="AI76" s="100">
        <v>1880.6739655044644</v>
      </c>
      <c r="AJ76" s="100">
        <v>2.3569637231571279</v>
      </c>
      <c r="AK76" s="100">
        <v>1835.6033475947711</v>
      </c>
      <c r="AL76" s="100">
        <v>1.3455800359814947</v>
      </c>
      <c r="AM76" s="100">
        <v>1047.937732022388</v>
      </c>
      <c r="AN76" s="100">
        <v>7.9841630029213331</v>
      </c>
      <c r="AO76" s="100">
        <v>6218.0661466751335</v>
      </c>
      <c r="AP76" s="100">
        <v>1.4154591924394702</v>
      </c>
      <c r="AQ76" s="100">
        <v>1102.3596190718592</v>
      </c>
      <c r="AR76" s="100">
        <v>8</v>
      </c>
      <c r="AS76" s="100">
        <v>6230.4</v>
      </c>
      <c r="AT76" s="100">
        <v>9</v>
      </c>
      <c r="AU76" s="100">
        <v>7009.2</v>
      </c>
      <c r="AV76" s="100">
        <v>8</v>
      </c>
      <c r="AW76" s="100">
        <v>6230.4</v>
      </c>
      <c r="AX76" s="100">
        <v>11</v>
      </c>
      <c r="AY76" s="100">
        <v>8566.7999999999993</v>
      </c>
      <c r="AZ76" s="100">
        <v>9.8818078490318051</v>
      </c>
      <c r="BA76" s="100">
        <v>7695.9519528259698</v>
      </c>
      <c r="BB76" s="100">
        <v>1.3415753334934544</v>
      </c>
      <c r="BC76" s="100">
        <v>1044.8188697247022</v>
      </c>
      <c r="BD76" s="100">
        <v>14</v>
      </c>
      <c r="BE76" s="100">
        <v>10903.199999999999</v>
      </c>
      <c r="BF76" s="100">
        <v>10</v>
      </c>
      <c r="BG76" s="100">
        <v>7788</v>
      </c>
      <c r="BH76" s="100">
        <v>13</v>
      </c>
      <c r="BI76" s="100">
        <v>10124.4</v>
      </c>
      <c r="BJ76" s="100">
        <v>2.0793100193982466</v>
      </c>
      <c r="BK76" s="100">
        <v>1619.3666431073543</v>
      </c>
      <c r="BL76" s="100">
        <v>11</v>
      </c>
      <c r="BM76" s="100">
        <v>8566.7999999999993</v>
      </c>
      <c r="BN76" s="100">
        <v>9.9894501106226024</v>
      </c>
      <c r="BO76" s="100">
        <v>7779.7837461528825</v>
      </c>
      <c r="BP76" s="100">
        <v>11</v>
      </c>
      <c r="BQ76" s="100">
        <v>8566.7999999999993</v>
      </c>
      <c r="BR76" s="100">
        <v>11</v>
      </c>
      <c r="BS76" s="100">
        <v>8566.7999999999993</v>
      </c>
      <c r="BT76" s="100">
        <v>11</v>
      </c>
      <c r="BU76" s="100">
        <v>8566.7999999999993</v>
      </c>
      <c r="BV76" s="100">
        <v>2.6751393491482904</v>
      </c>
      <c r="BW76" s="100">
        <v>2083.3985251166887</v>
      </c>
      <c r="BX76" s="100">
        <v>11</v>
      </c>
      <c r="BY76" s="100">
        <v>8566.7999999999993</v>
      </c>
      <c r="BZ76" s="100">
        <v>9.5315023059047324</v>
      </c>
      <c r="CA76" s="100">
        <v>7423.1339958386052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11</v>
      </c>
      <c r="CG76" s="100">
        <v>8566.7999999999993</v>
      </c>
      <c r="CH76" s="100">
        <v>8</v>
      </c>
      <c r="CI76" s="100">
        <v>6230.4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6.6430784407815917</v>
      </c>
      <c r="CO76" s="100">
        <v>5173.629489680703</v>
      </c>
      <c r="CP76" s="100">
        <v>8.9098630612310536</v>
      </c>
      <c r="CQ76" s="100">
        <v>6939.0013520867442</v>
      </c>
      <c r="CR76" s="100">
        <v>10.856365932901415</v>
      </c>
      <c r="CS76" s="100">
        <v>8454.9377885436224</v>
      </c>
      <c r="CT76" s="100">
        <v>8.2149976475636173</v>
      </c>
      <c r="CU76" s="100">
        <v>6397.8401679225444</v>
      </c>
    </row>
    <row r="77" spans="2:99">
      <c r="C77" s="99" t="s">
        <v>243</v>
      </c>
      <c r="D77" s="100">
        <v>12.208881410568443</v>
      </c>
      <c r="E77" s="100">
        <v>3398.9525847022542</v>
      </c>
      <c r="F77" s="100">
        <v>9</v>
      </c>
      <c r="G77" s="100">
        <v>2505.6</v>
      </c>
      <c r="H77" s="100">
        <v>9.0737806686081139</v>
      </c>
      <c r="I77" s="100">
        <v>2526.1405381404988</v>
      </c>
      <c r="J77" s="100">
        <v>4.7628521450689982</v>
      </c>
      <c r="K77" s="100">
        <v>1325.9780371872091</v>
      </c>
      <c r="L77" s="100">
        <v>12</v>
      </c>
      <c r="M77" s="100">
        <v>3340.7999999999997</v>
      </c>
      <c r="N77" s="100">
        <v>7</v>
      </c>
      <c r="O77" s="100">
        <v>1948.7999999999997</v>
      </c>
      <c r="P77" s="100">
        <v>11</v>
      </c>
      <c r="Q77" s="100">
        <v>3062.3999999999996</v>
      </c>
      <c r="R77" s="100">
        <v>11</v>
      </c>
      <c r="S77" s="100">
        <v>3062.3999999999996</v>
      </c>
      <c r="T77" s="100">
        <v>8</v>
      </c>
      <c r="U77" s="100">
        <v>2227.1999999999998</v>
      </c>
      <c r="V77" s="100">
        <v>12</v>
      </c>
      <c r="W77" s="100">
        <v>3340.7999999999997</v>
      </c>
      <c r="X77" s="100">
        <v>9</v>
      </c>
      <c r="Y77" s="100">
        <v>2505.6</v>
      </c>
      <c r="Z77" s="100">
        <v>11</v>
      </c>
      <c r="AA77" s="100">
        <v>3062.3999999999996</v>
      </c>
      <c r="AB77" s="100">
        <v>15</v>
      </c>
      <c r="AC77" s="100">
        <v>4176</v>
      </c>
      <c r="AD77" s="100">
        <v>10</v>
      </c>
      <c r="AE77" s="100">
        <v>2784</v>
      </c>
      <c r="AF77" s="100">
        <v>1.8437538712237589</v>
      </c>
      <c r="AG77" s="100">
        <v>513.30107774869441</v>
      </c>
      <c r="AH77" s="100">
        <v>2.6831506669869092</v>
      </c>
      <c r="AI77" s="100">
        <v>746.98914568915541</v>
      </c>
      <c r="AJ77" s="100">
        <v>2.3569637231571279</v>
      </c>
      <c r="AK77" s="100">
        <v>656.17870052694434</v>
      </c>
      <c r="AL77" s="100">
        <v>1.23344836631637</v>
      </c>
      <c r="AM77" s="100">
        <v>343.39202518247737</v>
      </c>
      <c r="AN77" s="100">
        <v>8.6495099198314431</v>
      </c>
      <c r="AO77" s="100">
        <v>2408.0235616810737</v>
      </c>
      <c r="AP77" s="100">
        <v>1.1976962397564748</v>
      </c>
      <c r="AQ77" s="100">
        <v>333.43863314820254</v>
      </c>
      <c r="AR77" s="100">
        <v>9</v>
      </c>
      <c r="AS77" s="100">
        <v>2505.6</v>
      </c>
      <c r="AT77" s="100">
        <v>9</v>
      </c>
      <c r="AU77" s="100">
        <v>2505.6</v>
      </c>
      <c r="AV77" s="100">
        <v>8</v>
      </c>
      <c r="AW77" s="100">
        <v>2227.1999999999998</v>
      </c>
      <c r="AX77" s="100">
        <v>12</v>
      </c>
      <c r="AY77" s="100">
        <v>3340.7999999999997</v>
      </c>
      <c r="AZ77" s="100">
        <v>10.641946914341943</v>
      </c>
      <c r="BA77" s="100">
        <v>2962.7180209527969</v>
      </c>
      <c r="BB77" s="100">
        <v>1.4757328668428</v>
      </c>
      <c r="BC77" s="100">
        <v>410.8440301290355</v>
      </c>
      <c r="BD77" s="100">
        <v>14</v>
      </c>
      <c r="BE77" s="100">
        <v>3897.5999999999995</v>
      </c>
      <c r="BF77" s="100">
        <v>9</v>
      </c>
      <c r="BG77" s="100">
        <v>2505.6</v>
      </c>
      <c r="BH77" s="100">
        <v>12</v>
      </c>
      <c r="BI77" s="100">
        <v>3340.7999999999997</v>
      </c>
      <c r="BJ77" s="100">
        <v>2.0793100193982466</v>
      </c>
      <c r="BK77" s="100">
        <v>578.87990940047177</v>
      </c>
      <c r="BL77" s="100">
        <v>10</v>
      </c>
      <c r="BM77" s="100">
        <v>2784</v>
      </c>
      <c r="BN77" s="100">
        <v>9.9894501106226024</v>
      </c>
      <c r="BO77" s="100">
        <v>2781.0629107973323</v>
      </c>
      <c r="BP77" s="100">
        <v>12</v>
      </c>
      <c r="BQ77" s="100">
        <v>3340.7999999999997</v>
      </c>
      <c r="BR77" s="100">
        <v>12</v>
      </c>
      <c r="BS77" s="100">
        <v>3340.7999999999997</v>
      </c>
      <c r="BT77" s="100">
        <v>11</v>
      </c>
      <c r="BU77" s="100">
        <v>3062.3999999999996</v>
      </c>
      <c r="BV77" s="100">
        <v>2.8534819724248428</v>
      </c>
      <c r="BW77" s="100">
        <v>794.40938112307617</v>
      </c>
      <c r="BX77" s="100">
        <v>11</v>
      </c>
      <c r="BY77" s="100">
        <v>3062.3999999999996</v>
      </c>
      <c r="BZ77" s="100">
        <v>9.5315023059047324</v>
      </c>
      <c r="CA77" s="100">
        <v>2653.5702419638774</v>
      </c>
      <c r="CB77" s="100">
        <v>9</v>
      </c>
      <c r="CC77" s="100">
        <v>2505.6</v>
      </c>
      <c r="CD77" s="100">
        <v>8</v>
      </c>
      <c r="CE77" s="100">
        <v>2227.1999999999998</v>
      </c>
      <c r="CF77" s="100">
        <v>11</v>
      </c>
      <c r="CG77" s="100">
        <v>3062.3999999999996</v>
      </c>
      <c r="CH77" s="100">
        <v>8</v>
      </c>
      <c r="CI77" s="100">
        <v>2227.1999999999998</v>
      </c>
      <c r="CJ77" s="100">
        <v>14</v>
      </c>
      <c r="CK77" s="100">
        <v>3897.5999999999995</v>
      </c>
      <c r="CL77" s="100">
        <v>11</v>
      </c>
      <c r="CM77" s="100">
        <v>3062.3999999999996</v>
      </c>
      <c r="CN77" s="100">
        <v>6.2002065447294861</v>
      </c>
      <c r="CO77" s="100">
        <v>1726.1375020526889</v>
      </c>
      <c r="CP77" s="100">
        <v>9.5462818513189855</v>
      </c>
      <c r="CQ77" s="100">
        <v>2657.6848674072053</v>
      </c>
      <c r="CR77" s="100">
        <v>9.408850475181227</v>
      </c>
      <c r="CS77" s="100">
        <v>2619.4239722904535</v>
      </c>
      <c r="CT77" s="100">
        <v>8.9618156155239443</v>
      </c>
      <c r="CU77" s="100">
        <v>2494.969467361866</v>
      </c>
    </row>
    <row r="78" spans="2:99">
      <c r="C78" s="99" t="s">
        <v>244</v>
      </c>
      <c r="D78" s="100">
        <v>13.148026134458323</v>
      </c>
      <c r="E78" s="100">
        <v>7257.7104262209941</v>
      </c>
      <c r="F78" s="100">
        <v>9</v>
      </c>
      <c r="G78" s="100">
        <v>4968</v>
      </c>
      <c r="H78" s="100">
        <v>8.425653477993249</v>
      </c>
      <c r="I78" s="100">
        <v>4650.9607198522735</v>
      </c>
      <c r="J78" s="100">
        <v>4.3298655864263615</v>
      </c>
      <c r="K78" s="100">
        <v>2390.0858037073517</v>
      </c>
      <c r="L78" s="100">
        <v>10</v>
      </c>
      <c r="M78" s="100">
        <v>5520</v>
      </c>
      <c r="N78" s="100">
        <v>8</v>
      </c>
      <c r="O78" s="100">
        <v>4416</v>
      </c>
      <c r="P78" s="100">
        <v>11</v>
      </c>
      <c r="Q78" s="100">
        <v>6072</v>
      </c>
      <c r="R78" s="100">
        <v>11</v>
      </c>
      <c r="S78" s="100">
        <v>6072</v>
      </c>
      <c r="T78" s="100">
        <v>8</v>
      </c>
      <c r="U78" s="100">
        <v>4416</v>
      </c>
      <c r="V78" s="100">
        <v>10</v>
      </c>
      <c r="W78" s="100">
        <v>5520</v>
      </c>
      <c r="X78" s="100">
        <v>9</v>
      </c>
      <c r="Y78" s="100">
        <v>4968</v>
      </c>
      <c r="Z78" s="100">
        <v>10</v>
      </c>
      <c r="AA78" s="100">
        <v>5520</v>
      </c>
      <c r="AB78" s="100">
        <v>15</v>
      </c>
      <c r="AC78" s="100">
        <v>8280</v>
      </c>
      <c r="AD78" s="100">
        <v>10</v>
      </c>
      <c r="AE78" s="100">
        <v>5520</v>
      </c>
      <c r="AF78" s="100">
        <v>1.8437538712237589</v>
      </c>
      <c r="AG78" s="100">
        <v>1017.7521369155149</v>
      </c>
      <c r="AH78" s="100">
        <v>2.4148356002882183</v>
      </c>
      <c r="AI78" s="100">
        <v>1332.9892513590964</v>
      </c>
      <c r="AJ78" s="100">
        <v>2.3569637231571279</v>
      </c>
      <c r="AK78" s="100">
        <v>1301.0439751827346</v>
      </c>
      <c r="AL78" s="100">
        <v>1.23344836631637</v>
      </c>
      <c r="AM78" s="100">
        <v>680.86349820663622</v>
      </c>
      <c r="AN78" s="100">
        <v>7.9841630029213331</v>
      </c>
      <c r="AO78" s="100">
        <v>4407.2579776125758</v>
      </c>
      <c r="AP78" s="100">
        <v>1.3065777160979724</v>
      </c>
      <c r="AQ78" s="100">
        <v>721.23089928608078</v>
      </c>
      <c r="AR78" s="100">
        <v>8</v>
      </c>
      <c r="AS78" s="100">
        <v>4416</v>
      </c>
      <c r="AT78" s="100">
        <v>10</v>
      </c>
      <c r="AU78" s="100">
        <v>5520</v>
      </c>
      <c r="AV78" s="100">
        <v>8</v>
      </c>
      <c r="AW78" s="100">
        <v>4416</v>
      </c>
      <c r="AX78" s="100">
        <v>13</v>
      </c>
      <c r="AY78" s="100">
        <v>7176</v>
      </c>
      <c r="AZ78" s="100">
        <v>9.8818078490318051</v>
      </c>
      <c r="BA78" s="100">
        <v>5454.7579326655568</v>
      </c>
      <c r="BB78" s="100">
        <v>1.3415753334934544</v>
      </c>
      <c r="BC78" s="100">
        <v>740.54958408838684</v>
      </c>
      <c r="BD78" s="100">
        <v>14</v>
      </c>
      <c r="BE78" s="100">
        <v>7728</v>
      </c>
      <c r="BF78" s="100">
        <v>9</v>
      </c>
      <c r="BG78" s="100">
        <v>4968</v>
      </c>
      <c r="BH78" s="100">
        <v>14</v>
      </c>
      <c r="BI78" s="100">
        <v>7728</v>
      </c>
      <c r="BJ78" s="100">
        <v>2.3103444659980519</v>
      </c>
      <c r="BK78" s="100">
        <v>1275.3101452309247</v>
      </c>
      <c r="BL78" s="100">
        <v>11</v>
      </c>
      <c r="BM78" s="100">
        <v>6072</v>
      </c>
      <c r="BN78" s="100">
        <v>9.9894501106226024</v>
      </c>
      <c r="BO78" s="100">
        <v>5514.1764610636765</v>
      </c>
      <c r="BP78" s="100">
        <v>11</v>
      </c>
      <c r="BQ78" s="100">
        <v>6072</v>
      </c>
      <c r="BR78" s="100">
        <v>12</v>
      </c>
      <c r="BS78" s="100">
        <v>6624</v>
      </c>
      <c r="BT78" s="100">
        <v>12</v>
      </c>
      <c r="BU78" s="100">
        <v>6624</v>
      </c>
      <c r="BV78" s="100">
        <v>2.8534819724248428</v>
      </c>
      <c r="BW78" s="100">
        <v>1575.1220487785133</v>
      </c>
      <c r="BX78" s="100">
        <v>10</v>
      </c>
      <c r="BY78" s="100">
        <v>5520</v>
      </c>
      <c r="BZ78" s="100">
        <v>8.6650020962770302</v>
      </c>
      <c r="CA78" s="100">
        <v>4783.0811571449203</v>
      </c>
      <c r="CB78" s="100">
        <v>9</v>
      </c>
      <c r="CC78" s="100">
        <v>4968</v>
      </c>
      <c r="CD78" s="100">
        <v>8</v>
      </c>
      <c r="CE78" s="100">
        <v>4416</v>
      </c>
      <c r="CF78" s="100">
        <v>11</v>
      </c>
      <c r="CG78" s="100">
        <v>6072</v>
      </c>
      <c r="CH78" s="100">
        <v>8</v>
      </c>
      <c r="CI78" s="100">
        <v>4416</v>
      </c>
      <c r="CJ78" s="100">
        <v>15</v>
      </c>
      <c r="CK78" s="100">
        <v>8280</v>
      </c>
      <c r="CL78" s="100">
        <v>11</v>
      </c>
      <c r="CM78" s="100">
        <v>6072</v>
      </c>
      <c r="CN78" s="100">
        <v>5.3144627526252739</v>
      </c>
      <c r="CO78" s="100">
        <v>2933.5834394491512</v>
      </c>
      <c r="CP78" s="100">
        <v>8.9098630612310536</v>
      </c>
      <c r="CQ78" s="100">
        <v>4918.2444097995412</v>
      </c>
      <c r="CR78" s="100">
        <v>9.408850475181227</v>
      </c>
      <c r="CS78" s="100">
        <v>5193.6854623000372</v>
      </c>
      <c r="CT78" s="100">
        <v>7.4681796796032875</v>
      </c>
      <c r="CU78" s="100">
        <v>4122.4351831410149</v>
      </c>
    </row>
    <row r="79" spans="2:99">
      <c r="C79" s="99" t="s">
        <v>245</v>
      </c>
      <c r="D79" s="100">
        <v>13.148026134458323</v>
      </c>
      <c r="E79" s="100">
        <v>9955.6853890118418</v>
      </c>
      <c r="F79" s="100">
        <v>8</v>
      </c>
      <c r="G79" s="100">
        <v>6057.5999999999995</v>
      </c>
      <c r="H79" s="100">
        <v>7.7775262873783833</v>
      </c>
      <c r="I79" s="100">
        <v>5889.1429048029113</v>
      </c>
      <c r="J79" s="100">
        <v>4.7628521450689982</v>
      </c>
      <c r="K79" s="100">
        <v>3606.431644246245</v>
      </c>
      <c r="L79" s="100">
        <v>10</v>
      </c>
      <c r="M79" s="100">
        <v>7571.9999999999991</v>
      </c>
      <c r="N79" s="100">
        <v>7</v>
      </c>
      <c r="O79" s="100">
        <v>5300.4</v>
      </c>
      <c r="P79" s="100">
        <v>10</v>
      </c>
      <c r="Q79" s="100">
        <v>7571.9999999999991</v>
      </c>
      <c r="R79" s="100">
        <v>10</v>
      </c>
      <c r="S79" s="100">
        <v>7571.9999999999991</v>
      </c>
      <c r="T79" s="100">
        <v>7</v>
      </c>
      <c r="U79" s="100">
        <v>5300.4</v>
      </c>
      <c r="V79" s="100">
        <v>11</v>
      </c>
      <c r="W79" s="100">
        <v>8329.1999999999989</v>
      </c>
      <c r="X79" s="100">
        <v>9</v>
      </c>
      <c r="Y79" s="100">
        <v>6814.7999999999993</v>
      </c>
      <c r="Z79" s="100">
        <v>10</v>
      </c>
      <c r="AA79" s="100">
        <v>7571.9999999999991</v>
      </c>
      <c r="AB79" s="100">
        <v>14</v>
      </c>
      <c r="AC79" s="100">
        <v>10600.8</v>
      </c>
      <c r="AD79" s="100">
        <v>10</v>
      </c>
      <c r="AE79" s="100">
        <v>7571.9999999999991</v>
      </c>
      <c r="AF79" s="100">
        <v>1.8437538712237589</v>
      </c>
      <c r="AG79" s="100">
        <v>1396.09043129063</v>
      </c>
      <c r="AH79" s="100">
        <v>2.4148356002882183</v>
      </c>
      <c r="AI79" s="100">
        <v>1828.5135165382387</v>
      </c>
      <c r="AJ79" s="100">
        <v>2.3569637231571279</v>
      </c>
      <c r="AK79" s="100">
        <v>1784.6929311745771</v>
      </c>
      <c r="AL79" s="100">
        <v>1.23344836631637</v>
      </c>
      <c r="AM79" s="100">
        <v>933.96710297475533</v>
      </c>
      <c r="AN79" s="100">
        <v>8.6495099198314431</v>
      </c>
      <c r="AO79" s="100">
        <v>6549.4089112963684</v>
      </c>
      <c r="AP79" s="100">
        <v>1.3065777160979724</v>
      </c>
      <c r="AQ79" s="100">
        <v>989.34064662938454</v>
      </c>
      <c r="AR79" s="100">
        <v>8</v>
      </c>
      <c r="AS79" s="100">
        <v>6057.5999999999995</v>
      </c>
      <c r="AT79" s="100">
        <v>9</v>
      </c>
      <c r="AU79" s="100">
        <v>6814.7999999999993</v>
      </c>
      <c r="AV79" s="100">
        <v>8</v>
      </c>
      <c r="AW79" s="100">
        <v>6057.5999999999995</v>
      </c>
      <c r="AX79" s="100">
        <v>12</v>
      </c>
      <c r="AY79" s="100">
        <v>9086.4</v>
      </c>
      <c r="AZ79" s="100">
        <v>10.641946914341943</v>
      </c>
      <c r="BA79" s="100">
        <v>8058.0822035397186</v>
      </c>
      <c r="BB79" s="100">
        <v>1.3415753334934544</v>
      </c>
      <c r="BC79" s="100">
        <v>1015.8408425212435</v>
      </c>
      <c r="BD79" s="100">
        <v>14</v>
      </c>
      <c r="BE79" s="100">
        <v>10600.8</v>
      </c>
      <c r="BF79" s="100">
        <v>10</v>
      </c>
      <c r="BG79" s="100">
        <v>7571.9999999999991</v>
      </c>
      <c r="BH79" s="100">
        <v>12</v>
      </c>
      <c r="BI79" s="100">
        <v>9086.4</v>
      </c>
      <c r="BJ79" s="100">
        <v>2.3103444659980519</v>
      </c>
      <c r="BK79" s="100">
        <v>1749.3928296537247</v>
      </c>
      <c r="BL79" s="100">
        <v>11</v>
      </c>
      <c r="BM79" s="100">
        <v>8329.1999999999989</v>
      </c>
      <c r="BN79" s="100">
        <v>9.2210308713439399</v>
      </c>
      <c r="BO79" s="100">
        <v>6982.1645757816304</v>
      </c>
      <c r="BP79" s="100">
        <v>11</v>
      </c>
      <c r="BQ79" s="100">
        <v>8329.1999999999989</v>
      </c>
      <c r="BR79" s="100">
        <v>11</v>
      </c>
      <c r="BS79" s="100">
        <v>8329.1999999999989</v>
      </c>
      <c r="BT79" s="100">
        <v>12</v>
      </c>
      <c r="BU79" s="100">
        <v>9086.4</v>
      </c>
      <c r="BV79" s="100">
        <v>2.3184541025951848</v>
      </c>
      <c r="BW79" s="100">
        <v>1755.5334464850737</v>
      </c>
      <c r="BX79" s="100">
        <v>12</v>
      </c>
      <c r="BY79" s="100">
        <v>9086.4</v>
      </c>
      <c r="BZ79" s="100">
        <v>10.398002515532436</v>
      </c>
      <c r="CA79" s="100">
        <v>7873.3675047611596</v>
      </c>
      <c r="CB79" s="100">
        <v>9</v>
      </c>
      <c r="CC79" s="100">
        <v>6814.7999999999993</v>
      </c>
      <c r="CD79" s="100">
        <v>8</v>
      </c>
      <c r="CE79" s="100">
        <v>6057.5999999999995</v>
      </c>
      <c r="CF79" s="100">
        <v>11</v>
      </c>
      <c r="CG79" s="100">
        <v>8329.1999999999989</v>
      </c>
      <c r="CH79" s="100">
        <v>8</v>
      </c>
      <c r="CI79" s="100">
        <v>6057.5999999999995</v>
      </c>
      <c r="CJ79" s="100">
        <v>14</v>
      </c>
      <c r="CK79" s="100">
        <v>10600.8</v>
      </c>
      <c r="CL79" s="100">
        <v>11</v>
      </c>
      <c r="CM79" s="100">
        <v>8329.1999999999989</v>
      </c>
      <c r="CN79" s="100">
        <v>6.2002065447294861</v>
      </c>
      <c r="CO79" s="100">
        <v>4694.7963956691665</v>
      </c>
      <c r="CP79" s="100">
        <v>8.9098630612310536</v>
      </c>
      <c r="CQ79" s="100">
        <v>6746.5483099641533</v>
      </c>
      <c r="CR79" s="100">
        <v>10.132608204041322</v>
      </c>
      <c r="CS79" s="100">
        <v>7672.4109321000878</v>
      </c>
      <c r="CT79" s="100">
        <v>8.2149976475636173</v>
      </c>
      <c r="CU79" s="100">
        <v>6220.3962187351708</v>
      </c>
    </row>
    <row r="80" spans="2:99">
      <c r="C80" s="99" t="s">
        <v>246</v>
      </c>
      <c r="D80" s="100">
        <v>12.208881410568443</v>
      </c>
      <c r="E80" s="100">
        <v>9830.5913117897089</v>
      </c>
      <c r="F80" s="100">
        <v>9</v>
      </c>
      <c r="G80" s="100">
        <v>7246.7999999999993</v>
      </c>
      <c r="H80" s="100">
        <v>8.425653477993249</v>
      </c>
      <c r="I80" s="100">
        <v>6784.3361804801634</v>
      </c>
      <c r="J80" s="100">
        <v>5.195838703711634</v>
      </c>
      <c r="K80" s="100">
        <v>4183.6893242286078</v>
      </c>
      <c r="L80" s="100">
        <v>11</v>
      </c>
      <c r="M80" s="100">
        <v>8857.1999999999989</v>
      </c>
      <c r="N80" s="100">
        <v>7</v>
      </c>
      <c r="O80" s="100">
        <v>5636.4</v>
      </c>
      <c r="P80" s="100">
        <v>9</v>
      </c>
      <c r="Q80" s="100">
        <v>7246.7999999999993</v>
      </c>
      <c r="R80" s="100">
        <v>11</v>
      </c>
      <c r="S80" s="100">
        <v>8857.1999999999989</v>
      </c>
      <c r="T80" s="100">
        <v>8</v>
      </c>
      <c r="U80" s="100">
        <v>6441.5999999999995</v>
      </c>
      <c r="V80" s="100">
        <v>11</v>
      </c>
      <c r="W80" s="100">
        <v>8857.1999999999989</v>
      </c>
      <c r="X80" s="100">
        <v>9</v>
      </c>
      <c r="Y80" s="100">
        <v>7246.7999999999993</v>
      </c>
      <c r="Z80" s="100">
        <v>11</v>
      </c>
      <c r="AA80" s="100">
        <v>8857.1999999999989</v>
      </c>
      <c r="AB80" s="100">
        <v>14</v>
      </c>
      <c r="AC80" s="100">
        <v>11272.8</v>
      </c>
      <c r="AD80" s="100">
        <v>9</v>
      </c>
      <c r="AE80" s="100">
        <v>7246.7999999999993</v>
      </c>
      <c r="AF80" s="100">
        <v>1.9855810920871251</v>
      </c>
      <c r="AG80" s="100">
        <v>1598.789895348553</v>
      </c>
      <c r="AH80" s="100">
        <v>2.6831506669869092</v>
      </c>
      <c r="AI80" s="100">
        <v>2160.4729170578589</v>
      </c>
      <c r="AJ80" s="100">
        <v>2.651584188551769</v>
      </c>
      <c r="AK80" s="100">
        <v>2135.0555886218845</v>
      </c>
      <c r="AL80" s="100">
        <v>1.3455800359814947</v>
      </c>
      <c r="AM80" s="100">
        <v>1083.4610449722993</v>
      </c>
      <c r="AN80" s="100">
        <v>9.314856836741555</v>
      </c>
      <c r="AO80" s="100">
        <v>7500.3227249442998</v>
      </c>
      <c r="AP80" s="100">
        <v>1.3065777160979724</v>
      </c>
      <c r="AQ80" s="100">
        <v>1052.0563770020872</v>
      </c>
      <c r="AR80" s="100">
        <v>9</v>
      </c>
      <c r="AS80" s="100">
        <v>7246.7999999999993</v>
      </c>
      <c r="AT80" s="100">
        <v>10</v>
      </c>
      <c r="AU80" s="100">
        <v>8051.9999999999991</v>
      </c>
      <c r="AV80" s="100">
        <v>7</v>
      </c>
      <c r="AW80" s="100">
        <v>5636.4</v>
      </c>
      <c r="AX80" s="100">
        <v>12</v>
      </c>
      <c r="AY80" s="100">
        <v>9662.4</v>
      </c>
      <c r="AZ80" s="100">
        <v>10.641946914341943</v>
      </c>
      <c r="BA80" s="100">
        <v>8568.8956554281322</v>
      </c>
      <c r="BB80" s="100">
        <v>1.2074178001441089</v>
      </c>
      <c r="BC80" s="100">
        <v>972.21281267603638</v>
      </c>
      <c r="BD80" s="100">
        <v>14</v>
      </c>
      <c r="BE80" s="100">
        <v>11272.8</v>
      </c>
      <c r="BF80" s="100">
        <v>9</v>
      </c>
      <c r="BG80" s="100">
        <v>7246.7999999999993</v>
      </c>
      <c r="BH80" s="100">
        <v>12</v>
      </c>
      <c r="BI80" s="100">
        <v>9662.4</v>
      </c>
      <c r="BJ80" s="100">
        <v>2.0793100193982466</v>
      </c>
      <c r="BK80" s="100">
        <v>1674.2604276194679</v>
      </c>
      <c r="BL80" s="100">
        <v>12</v>
      </c>
      <c r="BM80" s="100">
        <v>9662.4</v>
      </c>
      <c r="BN80" s="100">
        <v>8.4526116320652793</v>
      </c>
      <c r="BO80" s="100">
        <v>6806.0428861389628</v>
      </c>
      <c r="BP80" s="100">
        <v>12</v>
      </c>
      <c r="BQ80" s="100">
        <v>9662.4</v>
      </c>
      <c r="BR80" s="100">
        <v>12</v>
      </c>
      <c r="BS80" s="100">
        <v>9662.4</v>
      </c>
      <c r="BT80" s="100">
        <v>12</v>
      </c>
      <c r="BU80" s="100">
        <v>9662.4</v>
      </c>
      <c r="BV80" s="100">
        <v>2.8534819724248428</v>
      </c>
      <c r="BW80" s="100">
        <v>2297.6236841964833</v>
      </c>
      <c r="BX80" s="100">
        <v>10</v>
      </c>
      <c r="BY80" s="100">
        <v>8051.9999999999991</v>
      </c>
      <c r="BZ80" s="100">
        <v>10.398002515532436</v>
      </c>
      <c r="CA80" s="100">
        <v>8372.4716255067178</v>
      </c>
      <c r="CB80" s="100">
        <v>9</v>
      </c>
      <c r="CC80" s="100">
        <v>7246.7999999999993</v>
      </c>
      <c r="CD80" s="100">
        <v>8</v>
      </c>
      <c r="CE80" s="100">
        <v>6441.5999999999995</v>
      </c>
      <c r="CF80" s="100">
        <v>11</v>
      </c>
      <c r="CG80" s="100">
        <v>8857.1999999999989</v>
      </c>
      <c r="CH80" s="100">
        <v>8</v>
      </c>
      <c r="CI80" s="100">
        <v>6441.5999999999995</v>
      </c>
      <c r="CJ80" s="100">
        <v>13</v>
      </c>
      <c r="CK80" s="100">
        <v>10467.599999999999</v>
      </c>
      <c r="CL80" s="100">
        <v>11</v>
      </c>
      <c r="CM80" s="100">
        <v>8857.1999999999989</v>
      </c>
      <c r="CN80" s="100">
        <v>6.2002065447294861</v>
      </c>
      <c r="CO80" s="100">
        <v>4992.4063098161814</v>
      </c>
      <c r="CP80" s="100">
        <v>7.6370254810551881</v>
      </c>
      <c r="CQ80" s="100">
        <v>6149.3329173456368</v>
      </c>
      <c r="CR80" s="100">
        <v>10.856365932901415</v>
      </c>
      <c r="CS80" s="100">
        <v>8741.5458491722184</v>
      </c>
      <c r="CT80" s="100">
        <v>7.4681796796032875</v>
      </c>
      <c r="CU80" s="100">
        <v>6013.3782780165666</v>
      </c>
    </row>
    <row r="81" spans="2:99">
      <c r="C81" s="99" t="s">
        <v>247</v>
      </c>
      <c r="D81" s="100">
        <v>11.269736686678563</v>
      </c>
      <c r="E81" s="100">
        <v>8492.8735670809656</v>
      </c>
      <c r="F81" s="100">
        <v>9</v>
      </c>
      <c r="G81" s="100">
        <v>6782.4000000000005</v>
      </c>
      <c r="H81" s="100">
        <v>9.0737806686081139</v>
      </c>
      <c r="I81" s="100">
        <v>6838.0011118630746</v>
      </c>
      <c r="J81" s="100">
        <v>4.7628521450689982</v>
      </c>
      <c r="K81" s="100">
        <v>3589.285376523997</v>
      </c>
      <c r="L81" s="100">
        <v>10</v>
      </c>
      <c r="M81" s="100">
        <v>7536</v>
      </c>
      <c r="N81" s="100">
        <v>8</v>
      </c>
      <c r="O81" s="100">
        <v>6028.8</v>
      </c>
      <c r="P81" s="100">
        <v>9</v>
      </c>
      <c r="Q81" s="100">
        <v>6782.4000000000005</v>
      </c>
      <c r="R81" s="100">
        <v>10</v>
      </c>
      <c r="S81" s="100">
        <v>7536</v>
      </c>
      <c r="T81" s="100">
        <v>8</v>
      </c>
      <c r="U81" s="100">
        <v>6028.8</v>
      </c>
      <c r="V81" s="100">
        <v>11</v>
      </c>
      <c r="W81" s="100">
        <v>8289.6</v>
      </c>
      <c r="X81" s="100">
        <v>8</v>
      </c>
      <c r="Y81" s="100">
        <v>6028.8</v>
      </c>
      <c r="Z81" s="100">
        <v>10</v>
      </c>
      <c r="AA81" s="100">
        <v>7536</v>
      </c>
      <c r="AB81" s="100">
        <v>15</v>
      </c>
      <c r="AC81" s="100">
        <v>11304</v>
      </c>
      <c r="AD81" s="100">
        <v>9</v>
      </c>
      <c r="AE81" s="100">
        <v>6782.4000000000005</v>
      </c>
      <c r="AF81" s="100">
        <v>1.8437538712237589</v>
      </c>
      <c r="AG81" s="100">
        <v>1389.4529173542248</v>
      </c>
      <c r="AH81" s="100">
        <v>2.6831506669869092</v>
      </c>
      <c r="AI81" s="100">
        <v>2022.0223426413347</v>
      </c>
      <c r="AJ81" s="100">
        <v>2.651584188551769</v>
      </c>
      <c r="AK81" s="100">
        <v>1998.2338444926131</v>
      </c>
      <c r="AL81" s="100">
        <v>1.4577117056466191</v>
      </c>
      <c r="AM81" s="100">
        <v>1098.5315413752921</v>
      </c>
      <c r="AN81" s="100">
        <v>8.6495099198314431</v>
      </c>
      <c r="AO81" s="100">
        <v>6518.2706755849758</v>
      </c>
      <c r="AP81" s="100">
        <v>1.3065777160979724</v>
      </c>
      <c r="AQ81" s="100">
        <v>984.63696685143202</v>
      </c>
      <c r="AR81" s="100">
        <v>8</v>
      </c>
      <c r="AS81" s="100">
        <v>6028.8</v>
      </c>
      <c r="AT81" s="100">
        <v>9</v>
      </c>
      <c r="AU81" s="100">
        <v>6782.4000000000005</v>
      </c>
      <c r="AV81" s="100">
        <v>7</v>
      </c>
      <c r="AW81" s="100">
        <v>5275.2</v>
      </c>
      <c r="AX81" s="100">
        <v>11</v>
      </c>
      <c r="AY81" s="100">
        <v>8289.6</v>
      </c>
      <c r="AZ81" s="100">
        <v>10.641946914341943</v>
      </c>
      <c r="BA81" s="100">
        <v>8019.7711946480886</v>
      </c>
      <c r="BB81" s="100">
        <v>1.2074178001441089</v>
      </c>
      <c r="BC81" s="100">
        <v>909.9100541886005</v>
      </c>
      <c r="BD81" s="100">
        <v>12</v>
      </c>
      <c r="BE81" s="100">
        <v>9043.2000000000007</v>
      </c>
      <c r="BF81" s="100">
        <v>9</v>
      </c>
      <c r="BG81" s="100">
        <v>6782.4000000000005</v>
      </c>
      <c r="BH81" s="100">
        <v>12</v>
      </c>
      <c r="BI81" s="100">
        <v>9043.2000000000007</v>
      </c>
      <c r="BJ81" s="100">
        <v>1.8482755727984417</v>
      </c>
      <c r="BK81" s="100">
        <v>1392.8604716609057</v>
      </c>
      <c r="BL81" s="100">
        <v>10</v>
      </c>
      <c r="BM81" s="100">
        <v>7536</v>
      </c>
      <c r="BN81" s="100">
        <v>8.4526116320652793</v>
      </c>
      <c r="BO81" s="100">
        <v>6369.8881259243944</v>
      </c>
      <c r="BP81" s="100">
        <v>12</v>
      </c>
      <c r="BQ81" s="100">
        <v>9043.2000000000007</v>
      </c>
      <c r="BR81" s="100">
        <v>12</v>
      </c>
      <c r="BS81" s="100">
        <v>9043.2000000000007</v>
      </c>
      <c r="BT81" s="100">
        <v>11</v>
      </c>
      <c r="BU81" s="100">
        <v>8289.6</v>
      </c>
      <c r="BV81" s="100">
        <v>2.4967967258717376</v>
      </c>
      <c r="BW81" s="100">
        <v>1881.5860126169416</v>
      </c>
      <c r="BX81" s="100">
        <v>12</v>
      </c>
      <c r="BY81" s="100">
        <v>9043.2000000000007</v>
      </c>
      <c r="BZ81" s="100">
        <v>10.398002515532436</v>
      </c>
      <c r="CA81" s="100">
        <v>7835.9346957052439</v>
      </c>
      <c r="CB81" s="100">
        <v>8</v>
      </c>
      <c r="CC81" s="100">
        <v>6028.8</v>
      </c>
      <c r="CD81" s="100">
        <v>9</v>
      </c>
      <c r="CE81" s="100">
        <v>6782.4000000000005</v>
      </c>
      <c r="CF81" s="100">
        <v>11</v>
      </c>
      <c r="CG81" s="100">
        <v>8289.6</v>
      </c>
      <c r="CH81" s="100">
        <v>8</v>
      </c>
      <c r="CI81" s="100">
        <v>6028.8</v>
      </c>
      <c r="CJ81" s="100">
        <v>13</v>
      </c>
      <c r="CK81" s="100">
        <v>9796.8000000000011</v>
      </c>
      <c r="CL81" s="100">
        <v>11</v>
      </c>
      <c r="CM81" s="100">
        <v>8289.6</v>
      </c>
      <c r="CN81" s="100">
        <v>6.6430784407815917</v>
      </c>
      <c r="CO81" s="100">
        <v>5006.2239129730078</v>
      </c>
      <c r="CP81" s="100">
        <v>8.27344427114312</v>
      </c>
      <c r="CQ81" s="100">
        <v>6234.867602733455</v>
      </c>
      <c r="CR81" s="100">
        <v>10.132608204041322</v>
      </c>
      <c r="CS81" s="100">
        <v>7635.9335425655408</v>
      </c>
      <c r="CT81" s="100">
        <v>8.2149976475636173</v>
      </c>
      <c r="CU81" s="100">
        <v>6190.822227203942</v>
      </c>
    </row>
    <row r="82" spans="2:99">
      <c r="C82" s="99" t="s">
        <v>248</v>
      </c>
      <c r="D82" s="100">
        <v>13.148026134458323</v>
      </c>
      <c r="E82" s="100">
        <v>6689.7156972123939</v>
      </c>
      <c r="F82" s="100">
        <v>9</v>
      </c>
      <c r="G82" s="100">
        <v>4579.1999999999989</v>
      </c>
      <c r="H82" s="100">
        <v>9.7219078592229771</v>
      </c>
      <c r="I82" s="100">
        <v>4946.5067187726499</v>
      </c>
      <c r="J82" s="100">
        <v>5.195838703711634</v>
      </c>
      <c r="K82" s="100">
        <v>2643.6427324484789</v>
      </c>
      <c r="L82" s="100">
        <v>11</v>
      </c>
      <c r="M82" s="100">
        <v>5596.7999999999993</v>
      </c>
      <c r="N82" s="100">
        <v>7</v>
      </c>
      <c r="O82" s="100">
        <v>3561.5999999999995</v>
      </c>
      <c r="P82" s="100">
        <v>10</v>
      </c>
      <c r="Q82" s="100">
        <v>5087.9999999999991</v>
      </c>
      <c r="R82" s="100">
        <v>11</v>
      </c>
      <c r="S82" s="100">
        <v>5596.7999999999993</v>
      </c>
      <c r="T82" s="100">
        <v>7</v>
      </c>
      <c r="U82" s="100">
        <v>3561.5999999999995</v>
      </c>
      <c r="V82" s="100">
        <v>12</v>
      </c>
      <c r="W82" s="100">
        <v>6105.5999999999985</v>
      </c>
      <c r="X82" s="100">
        <v>10</v>
      </c>
      <c r="Y82" s="100">
        <v>5087.9999999999991</v>
      </c>
      <c r="Z82" s="100">
        <v>10</v>
      </c>
      <c r="AA82" s="100">
        <v>5087.9999999999991</v>
      </c>
      <c r="AB82" s="100">
        <v>13</v>
      </c>
      <c r="AC82" s="100">
        <v>6614.3999999999987</v>
      </c>
      <c r="AD82" s="100">
        <v>9</v>
      </c>
      <c r="AE82" s="100">
        <v>4579.1999999999989</v>
      </c>
      <c r="AF82" s="100">
        <v>1.7019266503603929</v>
      </c>
      <c r="AG82" s="100">
        <v>865.94027970336776</v>
      </c>
      <c r="AH82" s="100">
        <v>2.6831506669869092</v>
      </c>
      <c r="AI82" s="100">
        <v>1365.1870593629392</v>
      </c>
      <c r="AJ82" s="100">
        <v>2.651584188551769</v>
      </c>
      <c r="AK82" s="100">
        <v>1349.1260351351398</v>
      </c>
      <c r="AL82" s="100">
        <v>1.3455800359814947</v>
      </c>
      <c r="AM82" s="100">
        <v>684.63112230738432</v>
      </c>
      <c r="AN82" s="100">
        <v>7.9841630029213331</v>
      </c>
      <c r="AO82" s="100">
        <v>4062.3421358863734</v>
      </c>
      <c r="AP82" s="100">
        <v>1.1976962397564748</v>
      </c>
      <c r="AQ82" s="100">
        <v>609.38784678809429</v>
      </c>
      <c r="AR82" s="100">
        <v>9</v>
      </c>
      <c r="AS82" s="100">
        <v>4579.1999999999989</v>
      </c>
      <c r="AT82" s="100">
        <v>10</v>
      </c>
      <c r="AU82" s="100">
        <v>5087.9999999999991</v>
      </c>
      <c r="AV82" s="100">
        <v>7</v>
      </c>
      <c r="AW82" s="100">
        <v>3561.5999999999995</v>
      </c>
      <c r="AX82" s="100">
        <v>13</v>
      </c>
      <c r="AY82" s="100">
        <v>6614.3999999999987</v>
      </c>
      <c r="AZ82" s="100">
        <v>10.641946914341943</v>
      </c>
      <c r="BA82" s="100">
        <v>5414.6225900171794</v>
      </c>
      <c r="BB82" s="100">
        <v>1.3415753334934544</v>
      </c>
      <c r="BC82" s="100">
        <v>682.59352968146948</v>
      </c>
      <c r="BD82" s="100">
        <v>14</v>
      </c>
      <c r="BE82" s="100">
        <v>7123.1999999999989</v>
      </c>
      <c r="BF82" s="100">
        <v>9</v>
      </c>
      <c r="BG82" s="100">
        <v>4579.1999999999989</v>
      </c>
      <c r="BH82" s="100">
        <v>12</v>
      </c>
      <c r="BI82" s="100">
        <v>6105.5999999999985</v>
      </c>
      <c r="BJ82" s="100">
        <v>2.3103444659980519</v>
      </c>
      <c r="BK82" s="100">
        <v>1175.5032642998085</v>
      </c>
      <c r="BL82" s="100">
        <v>12</v>
      </c>
      <c r="BM82" s="100">
        <v>6105.5999999999985</v>
      </c>
      <c r="BN82" s="100">
        <v>9.2210308713439399</v>
      </c>
      <c r="BO82" s="100">
        <v>4691.6605073397959</v>
      </c>
      <c r="BP82" s="100">
        <v>11</v>
      </c>
      <c r="BQ82" s="100">
        <v>5596.7999999999993</v>
      </c>
      <c r="BR82" s="100">
        <v>12</v>
      </c>
      <c r="BS82" s="100">
        <v>6105.5999999999985</v>
      </c>
      <c r="BT82" s="100">
        <v>11</v>
      </c>
      <c r="BU82" s="100">
        <v>5596.7999999999993</v>
      </c>
      <c r="BV82" s="100">
        <v>2.6751393491482904</v>
      </c>
      <c r="BW82" s="100">
        <v>1361.1109008466499</v>
      </c>
      <c r="BX82" s="100">
        <v>12</v>
      </c>
      <c r="BY82" s="100">
        <v>6105.5999999999985</v>
      </c>
      <c r="BZ82" s="100">
        <v>9.5315023059047324</v>
      </c>
      <c r="CA82" s="100">
        <v>4849.6283732443271</v>
      </c>
      <c r="CB82" s="100">
        <v>7</v>
      </c>
      <c r="CC82" s="100">
        <v>3561.5999999999995</v>
      </c>
      <c r="CD82" s="100">
        <v>9</v>
      </c>
      <c r="CE82" s="100">
        <v>4579.1999999999989</v>
      </c>
      <c r="CF82" s="100">
        <v>11</v>
      </c>
      <c r="CG82" s="100">
        <v>5596.7999999999993</v>
      </c>
      <c r="CH82" s="100">
        <v>8</v>
      </c>
      <c r="CI82" s="100">
        <v>4070.3999999999992</v>
      </c>
      <c r="CJ82" s="100">
        <v>15</v>
      </c>
      <c r="CK82" s="100">
        <v>7631.9999999999982</v>
      </c>
      <c r="CL82" s="100">
        <v>11</v>
      </c>
      <c r="CM82" s="100">
        <v>5596.7999999999993</v>
      </c>
      <c r="CN82" s="100">
        <v>5.7573346486773795</v>
      </c>
      <c r="CO82" s="100">
        <v>2929.3318692470502</v>
      </c>
      <c r="CP82" s="100">
        <v>8.9098630612310536</v>
      </c>
      <c r="CQ82" s="100">
        <v>4533.3383255543595</v>
      </c>
      <c r="CR82" s="100">
        <v>10.132608204041322</v>
      </c>
      <c r="CS82" s="100">
        <v>5155.4710542162238</v>
      </c>
      <c r="CT82" s="100">
        <v>8.2149976475636173</v>
      </c>
      <c r="CU82" s="100">
        <v>4179.7908030803674</v>
      </c>
    </row>
    <row r="83" spans="2:99">
      <c r="C83" s="99" t="s">
        <v>249</v>
      </c>
      <c r="D83" s="100">
        <v>11.269736686678563</v>
      </c>
      <c r="E83" s="100">
        <v>9696.4814452182345</v>
      </c>
      <c r="F83" s="100">
        <v>9</v>
      </c>
      <c r="G83" s="100">
        <v>7743.5999999999995</v>
      </c>
      <c r="H83" s="100">
        <v>7.7775262873783833</v>
      </c>
      <c r="I83" s="100">
        <v>6691.7836176603605</v>
      </c>
      <c r="J83" s="100">
        <v>4.7628521450689982</v>
      </c>
      <c r="K83" s="100">
        <v>4097.9579856173659</v>
      </c>
      <c r="L83" s="100">
        <v>11</v>
      </c>
      <c r="M83" s="100">
        <v>9464.4</v>
      </c>
      <c r="N83" s="100">
        <v>7</v>
      </c>
      <c r="O83" s="100">
        <v>6022.8</v>
      </c>
      <c r="P83" s="100">
        <v>10</v>
      </c>
      <c r="Q83" s="100">
        <v>8604</v>
      </c>
      <c r="R83" s="100">
        <v>10</v>
      </c>
      <c r="S83" s="100">
        <v>8604</v>
      </c>
      <c r="T83" s="100">
        <v>8</v>
      </c>
      <c r="U83" s="100">
        <v>6883.2</v>
      </c>
      <c r="V83" s="100">
        <v>12</v>
      </c>
      <c r="W83" s="100">
        <v>10324.799999999999</v>
      </c>
      <c r="X83" s="100">
        <v>8</v>
      </c>
      <c r="Y83" s="100">
        <v>6883.2</v>
      </c>
      <c r="Z83" s="100">
        <v>9</v>
      </c>
      <c r="AA83" s="100">
        <v>7743.5999999999995</v>
      </c>
      <c r="AB83" s="100">
        <v>15</v>
      </c>
      <c r="AC83" s="100">
        <v>12906</v>
      </c>
      <c r="AD83" s="100">
        <v>9</v>
      </c>
      <c r="AE83" s="100">
        <v>7743.5999999999995</v>
      </c>
      <c r="AF83" s="100">
        <v>1.7019266503603929</v>
      </c>
      <c r="AG83" s="100">
        <v>1464.337689970082</v>
      </c>
      <c r="AH83" s="100">
        <v>2.4148356002882183</v>
      </c>
      <c r="AI83" s="100">
        <v>2077.7245504879829</v>
      </c>
      <c r="AJ83" s="100">
        <v>2.0623432577624867</v>
      </c>
      <c r="AK83" s="100">
        <v>1774.4401389788436</v>
      </c>
      <c r="AL83" s="100">
        <v>1.23344836631637</v>
      </c>
      <c r="AM83" s="100">
        <v>1061.2589743786048</v>
      </c>
      <c r="AN83" s="100">
        <v>8.6495099198314431</v>
      </c>
      <c r="AO83" s="100">
        <v>7442.0383350229731</v>
      </c>
      <c r="AP83" s="100">
        <v>1.3065777160979724</v>
      </c>
      <c r="AQ83" s="100">
        <v>1124.1794669306953</v>
      </c>
      <c r="AR83" s="100">
        <v>9</v>
      </c>
      <c r="AS83" s="100">
        <v>7743.5999999999995</v>
      </c>
      <c r="AT83" s="100">
        <v>9</v>
      </c>
      <c r="AU83" s="100">
        <v>7743.5999999999995</v>
      </c>
      <c r="AV83" s="100">
        <v>7</v>
      </c>
      <c r="AW83" s="100">
        <v>6022.8</v>
      </c>
      <c r="AX83" s="100">
        <v>13</v>
      </c>
      <c r="AY83" s="100">
        <v>11185.199999999999</v>
      </c>
      <c r="AZ83" s="100">
        <v>9.121668783721665</v>
      </c>
      <c r="BA83" s="100">
        <v>7848.2838215141201</v>
      </c>
      <c r="BB83" s="100">
        <v>1.2074178001441089</v>
      </c>
      <c r="BC83" s="100">
        <v>1038.8622752439912</v>
      </c>
      <c r="BD83" s="100">
        <v>13</v>
      </c>
      <c r="BE83" s="100">
        <v>11185.199999999999</v>
      </c>
      <c r="BF83" s="100">
        <v>9</v>
      </c>
      <c r="BG83" s="100">
        <v>7743.5999999999995</v>
      </c>
      <c r="BH83" s="100">
        <v>12</v>
      </c>
      <c r="BI83" s="100">
        <v>10324.799999999999</v>
      </c>
      <c r="BJ83" s="100">
        <v>2.3103444659980519</v>
      </c>
      <c r="BK83" s="100">
        <v>1987.8203785447238</v>
      </c>
      <c r="BL83" s="100">
        <v>11</v>
      </c>
      <c r="BM83" s="100">
        <v>9464.4</v>
      </c>
      <c r="BN83" s="100">
        <v>8.4526116320652793</v>
      </c>
      <c r="BO83" s="100">
        <v>7272.6270482289665</v>
      </c>
      <c r="BP83" s="100">
        <v>12</v>
      </c>
      <c r="BQ83" s="100">
        <v>10324.799999999999</v>
      </c>
      <c r="BR83" s="100">
        <v>13</v>
      </c>
      <c r="BS83" s="100">
        <v>11185.199999999999</v>
      </c>
      <c r="BT83" s="100">
        <v>11</v>
      </c>
      <c r="BU83" s="100">
        <v>9464.4</v>
      </c>
      <c r="BV83" s="100">
        <v>2.6751393491482904</v>
      </c>
      <c r="BW83" s="100">
        <v>2301.689896007189</v>
      </c>
      <c r="BX83" s="100">
        <v>10</v>
      </c>
      <c r="BY83" s="100">
        <v>8604</v>
      </c>
      <c r="BZ83" s="100">
        <v>8.6650020962770302</v>
      </c>
      <c r="CA83" s="100">
        <v>7455.3678036367564</v>
      </c>
      <c r="CB83" s="100">
        <v>8</v>
      </c>
      <c r="CC83" s="100">
        <v>6883.2</v>
      </c>
      <c r="CD83" s="100">
        <v>8</v>
      </c>
      <c r="CE83" s="100">
        <v>6883.2</v>
      </c>
      <c r="CF83" s="100">
        <v>9</v>
      </c>
      <c r="CG83" s="100">
        <v>7743.5999999999995</v>
      </c>
      <c r="CH83" s="100">
        <v>9</v>
      </c>
      <c r="CI83" s="100">
        <v>7743.5999999999995</v>
      </c>
      <c r="CJ83" s="100">
        <v>15</v>
      </c>
      <c r="CK83" s="100">
        <v>12906</v>
      </c>
      <c r="CL83" s="100">
        <v>12</v>
      </c>
      <c r="CM83" s="100">
        <v>10324.799999999999</v>
      </c>
      <c r="CN83" s="100">
        <v>5.3144627526252739</v>
      </c>
      <c r="CO83" s="100">
        <v>4572.5637523587857</v>
      </c>
      <c r="CP83" s="100">
        <v>7.6370254810551881</v>
      </c>
      <c r="CQ83" s="100">
        <v>6570.8967238998839</v>
      </c>
      <c r="CR83" s="100">
        <v>10.132608204041322</v>
      </c>
      <c r="CS83" s="100">
        <v>8718.0960987571525</v>
      </c>
      <c r="CT83" s="100">
        <v>8.2149976475636173</v>
      </c>
      <c r="CU83" s="100">
        <v>7068.183975963736</v>
      </c>
    </row>
    <row r="84" spans="2:99">
      <c r="C84" s="99" t="s">
        <v>250</v>
      </c>
      <c r="D84" s="100">
        <v>11.269736686678563</v>
      </c>
      <c r="E84" s="100">
        <v>8803.9182996332929</v>
      </c>
      <c r="F84" s="100">
        <v>9</v>
      </c>
      <c r="G84" s="100">
        <v>7030.7999999999993</v>
      </c>
      <c r="H84" s="100">
        <v>9.0737806686081139</v>
      </c>
      <c r="I84" s="100">
        <v>7088.4374583166582</v>
      </c>
      <c r="J84" s="100">
        <v>5.195838703711634</v>
      </c>
      <c r="K84" s="100">
        <v>4058.9891953395281</v>
      </c>
      <c r="L84" s="100">
        <v>10</v>
      </c>
      <c r="M84" s="100">
        <v>7811.9999999999991</v>
      </c>
      <c r="N84" s="100">
        <v>7</v>
      </c>
      <c r="O84" s="100">
        <v>5468.4</v>
      </c>
      <c r="P84" s="100">
        <v>10</v>
      </c>
      <c r="Q84" s="100">
        <v>7811.9999999999991</v>
      </c>
      <c r="R84" s="100">
        <v>11</v>
      </c>
      <c r="S84" s="100">
        <v>8593.1999999999989</v>
      </c>
      <c r="T84" s="100">
        <v>7</v>
      </c>
      <c r="U84" s="100">
        <v>5468.4</v>
      </c>
      <c r="V84" s="100">
        <v>11</v>
      </c>
      <c r="W84" s="100">
        <v>8593.1999999999989</v>
      </c>
      <c r="X84" s="100">
        <v>9</v>
      </c>
      <c r="Y84" s="100">
        <v>7030.7999999999993</v>
      </c>
      <c r="Z84" s="100">
        <v>11</v>
      </c>
      <c r="AA84" s="100">
        <v>8593.1999999999989</v>
      </c>
      <c r="AB84" s="100">
        <v>13</v>
      </c>
      <c r="AC84" s="100">
        <v>10155.599999999999</v>
      </c>
      <c r="AD84" s="100">
        <v>11</v>
      </c>
      <c r="AE84" s="100">
        <v>8593.1999999999989</v>
      </c>
      <c r="AF84" s="100">
        <v>1.7019266503603929</v>
      </c>
      <c r="AG84" s="100">
        <v>1329.5450992615388</v>
      </c>
      <c r="AH84" s="100">
        <v>2.4148356002882183</v>
      </c>
      <c r="AI84" s="100">
        <v>1886.469570945156</v>
      </c>
      <c r="AJ84" s="100">
        <v>2.651584188551769</v>
      </c>
      <c r="AK84" s="100">
        <v>2071.4175680966418</v>
      </c>
      <c r="AL84" s="100">
        <v>1.3455800359814947</v>
      </c>
      <c r="AM84" s="100">
        <v>1051.1671241087436</v>
      </c>
      <c r="AN84" s="100">
        <v>8.6495099198314431</v>
      </c>
      <c r="AO84" s="100">
        <v>6756.9971493723224</v>
      </c>
      <c r="AP84" s="100">
        <v>1.3065777160979724</v>
      </c>
      <c r="AQ84" s="100">
        <v>1020.698511815736</v>
      </c>
      <c r="AR84" s="100">
        <v>9</v>
      </c>
      <c r="AS84" s="100">
        <v>7030.7999999999993</v>
      </c>
      <c r="AT84" s="100">
        <v>10</v>
      </c>
      <c r="AU84" s="100">
        <v>7811.9999999999991</v>
      </c>
      <c r="AV84" s="100">
        <v>7</v>
      </c>
      <c r="AW84" s="100">
        <v>5468.4</v>
      </c>
      <c r="AX84" s="100">
        <v>11</v>
      </c>
      <c r="AY84" s="100">
        <v>8593.1999999999989</v>
      </c>
      <c r="AZ84" s="100">
        <v>9.121668783721665</v>
      </c>
      <c r="BA84" s="100">
        <v>7125.8476538433642</v>
      </c>
      <c r="BB84" s="100">
        <v>1.3415753334934544</v>
      </c>
      <c r="BC84" s="100">
        <v>1048.0386505250865</v>
      </c>
      <c r="BD84" s="100">
        <v>13</v>
      </c>
      <c r="BE84" s="100">
        <v>10155.599999999999</v>
      </c>
      <c r="BF84" s="100">
        <v>9</v>
      </c>
      <c r="BG84" s="100">
        <v>7030.7999999999993</v>
      </c>
      <c r="BH84" s="100">
        <v>11</v>
      </c>
      <c r="BI84" s="100">
        <v>8593.1999999999989</v>
      </c>
      <c r="BJ84" s="100">
        <v>2.3103444659980519</v>
      </c>
      <c r="BK84" s="100">
        <v>1804.8410968376779</v>
      </c>
      <c r="BL84" s="100">
        <v>11</v>
      </c>
      <c r="BM84" s="100">
        <v>8593.1999999999989</v>
      </c>
      <c r="BN84" s="100">
        <v>8.4526116320652793</v>
      </c>
      <c r="BO84" s="100">
        <v>6603.1802069693958</v>
      </c>
      <c r="BP84" s="100">
        <v>12</v>
      </c>
      <c r="BQ84" s="100">
        <v>9374.4</v>
      </c>
      <c r="BR84" s="100">
        <v>12</v>
      </c>
      <c r="BS84" s="100">
        <v>9374.4</v>
      </c>
      <c r="BT84" s="100">
        <v>11</v>
      </c>
      <c r="BU84" s="100">
        <v>8593.1999999999989</v>
      </c>
      <c r="BV84" s="100">
        <v>2.3184541025951848</v>
      </c>
      <c r="BW84" s="100">
        <v>1811.1763449473583</v>
      </c>
      <c r="BX84" s="100">
        <v>12</v>
      </c>
      <c r="BY84" s="100">
        <v>9374.4</v>
      </c>
      <c r="BZ84" s="100">
        <v>9.5315023059047324</v>
      </c>
      <c r="CA84" s="100">
        <v>7446.0096013727762</v>
      </c>
      <c r="CB84" s="100">
        <v>9</v>
      </c>
      <c r="CC84" s="100">
        <v>7030.7999999999993</v>
      </c>
      <c r="CD84" s="100">
        <v>8</v>
      </c>
      <c r="CE84" s="100">
        <v>6249.5999999999995</v>
      </c>
      <c r="CF84" s="100">
        <v>11</v>
      </c>
      <c r="CG84" s="100">
        <v>8593.1999999999989</v>
      </c>
      <c r="CH84" s="100">
        <v>7</v>
      </c>
      <c r="CI84" s="100">
        <v>5468.4</v>
      </c>
      <c r="CJ84" s="100">
        <v>14</v>
      </c>
      <c r="CK84" s="100">
        <v>10936.8</v>
      </c>
      <c r="CL84" s="100">
        <v>11</v>
      </c>
      <c r="CM84" s="100">
        <v>8593.1999999999989</v>
      </c>
      <c r="CN84" s="100">
        <v>5.7573346486773795</v>
      </c>
      <c r="CO84" s="100">
        <v>4497.6298275467689</v>
      </c>
      <c r="CP84" s="100">
        <v>7.6370254810551881</v>
      </c>
      <c r="CQ84" s="100">
        <v>5966.044305800312</v>
      </c>
      <c r="CR84" s="100">
        <v>10.132608204041322</v>
      </c>
      <c r="CS84" s="100">
        <v>7915.5935289970803</v>
      </c>
      <c r="CT84" s="100">
        <v>8.2149976475636173</v>
      </c>
      <c r="CU84" s="100">
        <v>6417.5561622766973</v>
      </c>
    </row>
    <row r="85" spans="2:99">
      <c r="C85" s="99" t="s">
        <v>251</v>
      </c>
      <c r="D85" s="100">
        <v>13.148026134458323</v>
      </c>
      <c r="E85" s="100">
        <v>1972.2039201687485</v>
      </c>
      <c r="F85" s="100">
        <v>10</v>
      </c>
      <c r="G85" s="100">
        <v>1500</v>
      </c>
      <c r="H85" s="100">
        <v>8.425653477993249</v>
      </c>
      <c r="I85" s="100">
        <v>1263.8480216989874</v>
      </c>
      <c r="J85" s="100">
        <v>5.195838703711634</v>
      </c>
      <c r="K85" s="100">
        <v>779.37580555674515</v>
      </c>
      <c r="L85" s="100">
        <v>10</v>
      </c>
      <c r="M85" s="100">
        <v>1500</v>
      </c>
      <c r="N85" s="100">
        <v>8</v>
      </c>
      <c r="O85" s="100">
        <v>1200</v>
      </c>
      <c r="P85" s="100">
        <v>10</v>
      </c>
      <c r="Q85" s="100">
        <v>1500</v>
      </c>
      <c r="R85" s="100">
        <v>10</v>
      </c>
      <c r="S85" s="100">
        <v>1500</v>
      </c>
      <c r="T85" s="100">
        <v>8</v>
      </c>
      <c r="U85" s="100">
        <v>1200</v>
      </c>
      <c r="V85" s="100">
        <v>11</v>
      </c>
      <c r="W85" s="100">
        <v>1650</v>
      </c>
      <c r="X85" s="100">
        <v>9</v>
      </c>
      <c r="Y85" s="100">
        <v>1350</v>
      </c>
      <c r="Z85" s="100">
        <v>10</v>
      </c>
      <c r="AA85" s="100">
        <v>1500</v>
      </c>
      <c r="AB85" s="100">
        <v>15</v>
      </c>
      <c r="AC85" s="100">
        <v>2250</v>
      </c>
      <c r="AD85" s="100">
        <v>9</v>
      </c>
      <c r="AE85" s="100">
        <v>1350</v>
      </c>
      <c r="AF85" s="100">
        <v>1.7019266503603929</v>
      </c>
      <c r="AG85" s="100">
        <v>255.28899755405894</v>
      </c>
      <c r="AH85" s="100">
        <v>2.6831506669869092</v>
      </c>
      <c r="AI85" s="100">
        <v>402.47260004803638</v>
      </c>
      <c r="AJ85" s="100">
        <v>2.3569637231571279</v>
      </c>
      <c r="AK85" s="100">
        <v>353.54455847356917</v>
      </c>
      <c r="AL85" s="100">
        <v>1.3455800359814947</v>
      </c>
      <c r="AM85" s="100">
        <v>201.8370053972242</v>
      </c>
      <c r="AN85" s="100">
        <v>8.6495099198314431</v>
      </c>
      <c r="AO85" s="100">
        <v>1297.4264879747166</v>
      </c>
      <c r="AP85" s="100">
        <v>1.3065777160979724</v>
      </c>
      <c r="AQ85" s="100">
        <v>195.98665741469586</v>
      </c>
      <c r="AR85" s="100">
        <v>9</v>
      </c>
      <c r="AS85" s="100">
        <v>1350</v>
      </c>
      <c r="AT85" s="100">
        <v>9</v>
      </c>
      <c r="AU85" s="100">
        <v>1350</v>
      </c>
      <c r="AV85" s="100">
        <v>9</v>
      </c>
      <c r="AW85" s="100">
        <v>1350</v>
      </c>
      <c r="AX85" s="100">
        <v>14</v>
      </c>
      <c r="AY85" s="100">
        <v>2100</v>
      </c>
      <c r="AZ85" s="100">
        <v>9.8818078490318051</v>
      </c>
      <c r="BA85" s="100">
        <v>1482.2711773547708</v>
      </c>
      <c r="BB85" s="100">
        <v>1.3415753334934544</v>
      </c>
      <c r="BC85" s="100">
        <v>201.23630002401816</v>
      </c>
      <c r="BD85" s="100">
        <v>14</v>
      </c>
      <c r="BE85" s="100">
        <v>2100</v>
      </c>
      <c r="BF85" s="100">
        <v>9</v>
      </c>
      <c r="BG85" s="100">
        <v>1350</v>
      </c>
      <c r="BH85" s="100">
        <v>13</v>
      </c>
      <c r="BI85" s="100">
        <v>1950</v>
      </c>
      <c r="BJ85" s="100">
        <v>2.3103444659980519</v>
      </c>
      <c r="BK85" s="100">
        <v>346.5516698997078</v>
      </c>
      <c r="BL85" s="100">
        <v>12</v>
      </c>
      <c r="BM85" s="100">
        <v>1800</v>
      </c>
      <c r="BN85" s="100">
        <v>9.2210308713439399</v>
      </c>
      <c r="BO85" s="100">
        <v>1383.154630701591</v>
      </c>
      <c r="BP85" s="100">
        <v>12</v>
      </c>
      <c r="BQ85" s="100">
        <v>1800</v>
      </c>
      <c r="BR85" s="100">
        <v>12</v>
      </c>
      <c r="BS85" s="100">
        <v>1800</v>
      </c>
      <c r="BT85" s="100">
        <v>12</v>
      </c>
      <c r="BU85" s="100">
        <v>1800</v>
      </c>
      <c r="BV85" s="100">
        <v>2.6751393491482904</v>
      </c>
      <c r="BW85" s="100">
        <v>401.27090237224354</v>
      </c>
      <c r="BX85" s="100">
        <v>11</v>
      </c>
      <c r="BY85" s="100">
        <v>1650</v>
      </c>
      <c r="BZ85" s="100">
        <v>9.5315023059047324</v>
      </c>
      <c r="CA85" s="100">
        <v>1429.7253458857099</v>
      </c>
      <c r="CB85" s="100">
        <v>8</v>
      </c>
      <c r="CC85" s="100">
        <v>1200</v>
      </c>
      <c r="CD85" s="100">
        <v>8</v>
      </c>
      <c r="CE85" s="100">
        <v>1200</v>
      </c>
      <c r="CF85" s="100">
        <v>11</v>
      </c>
      <c r="CG85" s="100">
        <v>1650</v>
      </c>
      <c r="CH85" s="100">
        <v>9</v>
      </c>
      <c r="CI85" s="100">
        <v>1350</v>
      </c>
      <c r="CJ85" s="100">
        <v>16</v>
      </c>
      <c r="CK85" s="100">
        <v>2400</v>
      </c>
      <c r="CL85" s="100">
        <v>12</v>
      </c>
      <c r="CM85" s="100">
        <v>1800</v>
      </c>
      <c r="CN85" s="100">
        <v>5.7573346486773795</v>
      </c>
      <c r="CO85" s="100">
        <v>863.60019730160695</v>
      </c>
      <c r="CP85" s="100">
        <v>9.5462818513189855</v>
      </c>
      <c r="CQ85" s="100">
        <v>1431.9422776978479</v>
      </c>
      <c r="CR85" s="100">
        <v>9.408850475181227</v>
      </c>
      <c r="CS85" s="100">
        <v>1411.327571277184</v>
      </c>
      <c r="CT85" s="100">
        <v>7.4681796796032875</v>
      </c>
      <c r="CU85" s="100">
        <v>1120.2269519404931</v>
      </c>
    </row>
    <row r="86" spans="2:99">
      <c r="C86" s="99" t="s">
        <v>252</v>
      </c>
      <c r="D86" s="100">
        <v>11.269736686678563</v>
      </c>
      <c r="E86" s="100">
        <v>6085.6578108064241</v>
      </c>
      <c r="F86" s="100">
        <v>9</v>
      </c>
      <c r="G86" s="100">
        <v>4860</v>
      </c>
      <c r="H86" s="100">
        <v>9.7219078592229771</v>
      </c>
      <c r="I86" s="100">
        <v>5249.8302439804074</v>
      </c>
      <c r="J86" s="100">
        <v>4.3298655864263615</v>
      </c>
      <c r="K86" s="100">
        <v>2338.1274166702351</v>
      </c>
      <c r="L86" s="100">
        <v>10</v>
      </c>
      <c r="M86" s="100">
        <v>5400</v>
      </c>
      <c r="N86" s="100">
        <v>7</v>
      </c>
      <c r="O86" s="100">
        <v>3780</v>
      </c>
      <c r="P86" s="100">
        <v>9</v>
      </c>
      <c r="Q86" s="100">
        <v>4860</v>
      </c>
      <c r="R86" s="100">
        <v>10</v>
      </c>
      <c r="S86" s="100">
        <v>5400</v>
      </c>
      <c r="T86" s="100">
        <v>8</v>
      </c>
      <c r="U86" s="100">
        <v>4320</v>
      </c>
      <c r="V86" s="100">
        <v>10</v>
      </c>
      <c r="W86" s="100">
        <v>5400</v>
      </c>
      <c r="X86" s="100">
        <v>8</v>
      </c>
      <c r="Y86" s="100">
        <v>4320</v>
      </c>
      <c r="Z86" s="100">
        <v>10</v>
      </c>
      <c r="AA86" s="100">
        <v>5400</v>
      </c>
      <c r="AB86" s="100">
        <v>15</v>
      </c>
      <c r="AC86" s="100">
        <v>8100</v>
      </c>
      <c r="AD86" s="100">
        <v>10</v>
      </c>
      <c r="AE86" s="100">
        <v>5400</v>
      </c>
      <c r="AF86" s="100">
        <v>1.7019266503603929</v>
      </c>
      <c r="AG86" s="100">
        <v>919.0403911946122</v>
      </c>
      <c r="AH86" s="100">
        <v>2.4148356002882183</v>
      </c>
      <c r="AI86" s="100">
        <v>1304.0112241556378</v>
      </c>
      <c r="AJ86" s="100">
        <v>2.3569637231571279</v>
      </c>
      <c r="AK86" s="100">
        <v>1272.760410504849</v>
      </c>
      <c r="AL86" s="100">
        <v>1.23344836631637</v>
      </c>
      <c r="AM86" s="100">
        <v>666.06211781083982</v>
      </c>
      <c r="AN86" s="100">
        <v>8.6495099198314431</v>
      </c>
      <c r="AO86" s="100">
        <v>4670.7353567089795</v>
      </c>
      <c r="AP86" s="100">
        <v>1.3065777160979724</v>
      </c>
      <c r="AQ86" s="100">
        <v>705.55196669290513</v>
      </c>
      <c r="AR86" s="100">
        <v>9</v>
      </c>
      <c r="AS86" s="100">
        <v>4860</v>
      </c>
      <c r="AT86" s="100">
        <v>9</v>
      </c>
      <c r="AU86" s="100">
        <v>4860</v>
      </c>
      <c r="AV86" s="100">
        <v>8</v>
      </c>
      <c r="AW86" s="100">
        <v>4320</v>
      </c>
      <c r="AX86" s="100">
        <v>13</v>
      </c>
      <c r="AY86" s="100">
        <v>7020</v>
      </c>
      <c r="AZ86" s="100">
        <v>10.641946914341943</v>
      </c>
      <c r="BA86" s="100">
        <v>5746.6513337446495</v>
      </c>
      <c r="BB86" s="100">
        <v>1.3415753334934544</v>
      </c>
      <c r="BC86" s="100">
        <v>724.45068008646535</v>
      </c>
      <c r="BD86" s="100">
        <v>14</v>
      </c>
      <c r="BE86" s="100">
        <v>7560</v>
      </c>
      <c r="BF86" s="100">
        <v>10</v>
      </c>
      <c r="BG86" s="100">
        <v>5400</v>
      </c>
      <c r="BH86" s="100">
        <v>12</v>
      </c>
      <c r="BI86" s="100">
        <v>6480</v>
      </c>
      <c r="BJ86" s="100">
        <v>2.0793100193982466</v>
      </c>
      <c r="BK86" s="100">
        <v>1122.8274104750531</v>
      </c>
      <c r="BL86" s="100">
        <v>11</v>
      </c>
      <c r="BM86" s="100">
        <v>5940</v>
      </c>
      <c r="BN86" s="100">
        <v>8.4526116320652793</v>
      </c>
      <c r="BO86" s="100">
        <v>4564.4102813152513</v>
      </c>
      <c r="BP86" s="100">
        <v>12</v>
      </c>
      <c r="BQ86" s="100">
        <v>6480</v>
      </c>
      <c r="BR86" s="100">
        <v>13</v>
      </c>
      <c r="BS86" s="100">
        <v>7020</v>
      </c>
      <c r="BT86" s="100">
        <v>10</v>
      </c>
      <c r="BU86" s="100">
        <v>5400</v>
      </c>
      <c r="BV86" s="100">
        <v>2.4967967258717376</v>
      </c>
      <c r="BW86" s="100">
        <v>1348.2702319707382</v>
      </c>
      <c r="BX86" s="100">
        <v>11</v>
      </c>
      <c r="BY86" s="100">
        <v>5940</v>
      </c>
      <c r="BZ86" s="100">
        <v>10.398002515532436</v>
      </c>
      <c r="CA86" s="100">
        <v>5614.9213583875153</v>
      </c>
      <c r="CB86" s="100">
        <v>9</v>
      </c>
      <c r="CC86" s="100">
        <v>4860</v>
      </c>
      <c r="CD86" s="100">
        <v>8</v>
      </c>
      <c r="CE86" s="100">
        <v>4320</v>
      </c>
      <c r="CF86" s="100">
        <v>11</v>
      </c>
      <c r="CG86" s="100">
        <v>5940</v>
      </c>
      <c r="CH86" s="100">
        <v>8</v>
      </c>
      <c r="CI86" s="100">
        <v>4320</v>
      </c>
      <c r="CJ86" s="100">
        <v>14</v>
      </c>
      <c r="CK86" s="100">
        <v>7560</v>
      </c>
      <c r="CL86" s="100">
        <v>11</v>
      </c>
      <c r="CM86" s="100">
        <v>5940</v>
      </c>
      <c r="CN86" s="100">
        <v>6.2002065447294861</v>
      </c>
      <c r="CO86" s="100">
        <v>3348.1115341539225</v>
      </c>
      <c r="CP86" s="100">
        <v>8.9098630612310536</v>
      </c>
      <c r="CQ86" s="100">
        <v>4811.3260530647685</v>
      </c>
      <c r="CR86" s="100">
        <v>10.132608204041322</v>
      </c>
      <c r="CS86" s="100">
        <v>5471.6084301823139</v>
      </c>
      <c r="CT86" s="100">
        <v>8.2149976475636173</v>
      </c>
      <c r="CU86" s="100">
        <v>4436.0987296843532</v>
      </c>
    </row>
    <row r="87" spans="2:99">
      <c r="B87" s="99" t="s">
        <v>131</v>
      </c>
      <c r="C87" s="99" t="s">
        <v>253</v>
      </c>
      <c r="D87" s="100">
        <v>6.0818886945484403</v>
      </c>
      <c r="E87" s="100">
        <v>6531.9484579450245</v>
      </c>
      <c r="F87" s="100">
        <v>5.9600582678014895</v>
      </c>
      <c r="G87" s="100">
        <v>6401.1025796187996</v>
      </c>
      <c r="H87" s="100">
        <v>2.6299790802933551</v>
      </c>
      <c r="I87" s="100">
        <v>2824.5975322350632</v>
      </c>
      <c r="J87" s="100">
        <v>6.3409109789489575</v>
      </c>
      <c r="K87" s="100">
        <v>6810.1383913911804</v>
      </c>
      <c r="L87" s="100">
        <v>7</v>
      </c>
      <c r="M87" s="100">
        <v>7518</v>
      </c>
      <c r="N87" s="100">
        <v>5</v>
      </c>
      <c r="O87" s="100">
        <v>5370</v>
      </c>
      <c r="P87" s="100">
        <v>7.1137967886895082</v>
      </c>
      <c r="Q87" s="100">
        <v>7640.2177510525316</v>
      </c>
      <c r="R87" s="100">
        <v>4.7963300994613904</v>
      </c>
      <c r="S87" s="100">
        <v>5151.2585268215335</v>
      </c>
      <c r="T87" s="100">
        <v>6</v>
      </c>
      <c r="U87" s="100">
        <v>6444</v>
      </c>
      <c r="V87" s="100">
        <v>6</v>
      </c>
      <c r="W87" s="100">
        <v>6444</v>
      </c>
      <c r="X87" s="100">
        <v>7.1551721385603049</v>
      </c>
      <c r="Y87" s="100">
        <v>7684.6548768137673</v>
      </c>
      <c r="Z87" s="100">
        <v>3.0215935011684802</v>
      </c>
      <c r="AA87" s="100">
        <v>3245.1914202549478</v>
      </c>
      <c r="AB87" s="100">
        <v>6.2372702802573725</v>
      </c>
      <c r="AC87" s="100">
        <v>6698.8282809964185</v>
      </c>
      <c r="AD87" s="100">
        <v>6</v>
      </c>
      <c r="AE87" s="100">
        <v>6444</v>
      </c>
      <c r="AF87" s="100">
        <v>4.0513267105997306</v>
      </c>
      <c r="AG87" s="100">
        <v>4351.1248871841108</v>
      </c>
      <c r="AH87" s="100">
        <v>7.1390742155976321E-23</v>
      </c>
      <c r="AI87" s="100">
        <v>7.6673657075518574E-20</v>
      </c>
      <c r="AJ87" s="100">
        <v>4.131790785183312E-23</v>
      </c>
      <c r="AK87" s="100">
        <v>4.4375433032868768E-20</v>
      </c>
      <c r="AL87" s="100">
        <v>3.2417224754499453E-23</v>
      </c>
      <c r="AM87" s="100">
        <v>3.4816099386332412E-20</v>
      </c>
      <c r="AN87" s="100">
        <v>6</v>
      </c>
      <c r="AO87" s="100">
        <v>6444</v>
      </c>
      <c r="AP87" s="100">
        <v>8.1022076837155073</v>
      </c>
      <c r="AQ87" s="100">
        <v>8701.7710523104543</v>
      </c>
      <c r="AR87" s="100">
        <v>6.8725848059209991</v>
      </c>
      <c r="AS87" s="100">
        <v>7381.1560815591529</v>
      </c>
      <c r="AT87" s="100">
        <v>7.2216113641274591</v>
      </c>
      <c r="AU87" s="100">
        <v>7756.0106050728909</v>
      </c>
      <c r="AV87" s="100">
        <v>7.662932058601915</v>
      </c>
      <c r="AW87" s="100">
        <v>8229.9890309384573</v>
      </c>
      <c r="AX87" s="100">
        <v>0</v>
      </c>
      <c r="AY87" s="100">
        <v>0</v>
      </c>
      <c r="AZ87" s="100">
        <v>5.7292949970855434</v>
      </c>
      <c r="BA87" s="100">
        <v>6153.2628268698736</v>
      </c>
      <c r="BB87" s="100">
        <v>9.0152141865904873</v>
      </c>
      <c r="BC87" s="100">
        <v>9682.3400363981837</v>
      </c>
      <c r="BD87" s="100">
        <v>9.0636830800667809</v>
      </c>
      <c r="BE87" s="100">
        <v>9734.395627991722</v>
      </c>
      <c r="BF87" s="100">
        <v>0.676280334932577</v>
      </c>
      <c r="BG87" s="100">
        <v>726.32507971758764</v>
      </c>
      <c r="BH87" s="100">
        <v>9</v>
      </c>
      <c r="BI87" s="100">
        <v>9666</v>
      </c>
      <c r="BJ87" s="100">
        <v>6.3304787482125207</v>
      </c>
      <c r="BK87" s="100">
        <v>6798.934175580247</v>
      </c>
      <c r="BL87" s="100">
        <v>5.9808250213478358</v>
      </c>
      <c r="BM87" s="100">
        <v>6423.4060729275752</v>
      </c>
      <c r="BN87" s="100">
        <v>12</v>
      </c>
      <c r="BO87" s="100">
        <v>12888</v>
      </c>
      <c r="BP87" s="100">
        <v>10</v>
      </c>
      <c r="BQ87" s="100">
        <v>10740</v>
      </c>
      <c r="BR87" s="100">
        <v>7.8566866472986572</v>
      </c>
      <c r="BS87" s="100">
        <v>8438.0814591987582</v>
      </c>
      <c r="BT87" s="100">
        <v>6.0998464148074945</v>
      </c>
      <c r="BU87" s="100">
        <v>6551.2350495032488</v>
      </c>
      <c r="BV87" s="100">
        <v>6.6313835122516567</v>
      </c>
      <c r="BW87" s="100">
        <v>7122.1058921582789</v>
      </c>
      <c r="BX87" s="100">
        <v>6.2237011643467319</v>
      </c>
      <c r="BY87" s="100">
        <v>6684.25505050839</v>
      </c>
      <c r="BZ87" s="100">
        <v>6.7284281490163149</v>
      </c>
      <c r="CA87" s="100">
        <v>7226.3318320435219</v>
      </c>
      <c r="CB87" s="100">
        <v>5.2332218936793566</v>
      </c>
      <c r="CC87" s="100">
        <v>5620.4803138116295</v>
      </c>
      <c r="CD87" s="100">
        <v>5.4091285119542931</v>
      </c>
      <c r="CE87" s="100">
        <v>5809.4040218389109</v>
      </c>
      <c r="CF87" s="100">
        <v>4.4856187660108775</v>
      </c>
      <c r="CG87" s="100">
        <v>4817.5545546956828</v>
      </c>
      <c r="CH87" s="100">
        <v>0.69985437710887599</v>
      </c>
      <c r="CI87" s="100">
        <v>751.64360101493287</v>
      </c>
      <c r="CJ87" s="100">
        <v>7</v>
      </c>
      <c r="CK87" s="100">
        <v>7518</v>
      </c>
      <c r="CL87" s="100">
        <v>7</v>
      </c>
      <c r="CM87" s="100">
        <v>7518</v>
      </c>
      <c r="CN87" s="100">
        <v>3.5070670795485812</v>
      </c>
      <c r="CO87" s="100">
        <v>3766.5900434351761</v>
      </c>
      <c r="CP87" s="100">
        <v>5.3109430109122187</v>
      </c>
      <c r="CQ87" s="100">
        <v>5703.9527937197226</v>
      </c>
      <c r="CR87" s="100">
        <v>0.62074040404439434</v>
      </c>
      <c r="CS87" s="100">
        <v>666.67519394367957</v>
      </c>
      <c r="CT87" s="100">
        <v>12</v>
      </c>
      <c r="CU87" s="100">
        <v>12888</v>
      </c>
    </row>
    <row r="88" spans="2:99">
      <c r="C88" s="99" t="s">
        <v>254</v>
      </c>
      <c r="D88" s="100">
        <v>6.7576541050538221</v>
      </c>
      <c r="E88" s="100">
        <v>6706.2959338554128</v>
      </c>
      <c r="F88" s="100">
        <v>5.9600582678014895</v>
      </c>
      <c r="G88" s="100">
        <v>5914.7618249661982</v>
      </c>
      <c r="H88" s="100">
        <v>2.6299790802933551</v>
      </c>
      <c r="I88" s="100">
        <v>2609.9912392831257</v>
      </c>
      <c r="J88" s="100">
        <v>7.0454566432766184</v>
      </c>
      <c r="K88" s="100">
        <v>6991.9111727877162</v>
      </c>
      <c r="L88" s="100">
        <v>6</v>
      </c>
      <c r="M88" s="100">
        <v>5954.4</v>
      </c>
      <c r="N88" s="100">
        <v>5</v>
      </c>
      <c r="O88" s="100">
        <v>4962</v>
      </c>
      <c r="P88" s="100">
        <v>8.6946405195093988</v>
      </c>
      <c r="Q88" s="100">
        <v>8628.5612515611265</v>
      </c>
      <c r="R88" s="100">
        <v>4.7963300994613904</v>
      </c>
      <c r="S88" s="100">
        <v>4759.8779907054841</v>
      </c>
      <c r="T88" s="100">
        <v>6</v>
      </c>
      <c r="U88" s="100">
        <v>5954.4</v>
      </c>
      <c r="V88" s="100">
        <v>6</v>
      </c>
      <c r="W88" s="100">
        <v>5954.4</v>
      </c>
      <c r="X88" s="100">
        <v>6.3601530120536047</v>
      </c>
      <c r="Y88" s="100">
        <v>6311.815849161997</v>
      </c>
      <c r="Z88" s="100">
        <v>2.6438943135224204</v>
      </c>
      <c r="AA88" s="100">
        <v>2623.8007167396499</v>
      </c>
      <c r="AB88" s="100">
        <v>6.2372702802573725</v>
      </c>
      <c r="AC88" s="100">
        <v>6189.8670261274165</v>
      </c>
      <c r="AD88" s="100">
        <v>5</v>
      </c>
      <c r="AE88" s="100">
        <v>4962</v>
      </c>
      <c r="AF88" s="100">
        <v>3.6011792983108712</v>
      </c>
      <c r="AG88" s="100">
        <v>3573.8103356437086</v>
      </c>
      <c r="AH88" s="100">
        <v>8.0314584925473363E-23</v>
      </c>
      <c r="AI88" s="100">
        <v>7.9704194080039767E-20</v>
      </c>
      <c r="AJ88" s="100">
        <v>4.5908786502036796E-23</v>
      </c>
      <c r="AK88" s="100">
        <v>4.5559879724621315E-20</v>
      </c>
      <c r="AL88" s="100">
        <v>3.2417224754499453E-23</v>
      </c>
      <c r="AM88" s="100">
        <v>3.2170853846365258E-20</v>
      </c>
      <c r="AN88" s="100">
        <v>6</v>
      </c>
      <c r="AO88" s="100">
        <v>5954.4</v>
      </c>
      <c r="AP88" s="100">
        <v>7.3656433488322781</v>
      </c>
      <c r="AQ88" s="100">
        <v>7309.6644593811525</v>
      </c>
      <c r="AR88" s="100">
        <v>6.8725848059209991</v>
      </c>
      <c r="AS88" s="100">
        <v>6820.3531613959995</v>
      </c>
      <c r="AT88" s="100">
        <v>8.0240126268082879</v>
      </c>
      <c r="AU88" s="100">
        <v>7963.0301308445451</v>
      </c>
      <c r="AV88" s="100">
        <v>8.5143689540021263</v>
      </c>
      <c r="AW88" s="100">
        <v>8449.6597499517102</v>
      </c>
      <c r="AX88" s="100">
        <v>0</v>
      </c>
      <c r="AY88" s="100">
        <v>0</v>
      </c>
      <c r="AZ88" s="100">
        <v>5.7292949970855434</v>
      </c>
      <c r="BA88" s="100">
        <v>5685.7523551076929</v>
      </c>
      <c r="BB88" s="100">
        <v>8.1956492605368076</v>
      </c>
      <c r="BC88" s="100">
        <v>8133.3623261567282</v>
      </c>
      <c r="BD88" s="100">
        <v>9.887654269163761</v>
      </c>
      <c r="BE88" s="100">
        <v>9812.5080967181166</v>
      </c>
      <c r="BF88" s="100">
        <v>0.82656485380648292</v>
      </c>
      <c r="BG88" s="100">
        <v>820.28296091755362</v>
      </c>
      <c r="BH88" s="100">
        <v>9</v>
      </c>
      <c r="BI88" s="100">
        <v>8931.6</v>
      </c>
      <c r="BJ88" s="100">
        <v>6.3304787482125207</v>
      </c>
      <c r="BK88" s="100">
        <v>6282.3671097261058</v>
      </c>
      <c r="BL88" s="100">
        <v>6.7284281490163149</v>
      </c>
      <c r="BM88" s="100">
        <v>6677.2920950837906</v>
      </c>
      <c r="BN88" s="100">
        <v>11</v>
      </c>
      <c r="BO88" s="100">
        <v>10916.4</v>
      </c>
      <c r="BP88" s="100">
        <v>11</v>
      </c>
      <c r="BQ88" s="100">
        <v>10916.4</v>
      </c>
      <c r="BR88" s="100">
        <v>7.8566866472986572</v>
      </c>
      <c r="BS88" s="100">
        <v>7796.9758287791874</v>
      </c>
      <c r="BT88" s="100">
        <v>6.0998464148074945</v>
      </c>
      <c r="BU88" s="100">
        <v>6053.4875820549578</v>
      </c>
      <c r="BV88" s="100">
        <v>7.3682039025018415</v>
      </c>
      <c r="BW88" s="100">
        <v>7312.2055528428273</v>
      </c>
      <c r="BX88" s="100">
        <v>6.2237011643467319</v>
      </c>
      <c r="BY88" s="100">
        <v>6176.4010354976963</v>
      </c>
      <c r="BZ88" s="100">
        <v>6.7284281490163149</v>
      </c>
      <c r="CA88" s="100">
        <v>6677.2920950837906</v>
      </c>
      <c r="CB88" s="100">
        <v>4.4856187660108775</v>
      </c>
      <c r="CC88" s="100">
        <v>4451.5280633891944</v>
      </c>
      <c r="CD88" s="100">
        <v>5.4091285119542931</v>
      </c>
      <c r="CE88" s="100">
        <v>5368.0191352634401</v>
      </c>
      <c r="CF88" s="100">
        <v>5.2332218936793566</v>
      </c>
      <c r="CG88" s="100">
        <v>5193.4494072873931</v>
      </c>
      <c r="CH88" s="100">
        <v>0.69985437710887599</v>
      </c>
      <c r="CI88" s="100">
        <v>694.53548384284852</v>
      </c>
      <c r="CJ88" s="100">
        <v>8</v>
      </c>
      <c r="CK88" s="100">
        <v>7939.2</v>
      </c>
      <c r="CL88" s="100">
        <v>7</v>
      </c>
      <c r="CM88" s="100">
        <v>6946.8</v>
      </c>
      <c r="CN88" s="100">
        <v>3.0686836946050087</v>
      </c>
      <c r="CO88" s="100">
        <v>3045.3616985260105</v>
      </c>
      <c r="CP88" s="100">
        <v>5.3109430109122187</v>
      </c>
      <c r="CQ88" s="100">
        <v>5270.5798440292856</v>
      </c>
      <c r="CR88" s="100">
        <v>0.68971156004932699</v>
      </c>
      <c r="CS88" s="100">
        <v>684.46975219295211</v>
      </c>
      <c r="CT88" s="100">
        <v>10</v>
      </c>
      <c r="CU88" s="100">
        <v>9924</v>
      </c>
    </row>
    <row r="89" spans="2:99">
      <c r="C89" s="99" t="s">
        <v>255</v>
      </c>
      <c r="D89" s="100">
        <v>6.7576541050538221</v>
      </c>
      <c r="E89" s="100">
        <v>7176.628659567159</v>
      </c>
      <c r="F89" s="100">
        <v>6.8114951632017027</v>
      </c>
      <c r="G89" s="100">
        <v>7233.8078633202085</v>
      </c>
      <c r="H89" s="100">
        <v>3.1559748963520264</v>
      </c>
      <c r="I89" s="100">
        <v>3351.6453399258521</v>
      </c>
      <c r="J89" s="100">
        <v>7.0454566432766184</v>
      </c>
      <c r="K89" s="100">
        <v>7482.274955159769</v>
      </c>
      <c r="L89" s="100">
        <v>7</v>
      </c>
      <c r="M89" s="100">
        <v>7434</v>
      </c>
      <c r="N89" s="100">
        <v>5</v>
      </c>
      <c r="O89" s="100">
        <v>5310</v>
      </c>
      <c r="P89" s="100">
        <v>7.1137967886895082</v>
      </c>
      <c r="Q89" s="100">
        <v>7554.8521895882577</v>
      </c>
      <c r="R89" s="100">
        <v>4.1111400852526208</v>
      </c>
      <c r="S89" s="100">
        <v>4366.0307705382829</v>
      </c>
      <c r="T89" s="100">
        <v>6</v>
      </c>
      <c r="U89" s="100">
        <v>6372</v>
      </c>
      <c r="V89" s="100">
        <v>7</v>
      </c>
      <c r="W89" s="100">
        <v>7434</v>
      </c>
      <c r="X89" s="100">
        <v>7.1551721385603049</v>
      </c>
      <c r="Y89" s="100">
        <v>7598.7928111510437</v>
      </c>
      <c r="Z89" s="100">
        <v>2.6438943135224204</v>
      </c>
      <c r="AA89" s="100">
        <v>2807.8157609608106</v>
      </c>
      <c r="AB89" s="100">
        <v>6.2372702802573725</v>
      </c>
      <c r="AC89" s="100">
        <v>6623.9810376333298</v>
      </c>
      <c r="AD89" s="100">
        <v>6</v>
      </c>
      <c r="AE89" s="100">
        <v>6372</v>
      </c>
      <c r="AF89" s="100">
        <v>4.0513267105997306</v>
      </c>
      <c r="AG89" s="100">
        <v>4302.5089666569138</v>
      </c>
      <c r="AH89" s="100">
        <v>7.1390742155976321E-23</v>
      </c>
      <c r="AI89" s="100">
        <v>7.5816968169646853E-20</v>
      </c>
      <c r="AJ89" s="100">
        <v>4.131790785183312E-23</v>
      </c>
      <c r="AK89" s="100">
        <v>4.3879618138646771E-20</v>
      </c>
      <c r="AL89" s="100">
        <v>2.8365071660187018E-23</v>
      </c>
      <c r="AM89" s="100">
        <v>3.0123706103118613E-20</v>
      </c>
      <c r="AN89" s="100">
        <v>7</v>
      </c>
      <c r="AO89" s="100">
        <v>7434</v>
      </c>
      <c r="AP89" s="100">
        <v>7.3656433488322781</v>
      </c>
      <c r="AQ89" s="100">
        <v>7822.3132364598796</v>
      </c>
      <c r="AR89" s="100">
        <v>6.8725848059209991</v>
      </c>
      <c r="AS89" s="100">
        <v>7298.6850638881015</v>
      </c>
      <c r="AT89" s="100">
        <v>8.0240126268082879</v>
      </c>
      <c r="AU89" s="100">
        <v>8521.5014096704017</v>
      </c>
      <c r="AV89" s="100">
        <v>7.662932058601915</v>
      </c>
      <c r="AW89" s="100">
        <v>8138.0338462352338</v>
      </c>
      <c r="AX89" s="100">
        <v>0</v>
      </c>
      <c r="AY89" s="100">
        <v>0</v>
      </c>
      <c r="AZ89" s="100">
        <v>6.4454568717212366</v>
      </c>
      <c r="BA89" s="100">
        <v>6845.0751977679529</v>
      </c>
      <c r="BB89" s="100">
        <v>9.0152141865904873</v>
      </c>
      <c r="BC89" s="100">
        <v>9574.1574661590967</v>
      </c>
      <c r="BD89" s="100">
        <v>9.0636830800667809</v>
      </c>
      <c r="BE89" s="100">
        <v>9625.6314310309208</v>
      </c>
      <c r="BF89" s="100">
        <v>0.75142259436952996</v>
      </c>
      <c r="BG89" s="100">
        <v>798.01079522044085</v>
      </c>
      <c r="BH89" s="100">
        <v>9</v>
      </c>
      <c r="BI89" s="100">
        <v>9558</v>
      </c>
      <c r="BJ89" s="100">
        <v>6.963526623033772</v>
      </c>
      <c r="BK89" s="100">
        <v>7395.2652736618656</v>
      </c>
      <c r="BL89" s="100">
        <v>5.2332218936793566</v>
      </c>
      <c r="BM89" s="100">
        <v>5557.6816510874769</v>
      </c>
      <c r="BN89" s="100">
        <v>11</v>
      </c>
      <c r="BO89" s="100">
        <v>11682</v>
      </c>
      <c r="BP89" s="100">
        <v>11</v>
      </c>
      <c r="BQ89" s="100">
        <v>11682</v>
      </c>
      <c r="BR89" s="100">
        <v>7.8566866472986572</v>
      </c>
      <c r="BS89" s="100">
        <v>8343.8012194311741</v>
      </c>
      <c r="BT89" s="100">
        <v>6.8623272166584304</v>
      </c>
      <c r="BU89" s="100">
        <v>7287.791504091253</v>
      </c>
      <c r="BV89" s="100">
        <v>5.8945631220014736</v>
      </c>
      <c r="BW89" s="100">
        <v>6260.0260355655646</v>
      </c>
      <c r="BX89" s="100">
        <v>6.2237011643467319</v>
      </c>
      <c r="BY89" s="100">
        <v>6609.5706365362294</v>
      </c>
      <c r="BZ89" s="100">
        <v>6.7284281490163149</v>
      </c>
      <c r="CA89" s="100">
        <v>7145.5906942553265</v>
      </c>
      <c r="CB89" s="100">
        <v>4.4856187660108775</v>
      </c>
      <c r="CC89" s="100">
        <v>4763.7271295035516</v>
      </c>
      <c r="CD89" s="100">
        <v>5.4091285119542931</v>
      </c>
      <c r="CE89" s="100">
        <v>5744.4944796954596</v>
      </c>
      <c r="CF89" s="100">
        <v>5.2332218936793566</v>
      </c>
      <c r="CG89" s="100">
        <v>5557.6816510874769</v>
      </c>
      <c r="CH89" s="100">
        <v>0.62986893939798838</v>
      </c>
      <c r="CI89" s="100">
        <v>668.92081364066371</v>
      </c>
      <c r="CJ89" s="100">
        <v>7</v>
      </c>
      <c r="CK89" s="100">
        <v>7434</v>
      </c>
      <c r="CL89" s="100">
        <v>8</v>
      </c>
      <c r="CM89" s="100">
        <v>8496</v>
      </c>
      <c r="CN89" s="100">
        <v>3.0686836946050087</v>
      </c>
      <c r="CO89" s="100">
        <v>3258.9420836705194</v>
      </c>
      <c r="CP89" s="100">
        <v>5.3109430109122187</v>
      </c>
      <c r="CQ89" s="100">
        <v>5640.221477588776</v>
      </c>
      <c r="CR89" s="100">
        <v>0.68971156004932699</v>
      </c>
      <c r="CS89" s="100">
        <v>732.47367677238526</v>
      </c>
      <c r="CT89" s="100">
        <v>11</v>
      </c>
      <c r="CU89" s="100">
        <v>11682</v>
      </c>
    </row>
    <row r="90" spans="2:99">
      <c r="C90" s="99" t="s">
        <v>256</v>
      </c>
      <c r="D90" s="100">
        <v>6.0818886945484403</v>
      </c>
      <c r="E90" s="100">
        <v>6743.5981845153101</v>
      </c>
      <c r="F90" s="100">
        <v>5.1086213724012763</v>
      </c>
      <c r="G90" s="100">
        <v>5664.4393777185351</v>
      </c>
      <c r="H90" s="100">
        <v>2.6299790802933551</v>
      </c>
      <c r="I90" s="100">
        <v>2916.1208042292719</v>
      </c>
      <c r="J90" s="100">
        <v>5.6363653146212949</v>
      </c>
      <c r="K90" s="100">
        <v>6249.6018608520917</v>
      </c>
      <c r="L90" s="100">
        <v>6</v>
      </c>
      <c r="M90" s="100">
        <v>6652.7999999999993</v>
      </c>
      <c r="N90" s="100">
        <v>6</v>
      </c>
      <c r="O90" s="100">
        <v>6652.7999999999993</v>
      </c>
      <c r="P90" s="100">
        <v>7.1137967886895082</v>
      </c>
      <c r="Q90" s="100">
        <v>7887.7778792989266</v>
      </c>
      <c r="R90" s="100">
        <v>4.7963300994613904</v>
      </c>
      <c r="S90" s="100">
        <v>5318.1708142827893</v>
      </c>
      <c r="T90" s="100">
        <v>6</v>
      </c>
      <c r="U90" s="100">
        <v>6652.7999999999993</v>
      </c>
      <c r="V90" s="100">
        <v>6</v>
      </c>
      <c r="W90" s="100">
        <v>6652.7999999999993</v>
      </c>
      <c r="X90" s="100">
        <v>7.1551721385603049</v>
      </c>
      <c r="Y90" s="100">
        <v>7933.6548672356657</v>
      </c>
      <c r="Z90" s="100">
        <v>3.0215935011684802</v>
      </c>
      <c r="AA90" s="100">
        <v>3350.3428740956106</v>
      </c>
      <c r="AB90" s="100">
        <v>6.2372702802573725</v>
      </c>
      <c r="AC90" s="100">
        <v>6915.8852867493742</v>
      </c>
      <c r="AD90" s="100">
        <v>5</v>
      </c>
      <c r="AE90" s="100">
        <v>5544</v>
      </c>
      <c r="AF90" s="100">
        <v>3.6011792983108712</v>
      </c>
      <c r="AG90" s="100">
        <v>3992.9876059670937</v>
      </c>
      <c r="AH90" s="100">
        <v>8.0314584925473363E-23</v>
      </c>
      <c r="AI90" s="100">
        <v>8.9052811765364862E-20</v>
      </c>
      <c r="AJ90" s="100">
        <v>4.131790785183312E-23</v>
      </c>
      <c r="AK90" s="100">
        <v>4.581329622611256E-20</v>
      </c>
      <c r="AL90" s="100">
        <v>2.8365071660187018E-23</v>
      </c>
      <c r="AM90" s="100">
        <v>3.1451191456815362E-20</v>
      </c>
      <c r="AN90" s="100">
        <v>6</v>
      </c>
      <c r="AO90" s="100">
        <v>6652.7999999999993</v>
      </c>
      <c r="AP90" s="100">
        <v>7.3656433488322781</v>
      </c>
      <c r="AQ90" s="100">
        <v>8167.0253451852295</v>
      </c>
      <c r="AR90" s="100">
        <v>6.8725848059209991</v>
      </c>
      <c r="AS90" s="100">
        <v>7620.3220328052039</v>
      </c>
      <c r="AT90" s="100">
        <v>8.0240126268082879</v>
      </c>
      <c r="AU90" s="100">
        <v>8897.0252006050287</v>
      </c>
      <c r="AV90" s="100">
        <v>7.662932058601915</v>
      </c>
      <c r="AW90" s="100">
        <v>8496.6590665778022</v>
      </c>
      <c r="AX90" s="100">
        <v>0</v>
      </c>
      <c r="AY90" s="100">
        <v>0</v>
      </c>
      <c r="AZ90" s="100">
        <v>6.4454568717212366</v>
      </c>
      <c r="BA90" s="100">
        <v>7146.7225793645066</v>
      </c>
      <c r="BB90" s="100">
        <v>9.0152141865904873</v>
      </c>
      <c r="BC90" s="100">
        <v>9996.0694900915314</v>
      </c>
      <c r="BD90" s="100">
        <v>9.0636830800667809</v>
      </c>
      <c r="BE90" s="100">
        <v>10049.811799178045</v>
      </c>
      <c r="BF90" s="100">
        <v>0.75142259436952996</v>
      </c>
      <c r="BG90" s="100">
        <v>833.17737263693482</v>
      </c>
      <c r="BH90" s="100">
        <v>9</v>
      </c>
      <c r="BI90" s="100">
        <v>9979.1999999999989</v>
      </c>
      <c r="BJ90" s="100">
        <v>6.963526623033772</v>
      </c>
      <c r="BK90" s="100">
        <v>7721.1583196198462</v>
      </c>
      <c r="BL90" s="100">
        <v>6.7284281490163149</v>
      </c>
      <c r="BM90" s="100">
        <v>7460.4811316292898</v>
      </c>
      <c r="BN90" s="100">
        <v>12</v>
      </c>
      <c r="BO90" s="100">
        <v>13305.599999999999</v>
      </c>
      <c r="BP90" s="100">
        <v>10</v>
      </c>
      <c r="BQ90" s="100">
        <v>11088</v>
      </c>
      <c r="BR90" s="100">
        <v>7.8566866472986572</v>
      </c>
      <c r="BS90" s="100">
        <v>8711.4941545247511</v>
      </c>
      <c r="BT90" s="100">
        <v>6.8623272166584304</v>
      </c>
      <c r="BU90" s="100">
        <v>7608.9484178308676</v>
      </c>
      <c r="BV90" s="100">
        <v>7.3682039025018415</v>
      </c>
      <c r="BW90" s="100">
        <v>8169.8644870940416</v>
      </c>
      <c r="BX90" s="100">
        <v>5.4457385188033918</v>
      </c>
      <c r="BY90" s="100">
        <v>6038.2348696492008</v>
      </c>
      <c r="BZ90" s="100">
        <v>6.7284281490163149</v>
      </c>
      <c r="CA90" s="100">
        <v>7460.4811316292898</v>
      </c>
      <c r="CB90" s="100">
        <v>4.4856187660108775</v>
      </c>
      <c r="CC90" s="100">
        <v>4973.6540877528605</v>
      </c>
      <c r="CD90" s="100">
        <v>5.4091285119542931</v>
      </c>
      <c r="CE90" s="100">
        <v>5997.6416940549198</v>
      </c>
      <c r="CF90" s="100">
        <v>4.4856187660108775</v>
      </c>
      <c r="CG90" s="100">
        <v>4973.6540877528605</v>
      </c>
      <c r="CH90" s="100">
        <v>0.62986893939798838</v>
      </c>
      <c r="CI90" s="100">
        <v>698.39868000448951</v>
      </c>
      <c r="CJ90" s="100">
        <v>7</v>
      </c>
      <c r="CK90" s="100">
        <v>7761.5999999999995</v>
      </c>
      <c r="CL90" s="100">
        <v>7</v>
      </c>
      <c r="CM90" s="100">
        <v>7761.5999999999995</v>
      </c>
      <c r="CN90" s="100">
        <v>3.0686836946050087</v>
      </c>
      <c r="CO90" s="100">
        <v>3402.5564805780336</v>
      </c>
      <c r="CP90" s="100">
        <v>5.3109430109122187</v>
      </c>
      <c r="CQ90" s="100">
        <v>5888.7736104994674</v>
      </c>
      <c r="CR90" s="100">
        <v>0.75868271605425974</v>
      </c>
      <c r="CS90" s="100">
        <v>841.22739556096315</v>
      </c>
      <c r="CT90" s="100">
        <v>11</v>
      </c>
      <c r="CU90" s="100">
        <v>12196.8</v>
      </c>
    </row>
    <row r="91" spans="2:99">
      <c r="C91" s="99" t="s">
        <v>257</v>
      </c>
      <c r="D91" s="100">
        <v>6.7576541050538221</v>
      </c>
      <c r="E91" s="100">
        <v>7679.3981249831622</v>
      </c>
      <c r="F91" s="100">
        <v>5.9600582678014895</v>
      </c>
      <c r="G91" s="100">
        <v>6773.0102155296117</v>
      </c>
      <c r="H91" s="100">
        <v>2.6299790802933551</v>
      </c>
      <c r="I91" s="100">
        <v>2988.7082268453682</v>
      </c>
      <c r="J91" s="100">
        <v>5.6363653146212949</v>
      </c>
      <c r="K91" s="100">
        <v>6405.1655435356388</v>
      </c>
      <c r="L91" s="100">
        <v>6</v>
      </c>
      <c r="M91" s="100">
        <v>6818.4</v>
      </c>
      <c r="N91" s="100">
        <v>5</v>
      </c>
      <c r="O91" s="100">
        <v>5681.9999999999991</v>
      </c>
      <c r="P91" s="100">
        <v>7.9042186540994521</v>
      </c>
      <c r="Q91" s="100">
        <v>8982.354078518616</v>
      </c>
      <c r="R91" s="100">
        <v>4.1111400852526208</v>
      </c>
      <c r="S91" s="100">
        <v>4671.8995928810773</v>
      </c>
      <c r="T91" s="100">
        <v>6</v>
      </c>
      <c r="U91" s="100">
        <v>6818.4</v>
      </c>
      <c r="V91" s="100">
        <v>6</v>
      </c>
      <c r="W91" s="100">
        <v>6818.4</v>
      </c>
      <c r="X91" s="100">
        <v>7.1551721385603049</v>
      </c>
      <c r="Y91" s="100">
        <v>8131.1376182599297</v>
      </c>
      <c r="Z91" s="100">
        <v>2.6438943135224204</v>
      </c>
      <c r="AA91" s="100">
        <v>3004.521497886878</v>
      </c>
      <c r="AB91" s="100">
        <v>6.2372702802573725</v>
      </c>
      <c r="AC91" s="100">
        <v>7088.0339464844774</v>
      </c>
      <c r="AD91" s="100">
        <v>6</v>
      </c>
      <c r="AE91" s="100">
        <v>6818.4</v>
      </c>
      <c r="AF91" s="100">
        <v>3.6011792983108712</v>
      </c>
      <c r="AG91" s="100">
        <v>4092.3801546004738</v>
      </c>
      <c r="AH91" s="100">
        <v>6.246689938647928E-23</v>
      </c>
      <c r="AI91" s="100">
        <v>7.0987384462795046E-20</v>
      </c>
      <c r="AJ91" s="100">
        <v>4.131790785183312E-23</v>
      </c>
      <c r="AK91" s="100">
        <v>4.6953670482823154E-20</v>
      </c>
      <c r="AL91" s="100">
        <v>2.8365071660187018E-23</v>
      </c>
      <c r="AM91" s="100">
        <v>3.2234067434636521E-20</v>
      </c>
      <c r="AN91" s="100">
        <v>6</v>
      </c>
      <c r="AO91" s="100">
        <v>6818.4</v>
      </c>
      <c r="AP91" s="100">
        <v>8.1022076837155073</v>
      </c>
      <c r="AQ91" s="100">
        <v>9207.3488117743018</v>
      </c>
      <c r="AR91" s="100">
        <v>6.8725848059209991</v>
      </c>
      <c r="AS91" s="100">
        <v>7810.0053734486228</v>
      </c>
      <c r="AT91" s="100">
        <v>8.0240126268082879</v>
      </c>
      <c r="AU91" s="100">
        <v>9118.4879491049378</v>
      </c>
      <c r="AV91" s="100">
        <v>7.662932058601915</v>
      </c>
      <c r="AW91" s="100">
        <v>8708.1559913952151</v>
      </c>
      <c r="AX91" s="100">
        <v>0</v>
      </c>
      <c r="AY91" s="100">
        <v>0</v>
      </c>
      <c r="AZ91" s="100">
        <v>5.0131331224498501</v>
      </c>
      <c r="BA91" s="100">
        <v>5696.9244803520087</v>
      </c>
      <c r="BB91" s="100">
        <v>8.1956492605368076</v>
      </c>
      <c r="BC91" s="100">
        <v>9313.5358196740272</v>
      </c>
      <c r="BD91" s="100">
        <v>8.2397118909698008</v>
      </c>
      <c r="BE91" s="100">
        <v>9363.608592898081</v>
      </c>
      <c r="BF91" s="100">
        <v>0.75142259436952996</v>
      </c>
      <c r="BG91" s="100">
        <v>853.91663624153375</v>
      </c>
      <c r="BH91" s="100">
        <v>9</v>
      </c>
      <c r="BI91" s="100">
        <v>10227.599999999999</v>
      </c>
      <c r="BJ91" s="100">
        <v>7.5965744978550243</v>
      </c>
      <c r="BK91" s="100">
        <v>8632.7472593624479</v>
      </c>
      <c r="BL91" s="100">
        <v>5.2332218936793566</v>
      </c>
      <c r="BM91" s="100">
        <v>5947.0333599772202</v>
      </c>
      <c r="BN91" s="100">
        <v>12</v>
      </c>
      <c r="BO91" s="100">
        <v>13636.8</v>
      </c>
      <c r="BP91" s="100">
        <v>9</v>
      </c>
      <c r="BQ91" s="100">
        <v>10227.599999999999</v>
      </c>
      <c r="BR91" s="100">
        <v>7.8566866472986572</v>
      </c>
      <c r="BS91" s="100">
        <v>8928.3387059901925</v>
      </c>
      <c r="BT91" s="100">
        <v>6.8623272166584304</v>
      </c>
      <c r="BU91" s="100">
        <v>7798.3486490106397</v>
      </c>
      <c r="BV91" s="100">
        <v>7.3682039025018415</v>
      </c>
      <c r="BW91" s="100">
        <v>8373.2269148030919</v>
      </c>
      <c r="BX91" s="100">
        <v>6.2237011643467319</v>
      </c>
      <c r="BY91" s="100">
        <v>7072.6140031636251</v>
      </c>
      <c r="BZ91" s="100">
        <v>5.9808250213478358</v>
      </c>
      <c r="CA91" s="100">
        <v>6796.6095542596795</v>
      </c>
      <c r="CB91" s="100">
        <v>4.4856187660108775</v>
      </c>
      <c r="CC91" s="100">
        <v>5097.457165694761</v>
      </c>
      <c r="CD91" s="100">
        <v>4.5076070932952437</v>
      </c>
      <c r="CE91" s="100">
        <v>5122.4447008207144</v>
      </c>
      <c r="CF91" s="100">
        <v>4.4856187660108775</v>
      </c>
      <c r="CG91" s="100">
        <v>5097.457165694761</v>
      </c>
      <c r="CH91" s="100">
        <v>0.62986893939798838</v>
      </c>
      <c r="CI91" s="100">
        <v>715.78306273187388</v>
      </c>
      <c r="CJ91" s="100">
        <v>8</v>
      </c>
      <c r="CK91" s="100">
        <v>9091.1999999999989</v>
      </c>
      <c r="CL91" s="100">
        <v>8</v>
      </c>
      <c r="CM91" s="100">
        <v>9091.1999999999989</v>
      </c>
      <c r="CN91" s="100">
        <v>3.5070670795485812</v>
      </c>
      <c r="CO91" s="100">
        <v>3985.4310291990073</v>
      </c>
      <c r="CP91" s="100">
        <v>5.3109430109122187</v>
      </c>
      <c r="CQ91" s="100">
        <v>6035.3556376006445</v>
      </c>
      <c r="CR91" s="100">
        <v>0.62074040404439434</v>
      </c>
      <c r="CS91" s="100">
        <v>705.40939515604964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6.0818886945484403</v>
      </c>
      <c r="E92" s="100">
        <v>4773.0662474816154</v>
      </c>
      <c r="F92" s="100">
        <v>6.8114951632017027</v>
      </c>
      <c r="G92" s="100">
        <v>5345.6614040806962</v>
      </c>
      <c r="H92" s="100">
        <v>2.6299790802933551</v>
      </c>
      <c r="I92" s="100">
        <v>2064.0075822142248</v>
      </c>
      <c r="J92" s="100">
        <v>7.0454566432766184</v>
      </c>
      <c r="K92" s="100">
        <v>5529.2743736434895</v>
      </c>
      <c r="L92" s="100">
        <v>7</v>
      </c>
      <c r="M92" s="100">
        <v>5493.5999999999995</v>
      </c>
      <c r="N92" s="100">
        <v>5</v>
      </c>
      <c r="O92" s="100">
        <v>3924</v>
      </c>
      <c r="P92" s="100">
        <v>8.6946405195093988</v>
      </c>
      <c r="Q92" s="100">
        <v>6823.5538797109757</v>
      </c>
      <c r="R92" s="100">
        <v>4.7963300994613904</v>
      </c>
      <c r="S92" s="100">
        <v>3764.1598620572991</v>
      </c>
      <c r="T92" s="100">
        <v>6</v>
      </c>
      <c r="U92" s="100">
        <v>4708.7999999999993</v>
      </c>
      <c r="V92" s="100">
        <v>6</v>
      </c>
      <c r="W92" s="100">
        <v>4708.7999999999993</v>
      </c>
      <c r="X92" s="100">
        <v>6.3601530120536047</v>
      </c>
      <c r="Y92" s="100">
        <v>4991.4480838596683</v>
      </c>
      <c r="Z92" s="100">
        <v>2.6438943135224204</v>
      </c>
      <c r="AA92" s="100">
        <v>2074.9282572523953</v>
      </c>
      <c r="AB92" s="100">
        <v>7.1283088917227113</v>
      </c>
      <c r="AC92" s="100">
        <v>5594.2968182239838</v>
      </c>
      <c r="AD92" s="100">
        <v>6</v>
      </c>
      <c r="AE92" s="100">
        <v>4708.7999999999993</v>
      </c>
      <c r="AF92" s="100">
        <v>3.6011792983108712</v>
      </c>
      <c r="AG92" s="100">
        <v>2826.2055133143717</v>
      </c>
      <c r="AH92" s="100">
        <v>8.0314584925473363E-23</v>
      </c>
      <c r="AI92" s="100">
        <v>6.3030886249511488E-20</v>
      </c>
      <c r="AJ92" s="100">
        <v>4.131790785183312E-23</v>
      </c>
      <c r="AK92" s="100">
        <v>3.2426294082118629E-20</v>
      </c>
      <c r="AL92" s="100">
        <v>3.2417224754499453E-23</v>
      </c>
      <c r="AM92" s="100">
        <v>2.5441037987331169E-20</v>
      </c>
      <c r="AN92" s="100">
        <v>7</v>
      </c>
      <c r="AO92" s="100">
        <v>5493.5999999999995</v>
      </c>
      <c r="AP92" s="100">
        <v>8.1022076837155073</v>
      </c>
      <c r="AQ92" s="100">
        <v>6358.6125901799296</v>
      </c>
      <c r="AR92" s="100">
        <v>6.8725848059209991</v>
      </c>
      <c r="AS92" s="100">
        <v>5393.6045556867994</v>
      </c>
      <c r="AT92" s="100">
        <v>7.2216113641274591</v>
      </c>
      <c r="AU92" s="100">
        <v>5667.5205985672292</v>
      </c>
      <c r="AV92" s="100">
        <v>8.5143689540021263</v>
      </c>
      <c r="AW92" s="100">
        <v>6682.0767551008685</v>
      </c>
      <c r="AX92" s="100">
        <v>0</v>
      </c>
      <c r="AY92" s="100">
        <v>0</v>
      </c>
      <c r="AZ92" s="100">
        <v>6.4454568717212366</v>
      </c>
      <c r="BA92" s="100">
        <v>5058.3945529268258</v>
      </c>
      <c r="BB92" s="100">
        <v>9.0152141865904873</v>
      </c>
      <c r="BC92" s="100">
        <v>7075.1400936362143</v>
      </c>
      <c r="BD92" s="100">
        <v>9.0636830800667809</v>
      </c>
      <c r="BE92" s="100">
        <v>7113.1784812364094</v>
      </c>
      <c r="BF92" s="100">
        <v>0.75142259436952996</v>
      </c>
      <c r="BG92" s="100">
        <v>589.71645206120706</v>
      </c>
      <c r="BH92" s="100">
        <v>9</v>
      </c>
      <c r="BI92" s="100">
        <v>7063.2</v>
      </c>
      <c r="BJ92" s="100">
        <v>6.3304787482125207</v>
      </c>
      <c r="BK92" s="100">
        <v>4968.159721597186</v>
      </c>
      <c r="BL92" s="100">
        <v>6.7284281490163149</v>
      </c>
      <c r="BM92" s="100">
        <v>5280.4704113480038</v>
      </c>
      <c r="BN92" s="100">
        <v>11</v>
      </c>
      <c r="BO92" s="100">
        <v>8632.7999999999993</v>
      </c>
      <c r="BP92" s="100">
        <v>10</v>
      </c>
      <c r="BQ92" s="100">
        <v>7848</v>
      </c>
      <c r="BR92" s="100">
        <v>7.8566866472986572</v>
      </c>
      <c r="BS92" s="100">
        <v>6165.9276807999859</v>
      </c>
      <c r="BT92" s="100">
        <v>6.0998464148074945</v>
      </c>
      <c r="BU92" s="100">
        <v>4787.1594663409214</v>
      </c>
      <c r="BV92" s="100">
        <v>6.6313835122516567</v>
      </c>
      <c r="BW92" s="100">
        <v>5204.3097804151002</v>
      </c>
      <c r="BX92" s="100">
        <v>7.0016638098900739</v>
      </c>
      <c r="BY92" s="100">
        <v>5494.9057580017297</v>
      </c>
      <c r="BZ92" s="100">
        <v>5.9808250213478358</v>
      </c>
      <c r="CA92" s="100">
        <v>4693.7514767537814</v>
      </c>
      <c r="CB92" s="100">
        <v>4.4856187660108775</v>
      </c>
      <c r="CC92" s="100">
        <v>3520.3136075653365</v>
      </c>
      <c r="CD92" s="100">
        <v>5.4091285119542931</v>
      </c>
      <c r="CE92" s="100">
        <v>4245.0840561817286</v>
      </c>
      <c r="CF92" s="100">
        <v>5.2332218936793566</v>
      </c>
      <c r="CG92" s="100">
        <v>4107.0325421595589</v>
      </c>
      <c r="CH92" s="100">
        <v>0.69985437710887599</v>
      </c>
      <c r="CI92" s="100">
        <v>549.2457151550459</v>
      </c>
      <c r="CJ92" s="100">
        <v>7</v>
      </c>
      <c r="CK92" s="100">
        <v>5493.5999999999995</v>
      </c>
      <c r="CL92" s="100">
        <v>7</v>
      </c>
      <c r="CM92" s="100">
        <v>5493.5999999999995</v>
      </c>
      <c r="CN92" s="100">
        <v>3.0686836946050087</v>
      </c>
      <c r="CO92" s="100">
        <v>2408.3029635260104</v>
      </c>
      <c r="CP92" s="100">
        <v>5.3109430109122187</v>
      </c>
      <c r="CQ92" s="100">
        <v>4168.0280749639087</v>
      </c>
      <c r="CR92" s="100">
        <v>0.75868271605425974</v>
      </c>
      <c r="CS92" s="100">
        <v>595.41419555938296</v>
      </c>
      <c r="CT92" s="100">
        <v>10</v>
      </c>
      <c r="CU92" s="100">
        <v>7848</v>
      </c>
    </row>
    <row r="93" spans="2:99">
      <c r="C93" s="99" t="s">
        <v>259</v>
      </c>
      <c r="D93" s="100">
        <v>6.7576541050538221</v>
      </c>
      <c r="E93" s="100">
        <v>4687.1088872653308</v>
      </c>
      <c r="F93" s="100">
        <v>5.9600582678014895</v>
      </c>
      <c r="G93" s="100">
        <v>4133.8964145471136</v>
      </c>
      <c r="H93" s="100">
        <v>3.1559748963520264</v>
      </c>
      <c r="I93" s="100">
        <v>2188.9841881097655</v>
      </c>
      <c r="J93" s="100">
        <v>7.0454566432766184</v>
      </c>
      <c r="K93" s="100">
        <v>4886.7287277766627</v>
      </c>
      <c r="L93" s="100">
        <v>7</v>
      </c>
      <c r="M93" s="100">
        <v>4855.2</v>
      </c>
      <c r="N93" s="100">
        <v>6</v>
      </c>
      <c r="O93" s="100">
        <v>4161.6000000000004</v>
      </c>
      <c r="P93" s="100">
        <v>7.9042186540994521</v>
      </c>
      <c r="Q93" s="100">
        <v>5482.3660584833806</v>
      </c>
      <c r="R93" s="100">
        <v>4.7963300994613904</v>
      </c>
      <c r="S93" s="100">
        <v>3326.7345569864206</v>
      </c>
      <c r="T93" s="100">
        <v>6</v>
      </c>
      <c r="U93" s="100">
        <v>4161.6000000000004</v>
      </c>
      <c r="V93" s="100">
        <v>6</v>
      </c>
      <c r="W93" s="100">
        <v>4161.6000000000004</v>
      </c>
      <c r="X93" s="100">
        <v>7.1551721385603049</v>
      </c>
      <c r="Y93" s="100">
        <v>4962.8273953054277</v>
      </c>
      <c r="Z93" s="100">
        <v>2.6438943135224204</v>
      </c>
      <c r="AA93" s="100">
        <v>1833.8050958591509</v>
      </c>
      <c r="AB93" s="100">
        <v>7.1283088917227113</v>
      </c>
      <c r="AC93" s="100">
        <v>4944.1950472988729</v>
      </c>
      <c r="AD93" s="100">
        <v>5</v>
      </c>
      <c r="AE93" s="100">
        <v>3468</v>
      </c>
      <c r="AF93" s="100">
        <v>3.6011792983108712</v>
      </c>
      <c r="AG93" s="100">
        <v>2497.7779613084203</v>
      </c>
      <c r="AH93" s="100">
        <v>7.1390742155976321E-23</v>
      </c>
      <c r="AI93" s="100">
        <v>4.9516618759385178E-20</v>
      </c>
      <c r="AJ93" s="100">
        <v>4.5908786502036796E-23</v>
      </c>
      <c r="AK93" s="100">
        <v>3.184233431781272E-20</v>
      </c>
      <c r="AL93" s="100">
        <v>3.2417224754499453E-23</v>
      </c>
      <c r="AM93" s="100">
        <v>2.248458708972082E-20</v>
      </c>
      <c r="AN93" s="100">
        <v>6</v>
      </c>
      <c r="AO93" s="100">
        <v>4161.6000000000004</v>
      </c>
      <c r="AP93" s="100">
        <v>7.3656433488322781</v>
      </c>
      <c r="AQ93" s="100">
        <v>5108.8102267500681</v>
      </c>
      <c r="AR93" s="100">
        <v>6.1853263253288997</v>
      </c>
      <c r="AS93" s="100">
        <v>4290.1423392481247</v>
      </c>
      <c r="AT93" s="100">
        <v>7.2216113641274591</v>
      </c>
      <c r="AU93" s="100">
        <v>5008.9096421588056</v>
      </c>
      <c r="AV93" s="100">
        <v>7.662932058601915</v>
      </c>
      <c r="AW93" s="100">
        <v>5315.0096758462887</v>
      </c>
      <c r="AX93" s="100">
        <v>0</v>
      </c>
      <c r="AY93" s="100">
        <v>0</v>
      </c>
      <c r="AZ93" s="100">
        <v>6.4454568717212366</v>
      </c>
      <c r="BA93" s="100">
        <v>4470.5688862258503</v>
      </c>
      <c r="BB93" s="100">
        <v>8.1956492605368076</v>
      </c>
      <c r="BC93" s="100">
        <v>5684.5023271083301</v>
      </c>
      <c r="BD93" s="100">
        <v>9.887654269163761</v>
      </c>
      <c r="BE93" s="100">
        <v>6858.077001091985</v>
      </c>
      <c r="BF93" s="100">
        <v>0.75142259436952996</v>
      </c>
      <c r="BG93" s="100">
        <v>521.18671145470603</v>
      </c>
      <c r="BH93" s="100">
        <v>9</v>
      </c>
      <c r="BI93" s="100">
        <v>6242.4000000000005</v>
      </c>
      <c r="BJ93" s="100">
        <v>6.3304787482125207</v>
      </c>
      <c r="BK93" s="100">
        <v>4390.8200597602045</v>
      </c>
      <c r="BL93" s="100">
        <v>6.7284281490163149</v>
      </c>
      <c r="BM93" s="100">
        <v>4666.8377641577163</v>
      </c>
      <c r="BN93" s="100">
        <v>11</v>
      </c>
      <c r="BO93" s="100">
        <v>7629.6</v>
      </c>
      <c r="BP93" s="100">
        <v>10</v>
      </c>
      <c r="BQ93" s="100">
        <v>6936</v>
      </c>
      <c r="BR93" s="100">
        <v>7.8566866472986572</v>
      </c>
      <c r="BS93" s="100">
        <v>5449.397858566349</v>
      </c>
      <c r="BT93" s="100">
        <v>6.8623272166584304</v>
      </c>
      <c r="BU93" s="100">
        <v>4759.7101574742874</v>
      </c>
      <c r="BV93" s="100">
        <v>7.3682039025018415</v>
      </c>
      <c r="BW93" s="100">
        <v>5110.5862267752773</v>
      </c>
      <c r="BX93" s="100">
        <v>7.0016638098900739</v>
      </c>
      <c r="BY93" s="100">
        <v>4856.3540185397551</v>
      </c>
      <c r="BZ93" s="100">
        <v>5.9808250213478358</v>
      </c>
      <c r="CA93" s="100">
        <v>4148.3002348068594</v>
      </c>
      <c r="CB93" s="100">
        <v>5.2332218936793566</v>
      </c>
      <c r="CC93" s="100">
        <v>3629.7627054560021</v>
      </c>
      <c r="CD93" s="100">
        <v>5.4091285119542931</v>
      </c>
      <c r="CE93" s="100">
        <v>3751.7715358914979</v>
      </c>
      <c r="CF93" s="100">
        <v>4.4856187660108775</v>
      </c>
      <c r="CG93" s="100">
        <v>3111.2251761051448</v>
      </c>
      <c r="CH93" s="100">
        <v>0.7698398148197636</v>
      </c>
      <c r="CI93" s="100">
        <v>533.960895558988</v>
      </c>
      <c r="CJ93" s="100">
        <v>8</v>
      </c>
      <c r="CK93" s="100">
        <v>5548.8</v>
      </c>
      <c r="CL93" s="100">
        <v>7</v>
      </c>
      <c r="CM93" s="100">
        <v>4855.2</v>
      </c>
      <c r="CN93" s="100">
        <v>3.0686836946050087</v>
      </c>
      <c r="CO93" s="100">
        <v>2128.439010578034</v>
      </c>
      <c r="CP93" s="100">
        <v>5.3109430109122187</v>
      </c>
      <c r="CQ93" s="100">
        <v>3683.670072368715</v>
      </c>
      <c r="CR93" s="100">
        <v>0.75868271605425974</v>
      </c>
      <c r="CS93" s="100">
        <v>526.22233185523453</v>
      </c>
      <c r="CT93" s="100">
        <v>11</v>
      </c>
      <c r="CU93" s="100">
        <v>7629.6</v>
      </c>
    </row>
    <row r="94" spans="2:99">
      <c r="C94" s="99" t="s">
        <v>260</v>
      </c>
      <c r="D94" s="100">
        <v>6.7576541050538221</v>
      </c>
      <c r="E94" s="100">
        <v>8060.5298165081986</v>
      </c>
      <c r="F94" s="100">
        <v>5.9600582678014895</v>
      </c>
      <c r="G94" s="100">
        <v>7109.1575018336162</v>
      </c>
      <c r="H94" s="100">
        <v>2.6299790802933551</v>
      </c>
      <c r="I94" s="100">
        <v>3137.0390469739141</v>
      </c>
      <c r="J94" s="100">
        <v>6.3409109789489575</v>
      </c>
      <c r="K94" s="100">
        <v>7563.4386156903165</v>
      </c>
      <c r="L94" s="100">
        <v>7</v>
      </c>
      <c r="M94" s="100">
        <v>8349.6</v>
      </c>
      <c r="N94" s="100">
        <v>5</v>
      </c>
      <c r="O94" s="100">
        <v>5964</v>
      </c>
      <c r="P94" s="100">
        <v>7.9042186540994521</v>
      </c>
      <c r="Q94" s="100">
        <v>9428.1520106098269</v>
      </c>
      <c r="R94" s="100">
        <v>4.7963300994613904</v>
      </c>
      <c r="S94" s="100">
        <v>5721.0625426375464</v>
      </c>
      <c r="T94" s="100">
        <v>6</v>
      </c>
      <c r="U94" s="100">
        <v>7156.7999999999993</v>
      </c>
      <c r="V94" s="100">
        <v>6</v>
      </c>
      <c r="W94" s="100">
        <v>7156.7999999999993</v>
      </c>
      <c r="X94" s="100">
        <v>6.3601530120536047</v>
      </c>
      <c r="Y94" s="100">
        <v>7586.3905127775397</v>
      </c>
      <c r="Z94" s="100">
        <v>2.6438943135224204</v>
      </c>
      <c r="AA94" s="100">
        <v>3153.6371371695432</v>
      </c>
      <c r="AB94" s="100">
        <v>7.1283088917227113</v>
      </c>
      <c r="AC94" s="100">
        <v>8502.6468460468495</v>
      </c>
      <c r="AD94" s="100">
        <v>5</v>
      </c>
      <c r="AE94" s="100">
        <v>5964</v>
      </c>
      <c r="AF94" s="100">
        <v>4.0513267105997306</v>
      </c>
      <c r="AG94" s="100">
        <v>4832.4225004033588</v>
      </c>
      <c r="AH94" s="100">
        <v>6.246689938647928E-23</v>
      </c>
      <c r="AI94" s="100">
        <v>7.4510517588192488E-20</v>
      </c>
      <c r="AJ94" s="100">
        <v>3.6727029201629438E-23</v>
      </c>
      <c r="AK94" s="100">
        <v>4.3808000431703593E-20</v>
      </c>
      <c r="AL94" s="100">
        <v>2.8365071660187018E-23</v>
      </c>
      <c r="AM94" s="100">
        <v>3.3833857476271071E-20</v>
      </c>
      <c r="AN94" s="100">
        <v>6</v>
      </c>
      <c r="AO94" s="100">
        <v>7156.7999999999993</v>
      </c>
      <c r="AP94" s="100">
        <v>8.1022076837155073</v>
      </c>
      <c r="AQ94" s="100">
        <v>9664.3133251358558</v>
      </c>
      <c r="AR94" s="100">
        <v>6.1853263253288997</v>
      </c>
      <c r="AS94" s="100">
        <v>7377.8572408523114</v>
      </c>
      <c r="AT94" s="100">
        <v>7.2216113641274591</v>
      </c>
      <c r="AU94" s="100">
        <v>8613.938035131232</v>
      </c>
      <c r="AV94" s="100">
        <v>7.662932058601915</v>
      </c>
      <c r="AW94" s="100">
        <v>9140.345359500363</v>
      </c>
      <c r="AX94" s="100">
        <v>0</v>
      </c>
      <c r="AY94" s="100">
        <v>0</v>
      </c>
      <c r="AZ94" s="100">
        <v>5.7292949970855434</v>
      </c>
      <c r="BA94" s="100">
        <v>6833.9030725236362</v>
      </c>
      <c r="BB94" s="100">
        <v>7.3760843344831262</v>
      </c>
      <c r="BC94" s="100">
        <v>8798.1933941714724</v>
      </c>
      <c r="BD94" s="100">
        <v>8.2397118909698008</v>
      </c>
      <c r="BE94" s="100">
        <v>9828.3283435487774</v>
      </c>
      <c r="BF94" s="100">
        <v>0.75142259436952996</v>
      </c>
      <c r="BG94" s="100">
        <v>896.29687056397529</v>
      </c>
      <c r="BH94" s="100">
        <v>9</v>
      </c>
      <c r="BI94" s="100">
        <v>10735.199999999999</v>
      </c>
      <c r="BJ94" s="100">
        <v>6.963526623033772</v>
      </c>
      <c r="BK94" s="100">
        <v>8306.0945559546835</v>
      </c>
      <c r="BL94" s="100">
        <v>5.9808250213478358</v>
      </c>
      <c r="BM94" s="100">
        <v>7133.9280854636982</v>
      </c>
      <c r="BN94" s="100">
        <v>11</v>
      </c>
      <c r="BO94" s="100">
        <v>13120.8</v>
      </c>
      <c r="BP94" s="100">
        <v>10</v>
      </c>
      <c r="BQ94" s="100">
        <v>11928</v>
      </c>
      <c r="BR94" s="100">
        <v>7.8566866472986572</v>
      </c>
      <c r="BS94" s="100">
        <v>9371.4558328978383</v>
      </c>
      <c r="BT94" s="100">
        <v>6.0998464148074945</v>
      </c>
      <c r="BU94" s="100">
        <v>7275.8968035823791</v>
      </c>
      <c r="BV94" s="100">
        <v>6.6313835122516567</v>
      </c>
      <c r="BW94" s="100">
        <v>7909.9142534137754</v>
      </c>
      <c r="BX94" s="100">
        <v>5.4457385188033918</v>
      </c>
      <c r="BY94" s="100">
        <v>6495.6769052286854</v>
      </c>
      <c r="BZ94" s="100">
        <v>5.9808250213478358</v>
      </c>
      <c r="CA94" s="100">
        <v>7133.9280854636982</v>
      </c>
      <c r="CB94" s="100">
        <v>4.4856187660108775</v>
      </c>
      <c r="CC94" s="100">
        <v>5350.4460640977741</v>
      </c>
      <c r="CD94" s="100">
        <v>5.4091285119542931</v>
      </c>
      <c r="CE94" s="100">
        <v>6452.0084890590806</v>
      </c>
      <c r="CF94" s="100">
        <v>4.4856187660108775</v>
      </c>
      <c r="CG94" s="100">
        <v>5350.4460640977741</v>
      </c>
      <c r="CH94" s="100">
        <v>0.62986893939798838</v>
      </c>
      <c r="CI94" s="100">
        <v>751.30767091392056</v>
      </c>
      <c r="CJ94" s="100">
        <v>8</v>
      </c>
      <c r="CK94" s="100">
        <v>9542.4</v>
      </c>
      <c r="CL94" s="100">
        <v>6</v>
      </c>
      <c r="CM94" s="100">
        <v>7156.7999999999993</v>
      </c>
      <c r="CN94" s="100">
        <v>3.0686836946050087</v>
      </c>
      <c r="CO94" s="100">
        <v>3660.3259109248543</v>
      </c>
      <c r="CP94" s="100">
        <v>5.3109430109122187</v>
      </c>
      <c r="CQ94" s="100">
        <v>6334.892823416094</v>
      </c>
      <c r="CR94" s="100">
        <v>0.68971156004932699</v>
      </c>
      <c r="CS94" s="100">
        <v>822.68794882683721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8.1091849260645876</v>
      </c>
      <c r="E95" s="100">
        <v>2666.3000036900366</v>
      </c>
      <c r="F95" s="100">
        <v>8.5143689540021263</v>
      </c>
      <c r="G95" s="100">
        <v>2799.5245120758991</v>
      </c>
      <c r="H95" s="100">
        <v>6.3119497927040529</v>
      </c>
      <c r="I95" s="100">
        <v>2075.3690918410925</v>
      </c>
      <c r="J95" s="100">
        <v>5.6363653146212949</v>
      </c>
      <c r="K95" s="100">
        <v>1853.2369154474818</v>
      </c>
      <c r="L95" s="100">
        <v>8</v>
      </c>
      <c r="M95" s="100">
        <v>2630.4</v>
      </c>
      <c r="N95" s="100">
        <v>7</v>
      </c>
      <c r="O95" s="100">
        <v>2301.6</v>
      </c>
      <c r="P95" s="100">
        <v>9.4850623849193436</v>
      </c>
      <c r="Q95" s="100">
        <v>3118.6885121614805</v>
      </c>
      <c r="R95" s="100">
        <v>7.5370901562964709</v>
      </c>
      <c r="S95" s="100">
        <v>2478.1952433902798</v>
      </c>
      <c r="T95" s="100">
        <v>13</v>
      </c>
      <c r="U95" s="100">
        <v>4274.4000000000005</v>
      </c>
      <c r="V95" s="100">
        <v>9</v>
      </c>
      <c r="W95" s="100">
        <v>2959.2000000000003</v>
      </c>
      <c r="X95" s="100">
        <v>11.130267771093809</v>
      </c>
      <c r="Y95" s="100">
        <v>3659.6320431356444</v>
      </c>
      <c r="Z95" s="100">
        <v>4.1546910641066601</v>
      </c>
      <c r="AA95" s="100">
        <v>1366.0624218782698</v>
      </c>
      <c r="AB95" s="100">
        <v>8.9103861146533898</v>
      </c>
      <c r="AC95" s="100">
        <v>2929.7349544980348</v>
      </c>
      <c r="AD95" s="100">
        <v>8</v>
      </c>
      <c r="AE95" s="100">
        <v>2630.4</v>
      </c>
      <c r="AF95" s="100">
        <v>5.8519163597551662</v>
      </c>
      <c r="AG95" s="100">
        <v>1924.1100990874986</v>
      </c>
      <c r="AH95" s="100">
        <v>8.9238427694970404E-23</v>
      </c>
      <c r="AI95" s="100">
        <v>2.9341595026106272E-20</v>
      </c>
      <c r="AJ95" s="100">
        <v>3.6727029201629438E-23</v>
      </c>
      <c r="AK95" s="100">
        <v>1.207584720149576E-20</v>
      </c>
      <c r="AL95" s="100">
        <v>4.457368403743675E-23</v>
      </c>
      <c r="AM95" s="100">
        <v>1.4655827311509205E-20</v>
      </c>
      <c r="AN95" s="100">
        <v>8</v>
      </c>
      <c r="AO95" s="100">
        <v>2630.4</v>
      </c>
      <c r="AP95" s="100">
        <v>8.8387720185987355</v>
      </c>
      <c r="AQ95" s="100">
        <v>2906.1882397152644</v>
      </c>
      <c r="AR95" s="100">
        <v>8.2471017671051996</v>
      </c>
      <c r="AS95" s="100">
        <v>2711.6470610241895</v>
      </c>
      <c r="AT95" s="100">
        <v>6.4192101014466303</v>
      </c>
      <c r="AU95" s="100">
        <v>2110.636281355652</v>
      </c>
      <c r="AV95" s="100">
        <v>6.8114951632017027</v>
      </c>
      <c r="AW95" s="100">
        <v>2239.61960966072</v>
      </c>
      <c r="AX95" s="100">
        <v>0</v>
      </c>
      <c r="AY95" s="100">
        <v>0</v>
      </c>
      <c r="AZ95" s="100">
        <v>8.5939424956283155</v>
      </c>
      <c r="BA95" s="100">
        <v>2825.68829256259</v>
      </c>
      <c r="BB95" s="100">
        <v>6.5565194084294456</v>
      </c>
      <c r="BC95" s="100">
        <v>2155.7835814916016</v>
      </c>
      <c r="BD95" s="100">
        <v>6.5917695127758416</v>
      </c>
      <c r="BE95" s="100">
        <v>2167.3738158006968</v>
      </c>
      <c r="BF95" s="100">
        <v>0.676280334932577</v>
      </c>
      <c r="BG95" s="100">
        <v>222.36097412583132</v>
      </c>
      <c r="BH95" s="100">
        <v>10</v>
      </c>
      <c r="BI95" s="100">
        <v>3288</v>
      </c>
      <c r="BJ95" s="100">
        <v>4.4313351237487648</v>
      </c>
      <c r="BK95" s="100">
        <v>1457.0229886885938</v>
      </c>
      <c r="BL95" s="100">
        <v>7.4760312766847949</v>
      </c>
      <c r="BM95" s="100">
        <v>2458.1190837739605</v>
      </c>
      <c r="BN95" s="100">
        <v>9</v>
      </c>
      <c r="BO95" s="100">
        <v>2959.2000000000003</v>
      </c>
      <c r="BP95" s="100">
        <v>11</v>
      </c>
      <c r="BQ95" s="100">
        <v>3616.8</v>
      </c>
      <c r="BR95" s="100">
        <v>8.8387724782109895</v>
      </c>
      <c r="BS95" s="100">
        <v>2906.1883908357736</v>
      </c>
      <c r="BT95" s="100">
        <v>7.6248080185093681</v>
      </c>
      <c r="BU95" s="100">
        <v>2507.0368764858804</v>
      </c>
      <c r="BV95" s="100">
        <v>7.3682039025018415</v>
      </c>
      <c r="BW95" s="100">
        <v>2422.6654431426055</v>
      </c>
      <c r="BX95" s="100">
        <v>8.5575891009767577</v>
      </c>
      <c r="BY95" s="100">
        <v>2813.7352964011579</v>
      </c>
      <c r="BZ95" s="100">
        <v>8.971237532021755</v>
      </c>
      <c r="CA95" s="100">
        <v>2949.7429005287531</v>
      </c>
      <c r="CB95" s="100">
        <v>8.971237532021755</v>
      </c>
      <c r="CC95" s="100">
        <v>2949.7429005287531</v>
      </c>
      <c r="CD95" s="100">
        <v>9.9167356052495386</v>
      </c>
      <c r="CE95" s="100">
        <v>3260.6226670060482</v>
      </c>
      <c r="CF95" s="100">
        <v>9.7188406596902333</v>
      </c>
      <c r="CG95" s="100">
        <v>3195.554808906149</v>
      </c>
      <c r="CH95" s="100">
        <v>0.7698398148197636</v>
      </c>
      <c r="CI95" s="100">
        <v>253.12333111273827</v>
      </c>
      <c r="CJ95" s="100">
        <v>9</v>
      </c>
      <c r="CK95" s="100">
        <v>2959.2000000000003</v>
      </c>
      <c r="CL95" s="100">
        <v>8</v>
      </c>
      <c r="CM95" s="100">
        <v>2630.4</v>
      </c>
      <c r="CN95" s="100">
        <v>5.6989840042664444</v>
      </c>
      <c r="CO95" s="100">
        <v>1873.8259406028069</v>
      </c>
      <c r="CP95" s="100">
        <v>9.1044737329923731</v>
      </c>
      <c r="CQ95" s="100">
        <v>2993.5509634078921</v>
      </c>
      <c r="CR95" s="100">
        <v>0.68971156004932699</v>
      </c>
      <c r="CS95" s="100">
        <v>226.77716094421874</v>
      </c>
      <c r="CT95" s="100">
        <v>9</v>
      </c>
      <c r="CU95" s="100">
        <v>2959.2000000000003</v>
      </c>
    </row>
    <row r="96" spans="2:99">
      <c r="C96" s="99" t="s">
        <v>262</v>
      </c>
      <c r="D96" s="100">
        <v>8.7849503365699686</v>
      </c>
      <c r="E96" s="100">
        <v>6103.783493848814</v>
      </c>
      <c r="F96" s="100">
        <v>8.5143689540021263</v>
      </c>
      <c r="G96" s="100">
        <v>5915.7835492406766</v>
      </c>
      <c r="H96" s="100">
        <v>6.8379456087627242</v>
      </c>
      <c r="I96" s="100">
        <v>4751.0046089683401</v>
      </c>
      <c r="J96" s="100">
        <v>5.6363653146212949</v>
      </c>
      <c r="K96" s="100">
        <v>3916.1466205988754</v>
      </c>
      <c r="L96" s="100">
        <v>9</v>
      </c>
      <c r="M96" s="100">
        <v>6253.2</v>
      </c>
      <c r="N96" s="100">
        <v>7</v>
      </c>
      <c r="O96" s="100">
        <v>4863.5999999999995</v>
      </c>
      <c r="P96" s="100">
        <v>10.275484250329288</v>
      </c>
      <c r="Q96" s="100">
        <v>7139.406457128789</v>
      </c>
      <c r="R96" s="100">
        <v>6.8519001420877004</v>
      </c>
      <c r="S96" s="100">
        <v>4760.7002187225335</v>
      </c>
      <c r="T96" s="100">
        <v>11</v>
      </c>
      <c r="U96" s="100">
        <v>7642.7999999999993</v>
      </c>
      <c r="V96" s="100">
        <v>8</v>
      </c>
      <c r="W96" s="100">
        <v>5558.4</v>
      </c>
      <c r="X96" s="100">
        <v>9.5402295180804071</v>
      </c>
      <c r="Y96" s="100">
        <v>6628.5514691622666</v>
      </c>
      <c r="Z96" s="100">
        <v>4.1546910641066601</v>
      </c>
      <c r="AA96" s="100">
        <v>2886.6793513413072</v>
      </c>
      <c r="AB96" s="100">
        <v>8.019347503188051</v>
      </c>
      <c r="AC96" s="100">
        <v>5571.8426452150579</v>
      </c>
      <c r="AD96" s="100">
        <v>7</v>
      </c>
      <c r="AE96" s="100">
        <v>4863.5999999999995</v>
      </c>
      <c r="AF96" s="100">
        <v>6.3020637720440247</v>
      </c>
      <c r="AG96" s="100">
        <v>4378.6739088161885</v>
      </c>
      <c r="AH96" s="100">
        <v>8.0314584925473363E-23</v>
      </c>
      <c r="AI96" s="100">
        <v>5.5802573606218887E-20</v>
      </c>
      <c r="AJ96" s="100">
        <v>3.2136150551425756E-23</v>
      </c>
      <c r="AK96" s="100">
        <v>2.2328197403130613E-20</v>
      </c>
      <c r="AL96" s="100">
        <v>4.8625837131749179E-23</v>
      </c>
      <c r="AM96" s="100">
        <v>3.3785231639139327E-20</v>
      </c>
      <c r="AN96" s="100">
        <v>7</v>
      </c>
      <c r="AO96" s="100">
        <v>4863.5999999999995</v>
      </c>
      <c r="AP96" s="100">
        <v>8.1022076837155073</v>
      </c>
      <c r="AQ96" s="100">
        <v>5629.4138986455337</v>
      </c>
      <c r="AR96" s="100">
        <v>7.5598432865130993</v>
      </c>
      <c r="AS96" s="100">
        <v>5252.5791154693006</v>
      </c>
      <c r="AT96" s="100">
        <v>7.2216113641274591</v>
      </c>
      <c r="AU96" s="100">
        <v>5017.5755757957586</v>
      </c>
      <c r="AV96" s="100">
        <v>6.8114951632017027</v>
      </c>
      <c r="AW96" s="100">
        <v>4732.6268393925429</v>
      </c>
      <c r="AX96" s="100">
        <v>0</v>
      </c>
      <c r="AY96" s="100">
        <v>0</v>
      </c>
      <c r="AZ96" s="100">
        <v>9.3101043702640087</v>
      </c>
      <c r="BA96" s="100">
        <v>6468.660516459433</v>
      </c>
      <c r="BB96" s="100">
        <v>7.3760843344831262</v>
      </c>
      <c r="BC96" s="100">
        <v>5124.9033955988762</v>
      </c>
      <c r="BD96" s="100">
        <v>5.7677983236788606</v>
      </c>
      <c r="BE96" s="100">
        <v>4007.4662752920722</v>
      </c>
      <c r="BF96" s="100">
        <v>0.676280334932577</v>
      </c>
      <c r="BG96" s="100">
        <v>469.87957671115447</v>
      </c>
      <c r="BH96" s="100">
        <v>11</v>
      </c>
      <c r="BI96" s="100">
        <v>7642.7999999999993</v>
      </c>
      <c r="BJ96" s="100">
        <v>4.4313351237487648</v>
      </c>
      <c r="BK96" s="100">
        <v>3078.8916439806417</v>
      </c>
      <c r="BL96" s="100">
        <v>7.4760312766847949</v>
      </c>
      <c r="BM96" s="100">
        <v>5194.3465310405954</v>
      </c>
      <c r="BN96" s="100">
        <v>10</v>
      </c>
      <c r="BO96" s="100">
        <v>6948</v>
      </c>
      <c r="BP96" s="100">
        <v>11</v>
      </c>
      <c r="BQ96" s="100">
        <v>7642.7999999999993</v>
      </c>
      <c r="BR96" s="100">
        <v>8.8387724782109895</v>
      </c>
      <c r="BS96" s="100">
        <v>6141.1791178609956</v>
      </c>
      <c r="BT96" s="100">
        <v>7.6248080185093681</v>
      </c>
      <c r="BU96" s="100">
        <v>5297.716611260309</v>
      </c>
      <c r="BV96" s="100">
        <v>7.3682039025018415</v>
      </c>
      <c r="BW96" s="100">
        <v>5119.4280714582792</v>
      </c>
      <c r="BX96" s="100">
        <v>7.7796264554334158</v>
      </c>
      <c r="BY96" s="100">
        <v>5405.2844612351373</v>
      </c>
      <c r="BZ96" s="100">
        <v>8.971237532021755</v>
      </c>
      <c r="CA96" s="100">
        <v>6233.2158372487147</v>
      </c>
      <c r="CB96" s="100">
        <v>9.7188406596902333</v>
      </c>
      <c r="CC96" s="100">
        <v>6752.6504903527739</v>
      </c>
      <c r="CD96" s="100">
        <v>9.9167356052495386</v>
      </c>
      <c r="CE96" s="100">
        <v>6890.1478985273789</v>
      </c>
      <c r="CF96" s="100">
        <v>9.7188406596902333</v>
      </c>
      <c r="CG96" s="100">
        <v>6752.6504903527739</v>
      </c>
      <c r="CH96" s="100">
        <v>0.7698398148197636</v>
      </c>
      <c r="CI96" s="100">
        <v>534.88470333677174</v>
      </c>
      <c r="CJ96" s="100">
        <v>10</v>
      </c>
      <c r="CK96" s="100">
        <v>6948</v>
      </c>
      <c r="CL96" s="100">
        <v>9</v>
      </c>
      <c r="CM96" s="100">
        <v>6253.2</v>
      </c>
      <c r="CN96" s="100">
        <v>4.8222172343792984</v>
      </c>
      <c r="CO96" s="100">
        <v>3350.4765344467364</v>
      </c>
      <c r="CP96" s="100">
        <v>9.8631798774084061</v>
      </c>
      <c r="CQ96" s="100">
        <v>6852.9373788233597</v>
      </c>
      <c r="CR96" s="100">
        <v>0.62074040404439434</v>
      </c>
      <c r="CS96" s="100">
        <v>431.29043273004515</v>
      </c>
      <c r="CT96" s="100">
        <v>8</v>
      </c>
      <c r="CU96" s="100">
        <v>5558.4</v>
      </c>
    </row>
    <row r="97" spans="2:99">
      <c r="C97" s="99" t="s">
        <v>263</v>
      </c>
      <c r="D97" s="100">
        <v>9.4607157470753513</v>
      </c>
      <c r="E97" s="100">
        <v>3712.3848591523674</v>
      </c>
      <c r="F97" s="100">
        <v>7.662932058601915</v>
      </c>
      <c r="G97" s="100">
        <v>3006.9345397953912</v>
      </c>
      <c r="H97" s="100">
        <v>6.3119497927040529</v>
      </c>
      <c r="I97" s="100">
        <v>2476.8090986570701</v>
      </c>
      <c r="J97" s="100">
        <v>5.6363653146212949</v>
      </c>
      <c r="K97" s="100">
        <v>2211.7097494573959</v>
      </c>
      <c r="L97" s="100">
        <v>8</v>
      </c>
      <c r="M97" s="100">
        <v>3139.2</v>
      </c>
      <c r="N97" s="100">
        <v>8</v>
      </c>
      <c r="O97" s="100">
        <v>3139.2</v>
      </c>
      <c r="P97" s="100">
        <v>10.275484250329288</v>
      </c>
      <c r="Q97" s="100">
        <v>4032.1000198292127</v>
      </c>
      <c r="R97" s="100">
        <v>6.8519001420877004</v>
      </c>
      <c r="S97" s="100">
        <v>2688.6856157552133</v>
      </c>
      <c r="T97" s="100">
        <v>13</v>
      </c>
      <c r="U97" s="100">
        <v>5101.2</v>
      </c>
      <c r="V97" s="100">
        <v>9</v>
      </c>
      <c r="W97" s="100">
        <v>3531.6</v>
      </c>
      <c r="X97" s="100">
        <v>11.130267771093809</v>
      </c>
      <c r="Y97" s="100">
        <v>4367.5170733772102</v>
      </c>
      <c r="Z97" s="100">
        <v>4.1546910641066601</v>
      </c>
      <c r="AA97" s="100">
        <v>1630.3007735554534</v>
      </c>
      <c r="AB97" s="100">
        <v>7.1283088917227113</v>
      </c>
      <c r="AC97" s="100">
        <v>2797.1484091119919</v>
      </c>
      <c r="AD97" s="100">
        <v>7</v>
      </c>
      <c r="AE97" s="100">
        <v>2746.7999999999997</v>
      </c>
      <c r="AF97" s="100">
        <v>6.3020637720440247</v>
      </c>
      <c r="AG97" s="100">
        <v>2472.9298241500751</v>
      </c>
      <c r="AH97" s="100">
        <v>7.1390742155976321E-23</v>
      </c>
      <c r="AI97" s="100">
        <v>2.8013727222005104E-20</v>
      </c>
      <c r="AJ97" s="100">
        <v>3.6727029201629438E-23</v>
      </c>
      <c r="AK97" s="100">
        <v>1.441168625871939E-20</v>
      </c>
      <c r="AL97" s="100">
        <v>4.457368403743675E-23</v>
      </c>
      <c r="AM97" s="100">
        <v>1.7490713616290178E-20</v>
      </c>
      <c r="AN97" s="100">
        <v>8</v>
      </c>
      <c r="AO97" s="100">
        <v>3139.2</v>
      </c>
      <c r="AP97" s="100">
        <v>8.1022076837155073</v>
      </c>
      <c r="AQ97" s="100">
        <v>3179.3062950899648</v>
      </c>
      <c r="AR97" s="100">
        <v>8.9343602476973007</v>
      </c>
      <c r="AS97" s="100">
        <v>3505.8429611964207</v>
      </c>
      <c r="AT97" s="100">
        <v>6.4192101014466303</v>
      </c>
      <c r="AU97" s="100">
        <v>2518.8980438076574</v>
      </c>
      <c r="AV97" s="100">
        <v>6.8114951632017027</v>
      </c>
      <c r="AW97" s="100">
        <v>2672.8307020403481</v>
      </c>
      <c r="AX97" s="100">
        <v>0</v>
      </c>
      <c r="AY97" s="100">
        <v>0</v>
      </c>
      <c r="AZ97" s="100">
        <v>9.3101043702640087</v>
      </c>
      <c r="BA97" s="100">
        <v>3653.284954891597</v>
      </c>
      <c r="BB97" s="100">
        <v>6.5565194084294456</v>
      </c>
      <c r="BC97" s="100">
        <v>2572.7782158677142</v>
      </c>
      <c r="BD97" s="100">
        <v>6.5917695127758416</v>
      </c>
      <c r="BE97" s="100">
        <v>2586.6103568132403</v>
      </c>
      <c r="BF97" s="100">
        <v>0.60113807549562392</v>
      </c>
      <c r="BG97" s="100">
        <v>235.88658082448282</v>
      </c>
      <c r="BH97" s="100">
        <v>11</v>
      </c>
      <c r="BI97" s="100">
        <v>4316.3999999999996</v>
      </c>
      <c r="BJ97" s="100">
        <v>4.4313351237487648</v>
      </c>
      <c r="BK97" s="100">
        <v>1738.8559025590152</v>
      </c>
      <c r="BL97" s="100">
        <v>8.971237532021755</v>
      </c>
      <c r="BM97" s="100">
        <v>3520.3136075653365</v>
      </c>
      <c r="BN97" s="100">
        <v>8</v>
      </c>
      <c r="BO97" s="100">
        <v>3139.2</v>
      </c>
      <c r="BP97" s="100">
        <v>11</v>
      </c>
      <c r="BQ97" s="100">
        <v>4316.3999999999996</v>
      </c>
      <c r="BR97" s="100">
        <v>9.8208583091233219</v>
      </c>
      <c r="BS97" s="100">
        <v>3853.7048004999915</v>
      </c>
      <c r="BT97" s="100">
        <v>8.387288820360304</v>
      </c>
      <c r="BU97" s="100">
        <v>3291.1721331093831</v>
      </c>
      <c r="BV97" s="100">
        <v>8.1050242927520255</v>
      </c>
      <c r="BW97" s="100">
        <v>3180.4115324758945</v>
      </c>
      <c r="BX97" s="100">
        <v>9.3355517465200997</v>
      </c>
      <c r="BY97" s="100">
        <v>3663.2705053344871</v>
      </c>
      <c r="BZ97" s="100">
        <v>8.971237532021755</v>
      </c>
      <c r="CA97" s="100">
        <v>3520.3136075653365</v>
      </c>
      <c r="CB97" s="100">
        <v>10.466443787358713</v>
      </c>
      <c r="CC97" s="100">
        <v>4107.0325421595589</v>
      </c>
      <c r="CD97" s="100">
        <v>9.9167356052495386</v>
      </c>
      <c r="CE97" s="100">
        <v>3891.3270514999185</v>
      </c>
      <c r="CF97" s="100">
        <v>8.971237532021755</v>
      </c>
      <c r="CG97" s="100">
        <v>3520.3136075653365</v>
      </c>
      <c r="CH97" s="100">
        <v>0.7698398148197636</v>
      </c>
      <c r="CI97" s="100">
        <v>302.08514333527523</v>
      </c>
      <c r="CJ97" s="100">
        <v>10</v>
      </c>
      <c r="CK97" s="100">
        <v>3924</v>
      </c>
      <c r="CL97" s="100">
        <v>10</v>
      </c>
      <c r="CM97" s="100">
        <v>3924</v>
      </c>
      <c r="CN97" s="100">
        <v>5.6989840042664444</v>
      </c>
      <c r="CO97" s="100">
        <v>2236.2813232741528</v>
      </c>
      <c r="CP97" s="100">
        <v>9.8631798774084061</v>
      </c>
      <c r="CQ97" s="100">
        <v>3870.3117838950584</v>
      </c>
      <c r="CR97" s="100">
        <v>0.75868271605425974</v>
      </c>
      <c r="CS97" s="100">
        <v>297.70709777969148</v>
      </c>
      <c r="CT97" s="100">
        <v>8</v>
      </c>
      <c r="CU97" s="100">
        <v>3139.2</v>
      </c>
    </row>
    <row r="98" spans="2:99">
      <c r="C98" s="99" t="s">
        <v>264</v>
      </c>
      <c r="D98" s="100">
        <v>8.1091849260645876</v>
      </c>
      <c r="E98" s="100">
        <v>4262.1875971395475</v>
      </c>
      <c r="F98" s="100">
        <v>8.5143689540021263</v>
      </c>
      <c r="G98" s="100">
        <v>4475.1523222235182</v>
      </c>
      <c r="H98" s="100">
        <v>6.3119497927040529</v>
      </c>
      <c r="I98" s="100">
        <v>3317.5608110452504</v>
      </c>
      <c r="J98" s="100">
        <v>4.9318196502936331</v>
      </c>
      <c r="K98" s="100">
        <v>2592.1644081943336</v>
      </c>
      <c r="L98" s="100">
        <v>8</v>
      </c>
      <c r="M98" s="100">
        <v>4204.8</v>
      </c>
      <c r="N98" s="100">
        <v>8</v>
      </c>
      <c r="O98" s="100">
        <v>4204.8</v>
      </c>
      <c r="P98" s="100">
        <v>10.275484250329288</v>
      </c>
      <c r="Q98" s="100">
        <v>5400.7945219730746</v>
      </c>
      <c r="R98" s="100">
        <v>6.8519001420877004</v>
      </c>
      <c r="S98" s="100">
        <v>3601.3587146812956</v>
      </c>
      <c r="T98" s="100">
        <v>12</v>
      </c>
      <c r="U98" s="100">
        <v>6307.2000000000007</v>
      </c>
      <c r="V98" s="100">
        <v>9</v>
      </c>
      <c r="W98" s="100">
        <v>4730.4000000000005</v>
      </c>
      <c r="X98" s="100">
        <v>11.130267771093809</v>
      </c>
      <c r="Y98" s="100">
        <v>5850.0687404869068</v>
      </c>
      <c r="Z98" s="100">
        <v>3.7769918764606003</v>
      </c>
      <c r="AA98" s="100">
        <v>1985.1869302676917</v>
      </c>
      <c r="AB98" s="100">
        <v>8.019347503188051</v>
      </c>
      <c r="AC98" s="100">
        <v>4214.9690476756396</v>
      </c>
      <c r="AD98" s="100">
        <v>7</v>
      </c>
      <c r="AE98" s="100">
        <v>3679.2000000000003</v>
      </c>
      <c r="AF98" s="100">
        <v>5.4017689474663069</v>
      </c>
      <c r="AG98" s="100">
        <v>2839.1697587882909</v>
      </c>
      <c r="AH98" s="100">
        <v>8.0314584925473363E-23</v>
      </c>
      <c r="AI98" s="100">
        <v>4.2213345836828803E-20</v>
      </c>
      <c r="AJ98" s="100">
        <v>3.6727029201629438E-23</v>
      </c>
      <c r="AK98" s="100">
        <v>1.9303726548376435E-20</v>
      </c>
      <c r="AL98" s="100">
        <v>4.457368403743675E-23</v>
      </c>
      <c r="AM98" s="100">
        <v>2.3427928330076758E-20</v>
      </c>
      <c r="AN98" s="100">
        <v>7</v>
      </c>
      <c r="AO98" s="100">
        <v>3679.2000000000003</v>
      </c>
      <c r="AP98" s="100">
        <v>8.1022076837155073</v>
      </c>
      <c r="AQ98" s="100">
        <v>4258.5203585608706</v>
      </c>
      <c r="AR98" s="100">
        <v>7.5598432865130993</v>
      </c>
      <c r="AS98" s="100">
        <v>3973.4536313912854</v>
      </c>
      <c r="AT98" s="100">
        <v>6.4192101014466303</v>
      </c>
      <c r="AU98" s="100">
        <v>3373.9368293203488</v>
      </c>
      <c r="AV98" s="100">
        <v>6.8114951632017027</v>
      </c>
      <c r="AW98" s="100">
        <v>3580.121857778815</v>
      </c>
      <c r="AX98" s="100">
        <v>0</v>
      </c>
      <c r="AY98" s="100">
        <v>0</v>
      </c>
      <c r="AZ98" s="100">
        <v>8.5939424956283155</v>
      </c>
      <c r="BA98" s="100">
        <v>4516.9761757022425</v>
      </c>
      <c r="BB98" s="100">
        <v>7.3760843344831262</v>
      </c>
      <c r="BC98" s="100">
        <v>3876.8699262043315</v>
      </c>
      <c r="BD98" s="100">
        <v>6.5917695127758416</v>
      </c>
      <c r="BE98" s="100">
        <v>3464.6340559149826</v>
      </c>
      <c r="BF98" s="100">
        <v>0.60113807549562392</v>
      </c>
      <c r="BG98" s="100">
        <v>315.95817248049997</v>
      </c>
      <c r="BH98" s="100">
        <v>11</v>
      </c>
      <c r="BI98" s="100">
        <v>5781.6</v>
      </c>
      <c r="BJ98" s="100">
        <v>4.4313351237487648</v>
      </c>
      <c r="BK98" s="100">
        <v>2329.1097410423508</v>
      </c>
      <c r="BL98" s="100">
        <v>8.223634404353275</v>
      </c>
      <c r="BM98" s="100">
        <v>4322.3422429280818</v>
      </c>
      <c r="BN98" s="100">
        <v>9</v>
      </c>
      <c r="BO98" s="100">
        <v>4730.4000000000005</v>
      </c>
      <c r="BP98" s="100">
        <v>11</v>
      </c>
      <c r="BQ98" s="100">
        <v>5781.6</v>
      </c>
      <c r="BR98" s="100">
        <v>7.8566866472986572</v>
      </c>
      <c r="BS98" s="100">
        <v>4129.4745018201747</v>
      </c>
      <c r="BT98" s="100">
        <v>8.387288820360304</v>
      </c>
      <c r="BU98" s="100">
        <v>4408.3590039813762</v>
      </c>
      <c r="BV98" s="100">
        <v>8.1050242927520255</v>
      </c>
      <c r="BW98" s="100">
        <v>4260.0007682704645</v>
      </c>
      <c r="BX98" s="100">
        <v>8.5575891009767577</v>
      </c>
      <c r="BY98" s="100">
        <v>4497.8688314733845</v>
      </c>
      <c r="BZ98" s="100">
        <v>8.971237532021755</v>
      </c>
      <c r="CA98" s="100">
        <v>4715.2824468306344</v>
      </c>
      <c r="CB98" s="100">
        <v>8.971237532021755</v>
      </c>
      <c r="CC98" s="100">
        <v>4715.2824468306344</v>
      </c>
      <c r="CD98" s="100">
        <v>9.9167356052495386</v>
      </c>
      <c r="CE98" s="100">
        <v>5212.2362341191574</v>
      </c>
      <c r="CF98" s="100">
        <v>9.7188406596902333</v>
      </c>
      <c r="CG98" s="100">
        <v>5108.222650733187</v>
      </c>
      <c r="CH98" s="100">
        <v>0.7698398148197636</v>
      </c>
      <c r="CI98" s="100">
        <v>404.62780666926778</v>
      </c>
      <c r="CJ98" s="100">
        <v>9</v>
      </c>
      <c r="CK98" s="100">
        <v>4730.4000000000005</v>
      </c>
      <c r="CL98" s="100">
        <v>9</v>
      </c>
      <c r="CM98" s="100">
        <v>4730.4000000000005</v>
      </c>
      <c r="CN98" s="100">
        <v>5.6989840042664444</v>
      </c>
      <c r="CO98" s="100">
        <v>2995.3859926424434</v>
      </c>
      <c r="CP98" s="100">
        <v>9.8631798774084061</v>
      </c>
      <c r="CQ98" s="100">
        <v>5184.0873435658586</v>
      </c>
      <c r="CR98" s="100">
        <v>0.75868271605425974</v>
      </c>
      <c r="CS98" s="100">
        <v>398.76363555811895</v>
      </c>
      <c r="CT98" s="100">
        <v>9</v>
      </c>
      <c r="CU98" s="100">
        <v>4730.4000000000005</v>
      </c>
    </row>
    <row r="99" spans="2:99">
      <c r="C99" s="99" t="s">
        <v>265</v>
      </c>
      <c r="D99" s="100">
        <v>7.4334195155592049</v>
      </c>
      <c r="E99" s="100">
        <v>31282.802689279357</v>
      </c>
      <c r="F99" s="100">
        <v>6.8114951632017027</v>
      </c>
      <c r="G99" s="100">
        <v>28665.496244818041</v>
      </c>
      <c r="H99" s="100">
        <v>4.7339623445280399</v>
      </c>
      <c r="I99" s="100">
        <v>19922.407130711803</v>
      </c>
      <c r="J99" s="100">
        <v>4.9318196502936331</v>
      </c>
      <c r="K99" s="100">
        <v>20755.069816295723</v>
      </c>
      <c r="L99" s="100">
        <v>6</v>
      </c>
      <c r="M99" s="100">
        <v>25250.399999999998</v>
      </c>
      <c r="N99" s="100">
        <v>6</v>
      </c>
      <c r="O99" s="100">
        <v>25250.399999999998</v>
      </c>
      <c r="P99" s="100">
        <v>8.6946405195093988</v>
      </c>
      <c r="Q99" s="100">
        <v>36590.525162303347</v>
      </c>
      <c r="R99" s="100">
        <v>6.1667101278789298</v>
      </c>
      <c r="S99" s="100">
        <v>25951.982902165684</v>
      </c>
      <c r="T99" s="100">
        <v>10</v>
      </c>
      <c r="U99" s="100">
        <v>42084</v>
      </c>
      <c r="V99" s="100">
        <v>7</v>
      </c>
      <c r="W99" s="100">
        <v>29458.799999999996</v>
      </c>
      <c r="X99" s="100">
        <v>7.950191265067005</v>
      </c>
      <c r="Y99" s="100">
        <v>33457.584919907982</v>
      </c>
      <c r="Z99" s="100">
        <v>3.0215935011684802</v>
      </c>
      <c r="AA99" s="100">
        <v>12716.074090317432</v>
      </c>
      <c r="AB99" s="100">
        <v>6.2372702802573725</v>
      </c>
      <c r="AC99" s="100">
        <v>26248.928247435124</v>
      </c>
      <c r="AD99" s="100">
        <v>5</v>
      </c>
      <c r="AE99" s="100">
        <v>21042</v>
      </c>
      <c r="AF99" s="100">
        <v>4.9516215351774484</v>
      </c>
      <c r="AG99" s="100">
        <v>20838.404068640772</v>
      </c>
      <c r="AH99" s="100">
        <v>7.1390742155976321E-23</v>
      </c>
      <c r="AI99" s="100">
        <v>3.0044079928921072E-19</v>
      </c>
      <c r="AJ99" s="100">
        <v>2.7545271901222074E-23</v>
      </c>
      <c r="AK99" s="100">
        <v>1.1592152226910296E-19</v>
      </c>
      <c r="AL99" s="100">
        <v>4.0521530943124316E-23</v>
      </c>
      <c r="AM99" s="100">
        <v>1.7053081082104436E-19</v>
      </c>
      <c r="AN99" s="100">
        <v>6</v>
      </c>
      <c r="AO99" s="100">
        <v>25250.399999999998</v>
      </c>
      <c r="AP99" s="100">
        <v>6.6290790139490516</v>
      </c>
      <c r="AQ99" s="100">
        <v>27897.816122303186</v>
      </c>
      <c r="AR99" s="100">
        <v>6.8725848059209991</v>
      </c>
      <c r="AS99" s="100">
        <v>28922.585897237928</v>
      </c>
      <c r="AT99" s="100">
        <v>5.6168088387658006</v>
      </c>
      <c r="AU99" s="100">
        <v>23637.778317061995</v>
      </c>
      <c r="AV99" s="100">
        <v>5.9600582678014895</v>
      </c>
      <c r="AW99" s="100">
        <v>25082.309214215788</v>
      </c>
      <c r="AX99" s="100">
        <v>0</v>
      </c>
      <c r="AY99" s="100">
        <v>0</v>
      </c>
      <c r="AZ99" s="100">
        <v>6.4454568717212366</v>
      </c>
      <c r="BA99" s="100">
        <v>27125.060698951649</v>
      </c>
      <c r="BB99" s="100">
        <v>5.736954482375765</v>
      </c>
      <c r="BC99" s="100">
        <v>24143.399243630167</v>
      </c>
      <c r="BD99" s="100">
        <v>5.7677983236788606</v>
      </c>
      <c r="BE99" s="100">
        <v>24273.202465370116</v>
      </c>
      <c r="BF99" s="100">
        <v>0.52599581605867096</v>
      </c>
      <c r="BG99" s="100">
        <v>2213.6007923013108</v>
      </c>
      <c r="BH99" s="100">
        <v>9</v>
      </c>
      <c r="BI99" s="100">
        <v>37875.599999999999</v>
      </c>
      <c r="BJ99" s="100">
        <v>3.1652393741062603</v>
      </c>
      <c r="BK99" s="100">
        <v>13320.593381988785</v>
      </c>
      <c r="BL99" s="100">
        <v>7.4760312766847949</v>
      </c>
      <c r="BM99" s="100">
        <v>31462.130024800288</v>
      </c>
      <c r="BN99" s="100">
        <v>7</v>
      </c>
      <c r="BO99" s="100">
        <v>29458.799999999996</v>
      </c>
      <c r="BP99" s="100">
        <v>9</v>
      </c>
      <c r="BQ99" s="100">
        <v>37875.599999999999</v>
      </c>
      <c r="BR99" s="100">
        <v>7.8566866472986572</v>
      </c>
      <c r="BS99" s="100">
        <v>33064.080086491667</v>
      </c>
      <c r="BT99" s="100">
        <v>6.8623272166584304</v>
      </c>
      <c r="BU99" s="100">
        <v>28879.417858585337</v>
      </c>
      <c r="BV99" s="100">
        <v>6.6313835122516567</v>
      </c>
      <c r="BW99" s="100">
        <v>27907.514372959871</v>
      </c>
      <c r="BX99" s="100">
        <v>7.7796264554334158</v>
      </c>
      <c r="BY99" s="100">
        <v>32739.779975045985</v>
      </c>
      <c r="BZ99" s="100">
        <v>6.7284281490163149</v>
      </c>
      <c r="CA99" s="100">
        <v>28315.917022320256</v>
      </c>
      <c r="CB99" s="100">
        <v>7.4760312766847949</v>
      </c>
      <c r="CC99" s="100">
        <v>31462.130024800288</v>
      </c>
      <c r="CD99" s="100">
        <v>7.2121713492723902</v>
      </c>
      <c r="CE99" s="100">
        <v>30351.701906277925</v>
      </c>
      <c r="CF99" s="100">
        <v>7.4760312766847949</v>
      </c>
      <c r="CG99" s="100">
        <v>31462.130024800288</v>
      </c>
      <c r="CH99" s="100">
        <v>0.55988350168710077</v>
      </c>
      <c r="CI99" s="100">
        <v>2356.2137284999949</v>
      </c>
      <c r="CJ99" s="100">
        <v>8</v>
      </c>
      <c r="CK99" s="100">
        <v>33667.199999999997</v>
      </c>
      <c r="CL99" s="100">
        <v>8</v>
      </c>
      <c r="CM99" s="100">
        <v>33667.199999999997</v>
      </c>
      <c r="CN99" s="100">
        <v>4.3838338494357263</v>
      </c>
      <c r="CO99" s="100">
        <v>18448.92637196531</v>
      </c>
      <c r="CP99" s="100">
        <v>7.5870614441603124</v>
      </c>
      <c r="CQ99" s="100">
        <v>31929.389381604255</v>
      </c>
      <c r="CR99" s="100">
        <v>0.62074040404439434</v>
      </c>
      <c r="CS99" s="100">
        <v>2612.3239163804287</v>
      </c>
      <c r="CT99" s="100">
        <v>7</v>
      </c>
      <c r="CU99" s="100">
        <v>29458.799999999996</v>
      </c>
    </row>
    <row r="100" spans="2:99">
      <c r="C100" s="99" t="s">
        <v>266</v>
      </c>
      <c r="D100" s="100">
        <v>8.7849503365699686</v>
      </c>
      <c r="E100" s="100">
        <v>2846.32390904867</v>
      </c>
      <c r="F100" s="100">
        <v>8.5143689540021263</v>
      </c>
      <c r="G100" s="100">
        <v>2758.6555410966889</v>
      </c>
      <c r="H100" s="100">
        <v>6.3119497927040529</v>
      </c>
      <c r="I100" s="100">
        <v>2045.0717328361131</v>
      </c>
      <c r="J100" s="100">
        <v>6.3409109789489575</v>
      </c>
      <c r="K100" s="100">
        <v>2054.4551571794623</v>
      </c>
      <c r="L100" s="100">
        <v>9</v>
      </c>
      <c r="M100" s="100">
        <v>2916</v>
      </c>
      <c r="N100" s="100">
        <v>8</v>
      </c>
      <c r="O100" s="100">
        <v>2592</v>
      </c>
      <c r="P100" s="100">
        <v>10.275484250329288</v>
      </c>
      <c r="Q100" s="100">
        <v>3329.2568971066894</v>
      </c>
      <c r="R100" s="100">
        <v>6.1667101278789298</v>
      </c>
      <c r="S100" s="100">
        <v>1998.0140814327733</v>
      </c>
      <c r="T100" s="100">
        <v>12</v>
      </c>
      <c r="U100" s="100">
        <v>3888</v>
      </c>
      <c r="V100" s="100">
        <v>8</v>
      </c>
      <c r="W100" s="100">
        <v>2592</v>
      </c>
      <c r="X100" s="100">
        <v>9.5402295180804071</v>
      </c>
      <c r="Y100" s="100">
        <v>3091.0343638580521</v>
      </c>
      <c r="Z100" s="100">
        <v>4.1546910641066601</v>
      </c>
      <c r="AA100" s="100">
        <v>1346.1199047705579</v>
      </c>
      <c r="AB100" s="100">
        <v>7.1283088917227113</v>
      </c>
      <c r="AC100" s="100">
        <v>2309.5720809181585</v>
      </c>
      <c r="AD100" s="100">
        <v>8</v>
      </c>
      <c r="AE100" s="100">
        <v>2592</v>
      </c>
      <c r="AF100" s="100">
        <v>6.3020637720440247</v>
      </c>
      <c r="AG100" s="100">
        <v>2041.8686621422639</v>
      </c>
      <c r="AH100" s="100">
        <v>8.0314584925473363E-23</v>
      </c>
      <c r="AI100" s="100">
        <v>2.6021925515853368E-20</v>
      </c>
      <c r="AJ100" s="100">
        <v>3.6727029201629438E-23</v>
      </c>
      <c r="AK100" s="100">
        <v>1.1899557461327938E-20</v>
      </c>
      <c r="AL100" s="100">
        <v>4.457368403743675E-23</v>
      </c>
      <c r="AM100" s="100">
        <v>1.4441873628129507E-20</v>
      </c>
      <c r="AN100" s="100">
        <v>8</v>
      </c>
      <c r="AO100" s="100">
        <v>2592</v>
      </c>
      <c r="AP100" s="100">
        <v>8.1022076837155073</v>
      </c>
      <c r="AQ100" s="100">
        <v>2625.1152895238242</v>
      </c>
      <c r="AR100" s="100">
        <v>8.2471017671051996</v>
      </c>
      <c r="AS100" s="100">
        <v>2672.0609725420845</v>
      </c>
      <c r="AT100" s="100">
        <v>7.2216113641274591</v>
      </c>
      <c r="AU100" s="100">
        <v>2339.8020819772969</v>
      </c>
      <c r="AV100" s="100">
        <v>6.8114951632017027</v>
      </c>
      <c r="AW100" s="100">
        <v>2206.9244328773516</v>
      </c>
      <c r="AX100" s="100">
        <v>0</v>
      </c>
      <c r="AY100" s="100">
        <v>0</v>
      </c>
      <c r="AZ100" s="100">
        <v>8.5939424956283155</v>
      </c>
      <c r="BA100" s="100">
        <v>2784.4373685835744</v>
      </c>
      <c r="BB100" s="100">
        <v>7.3760843344831262</v>
      </c>
      <c r="BC100" s="100">
        <v>2389.8513243725329</v>
      </c>
      <c r="BD100" s="100">
        <v>5.7677983236788606</v>
      </c>
      <c r="BE100" s="100">
        <v>1868.7666568719508</v>
      </c>
      <c r="BF100" s="100">
        <v>0.676280334932577</v>
      </c>
      <c r="BG100" s="100">
        <v>219.11482851815495</v>
      </c>
      <c r="BH100" s="100">
        <v>10</v>
      </c>
      <c r="BI100" s="100">
        <v>3240</v>
      </c>
      <c r="BJ100" s="100">
        <v>4.4313351237487648</v>
      </c>
      <c r="BK100" s="100">
        <v>1435.7525800945998</v>
      </c>
      <c r="BL100" s="100">
        <v>7.4760312766847949</v>
      </c>
      <c r="BM100" s="100">
        <v>2422.2341336458735</v>
      </c>
      <c r="BN100" s="100">
        <v>8</v>
      </c>
      <c r="BO100" s="100">
        <v>2592</v>
      </c>
      <c r="BP100" s="100">
        <v>12</v>
      </c>
      <c r="BQ100" s="100">
        <v>3888</v>
      </c>
      <c r="BR100" s="100">
        <v>8.8387724782109895</v>
      </c>
      <c r="BS100" s="100">
        <v>2863.7622829403608</v>
      </c>
      <c r="BT100" s="100">
        <v>7.6248080185093681</v>
      </c>
      <c r="BU100" s="100">
        <v>2470.4377979970354</v>
      </c>
      <c r="BV100" s="100">
        <v>8.1050242927520255</v>
      </c>
      <c r="BW100" s="100">
        <v>2626.0278708516562</v>
      </c>
      <c r="BX100" s="100">
        <v>8.5575891009767577</v>
      </c>
      <c r="BY100" s="100">
        <v>2772.6588687164694</v>
      </c>
      <c r="BZ100" s="100">
        <v>7.4760312766847949</v>
      </c>
      <c r="CA100" s="100">
        <v>2422.2341336458735</v>
      </c>
      <c r="CB100" s="100">
        <v>9.7188406596902333</v>
      </c>
      <c r="CC100" s="100">
        <v>3148.9043737396355</v>
      </c>
      <c r="CD100" s="100">
        <v>9.0152141865904873</v>
      </c>
      <c r="CE100" s="100">
        <v>2920.9293964553181</v>
      </c>
      <c r="CF100" s="100">
        <v>8.971237532021755</v>
      </c>
      <c r="CG100" s="100">
        <v>2906.6809603750485</v>
      </c>
      <c r="CH100" s="100">
        <v>0.7698398148197636</v>
      </c>
      <c r="CI100" s="100">
        <v>249.42810000160341</v>
      </c>
      <c r="CJ100" s="100">
        <v>9</v>
      </c>
      <c r="CK100" s="100">
        <v>2916</v>
      </c>
      <c r="CL100" s="100">
        <v>8</v>
      </c>
      <c r="CM100" s="100">
        <v>2592</v>
      </c>
      <c r="CN100" s="100">
        <v>5.2606006193228714</v>
      </c>
      <c r="CO100" s="100">
        <v>1704.4346006606104</v>
      </c>
      <c r="CP100" s="100">
        <v>9.8631798774084061</v>
      </c>
      <c r="CQ100" s="100">
        <v>3195.6702802803234</v>
      </c>
      <c r="CR100" s="100">
        <v>0.68971156004932699</v>
      </c>
      <c r="CS100" s="100">
        <v>223.46654545598196</v>
      </c>
      <c r="CT100" s="100">
        <v>8</v>
      </c>
      <c r="CU100" s="100">
        <v>2592</v>
      </c>
    </row>
    <row r="101" spans="2:99">
      <c r="C101" s="99" t="s">
        <v>267</v>
      </c>
      <c r="D101" s="100">
        <v>8.1091849260645876</v>
      </c>
      <c r="E101" s="100">
        <v>5867.8062125003362</v>
      </c>
      <c r="F101" s="100">
        <v>8.5143689540021263</v>
      </c>
      <c r="G101" s="100">
        <v>6160.9973751159387</v>
      </c>
      <c r="H101" s="100">
        <v>6.8379456087627242</v>
      </c>
      <c r="I101" s="100">
        <v>4947.9374425007072</v>
      </c>
      <c r="J101" s="100">
        <v>5.6363653146212949</v>
      </c>
      <c r="K101" s="100">
        <v>4078.4739416599691</v>
      </c>
      <c r="L101" s="100">
        <v>8</v>
      </c>
      <c r="M101" s="100">
        <v>5788.8</v>
      </c>
      <c r="N101" s="100">
        <v>7</v>
      </c>
      <c r="O101" s="100">
        <v>5065.2</v>
      </c>
      <c r="P101" s="100">
        <v>11.065906115739233</v>
      </c>
      <c r="Q101" s="100">
        <v>8007.2896653489097</v>
      </c>
      <c r="R101" s="100">
        <v>6.8519001420877004</v>
      </c>
      <c r="S101" s="100">
        <v>4958.0349428146601</v>
      </c>
      <c r="T101" s="100">
        <v>13</v>
      </c>
      <c r="U101" s="100">
        <v>9406.8000000000011</v>
      </c>
      <c r="V101" s="100">
        <v>8</v>
      </c>
      <c r="W101" s="100">
        <v>5788.8</v>
      </c>
      <c r="X101" s="100">
        <v>10.335248644587107</v>
      </c>
      <c r="Y101" s="100">
        <v>7478.585919223231</v>
      </c>
      <c r="Z101" s="100">
        <v>4.5323902517527204</v>
      </c>
      <c r="AA101" s="100">
        <v>3279.6375861682686</v>
      </c>
      <c r="AB101" s="100">
        <v>8.019347503188051</v>
      </c>
      <c r="AC101" s="100">
        <v>5802.799853306874</v>
      </c>
      <c r="AD101" s="100">
        <v>6</v>
      </c>
      <c r="AE101" s="100">
        <v>4341.6000000000004</v>
      </c>
      <c r="AF101" s="100">
        <v>5.4017689474663069</v>
      </c>
      <c r="AG101" s="100">
        <v>3908.7200103866198</v>
      </c>
      <c r="AH101" s="100">
        <v>8.9238427694970404E-23</v>
      </c>
      <c r="AI101" s="100">
        <v>6.4572926280080586E-20</v>
      </c>
      <c r="AJ101" s="100">
        <v>3.6727029201629438E-23</v>
      </c>
      <c r="AK101" s="100">
        <v>2.6575678330299061E-20</v>
      </c>
      <c r="AL101" s="100">
        <v>4.457368403743675E-23</v>
      </c>
      <c r="AM101" s="100">
        <v>3.2253517769489233E-20</v>
      </c>
      <c r="AN101" s="100">
        <v>8</v>
      </c>
      <c r="AO101" s="100">
        <v>5788.8</v>
      </c>
      <c r="AP101" s="100">
        <v>8.1022076837155073</v>
      </c>
      <c r="AQ101" s="100">
        <v>5862.7574799365411</v>
      </c>
      <c r="AR101" s="100">
        <v>7.5598432865130993</v>
      </c>
      <c r="AS101" s="100">
        <v>5470.3026021208789</v>
      </c>
      <c r="AT101" s="100">
        <v>6.4192101014466303</v>
      </c>
      <c r="AU101" s="100">
        <v>4644.9404294067817</v>
      </c>
      <c r="AV101" s="100">
        <v>6.8114951632017027</v>
      </c>
      <c r="AW101" s="100">
        <v>4928.7979000927526</v>
      </c>
      <c r="AX101" s="100">
        <v>0</v>
      </c>
      <c r="AY101" s="100">
        <v>0</v>
      </c>
      <c r="AZ101" s="100">
        <v>7.8777806209926222</v>
      </c>
      <c r="BA101" s="100">
        <v>5700.3620573502612</v>
      </c>
      <c r="BB101" s="100">
        <v>6.5565194084294456</v>
      </c>
      <c r="BC101" s="100">
        <v>4744.2974439395466</v>
      </c>
      <c r="BD101" s="100">
        <v>5.7677983236788606</v>
      </c>
      <c r="BE101" s="100">
        <v>4173.5788670140237</v>
      </c>
      <c r="BF101" s="100">
        <v>0.60113807549562392</v>
      </c>
      <c r="BG101" s="100">
        <v>434.98351142863351</v>
      </c>
      <c r="BH101" s="100">
        <v>10</v>
      </c>
      <c r="BI101" s="100">
        <v>7236</v>
      </c>
      <c r="BJ101" s="100">
        <v>4.4313351237487648</v>
      </c>
      <c r="BK101" s="100">
        <v>3206.5140955446063</v>
      </c>
      <c r="BL101" s="100">
        <v>8.971237532021755</v>
      </c>
      <c r="BM101" s="100">
        <v>6491.5874781709417</v>
      </c>
      <c r="BN101" s="100">
        <v>9</v>
      </c>
      <c r="BO101" s="100">
        <v>6512.4000000000005</v>
      </c>
      <c r="BP101" s="100">
        <v>10</v>
      </c>
      <c r="BQ101" s="100">
        <v>7236</v>
      </c>
      <c r="BR101" s="100">
        <v>7.8566866472986572</v>
      </c>
      <c r="BS101" s="100">
        <v>5685.0984579853084</v>
      </c>
      <c r="BT101" s="100">
        <v>7.6248080185093681</v>
      </c>
      <c r="BU101" s="100">
        <v>5517.3110821933788</v>
      </c>
      <c r="BV101" s="100">
        <v>7.3682039025018415</v>
      </c>
      <c r="BW101" s="100">
        <v>5331.6323438503323</v>
      </c>
      <c r="BX101" s="100">
        <v>7.7796264554334158</v>
      </c>
      <c r="BY101" s="100">
        <v>5629.3377031516202</v>
      </c>
      <c r="BZ101" s="100">
        <v>8.223634404353275</v>
      </c>
      <c r="CA101" s="100">
        <v>5950.6218549900295</v>
      </c>
      <c r="CB101" s="100">
        <v>9.7188406596902333</v>
      </c>
      <c r="CC101" s="100">
        <v>7032.553101351853</v>
      </c>
      <c r="CD101" s="100">
        <v>9.0152141865904873</v>
      </c>
      <c r="CE101" s="100">
        <v>6523.4089854168769</v>
      </c>
      <c r="CF101" s="100">
        <v>8.971237532021755</v>
      </c>
      <c r="CG101" s="100">
        <v>6491.5874781709417</v>
      </c>
      <c r="CH101" s="100">
        <v>0.69985437710887599</v>
      </c>
      <c r="CI101" s="100">
        <v>506.4146272759827</v>
      </c>
      <c r="CJ101" s="100">
        <v>9</v>
      </c>
      <c r="CK101" s="100">
        <v>6512.4000000000005</v>
      </c>
      <c r="CL101" s="100">
        <v>9</v>
      </c>
      <c r="CM101" s="100">
        <v>6512.4000000000005</v>
      </c>
      <c r="CN101" s="100">
        <v>5.6989840042664444</v>
      </c>
      <c r="CO101" s="100">
        <v>4123.7848254871997</v>
      </c>
      <c r="CP101" s="100">
        <v>9.1044737329923731</v>
      </c>
      <c r="CQ101" s="100">
        <v>6587.9971931932814</v>
      </c>
      <c r="CR101" s="100">
        <v>0.75868271605425974</v>
      </c>
      <c r="CS101" s="100">
        <v>548.98281333686236</v>
      </c>
      <c r="CT101" s="100">
        <v>8</v>
      </c>
      <c r="CU101" s="100">
        <v>5788.8</v>
      </c>
    </row>
    <row r="102" spans="2:99">
      <c r="C102" s="99" t="s">
        <v>268</v>
      </c>
      <c r="D102" s="100">
        <v>8.7849503365699686</v>
      </c>
      <c r="E102" s="100">
        <v>4670.0795989205953</v>
      </c>
      <c r="F102" s="100">
        <v>9.3658058494023404</v>
      </c>
      <c r="G102" s="100">
        <v>4978.8623895422843</v>
      </c>
      <c r="H102" s="100">
        <v>5.7859539766453816</v>
      </c>
      <c r="I102" s="100">
        <v>3075.813133984685</v>
      </c>
      <c r="J102" s="100">
        <v>4.9318196502936331</v>
      </c>
      <c r="K102" s="100">
        <v>2621.7553260960954</v>
      </c>
      <c r="L102" s="100">
        <v>8</v>
      </c>
      <c r="M102" s="100">
        <v>4252.8</v>
      </c>
      <c r="N102" s="100">
        <v>7</v>
      </c>
      <c r="O102" s="100">
        <v>3721.2000000000003</v>
      </c>
      <c r="P102" s="100">
        <v>9.4850623849193436</v>
      </c>
      <c r="Q102" s="100">
        <v>5042.2591638231233</v>
      </c>
      <c r="R102" s="100">
        <v>6.8519001420877004</v>
      </c>
      <c r="S102" s="100">
        <v>3642.4701155338216</v>
      </c>
      <c r="T102" s="100">
        <v>11</v>
      </c>
      <c r="U102" s="100">
        <v>5847.6</v>
      </c>
      <c r="V102" s="100">
        <v>8</v>
      </c>
      <c r="W102" s="100">
        <v>4252.8</v>
      </c>
      <c r="X102" s="100">
        <v>10.335248644587107</v>
      </c>
      <c r="Y102" s="100">
        <v>5494.2181794625067</v>
      </c>
      <c r="Z102" s="100">
        <v>4.1546910641066601</v>
      </c>
      <c r="AA102" s="100">
        <v>2208.6337696791006</v>
      </c>
      <c r="AB102" s="100">
        <v>7.1283088917227113</v>
      </c>
      <c r="AC102" s="100">
        <v>3789.4090068397936</v>
      </c>
      <c r="AD102" s="100">
        <v>7</v>
      </c>
      <c r="AE102" s="100">
        <v>3721.2000000000003</v>
      </c>
      <c r="AF102" s="100">
        <v>5.4017689474663069</v>
      </c>
      <c r="AG102" s="100">
        <v>2871.580372473089</v>
      </c>
      <c r="AH102" s="100">
        <v>7.1390742155976321E-23</v>
      </c>
      <c r="AI102" s="100">
        <v>3.7951318530117013E-20</v>
      </c>
      <c r="AJ102" s="100">
        <v>3.6727029201629438E-23</v>
      </c>
      <c r="AK102" s="100">
        <v>1.9524088723586211E-20</v>
      </c>
      <c r="AL102" s="100">
        <v>4.8625837131749179E-23</v>
      </c>
      <c r="AM102" s="100">
        <v>2.5849495019237864E-20</v>
      </c>
      <c r="AN102" s="100">
        <v>7</v>
      </c>
      <c r="AO102" s="100">
        <v>3721.2000000000003</v>
      </c>
      <c r="AP102" s="100">
        <v>8.8387720185987355</v>
      </c>
      <c r="AQ102" s="100">
        <v>4698.6912050870878</v>
      </c>
      <c r="AR102" s="100">
        <v>8.2471017671051996</v>
      </c>
      <c r="AS102" s="100">
        <v>4384.1592993931245</v>
      </c>
      <c r="AT102" s="100">
        <v>7.2216113641274591</v>
      </c>
      <c r="AU102" s="100">
        <v>3839.0086011701574</v>
      </c>
      <c r="AV102" s="100">
        <v>7.662932058601915</v>
      </c>
      <c r="AW102" s="100">
        <v>4073.6146823527783</v>
      </c>
      <c r="AX102" s="100">
        <v>0</v>
      </c>
      <c r="AY102" s="100">
        <v>0</v>
      </c>
      <c r="AZ102" s="100">
        <v>8.5939424956283155</v>
      </c>
      <c r="BA102" s="100">
        <v>4568.5398306760126</v>
      </c>
      <c r="BB102" s="100">
        <v>7.3760843344831262</v>
      </c>
      <c r="BC102" s="100">
        <v>3921.1264322112302</v>
      </c>
      <c r="BD102" s="100">
        <v>6.5917695127758416</v>
      </c>
      <c r="BE102" s="100">
        <v>3504.1846729916374</v>
      </c>
      <c r="BF102" s="100">
        <v>0.60113807549562392</v>
      </c>
      <c r="BG102" s="100">
        <v>319.5650009334737</v>
      </c>
      <c r="BH102" s="100">
        <v>10</v>
      </c>
      <c r="BI102" s="100">
        <v>5316</v>
      </c>
      <c r="BJ102" s="100">
        <v>3.7982872489275121</v>
      </c>
      <c r="BK102" s="100">
        <v>2019.1695015298656</v>
      </c>
      <c r="BL102" s="100">
        <v>8.223634404353275</v>
      </c>
      <c r="BM102" s="100">
        <v>4371.6840493542013</v>
      </c>
      <c r="BN102" s="100">
        <v>9</v>
      </c>
      <c r="BO102" s="100">
        <v>4784.4000000000005</v>
      </c>
      <c r="BP102" s="100">
        <v>11</v>
      </c>
      <c r="BQ102" s="100">
        <v>5847.6</v>
      </c>
      <c r="BR102" s="100">
        <v>9.8208583091233219</v>
      </c>
      <c r="BS102" s="100">
        <v>5220.7682771299578</v>
      </c>
      <c r="BT102" s="100">
        <v>7.6248080185093681</v>
      </c>
      <c r="BU102" s="100">
        <v>4053.3479426395802</v>
      </c>
      <c r="BV102" s="100">
        <v>7.3682039025018415</v>
      </c>
      <c r="BW102" s="100">
        <v>3916.9371945699791</v>
      </c>
      <c r="BX102" s="100">
        <v>9.3355517465200997</v>
      </c>
      <c r="BY102" s="100">
        <v>4962.7793084500854</v>
      </c>
      <c r="BZ102" s="100">
        <v>8.971237532021755</v>
      </c>
      <c r="CA102" s="100">
        <v>4769.1098720227656</v>
      </c>
      <c r="CB102" s="100">
        <v>9.7188406596902333</v>
      </c>
      <c r="CC102" s="100">
        <v>5166.535694691328</v>
      </c>
      <c r="CD102" s="100">
        <v>9.9167356052495386</v>
      </c>
      <c r="CE102" s="100">
        <v>5271.7366477506548</v>
      </c>
      <c r="CF102" s="100">
        <v>10.466443787358713</v>
      </c>
      <c r="CG102" s="100">
        <v>5563.9615173598922</v>
      </c>
      <c r="CH102" s="100">
        <v>0.7698398148197636</v>
      </c>
      <c r="CI102" s="100">
        <v>409.24684555818635</v>
      </c>
      <c r="CJ102" s="100">
        <v>10</v>
      </c>
      <c r="CK102" s="100">
        <v>5316</v>
      </c>
      <c r="CL102" s="100">
        <v>9</v>
      </c>
      <c r="CM102" s="100">
        <v>4784.4000000000005</v>
      </c>
      <c r="CN102" s="100">
        <v>4.8222172343792984</v>
      </c>
      <c r="CO102" s="100">
        <v>2563.490681796035</v>
      </c>
      <c r="CP102" s="100">
        <v>8.3457675885763436</v>
      </c>
      <c r="CQ102" s="100">
        <v>4436.6100500871844</v>
      </c>
      <c r="CR102" s="100">
        <v>0.75868271605425974</v>
      </c>
      <c r="CS102" s="100">
        <v>403.31573185444449</v>
      </c>
      <c r="CT102" s="100">
        <v>9</v>
      </c>
      <c r="CU102" s="100">
        <v>4784.4000000000005</v>
      </c>
    </row>
    <row r="103" spans="2:99">
      <c r="C103" s="99" t="s">
        <v>269</v>
      </c>
      <c r="D103" s="100">
        <v>9.4607157470753513</v>
      </c>
      <c r="E103" s="100">
        <v>5574.2537181767966</v>
      </c>
      <c r="F103" s="100">
        <v>8.5143689540021263</v>
      </c>
      <c r="G103" s="100">
        <v>5016.6661876980525</v>
      </c>
      <c r="H103" s="100">
        <v>6.3119497927040529</v>
      </c>
      <c r="I103" s="100">
        <v>3719.0008178612275</v>
      </c>
      <c r="J103" s="100">
        <v>5.6363653146212949</v>
      </c>
      <c r="K103" s="100">
        <v>3320.9464433748667</v>
      </c>
      <c r="L103" s="100">
        <v>8</v>
      </c>
      <c r="M103" s="100">
        <v>4713.5999999999995</v>
      </c>
      <c r="N103" s="100">
        <v>7</v>
      </c>
      <c r="O103" s="100">
        <v>4124.3999999999996</v>
      </c>
      <c r="P103" s="100">
        <v>10.275484250329288</v>
      </c>
      <c r="Q103" s="100">
        <v>6054.3153202940157</v>
      </c>
      <c r="R103" s="100">
        <v>6.8519001420877004</v>
      </c>
      <c r="S103" s="100">
        <v>4037.1395637180726</v>
      </c>
      <c r="T103" s="100">
        <v>13</v>
      </c>
      <c r="U103" s="100">
        <v>7659.5999999999995</v>
      </c>
      <c r="V103" s="100">
        <v>8</v>
      </c>
      <c r="W103" s="100">
        <v>4713.5999999999995</v>
      </c>
      <c r="X103" s="100">
        <v>10.335248644587107</v>
      </c>
      <c r="Y103" s="100">
        <v>6089.5285013907232</v>
      </c>
      <c r="Z103" s="100">
        <v>3.7769918764606003</v>
      </c>
      <c r="AA103" s="100">
        <v>2225.4036136105856</v>
      </c>
      <c r="AB103" s="100">
        <v>8.9103861146533898</v>
      </c>
      <c r="AC103" s="100">
        <v>5249.9994987537766</v>
      </c>
      <c r="AD103" s="100">
        <v>6</v>
      </c>
      <c r="AE103" s="100">
        <v>3535.2</v>
      </c>
      <c r="AF103" s="100">
        <v>5.4017689474663069</v>
      </c>
      <c r="AG103" s="100">
        <v>3182.7222638471476</v>
      </c>
      <c r="AH103" s="100">
        <v>8.0314584925473363E-23</v>
      </c>
      <c r="AI103" s="100">
        <v>4.7321353438088898E-20</v>
      </c>
      <c r="AJ103" s="100">
        <v>3.2136150551425756E-23</v>
      </c>
      <c r="AK103" s="100">
        <v>1.8934619904900053E-20</v>
      </c>
      <c r="AL103" s="100">
        <v>4.457368403743675E-23</v>
      </c>
      <c r="AM103" s="100">
        <v>2.6262814634857729E-20</v>
      </c>
      <c r="AN103" s="100">
        <v>7</v>
      </c>
      <c r="AO103" s="100">
        <v>4124.3999999999996</v>
      </c>
      <c r="AP103" s="100">
        <v>8.8387720185987355</v>
      </c>
      <c r="AQ103" s="100">
        <v>5207.8044733583747</v>
      </c>
      <c r="AR103" s="100">
        <v>7.5598432865130993</v>
      </c>
      <c r="AS103" s="100">
        <v>4454.2596644135174</v>
      </c>
      <c r="AT103" s="100">
        <v>6.4192101014466303</v>
      </c>
      <c r="AU103" s="100">
        <v>3782.1985917723541</v>
      </c>
      <c r="AV103" s="100">
        <v>7.662932058601915</v>
      </c>
      <c r="AW103" s="100">
        <v>4514.9995689282478</v>
      </c>
      <c r="AX103" s="100">
        <v>0</v>
      </c>
      <c r="AY103" s="100">
        <v>0</v>
      </c>
      <c r="AZ103" s="100">
        <v>8.5939424956283155</v>
      </c>
      <c r="BA103" s="100">
        <v>5063.5509184242028</v>
      </c>
      <c r="BB103" s="100">
        <v>6.5565194084294456</v>
      </c>
      <c r="BC103" s="100">
        <v>3863.1012354466288</v>
      </c>
      <c r="BD103" s="100">
        <v>6.5917695127758416</v>
      </c>
      <c r="BE103" s="100">
        <v>3883.8705969275252</v>
      </c>
      <c r="BF103" s="100">
        <v>0.676280334932577</v>
      </c>
      <c r="BG103" s="100">
        <v>398.46437334227431</v>
      </c>
      <c r="BH103" s="100">
        <v>10</v>
      </c>
      <c r="BI103" s="100">
        <v>5891.9999999999991</v>
      </c>
      <c r="BJ103" s="100">
        <v>3.7982872489275121</v>
      </c>
      <c r="BK103" s="100">
        <v>2237.9508470680898</v>
      </c>
      <c r="BL103" s="100">
        <v>7.4760312766847949</v>
      </c>
      <c r="BM103" s="100">
        <v>4404.8776282226809</v>
      </c>
      <c r="BN103" s="100">
        <v>10</v>
      </c>
      <c r="BO103" s="100">
        <v>5891.9999999999991</v>
      </c>
      <c r="BP103" s="100">
        <v>11</v>
      </c>
      <c r="BQ103" s="100">
        <v>6481.1999999999989</v>
      </c>
      <c r="BR103" s="100">
        <v>9.8208583091233219</v>
      </c>
      <c r="BS103" s="100">
        <v>5786.4497157354608</v>
      </c>
      <c r="BT103" s="100">
        <v>8.387288820360304</v>
      </c>
      <c r="BU103" s="100">
        <v>4941.7905729562908</v>
      </c>
      <c r="BV103" s="100">
        <v>8.1050242927520255</v>
      </c>
      <c r="BW103" s="100">
        <v>4775.4803132894931</v>
      </c>
      <c r="BX103" s="100">
        <v>8.5575891009767577</v>
      </c>
      <c r="BY103" s="100">
        <v>5042.1314982955055</v>
      </c>
      <c r="BZ103" s="100">
        <v>8.223634404353275</v>
      </c>
      <c r="CA103" s="100">
        <v>4845.3653910449493</v>
      </c>
      <c r="CB103" s="100">
        <v>8.223634404353275</v>
      </c>
      <c r="CC103" s="100">
        <v>4845.3653910449493</v>
      </c>
      <c r="CD103" s="100">
        <v>8.1136927679314397</v>
      </c>
      <c r="CE103" s="100">
        <v>4780.5877788652033</v>
      </c>
      <c r="CF103" s="100">
        <v>8.971237532021755</v>
      </c>
      <c r="CG103" s="100">
        <v>5285.8531538672178</v>
      </c>
      <c r="CH103" s="100">
        <v>0.69985437710887599</v>
      </c>
      <c r="CI103" s="100">
        <v>412.3541989925497</v>
      </c>
      <c r="CJ103" s="100">
        <v>9</v>
      </c>
      <c r="CK103" s="100">
        <v>5302.7999999999993</v>
      </c>
      <c r="CL103" s="100">
        <v>9</v>
      </c>
      <c r="CM103" s="100">
        <v>5302.7999999999993</v>
      </c>
      <c r="CN103" s="100">
        <v>5.2606006193228714</v>
      </c>
      <c r="CO103" s="100">
        <v>3099.5458849050356</v>
      </c>
      <c r="CP103" s="100">
        <v>9.1044737329923731</v>
      </c>
      <c r="CQ103" s="100">
        <v>5364.3559234791055</v>
      </c>
      <c r="CR103" s="100">
        <v>0.68971156004932699</v>
      </c>
      <c r="CS103" s="100">
        <v>406.37805118106343</v>
      </c>
      <c r="CT103" s="100">
        <v>9</v>
      </c>
      <c r="CU103" s="100">
        <v>5302.7999999999993</v>
      </c>
    </row>
    <row r="104" spans="2:99">
      <c r="C104" s="99" t="s">
        <v>270</v>
      </c>
      <c r="D104" s="100">
        <v>8.1091849260645876</v>
      </c>
      <c r="E104" s="100">
        <v>5128.2485472432454</v>
      </c>
      <c r="F104" s="100">
        <v>9.3658058494023404</v>
      </c>
      <c r="G104" s="100">
        <v>5922.93561916204</v>
      </c>
      <c r="H104" s="100">
        <v>6.3119497927040529</v>
      </c>
      <c r="I104" s="100">
        <v>3991.6770489060427</v>
      </c>
      <c r="J104" s="100">
        <v>5.6363653146212949</v>
      </c>
      <c r="K104" s="100">
        <v>3564.4374249665066</v>
      </c>
      <c r="L104" s="100">
        <v>9</v>
      </c>
      <c r="M104" s="100">
        <v>5691.5999999999995</v>
      </c>
      <c r="N104" s="100">
        <v>7</v>
      </c>
      <c r="O104" s="100">
        <v>4426.8</v>
      </c>
      <c r="P104" s="100">
        <v>10.275484250329288</v>
      </c>
      <c r="Q104" s="100">
        <v>6498.2162399082417</v>
      </c>
      <c r="R104" s="100">
        <v>7.5370901562964709</v>
      </c>
      <c r="S104" s="100">
        <v>4766.4558148418882</v>
      </c>
      <c r="T104" s="100">
        <v>12</v>
      </c>
      <c r="U104" s="100">
        <v>7588.7999999999993</v>
      </c>
      <c r="V104" s="100">
        <v>8</v>
      </c>
      <c r="W104" s="100">
        <v>5059.2</v>
      </c>
      <c r="X104" s="100">
        <v>11.130267771093809</v>
      </c>
      <c r="Y104" s="100">
        <v>7038.781338439725</v>
      </c>
      <c r="Z104" s="100">
        <v>4.1546910641066601</v>
      </c>
      <c r="AA104" s="100">
        <v>2627.4266289410516</v>
      </c>
      <c r="AB104" s="100">
        <v>8.9103861146533898</v>
      </c>
      <c r="AC104" s="100">
        <v>5634.9281789068036</v>
      </c>
      <c r="AD104" s="100">
        <v>6</v>
      </c>
      <c r="AE104" s="100">
        <v>3794.3999999999996</v>
      </c>
      <c r="AF104" s="100">
        <v>5.4017689474663069</v>
      </c>
      <c r="AG104" s="100">
        <v>3416.0786823776925</v>
      </c>
      <c r="AH104" s="100">
        <v>8.0314584925473363E-23</v>
      </c>
      <c r="AI104" s="100">
        <v>5.0790943506869356E-20</v>
      </c>
      <c r="AJ104" s="100">
        <v>3.6727029201629438E-23</v>
      </c>
      <c r="AK104" s="100">
        <v>2.3226173267110457E-20</v>
      </c>
      <c r="AL104" s="100">
        <v>4.0521530943124316E-23</v>
      </c>
      <c r="AM104" s="100">
        <v>2.5625816168431817E-20</v>
      </c>
      <c r="AN104" s="100">
        <v>8</v>
      </c>
      <c r="AO104" s="100">
        <v>5059.2</v>
      </c>
      <c r="AP104" s="100">
        <v>7.3656433488322781</v>
      </c>
      <c r="AQ104" s="100">
        <v>4658.0328538015328</v>
      </c>
      <c r="AR104" s="100">
        <v>8.2471017671051996</v>
      </c>
      <c r="AS104" s="100">
        <v>5215.4671575173279</v>
      </c>
      <c r="AT104" s="100">
        <v>7.2216113641274591</v>
      </c>
      <c r="AU104" s="100">
        <v>4566.9470266742046</v>
      </c>
      <c r="AV104" s="100">
        <v>6.8114951632017027</v>
      </c>
      <c r="AW104" s="100">
        <v>4307.5895412087566</v>
      </c>
      <c r="AX104" s="100">
        <v>0</v>
      </c>
      <c r="AY104" s="100">
        <v>0</v>
      </c>
      <c r="AZ104" s="100">
        <v>7.8777806209926222</v>
      </c>
      <c r="BA104" s="100">
        <v>4981.9084647157342</v>
      </c>
      <c r="BB104" s="100">
        <v>7.3760843344831262</v>
      </c>
      <c r="BC104" s="100">
        <v>4664.6357331271292</v>
      </c>
      <c r="BD104" s="100">
        <v>5.7677983236788606</v>
      </c>
      <c r="BE104" s="100">
        <v>3647.5556598945113</v>
      </c>
      <c r="BF104" s="100">
        <v>0.60113807549562392</v>
      </c>
      <c r="BG104" s="100">
        <v>380.15971894343255</v>
      </c>
      <c r="BH104" s="100">
        <v>11</v>
      </c>
      <c r="BI104" s="100">
        <v>6956.4</v>
      </c>
      <c r="BJ104" s="100">
        <v>4.4313351237487648</v>
      </c>
      <c r="BK104" s="100">
        <v>2802.3763322587188</v>
      </c>
      <c r="BL104" s="100">
        <v>8.223634404353275</v>
      </c>
      <c r="BM104" s="100">
        <v>5200.6263973130108</v>
      </c>
      <c r="BN104" s="100">
        <v>9</v>
      </c>
      <c r="BO104" s="100">
        <v>5691.5999999999995</v>
      </c>
      <c r="BP104" s="100">
        <v>12</v>
      </c>
      <c r="BQ104" s="100">
        <v>7588.7999999999993</v>
      </c>
      <c r="BR104" s="100">
        <v>8.8387724782109895</v>
      </c>
      <c r="BS104" s="100">
        <v>5589.63971522063</v>
      </c>
      <c r="BT104" s="100">
        <v>8.387288820360304</v>
      </c>
      <c r="BU104" s="100">
        <v>5304.121449995856</v>
      </c>
      <c r="BV104" s="100">
        <v>8.1050242927520255</v>
      </c>
      <c r="BW104" s="100">
        <v>5125.6173627363805</v>
      </c>
      <c r="BX104" s="100">
        <v>7.7796264554334158</v>
      </c>
      <c r="BY104" s="100">
        <v>4919.8357704160917</v>
      </c>
      <c r="BZ104" s="100">
        <v>8.223634404353275</v>
      </c>
      <c r="CA104" s="100">
        <v>5200.6263973130108</v>
      </c>
      <c r="CB104" s="100">
        <v>8.971237532021755</v>
      </c>
      <c r="CC104" s="100">
        <v>5673.4106152505574</v>
      </c>
      <c r="CD104" s="100">
        <v>8.1136927679314397</v>
      </c>
      <c r="CE104" s="100">
        <v>5131.0993064398426</v>
      </c>
      <c r="CF104" s="100">
        <v>9.7188406596902333</v>
      </c>
      <c r="CG104" s="100">
        <v>6146.1948331881031</v>
      </c>
      <c r="CH104" s="100">
        <v>0.69985437710887599</v>
      </c>
      <c r="CI104" s="100">
        <v>442.58790808365313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5.6989840042664444</v>
      </c>
      <c r="CO104" s="100">
        <v>3604.0374842980991</v>
      </c>
      <c r="CP104" s="100">
        <v>9.1044737329923731</v>
      </c>
      <c r="CQ104" s="100">
        <v>5757.6691887443767</v>
      </c>
      <c r="CR104" s="100">
        <v>0.75868271605425974</v>
      </c>
      <c r="CS104" s="100">
        <v>479.79094963271382</v>
      </c>
      <c r="CT104" s="100">
        <v>9</v>
      </c>
      <c r="CU104" s="100">
        <v>5691.5999999999995</v>
      </c>
    </row>
    <row r="105" spans="2:99">
      <c r="C105" s="99" t="s">
        <v>271</v>
      </c>
      <c r="D105" s="100">
        <v>8.7849503365699686</v>
      </c>
      <c r="E105" s="100">
        <v>4891.4603474021578</v>
      </c>
      <c r="F105" s="100">
        <v>8.5143689540021263</v>
      </c>
      <c r="G105" s="100">
        <v>4740.8006335883838</v>
      </c>
      <c r="H105" s="100">
        <v>5.7859539766453816</v>
      </c>
      <c r="I105" s="100">
        <v>3221.6191741961484</v>
      </c>
      <c r="J105" s="100">
        <v>6.3409109789489575</v>
      </c>
      <c r="K105" s="100">
        <v>3530.6192330787794</v>
      </c>
      <c r="L105" s="100">
        <v>9</v>
      </c>
      <c r="M105" s="100">
        <v>5011.2</v>
      </c>
      <c r="N105" s="100">
        <v>8</v>
      </c>
      <c r="O105" s="100">
        <v>4454.3999999999996</v>
      </c>
      <c r="P105" s="100">
        <v>9.4850623849193436</v>
      </c>
      <c r="Q105" s="100">
        <v>5281.2827359230905</v>
      </c>
      <c r="R105" s="100">
        <v>6.8519001420877004</v>
      </c>
      <c r="S105" s="100">
        <v>3815.1379991144313</v>
      </c>
      <c r="T105" s="100">
        <v>12</v>
      </c>
      <c r="U105" s="100">
        <v>6681.5999999999995</v>
      </c>
      <c r="V105" s="100">
        <v>8</v>
      </c>
      <c r="W105" s="100">
        <v>4454.3999999999996</v>
      </c>
      <c r="X105" s="100">
        <v>11.130267771093809</v>
      </c>
      <c r="Y105" s="100">
        <v>6197.3330949450328</v>
      </c>
      <c r="Z105" s="100">
        <v>4.5323902517527204</v>
      </c>
      <c r="AA105" s="100">
        <v>2523.6348921759145</v>
      </c>
      <c r="AB105" s="100">
        <v>8.019347503188051</v>
      </c>
      <c r="AC105" s="100">
        <v>4465.1726897751068</v>
      </c>
      <c r="AD105" s="100">
        <v>7</v>
      </c>
      <c r="AE105" s="100">
        <v>3897.5999999999995</v>
      </c>
      <c r="AF105" s="100">
        <v>5.8519163597551662</v>
      </c>
      <c r="AG105" s="100">
        <v>3258.3470291116764</v>
      </c>
      <c r="AH105" s="100">
        <v>8.9238427694970404E-23</v>
      </c>
      <c r="AI105" s="100">
        <v>4.9687956540559516E-20</v>
      </c>
      <c r="AJ105" s="100">
        <v>3.2136150551425756E-23</v>
      </c>
      <c r="AK105" s="100">
        <v>1.7893408627033859E-20</v>
      </c>
      <c r="AL105" s="100">
        <v>4.8625837131749179E-23</v>
      </c>
      <c r="AM105" s="100">
        <v>2.7074866114957941E-20</v>
      </c>
      <c r="AN105" s="100">
        <v>8</v>
      </c>
      <c r="AO105" s="100">
        <v>4454.3999999999996</v>
      </c>
      <c r="AP105" s="100">
        <v>8.8387720185987355</v>
      </c>
      <c r="AQ105" s="100">
        <v>4921.4282599557755</v>
      </c>
      <c r="AR105" s="100">
        <v>7.5598432865130993</v>
      </c>
      <c r="AS105" s="100">
        <v>4209.3207419304936</v>
      </c>
      <c r="AT105" s="100">
        <v>7.2216113641274591</v>
      </c>
      <c r="AU105" s="100">
        <v>4020.9932075461688</v>
      </c>
      <c r="AV105" s="100">
        <v>6.8114951632017027</v>
      </c>
      <c r="AW105" s="100">
        <v>3792.6405068707077</v>
      </c>
      <c r="AX105" s="100">
        <v>0</v>
      </c>
      <c r="AY105" s="100">
        <v>0</v>
      </c>
      <c r="AZ105" s="100">
        <v>8.5939424956283155</v>
      </c>
      <c r="BA105" s="100">
        <v>4785.1071815658461</v>
      </c>
      <c r="BB105" s="100">
        <v>6.5565194084294456</v>
      </c>
      <c r="BC105" s="100">
        <v>3650.6700066135149</v>
      </c>
      <c r="BD105" s="100">
        <v>6.5917695127758416</v>
      </c>
      <c r="BE105" s="100">
        <v>3670.2972647135884</v>
      </c>
      <c r="BF105" s="100">
        <v>0.676280334932577</v>
      </c>
      <c r="BG105" s="100">
        <v>376.55289049045882</v>
      </c>
      <c r="BH105" s="100">
        <v>10</v>
      </c>
      <c r="BI105" s="100">
        <v>5568</v>
      </c>
      <c r="BJ105" s="100">
        <v>3.7982872489275121</v>
      </c>
      <c r="BK105" s="100">
        <v>2114.8863402028387</v>
      </c>
      <c r="BL105" s="100">
        <v>8.223634404353275</v>
      </c>
      <c r="BM105" s="100">
        <v>4578.9196363439032</v>
      </c>
      <c r="BN105" s="100">
        <v>9</v>
      </c>
      <c r="BO105" s="100">
        <v>5011.2</v>
      </c>
      <c r="BP105" s="100">
        <v>12</v>
      </c>
      <c r="BQ105" s="100">
        <v>6681.5999999999995</v>
      </c>
      <c r="BR105" s="100">
        <v>7.8566866472986572</v>
      </c>
      <c r="BS105" s="100">
        <v>4374.6031252158919</v>
      </c>
      <c r="BT105" s="100">
        <v>9.1497696222112417</v>
      </c>
      <c r="BU105" s="100">
        <v>5094.5917256472194</v>
      </c>
      <c r="BV105" s="100">
        <v>8.8418446830022095</v>
      </c>
      <c r="BW105" s="100">
        <v>4923.1391194956295</v>
      </c>
      <c r="BX105" s="100">
        <v>7.7796264554334158</v>
      </c>
      <c r="BY105" s="100">
        <v>4331.6960103853253</v>
      </c>
      <c r="BZ105" s="100">
        <v>8.223634404353275</v>
      </c>
      <c r="CA105" s="100">
        <v>4578.9196363439032</v>
      </c>
      <c r="CB105" s="100">
        <v>9.7188406596902333</v>
      </c>
      <c r="CC105" s="100">
        <v>5411.4504793155211</v>
      </c>
      <c r="CD105" s="100">
        <v>9.9167356052495386</v>
      </c>
      <c r="CE105" s="100">
        <v>5521.6383850029424</v>
      </c>
      <c r="CF105" s="100">
        <v>9.7188406596902333</v>
      </c>
      <c r="CG105" s="100">
        <v>5411.4504793155211</v>
      </c>
      <c r="CH105" s="100">
        <v>0.69985437710887599</v>
      </c>
      <c r="CI105" s="100">
        <v>389.67891717422214</v>
      </c>
      <c r="CJ105" s="100">
        <v>8</v>
      </c>
      <c r="CK105" s="100">
        <v>4454.3999999999996</v>
      </c>
      <c r="CL105" s="100">
        <v>8</v>
      </c>
      <c r="CM105" s="100">
        <v>4454.3999999999996</v>
      </c>
      <c r="CN105" s="100">
        <v>5.2606006193228714</v>
      </c>
      <c r="CO105" s="100">
        <v>2929.1024248389745</v>
      </c>
      <c r="CP105" s="100">
        <v>9.1044737329923731</v>
      </c>
      <c r="CQ105" s="100">
        <v>5069.370974530153</v>
      </c>
      <c r="CR105" s="100">
        <v>0.75868271605425974</v>
      </c>
      <c r="CS105" s="100">
        <v>422.43453629901177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384</v>
      </c>
      <c r="E109" s="100">
        <f>SUM(L$6:L$19)+SUM(N$6:N$19)+SUM(P$6:P$19)+SUM(R$6:R$19)</f>
        <v>461</v>
      </c>
      <c r="F109" s="100">
        <f>SUM(T$6:T$19)+SUM(V$6:V$19)+SUM(X$6:X$19)+SUM(Z$6:Z$19)</f>
        <v>410.37743418733118</v>
      </c>
      <c r="G109" s="100">
        <f>SUM(AB$6:AB$19)+SUM(AD$6:AD$19)+SUM(AF$6:AF$19)+SUM(AH$6:AH$19)</f>
        <v>408.71942039890303</v>
      </c>
      <c r="H109" s="100">
        <f>SUM(AJ$6:AJ$19)+SUM(AL$6:AL$19)+SUM(AN$6:AN$19)+SUM(AP$6:AP$19)</f>
        <v>328.6516927651856</v>
      </c>
      <c r="I109" s="100">
        <f>SUM(AR$6:AR$19)+SUM(AT$6:AT$19)+SUM(AV$6:AV$19)+SUM(AX$6:AX$19)</f>
        <v>520.7799288842549</v>
      </c>
      <c r="J109" s="100">
        <f>SUM(AZ$6:AZ$19)+SUM(BB$6:BB$19)+SUM(BD$6:BD$19)+SUM(BF$6:BF$19)</f>
        <v>526.37096694781428</v>
      </c>
      <c r="K109" s="100">
        <f>SUM(BH$6:BH$19)+SUM(BJ$6:BJ$19)+SUM(BL$6:BL$19)+SUM(BN$6:BN$19)</f>
        <v>317.4248027770995</v>
      </c>
      <c r="L109" s="100">
        <f>SUM(BP$6:BP$19)+SUM(BR$6:BR$19)+SUM(BT$6:BT$19)+SUM(BV$6:BV$19)</f>
        <v>515.01853405783072</v>
      </c>
      <c r="M109" s="100">
        <f>SUM(BX$6:BX$19)+SUM(BZ$6:BZ$19)+SUM(CB$6:CB$19)+SUM(CD$6:CD$19)</f>
        <v>431.41976156110661</v>
      </c>
      <c r="N109" s="100">
        <f>SUM(CF$6:CF$19)+SUM(CH$6:CH$19)+SUM(CJ$6:CJ$19)+SUM(CL$6:CL$19)</f>
        <v>581</v>
      </c>
      <c r="O109" s="100">
        <f>SUM(CN$6:CN$19)+SUM(CP$6:CP$19)+SUM(CR$6:CR$19)+SUM(CT$6:CT$19)</f>
        <v>297.3691854642708</v>
      </c>
    </row>
    <row r="110" spans="2:99">
      <c r="C110" s="99" t="s">
        <v>127</v>
      </c>
      <c r="D110" s="100">
        <f>SUM(D$20:D$36)+SUM(F$20:F$36)+SUM(H$20:H$36)+SUM(J$20:J$36)</f>
        <v>1156</v>
      </c>
      <c r="E110" s="100">
        <f>SUM(L$20:L$36)+SUM(N$20:N$36)+SUM(P$20:P$36)+SUM(R$20:R$36)</f>
        <v>1003</v>
      </c>
      <c r="F110" s="100">
        <f>SUM(T$20:T$36)+SUM(V$20:V$36)+SUM(X$20:X$36)+SUM(Z$20:Z$36)</f>
        <v>1000.4070957058542</v>
      </c>
      <c r="G110" s="100">
        <f>SUM(AB$20:AB$36)+SUM(AD$20:AD$36)+SUM(AF$20:AF$36)+SUM(AH$20:AH$36)</f>
        <v>894.47850246123949</v>
      </c>
      <c r="H110" s="100">
        <f>SUM(AJ$20:AJ$36)+SUM(AL$20:AL$36)+SUM(AN$20:AN$36)+SUM(AP$20:AP$36)</f>
        <v>941.49736431852466</v>
      </c>
      <c r="I110" s="100">
        <f>SUM(AR$20:AR$36)+SUM(AT$20:AT$36)+SUM(AV$20:AV$36)+SUM(AX$20:AX$36)</f>
        <v>1284.5198347994492</v>
      </c>
      <c r="J110" s="100">
        <f>SUM(AZ$20:AZ$36)+SUM(BB$20:BB$36)+SUM(BD$20:BD$36)+SUM(BF$20:BF$36)</f>
        <v>1128.1710688503463</v>
      </c>
      <c r="K110" s="100">
        <f>SUM(BH$20:BH$36)+SUM(BJ$20:BJ$36)+SUM(BL$20:BL$36)+SUM(BN$20:BN$36)</f>
        <v>765.47143417209509</v>
      </c>
      <c r="L110" s="100">
        <f>SUM(BP$20:BP$36)+SUM(BR$20:BR$36)+SUM(BT$20:BT$36)+SUM(BV$20:BV$36)</f>
        <v>952.67276345461198</v>
      </c>
      <c r="M110" s="100">
        <f>SUM(BX$20:BX$36)+SUM(BZ$20:BZ$36)+SUM(CB$20:CB$36)+SUM(CD$20:CD$36)</f>
        <v>807.44819534689509</v>
      </c>
      <c r="N110" s="100">
        <f>SUM(CF$20:CF$36)+SUM(CH$20:CH$36)+SUM(CJ$20:CJ$36)+SUM(CL$20:CL$36)</f>
        <v>1286</v>
      </c>
      <c r="O110" s="100">
        <f>SUM(CN$20:CN$36)+SUM(CP$20:CP$36)+SUM(CR$20:CR$36)+SUM(CT$20:CT$36)</f>
        <v>645.50595623113577</v>
      </c>
    </row>
    <row r="111" spans="2:99">
      <c r="C111" s="99" t="s">
        <v>128</v>
      </c>
      <c r="D111" s="100">
        <f>SUM(D$37:D$48)+SUM(F$37:F$48)+SUM(H$37:H$48)+SUM(J$37:J$48)</f>
        <v>494</v>
      </c>
      <c r="E111" s="100">
        <f>SUM(L$37:L$48)+SUM(N$37:N$48)+SUM(P$37:P$48)+SUM(R$37:R$48)</f>
        <v>515</v>
      </c>
      <c r="F111" s="100">
        <f>SUM(T$37:T$48)+SUM(V$37:V$48)+SUM(X$37:X$48)+SUM(Z$37:Z$48)</f>
        <v>480.23718345607926</v>
      </c>
      <c r="G111" s="100">
        <f>SUM(AB$37:AB$48)+SUM(AD$37:AD$48)+SUM(AF$37:AF$48)+SUM(AH$37:AH$48)</f>
        <v>424.54995251721323</v>
      </c>
      <c r="H111" s="100">
        <f>SUM(AJ$37:AJ$48)+SUM(AL$37:AL$48)+SUM(AN$37:AN$48)+SUM(AP$37:AP$48)</f>
        <v>501.10128676639442</v>
      </c>
      <c r="I111" s="100">
        <f>SUM(AR$37:AR$48)+SUM(AT$37:AT$48)+SUM(AV$37:AV$48)+SUM(AX$37:AX$48)</f>
        <v>532.47994434419945</v>
      </c>
      <c r="J111" s="100">
        <f>SUM(AZ$37:AZ$48)+SUM(BB$37:BB$48)+SUM(BD$37:BD$48)+SUM(BF$37:BF$48)</f>
        <v>495.55789135393718</v>
      </c>
      <c r="K111" s="100">
        <f>SUM(BH$37:BH$48)+SUM(BJ$37:BJ$48)+SUM(BL$37:BL$48)+SUM(BN$37:BN$48)</f>
        <v>365.93347979250512</v>
      </c>
      <c r="L111" s="100">
        <f>SUM(BP$37:BP$48)+SUM(BR$37:BR$48)+SUM(BT$37:BT$48)+SUM(BV$37:BV$48)</f>
        <v>421.60608279015167</v>
      </c>
      <c r="M111" s="100">
        <f>SUM(BX$37:BX$48)+SUM(BZ$37:BZ$48)+SUM(CB$37:CB$48)+SUM(CD$37:CD$48)</f>
        <v>469.52319125654401</v>
      </c>
      <c r="N111" s="100">
        <f>SUM(CF$37:CF$48)+SUM(CH$37:CH$48)+SUM(CJ$37:CJ$48)+SUM(CL$37:CL$48)</f>
        <v>566</v>
      </c>
      <c r="O111" s="100">
        <f>SUM(CN$37:CN$48)+SUM(CP$37:CP$48)+SUM(CR$37:CR$48)+SUM(CT$37:CT$48)</f>
        <v>262.99521480144199</v>
      </c>
    </row>
    <row r="112" spans="2:99">
      <c r="C112" s="99" t="s">
        <v>129</v>
      </c>
      <c r="D112" s="100">
        <f>SUM(D$49:D$70)+SUM(F$49:F$70)+SUM(H$49:H$70)+SUM(J$49:J$70)</f>
        <v>644.24087740131063</v>
      </c>
      <c r="E112" s="100">
        <f>SUM(L$49:L$70)+SUM(N$49:N$70)+SUM(P$49:P$70)+SUM(R$49:R$70)</f>
        <v>817.35143569854677</v>
      </c>
      <c r="F112" s="100">
        <f>SUM(T$49:T$70)+SUM(V$49:V$70)+SUM(X$49:X$70)+SUM(Z$49:Z$70)</f>
        <v>775.75207633645152</v>
      </c>
      <c r="G112" s="100">
        <f>SUM(AB$49:AB$70)+SUM(AD$49:AD$70)+SUM(AF$49:AF$70)+SUM(AH$49:AH$70)</f>
        <v>541.76158369085113</v>
      </c>
      <c r="H112" s="100">
        <f>SUM(AJ$49:AJ$70)+SUM(AL$49:AL$70)+SUM(AN$49:AN$70)+SUM(AP$49:AP$70)</f>
        <v>471.73063543564007</v>
      </c>
      <c r="I112" s="100">
        <f>SUM(AR$49:AR$70)+SUM(AT$49:AT$70)+SUM(AV$49:AV$70)+SUM(AX$49:AX$70)</f>
        <v>840.70749495382938</v>
      </c>
      <c r="J112" s="100">
        <f>SUM(AZ$49:AZ$70)+SUM(BB$49:BB$70)+SUM(BD$49:BD$70)+SUM(BF$49:BF$70)</f>
        <v>648.37130960988009</v>
      </c>
      <c r="K112" s="100">
        <f>SUM(BH$49:BH$70)+SUM(BJ$49:BJ$70)+SUM(BL$49:BL$70)+SUM(BN$49:BN$70)</f>
        <v>494.50826853742132</v>
      </c>
      <c r="L112" s="100">
        <f>SUM(BP$49:BP$70)+SUM(BR$49:BR$70)+SUM(BT$49:BT$70)+SUM(BV$49:BV$70)</f>
        <v>665.7518395744604</v>
      </c>
      <c r="M112" s="100">
        <f>SUM(BX$49:BX$70)+SUM(BZ$49:BZ$70)+SUM(CB$49:CB$70)+SUM(CD$49:CD$70)</f>
        <v>584.81832805584304</v>
      </c>
      <c r="N112" s="100">
        <f>SUM(CF$49:CF$70)+SUM(CH$49:CH$70)+SUM(CJ$49:CJ$70)+SUM(CL$49:CL$70)</f>
        <v>763.61906386060571</v>
      </c>
      <c r="O112" s="100">
        <f>SUM(CN$49:CN$70)+SUM(CP$49:CP$70)+SUM(CR$49:CR$70)+SUM(CT$49:CT$70)</f>
        <v>353.85453278287576</v>
      </c>
    </row>
    <row r="113" spans="2:15">
      <c r="C113" s="99" t="s">
        <v>130</v>
      </c>
      <c r="D113" s="100">
        <f>SUM(D$71:D$86)+SUM(F$71:F$86)+SUM(H$71:H$86)+SUM(J$71:J$86)</f>
        <v>555.17648936987371</v>
      </c>
      <c r="E113" s="100">
        <f>SUM(L$71:L$86)+SUM(N$71:N$86)+SUM(P$71:P$86)+SUM(R$71:R$86)</f>
        <v>615</v>
      </c>
      <c r="F113" s="100">
        <f>SUM(T$71:T$86)+SUM(V$71:V$86)+SUM(X$71:X$86)+SUM(Z$71:Z$86)</f>
        <v>607</v>
      </c>
      <c r="G113" s="100">
        <f>SUM(AB$71:AB$86)+SUM(AD$71:AD$86)+SUM(AF$71:AF$86)+SUM(AH$71:AH$86)</f>
        <v>454.53692776945184</v>
      </c>
      <c r="H113" s="100">
        <f>SUM(AJ$71:AJ$86)+SUM(AL$71:AL$86)+SUM(AN$71:AN$86)+SUM(AP$71:AP$86)</f>
        <v>220.29838201237584</v>
      </c>
      <c r="I113" s="100">
        <f>SUM(AR$71:AR$86)+SUM(AT$71:AT$86)+SUM(AV$71:AV$86)+SUM(AX$71:AX$86)</f>
        <v>611</v>
      </c>
      <c r="J113" s="100">
        <f>SUM(AZ$71:AZ$86)+SUM(BB$71:BB$86)+SUM(BD$71:BD$86)+SUM(BF$71:BF$86)</f>
        <v>552.22431671082836</v>
      </c>
      <c r="K113" s="100">
        <f>SUM(BH$71:BH$86)+SUM(BJ$71:BJ$86)+SUM(BL$71:BL$86)+SUM(BN$71:BN$86)</f>
        <v>556.19329987383844</v>
      </c>
      <c r="L113" s="100">
        <f>SUM(BP$71:BP$86)+SUM(BR$71:BR$86)+SUM(BT$71:BT$86)+SUM(BV$71:BV$86)</f>
        <v>599.26720171654301</v>
      </c>
      <c r="M113" s="100">
        <f>SUM(BX$71:BX$86)+SUM(BZ$71:BZ$86)+SUM(CB$71:CB$86)+SUM(CD$71:CD$86)</f>
        <v>599.23703731373121</v>
      </c>
      <c r="N113" s="100">
        <f>SUM(CF$71:CF$86)+SUM(CH$71:CH$86)+SUM(CJ$71:CJ$86)+SUM(CL$71:CL$86)</f>
        <v>705</v>
      </c>
      <c r="O113" s="100">
        <f>SUM(CN$71:CN$86)+SUM(CP$71:CP$86)+SUM(CR$71:CR$86)+SUM(CT$71:CT$86)</f>
        <v>524.26484945881055</v>
      </c>
    </row>
    <row r="114" spans="2:15">
      <c r="C114" s="99" t="s">
        <v>131</v>
      </c>
      <c r="D114" s="100">
        <f>SUM(D$87:D$94)+SUM(F$87:F$94)+SUM(H$87:H$94)+SUM(J$87:J$94)</f>
        <v>174.79404308143774</v>
      </c>
      <c r="E114" s="100">
        <f>SUM(L$87:L$94)+SUM(N$87:N$94)+SUM(P$87:P$94)+SUM(R$87:R$94)</f>
        <v>194.44358813465925</v>
      </c>
      <c r="F114" s="100">
        <f>SUM(T$87:T$94)+SUM(V$87:V$94)+SUM(X$87:X$94)+SUM(Z$87:Z$94)</f>
        <v>173.7628726124338</v>
      </c>
      <c r="G114" s="100">
        <f>SUM(AB$87:AB$94)+SUM(AD$87:AD$94)+SUM(AF$87:AF$94)+SUM(AH$87:AH$94)</f>
        <v>126.73115469980854</v>
      </c>
      <c r="H114" s="100">
        <f>SUM(AJ$87:AJ$94)+SUM(AL$87:AL$94)+SUM(AN$87:AN$94)+SUM(AP$87:AP$94)</f>
        <v>111.87140413019114</v>
      </c>
      <c r="I114" s="100">
        <f>SUM(AR$87:AR$94)+SUM(AT$87:AT$94)+SUM(AV$87:AV$94)+SUM(AX$87:AX$94)</f>
        <v>177.59498770954252</v>
      </c>
      <c r="J114" s="100">
        <f>SUM(AZ$87:AZ$94)+SUM(BB$87:BB$94)+SUM(BD$87:BD$94)+SUM(BF$87:BF$94)</f>
        <v>194.52757985853739</v>
      </c>
      <c r="K114" s="100">
        <f>SUM(BH$87:BH$94)+SUM(BJ$87:BJ$94)+SUM(BL$87:BL$94)+SUM(BN$87:BN$94)</f>
        <v>266.15087578592608</v>
      </c>
      <c r="L114" s="100">
        <f>SUM(BP$87:BP$94)+SUM(BR$87:BR$94)+SUM(BT$87:BT$94)+SUM(BV$87:BV$94)</f>
        <v>250.96371697301677</v>
      </c>
      <c r="M114" s="100">
        <f>SUM(BX$87:BX$94)+SUM(BZ$87:BZ$94)+SUM(CB$87:CB$94)+SUM(CD$87:CD$94)</f>
        <v>180.37828505662972</v>
      </c>
      <c r="N114" s="100">
        <f>SUM(CF$87:CF$94)+SUM(CH$87:CH$94)+SUM(CJ$87:CJ$94)+SUM(CL$87:CL$94)</f>
        <v>160.51663821483081</v>
      </c>
      <c r="O114" s="100">
        <f>SUM(CN$87:CN$94)+SUM(CP$87:CP$94)+SUM(CR$87:CR$94)+SUM(CT$87:CT$94)</f>
        <v>159.50044405042451</v>
      </c>
    </row>
    <row r="115" spans="2:15">
      <c r="C115" s="99" t="s">
        <v>132</v>
      </c>
      <c r="D115" s="100">
        <f>SUM(D$95:D$105)+SUM(F$95:F$105)+SUM(H$95:H$105)+SUM(J$95:J$105)</f>
        <v>315.88694672694646</v>
      </c>
      <c r="E115" s="100">
        <f>SUM(L$95:L$105)+SUM(N$95:N$105)+SUM(P$95:P$105)+SUM(R$95:R$105)</f>
        <v>355.23954085494711</v>
      </c>
      <c r="F115" s="100">
        <f>SUM(T$95:T$105)+SUM(V$95:V$105)+SUM(X$95:X$105)+SUM(Z$95:Z$105)</f>
        <v>380.2562392326933</v>
      </c>
      <c r="G115" s="100">
        <f>SUM(AB$95:AB$105)+SUM(AD$95:AD$105)+SUM(AF$95:AF$105)+SUM(AH$95:AH$105)</f>
        <v>223.00123562028926</v>
      </c>
      <c r="H115" s="100">
        <f>SUM(AJ$95:AJ$105)+SUM(AL$95:AL$105)+SUM(AN$95:AN$105)+SUM(AP$95:AP$105)</f>
        <v>171.8608488557538</v>
      </c>
      <c r="I115" s="100">
        <f>SUM(AR$95:AR$105)+SUM(AT$95:AT$105)+SUM(AV$95:AV$105)+SUM(AX$95:AX$105)</f>
        <v>236.19336841185981</v>
      </c>
      <c r="J115" s="100">
        <f>SUM(AZ$95:AZ$105)+SUM(BB$95:BB$105)+SUM(BD$95:BD$105)+SUM(BF$95:BF$105)</f>
        <v>243.08755158819201</v>
      </c>
      <c r="K115" s="100">
        <f>SUM(BH$95:BH$105)+SUM(BJ$95:BJ$105)+SUM(BL$95:BL$105)+SUM(BN$95:BN$105)</f>
        <v>343.79661605201073</v>
      </c>
      <c r="L115" s="100">
        <f>SUM(BP$95:BP$105)+SUM(BR$95:BR$105)+SUM(BT$95:BT$105)+SUM(BV$95:BV$105)</f>
        <v>390.40086891128766</v>
      </c>
      <c r="M115" s="100">
        <f>SUM(BX$95:BX$105)+SUM(BZ$95:BZ$105)+SUM(CB$95:CB$105)+SUM(CD$95:CD$105)</f>
        <v>386.39920113006394</v>
      </c>
      <c r="N115" s="100">
        <f>SUM(CF$95:CF$105)+SUM(CH$95:CH$105)+SUM(CJ$95:CJ$105)+SUM(CL$95:CL$105)</f>
        <v>306.39996838962287</v>
      </c>
      <c r="O115" s="100">
        <f>SUM(CN$95:CN$105)+SUM(CP$95:CP$105)+SUM(CR$95:CR$105)+SUM(CT$95:CT$105)</f>
        <v>259.07561918938961</v>
      </c>
    </row>
    <row r="116" spans="2:15">
      <c r="C116" s="99" t="s">
        <v>278</v>
      </c>
      <c r="D116" s="100">
        <f t="shared" ref="D116:O116" si="0">SUM(D$109:D$115)</f>
        <v>3724.0983565795686</v>
      </c>
      <c r="E116" s="100">
        <f t="shared" si="0"/>
        <v>3961.0345646881533</v>
      </c>
      <c r="F116" s="100">
        <f t="shared" si="0"/>
        <v>3827.7929015308432</v>
      </c>
      <c r="G116" s="100">
        <f t="shared" si="0"/>
        <v>3073.7787771577564</v>
      </c>
      <c r="H116" s="100">
        <f t="shared" si="0"/>
        <v>2747.0116142840652</v>
      </c>
      <c r="I116" s="100">
        <f t="shared" si="0"/>
        <v>4203.2755591031346</v>
      </c>
      <c r="J116" s="100">
        <f t="shared" si="0"/>
        <v>3788.3106849195356</v>
      </c>
      <c r="K116" s="100">
        <f t="shared" si="0"/>
        <v>3109.4787769908967</v>
      </c>
      <c r="L116" s="100">
        <f t="shared" si="0"/>
        <v>3795.6810074779019</v>
      </c>
      <c r="M116" s="100">
        <f t="shared" si="0"/>
        <v>3459.2239997208135</v>
      </c>
      <c r="N116" s="100">
        <f t="shared" si="0"/>
        <v>4368.5356704650594</v>
      </c>
      <c r="O116" s="100">
        <f t="shared" si="0"/>
        <v>2502.5658019783491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2688000</v>
      </c>
      <c r="E120" s="100">
        <f>E109*pricing!E15*2000</f>
        <v>3227000</v>
      </c>
      <c r="F120" s="100">
        <f>F109*pricing!F15*2000</f>
        <v>2872642.0393113182</v>
      </c>
      <c r="G120" s="100">
        <f>G109*pricing!G15*2000</f>
        <v>2861035.9427923211</v>
      </c>
      <c r="H120" s="100">
        <f>H109*pricing!H15*2000</f>
        <v>2300561.8493562993</v>
      </c>
      <c r="I120" s="100">
        <f>I109*pricing!I15*2000</f>
        <v>3645459.5021897843</v>
      </c>
      <c r="J120" s="100">
        <f>J109*pricing!J15*2000</f>
        <v>3684596.7686346998</v>
      </c>
      <c r="K120" s="100">
        <f>K109*pricing!K15*2000</f>
        <v>2221973.6194396964</v>
      </c>
      <c r="L120" s="100">
        <f>L109*pricing!L15*2000</f>
        <v>3605129.7384048146</v>
      </c>
      <c r="M120" s="100">
        <f>M109*pricing!M15*2000</f>
        <v>3019938.3309277464</v>
      </c>
      <c r="N120" s="100">
        <f>N109*pricing!N15*2000</f>
        <v>4067000</v>
      </c>
      <c r="O120" s="100">
        <f>O109*pricing!O15*2000</f>
        <v>2081584.2982498957</v>
      </c>
    </row>
    <row r="121" spans="2:15">
      <c r="C121" s="99" t="s">
        <v>127</v>
      </c>
      <c r="D121" s="100">
        <f>D110*pricing!D16*2000</f>
        <v>8092000</v>
      </c>
      <c r="E121" s="100">
        <f>E110*pricing!E16*2000</f>
        <v>7021000</v>
      </c>
      <c r="F121" s="100">
        <f>F110*pricing!F16*2000</f>
        <v>7002849.6699409802</v>
      </c>
      <c r="G121" s="100">
        <f>G110*pricing!G16*2000</f>
        <v>6261349.5172286769</v>
      </c>
      <c r="H121" s="100">
        <f>H110*pricing!H16*2000</f>
        <v>6590481.5502296723</v>
      </c>
      <c r="I121" s="100">
        <f>I110*pricing!I16*2000</f>
        <v>8991638.8435961455</v>
      </c>
      <c r="J121" s="100">
        <f>J110*pricing!J16*2000</f>
        <v>7897197.4819524242</v>
      </c>
      <c r="K121" s="100">
        <f>K110*pricing!K16*2000</f>
        <v>5358300.0392046655</v>
      </c>
      <c r="L121" s="100">
        <f>L110*pricing!L16*2000</f>
        <v>6668709.3441822836</v>
      </c>
      <c r="M121" s="100">
        <f>M110*pricing!M16*2000</f>
        <v>5652137.3674282655</v>
      </c>
      <c r="N121" s="100">
        <f>N110*pricing!N16*2000</f>
        <v>9002000</v>
      </c>
      <c r="O121" s="100">
        <f>O110*pricing!O16*2000</f>
        <v>4518541.6936179502</v>
      </c>
    </row>
    <row r="122" spans="2:15">
      <c r="C122" s="99" t="s">
        <v>128</v>
      </c>
      <c r="D122" s="100">
        <f>D111*pricing!D17*2000</f>
        <v>3458000</v>
      </c>
      <c r="E122" s="100">
        <f>E111*pricing!E17*2000</f>
        <v>3605000</v>
      </c>
      <c r="F122" s="100">
        <f>F111*pricing!F17*2000</f>
        <v>3361660.2841925551</v>
      </c>
      <c r="G122" s="100">
        <f>G111*pricing!G17*2000</f>
        <v>2971849.6676204926</v>
      </c>
      <c r="H122" s="100">
        <f>H111*pricing!H17*2000</f>
        <v>3507709.0073647611</v>
      </c>
      <c r="I122" s="100">
        <f>I111*pricing!I17*2000</f>
        <v>3727359.6104093962</v>
      </c>
      <c r="J122" s="100">
        <f>J111*pricing!J17*2000</f>
        <v>3468905.2394775604</v>
      </c>
      <c r="K122" s="100">
        <f>K111*pricing!K17*2000</f>
        <v>2561534.3585475357</v>
      </c>
      <c r="L122" s="100">
        <f>L111*pricing!L17*2000</f>
        <v>2951242.5795310619</v>
      </c>
      <c r="M122" s="100">
        <f>M111*pricing!M17*2000</f>
        <v>3286662.3387958081</v>
      </c>
      <c r="N122" s="100">
        <f>N111*pricing!N17*2000</f>
        <v>3962000</v>
      </c>
      <c r="O122" s="100">
        <f>O111*pricing!O17*2000</f>
        <v>1840966.5036100938</v>
      </c>
    </row>
    <row r="123" spans="2:15">
      <c r="C123" s="99" t="s">
        <v>129</v>
      </c>
      <c r="D123" s="100">
        <f>D112*pricing!D18*2000</f>
        <v>4509686.1418091739</v>
      </c>
      <c r="E123" s="100">
        <f>E112*pricing!E18*2000</f>
        <v>5721460.0498898271</v>
      </c>
      <c r="F123" s="100">
        <f>F112*pricing!F18*2000</f>
        <v>5430264.5343551608</v>
      </c>
      <c r="G123" s="100">
        <f>G112*pricing!G18*2000</f>
        <v>3792331.0858359579</v>
      </c>
      <c r="H123" s="100">
        <f>H112*pricing!H18*2000</f>
        <v>3302114.4480494806</v>
      </c>
      <c r="I123" s="100">
        <f>I112*pricing!I18*2000</f>
        <v>5884952.4646768058</v>
      </c>
      <c r="J123" s="100">
        <f>J112*pricing!J18*2000</f>
        <v>4538599.167269161</v>
      </c>
      <c r="K123" s="100">
        <f>K112*pricing!K18*2000</f>
        <v>3461557.8797619492</v>
      </c>
      <c r="L123" s="100">
        <f>L112*pricing!L18*2000</f>
        <v>4660262.8770212233</v>
      </c>
      <c r="M123" s="100">
        <f>M112*pricing!M18*2000</f>
        <v>4093728.2963909009</v>
      </c>
      <c r="N123" s="100">
        <f>N112*pricing!N18*2000</f>
        <v>5345333.4470242402</v>
      </c>
      <c r="O123" s="100">
        <f>O112*pricing!O18*2000</f>
        <v>2476981.7294801306</v>
      </c>
    </row>
    <row r="124" spans="2:15">
      <c r="C124" s="99" t="s">
        <v>130</v>
      </c>
      <c r="D124" s="100">
        <f>D113*pricing!D19*2000</f>
        <v>3886235.4255891158</v>
      </c>
      <c r="E124" s="100">
        <f>E113*pricing!E19*2000</f>
        <v>4305000</v>
      </c>
      <c r="F124" s="100">
        <f>F113*pricing!F19*2000</f>
        <v>4249000</v>
      </c>
      <c r="G124" s="100">
        <f>G113*pricing!G19*2000</f>
        <v>3181758.4943861631</v>
      </c>
      <c r="H124" s="100">
        <f>H113*pricing!H19*2000</f>
        <v>1542088.6740866308</v>
      </c>
      <c r="I124" s="100">
        <f>I113*pricing!I19*2000</f>
        <v>4277000</v>
      </c>
      <c r="J124" s="100">
        <f>J113*pricing!J19*2000</f>
        <v>3865570.2169757988</v>
      </c>
      <c r="K124" s="100">
        <f>K113*pricing!K19*2000</f>
        <v>3893353.0991168693</v>
      </c>
      <c r="L124" s="100">
        <f>L113*pricing!L19*2000</f>
        <v>4194870.4120158013</v>
      </c>
      <c r="M124" s="100">
        <f>M113*pricing!M19*2000</f>
        <v>4194659.2611961188</v>
      </c>
      <c r="N124" s="100">
        <f>N113*pricing!N19*2000</f>
        <v>4935000</v>
      </c>
      <c r="O124" s="100">
        <f>O113*pricing!O19*2000</f>
        <v>3669853.9462116738</v>
      </c>
    </row>
    <row r="125" spans="2:15">
      <c r="C125" s="99" t="s">
        <v>131</v>
      </c>
      <c r="D125" s="100">
        <f>D114*pricing!D20*2000</f>
        <v>1223558.3015700639</v>
      </c>
      <c r="E125" s="100">
        <f>E114*pricing!E20*2000</f>
        <v>1361105.1169426148</v>
      </c>
      <c r="F125" s="100">
        <f>F114*pricing!F20*2000</f>
        <v>1216340.1082870367</v>
      </c>
      <c r="G125" s="100">
        <f>G114*pricing!G20*2000</f>
        <v>887118.08289865986</v>
      </c>
      <c r="H125" s="100">
        <f>H114*pricing!H20*2000</f>
        <v>783099.82891133789</v>
      </c>
      <c r="I125" s="100">
        <f>I114*pricing!I20*2000</f>
        <v>1243164.9139667978</v>
      </c>
      <c r="J125" s="100">
        <f>J114*pricing!J20*2000</f>
        <v>1361693.0590097618</v>
      </c>
      <c r="K125" s="100">
        <f>K114*pricing!K20*2000</f>
        <v>1863056.1305014826</v>
      </c>
      <c r="L125" s="100">
        <f>L114*pricing!L20*2000</f>
        <v>1756746.0188111174</v>
      </c>
      <c r="M125" s="100">
        <f>M114*pricing!M20*2000</f>
        <v>1262647.995396408</v>
      </c>
      <c r="N125" s="100">
        <f>N114*pricing!N20*2000</f>
        <v>1123616.4675038157</v>
      </c>
      <c r="O125" s="100">
        <f>O114*pricing!O20*2000</f>
        <v>1116503.1083529715</v>
      </c>
    </row>
    <row r="126" spans="2:15">
      <c r="C126" s="99" t="s">
        <v>132</v>
      </c>
      <c r="D126" s="100">
        <f>D115*pricing!D21*2000</f>
        <v>2211208.6270886254</v>
      </c>
      <c r="E126" s="100">
        <f>E115*pricing!E21*2000</f>
        <v>2486676.7859846298</v>
      </c>
      <c r="F126" s="100">
        <f>F115*pricing!F21*2000</f>
        <v>2661793.6746288533</v>
      </c>
      <c r="G126" s="100">
        <f>G115*pricing!G21*2000</f>
        <v>1561008.6493420249</v>
      </c>
      <c r="H126" s="100">
        <f>H115*pricing!H21*2000</f>
        <v>1203025.9419902766</v>
      </c>
      <c r="I126" s="100">
        <f>I115*pricing!I21*2000</f>
        <v>1653353.5788830186</v>
      </c>
      <c r="J126" s="100">
        <f>J115*pricing!J21*2000</f>
        <v>1701612.8611173439</v>
      </c>
      <c r="K126" s="100">
        <f>K115*pricing!K21*2000</f>
        <v>2406576.3123640749</v>
      </c>
      <c r="L126" s="100">
        <f>L115*pricing!L21*2000</f>
        <v>2732806.0823790138</v>
      </c>
      <c r="M126" s="100">
        <f>M115*pricing!M21*2000</f>
        <v>2704794.4079104476</v>
      </c>
      <c r="N126" s="100">
        <f>N115*pricing!N21*2000</f>
        <v>2144799.7787273601</v>
      </c>
      <c r="O126" s="100">
        <f>O115*pricing!O21*2000</f>
        <v>1813529.3343257271</v>
      </c>
    </row>
    <row r="127" spans="2:15">
      <c r="C127" s="99" t="s">
        <v>278</v>
      </c>
      <c r="D127" s="100">
        <f t="shared" ref="D127:O127" si="1">SUM(D$120:D$126)</f>
        <v>26068688.496056978</v>
      </c>
      <c r="E127" s="100">
        <f t="shared" si="1"/>
        <v>27727241.952817068</v>
      </c>
      <c r="F127" s="100">
        <f t="shared" si="1"/>
        <v>26794550.310715903</v>
      </c>
      <c r="G127" s="100">
        <f t="shared" si="1"/>
        <v>21516451.440104302</v>
      </c>
      <c r="H127" s="100">
        <f t="shared" si="1"/>
        <v>19229081.299988456</v>
      </c>
      <c r="I127" s="100">
        <f t="shared" si="1"/>
        <v>29422928.913721949</v>
      </c>
      <c r="J127" s="100">
        <f t="shared" si="1"/>
        <v>26518174.794436749</v>
      </c>
      <c r="K127" s="100">
        <f t="shared" si="1"/>
        <v>21766351.438936274</v>
      </c>
      <c r="L127" s="100">
        <f t="shared" si="1"/>
        <v>26569767.052345317</v>
      </c>
      <c r="M127" s="100">
        <f t="shared" si="1"/>
        <v>24214567.998045698</v>
      </c>
      <c r="N127" s="100">
        <f t="shared" si="1"/>
        <v>30579749.693255417</v>
      </c>
      <c r="O127" s="100">
        <f t="shared" si="1"/>
        <v>17517960.61384844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193702.8</v>
      </c>
      <c r="E131" s="106">
        <f>SUM(M$6:M$19)+SUM(O$6:O$19)+SUM(Q$6:Q$19)+SUM(S$6:S$19)</f>
        <v>232129.19999999998</v>
      </c>
      <c r="F131" s="106">
        <f>SUM(U$6:U$19)+SUM(W$6:W$19)+SUM(Y$6:Y$19)+SUM(AA$6:AA$19)</f>
        <v>207474.55161103932</v>
      </c>
      <c r="G131" s="106">
        <f>SUM(AC$6:AC$19)+SUM(AE$6:AE$19)+SUM(AG$6:AG$19)+SUM(AI$6:AI$19)</f>
        <v>207101.08323350985</v>
      </c>
      <c r="H131" s="106">
        <f>SUM(AK$6:AK$19)+SUM(AM$6:AM$19)+SUM(AO$6:AO$19)+SUM(AQ$6:AQ$19)</f>
        <v>165804.04246014493</v>
      </c>
      <c r="I131" s="106">
        <f>SUM(AS$6:AS$19)+SUM(AU$6:AU$19)+SUM(AW$6:AW$19)+SUM(AY$6:AY$19)</f>
        <v>263189.24407285562</v>
      </c>
      <c r="J131" s="106">
        <f>SUM(BA$6:BA$19)+SUM(BC$6:BC$19)+SUM(BE$6:BE$19)+SUM(BG$6:BG$19)</f>
        <v>267608.74226123886</v>
      </c>
      <c r="K131" s="106">
        <f>SUM(BI$6:BI$19)+SUM(BK$6:BK$19)+SUM(BM$6:BM$19)+SUM(BO$6:BO$19)</f>
        <v>159715.82754585714</v>
      </c>
      <c r="L131" s="106">
        <f>SUM(BQ$6:BQ$19)+SUM(BS$6:BS$19)+SUM(BU$6:BU$19)+SUM(BW$6:BW$19)</f>
        <v>259578.58965663382</v>
      </c>
      <c r="M131" s="106">
        <f>SUM(BY$6:BY$19)+SUM(CA$6:CA$19)+SUM(CC$6:CC$19)+SUM(CE$6:CE$19)</f>
        <v>217162.86105171501</v>
      </c>
      <c r="N131" s="106">
        <f>SUM(CG$6:CG$19)+SUM(CI$6:CI$19)+SUM(CK$6:CK$19)+SUM(CM$6:CM$19)</f>
        <v>292011.59999999998</v>
      </c>
      <c r="O131" s="106">
        <f>SUM(CO$6:CO$19)+SUM(CQ$6:CQ$19)+SUM(CS$6:CS$19)+SUM(CU$6:CU$19)</f>
        <v>150464.80381748563</v>
      </c>
    </row>
    <row r="132" spans="2:15">
      <c r="C132" s="105" t="s">
        <v>127</v>
      </c>
      <c r="D132" s="106">
        <f>SUM(E$20:E$36)+SUM(G$20:G$36)+SUM(I$20:I$36)+SUM(K$20:K$36)</f>
        <v>493867.19999999995</v>
      </c>
      <c r="E132" s="106">
        <f>SUM(M$20:M$36)+SUM(O$20:O$36)+SUM(Q$20:Q$36)+SUM(S$20:S$36)</f>
        <v>430188</v>
      </c>
      <c r="F132" s="106">
        <f>SUM(U$20:U$36)+SUM(W$20:W$36)+SUM(Y$20:Y$36)+SUM(AA$20:AA$36)</f>
        <v>428908.08871972817</v>
      </c>
      <c r="G132" s="106">
        <f>SUM(AC$20:AC$36)+SUM(AE$20:AE$36)+SUM(AG$20:AG$36)+SUM(AI$20:AI$36)</f>
        <v>384660.28959055641</v>
      </c>
      <c r="H132" s="106">
        <f>SUM(AK$20:AK$36)+SUM(AM$20:AM$36)+SUM(AO$20:AO$36)+SUM(AQ$20:AQ$36)</f>
        <v>403605.6241775736</v>
      </c>
      <c r="I132" s="106">
        <f>SUM(AS$20:AS$36)+SUM(AU$20:AU$36)+SUM(AW$20:AW$36)+SUM(AY$20:AY$36)</f>
        <v>550197.24080722022</v>
      </c>
      <c r="J132" s="106">
        <f>SUM(BA$20:BA$36)+SUM(BC$20:BC$36)+SUM(BE$20:BE$36)+SUM(BG$20:BG$36)</f>
        <v>485503.83262306621</v>
      </c>
      <c r="K132" s="106">
        <f>SUM(BI$20:BI$36)+SUM(BK$20:BK$36)+SUM(BM$20:BM$36)+SUM(BO$20:BO$36)</f>
        <v>329149.5347098108</v>
      </c>
      <c r="L132" s="106">
        <f>SUM(BQ$20:BQ$36)+SUM(BS$20:BS$36)+SUM(BU$20:BU$36)+SUM(BW$20:BW$36)</f>
        <v>407571.69315492426</v>
      </c>
      <c r="M132" s="106">
        <f>SUM(BY$20:BY$36)+SUM(CA$20:CA$36)+SUM(CC$20:CC$36)+SUM(CE$20:CE$36)</f>
        <v>346349.37351083418</v>
      </c>
      <c r="N132" s="106">
        <f>SUM(CG$20:CG$36)+SUM(CI$20:CI$36)+SUM(CK$20:CK$36)+SUM(CM$20:CM$36)</f>
        <v>550689.6</v>
      </c>
      <c r="O132" s="106">
        <f>SUM(CO$20:CO$36)+SUM(CQ$20:CQ$36)+SUM(CS$20:CS$36)+SUM(CU$20:CU$36)</f>
        <v>276956.79130872589</v>
      </c>
    </row>
    <row r="133" spans="2:15">
      <c r="C133" s="105" t="s">
        <v>128</v>
      </c>
      <c r="D133" s="106">
        <f>SUM(E$37:E$48)+SUM(G$37:G$48)+SUM(I$37:I$48)+SUM(K$37:K$48)</f>
        <v>519376.79999999993</v>
      </c>
      <c r="E133" s="106">
        <f>SUM(M$37:M$48)+SUM(O$37:O$48)+SUM(Q$37:Q$48)+SUM(S$37:S$48)</f>
        <v>540576</v>
      </c>
      <c r="F133" s="106">
        <f>SUM(U$37:U$48)+SUM(W$37:W$48)+SUM(Y$37:Y$48)+SUM(AA$37:AA$48)</f>
        <v>503556.63309108012</v>
      </c>
      <c r="G133" s="106">
        <f>SUM(AC$37:AC$48)+SUM(AE$37:AE$48)+SUM(AG$37:AG$48)+SUM(AI$37:AI$48)</f>
        <v>447424.09632114641</v>
      </c>
      <c r="H133" s="106">
        <f>SUM(AK$37:AK$48)+SUM(AM$37:AM$48)+SUM(AO$37:AO$48)+SUM(AQ$37:AQ$48)</f>
        <v>526157.58951087552</v>
      </c>
      <c r="I133" s="106">
        <f>SUM(AS$37:AS$48)+SUM(AU$37:AU$48)+SUM(AW$37:AW$48)+SUM(AY$37:AY$48)</f>
        <v>560947.50125132711</v>
      </c>
      <c r="J133" s="106">
        <f>SUM(BA$37:BA$48)+SUM(BC$37:BC$48)+SUM(BE$37:BE$48)+SUM(BG$37:BG$48)</f>
        <v>519938.830146992</v>
      </c>
      <c r="K133" s="106">
        <f>SUM(BI$37:BI$48)+SUM(BK$37:BK$48)+SUM(BM$37:BM$48)+SUM(BO$37:BO$48)</f>
        <v>384059.92613141891</v>
      </c>
      <c r="L133" s="106">
        <f>SUM(BQ$37:BQ$48)+SUM(BS$37:BS$48)+SUM(BU$37:BU$48)+SUM(BW$37:BW$48)</f>
        <v>440550.56550390826</v>
      </c>
      <c r="M133" s="106">
        <f>SUM(BY$37:BY$48)+SUM(CA$37:CA$48)+SUM(CC$37:CC$48)+SUM(CE$37:CE$48)</f>
        <v>492276.22211776895</v>
      </c>
      <c r="N133" s="106">
        <f>SUM(CG$37:CG$48)+SUM(CI$37:CI$48)+SUM(CK$37:CK$48)+SUM(CM$37:CM$48)</f>
        <v>594894</v>
      </c>
      <c r="O133" s="106">
        <f>SUM(CO$37:CO$48)+SUM(CQ$37:CQ$48)+SUM(CS$37:CS$48)+SUM(CU$37:CU$48)</f>
        <v>275626.60635777854</v>
      </c>
    </row>
    <row r="134" spans="2:15">
      <c r="C134" s="105" t="s">
        <v>129</v>
      </c>
      <c r="D134" s="106">
        <f>SUM(E$49:E$70)+SUM(G$49:G$70)+SUM(I$49:I$70)+SUM(K$49:K$70)</f>
        <v>530888.21740801609</v>
      </c>
      <c r="E134" s="106">
        <f>SUM(M$49:M$70)+SUM(O$49:O$70)+SUM(Q$49:Q$70)+SUM(S$49:S$70)</f>
        <v>683946.70918375603</v>
      </c>
      <c r="F134" s="106">
        <f>SUM(U$49:U$70)+SUM(W$49:W$70)+SUM(Y$49:Y$70)+SUM(AA$49:AA$70)</f>
        <v>650837.88965840219</v>
      </c>
      <c r="G134" s="106">
        <f>SUM(AC$49:AC$70)+SUM(AE$49:AE$70)+SUM(AG$49:AG$70)+SUM(AI$49:AI$70)</f>
        <v>450606.10953041661</v>
      </c>
      <c r="H134" s="106">
        <f>SUM(AK$49:AK$70)+SUM(AM$49:AM$70)+SUM(AO$49:AO$70)+SUM(AQ$49:AQ$70)</f>
        <v>381071.57920514583</v>
      </c>
      <c r="I134" s="106">
        <f>SUM(AS$49:AS$70)+SUM(AU$49:AU$70)+SUM(AW$49:AW$70)+SUM(AY$49:AY$70)</f>
        <v>691251.39663285494</v>
      </c>
      <c r="J134" s="106">
        <f>SUM(BA$49:BA$70)+SUM(BC$49:BC$70)+SUM(BE$49:BE$70)+SUM(BG$49:BG$70)</f>
        <v>530241.12541608186</v>
      </c>
      <c r="K134" s="106">
        <f>SUM(BI$49:BI$70)+SUM(BK$49:BK$70)+SUM(BM$49:BM$70)+SUM(BO$49:BO$70)</f>
        <v>430220.02510312718</v>
      </c>
      <c r="L134" s="106">
        <f>SUM(BQ$49:BQ$70)+SUM(BS$49:BS$70)+SUM(BU$49:BU$70)+SUM(BW$49:BW$70)</f>
        <v>556639.53279975487</v>
      </c>
      <c r="M134" s="106">
        <f>SUM(BY$49:BY$70)+SUM(CA$49:CA$70)+SUM(CC$49:CC$70)+SUM(CE$49:CE$70)</f>
        <v>493481.99228975142</v>
      </c>
      <c r="N134" s="106">
        <f>SUM(CG$49:CG$70)+SUM(CI$49:CI$70)+SUM(CK$49:CK$70)+SUM(CM$49:CM$70)</f>
        <v>633133.79418962426</v>
      </c>
      <c r="O134" s="106">
        <f>SUM(CO$49:CO$70)+SUM(CQ$49:CQ$70)+SUM(CS$49:CS$70)+SUM(CU$49:CU$70)</f>
        <v>304151.33699312317</v>
      </c>
    </row>
    <row r="135" spans="2:15">
      <c r="C135" s="105" t="s">
        <v>130</v>
      </c>
      <c r="D135" s="106">
        <f>SUM(E$71:E$86)+SUM(G$71:G$86)+SUM(I$71:I$86)+SUM(K$71:K$86)</f>
        <v>309372.31400588248</v>
      </c>
      <c r="E135" s="106">
        <f>SUM(M$71:M$86)+SUM(O$71:O$86)+SUM(Q$71:Q$86)+SUM(S$71:S$86)</f>
        <v>345061.2</v>
      </c>
      <c r="F135" s="106">
        <f>SUM(U$71:U$86)+SUM(W$71:W$86)+SUM(Y$71:Y$86)+SUM(AA$71:AA$86)</f>
        <v>341446.8</v>
      </c>
      <c r="G135" s="106">
        <f>SUM(AC$71:AC$86)+SUM(AE$71:AE$86)+SUM(AG$71:AG$86)+SUM(AI$71:AI$86)</f>
        <v>253737.21026880917</v>
      </c>
      <c r="H135" s="106">
        <f>SUM(AK$71:AK$86)+SUM(AM$71:AM$86)+SUM(AO$71:AO$86)+SUM(AQ$71:AQ$86)</f>
        <v>124022.75207997632</v>
      </c>
      <c r="I135" s="106">
        <f>SUM(AS$71:AS$86)+SUM(AU$71:AU$86)+SUM(AW$71:AW$86)+SUM(AY$71:AY$86)</f>
        <v>341139.6</v>
      </c>
      <c r="J135" s="106">
        <f>SUM(BA$71:BA$86)+SUM(BC$71:BC$86)+SUM(BE$71:BE$86)+SUM(BG$71:BG$86)</f>
        <v>309732.55850968632</v>
      </c>
      <c r="K135" s="106">
        <f>SUM(BI$71:BI$86)+SUM(BK$71:BK$86)+SUM(BM$71:BM$86)+SUM(BO$71:BO$86)</f>
        <v>311086.89301238512</v>
      </c>
      <c r="L135" s="106">
        <f>SUM(BQ$71:BQ$86)+SUM(BS$71:BS$86)+SUM(BU$71:BU$86)+SUM(BW$71:BW$86)</f>
        <v>337245.92880971322</v>
      </c>
      <c r="M135" s="106">
        <f>SUM(BY$71:BY$86)+SUM(CA$71:CA$86)+SUM(CC$71:CC$86)+SUM(CE$71:CE$86)</f>
        <v>338291.12884519587</v>
      </c>
      <c r="N135" s="106">
        <f>SUM(CG$71:CG$86)+SUM(CI$71:CI$86)+SUM(CK$71:CK$86)+SUM(CM$71:CM$86)</f>
        <v>393727.19999999995</v>
      </c>
      <c r="O135" s="106">
        <f>SUM(CO$71:CO$86)+SUM(CQ$71:CQ$86)+SUM(CS$71:CS$86)+SUM(CU$71:CU$86)</f>
        <v>294278.9229131763</v>
      </c>
    </row>
    <row r="136" spans="2:15">
      <c r="C136" s="105" t="s">
        <v>131</v>
      </c>
      <c r="D136" s="106">
        <f>SUM(E$87:E$94)+SUM(G$87:G$94)+SUM(I$87:I$94)+SUM(K$87:K$94)</f>
        <v>174934.03909438942</v>
      </c>
      <c r="E136" s="106">
        <f>SUM(M$87:M$94)+SUM(O$87:O$94)+SUM(Q$87:Q$94)+SUM(S$87:S$94)</f>
        <v>194609.42975573405</v>
      </c>
      <c r="F136" s="106">
        <f>SUM(U$87:U$94)+SUM(W$87:W$94)+SUM(Y$87:Y$94)+SUM(AA$87:AA$94)</f>
        <v>174894.36477478399</v>
      </c>
      <c r="G136" s="106">
        <f>SUM(AC$87:AC$94)+SUM(AE$87:AE$94)+SUM(AG$87:AG$94)+SUM(AI$87:AI$94)</f>
        <v>127308.15221463918</v>
      </c>
      <c r="H136" s="106">
        <f>SUM(AK$87:AK$94)+SUM(AM$87:AM$94)+SUM(AO$87:AO$94)+SUM(AQ$87:AQ$94)</f>
        <v>112455.45904717686</v>
      </c>
      <c r="I136" s="106">
        <f>SUM(AS$87:AS$94)+SUM(AU$87:AU$94)+SUM(AW$87:AW$94)+SUM(AY$87:AY$94)</f>
        <v>178698.47889558531</v>
      </c>
      <c r="J136" s="106">
        <f>SUM(BA$87:BA$94)+SUM(BC$87:BC$94)+SUM(BE$87:BE$94)+SUM(BG$87:BG$94)</f>
        <v>194572.35715704193</v>
      </c>
      <c r="K136" s="106">
        <f>SUM(BI$87:BI$94)+SUM(BK$87:BK$94)+SUM(BM$87:BM$94)+SUM(BO$87:BO$94)</f>
        <v>267857.87704693736</v>
      </c>
      <c r="L136" s="106">
        <f>SUM(BQ$87:BQ$94)+SUM(BS$87:BS$94)+SUM(BU$87:BU$94)+SUM(BW$87:BW$94)</f>
        <v>252156.28951314473</v>
      </c>
      <c r="M136" s="106">
        <f>SUM(BY$87:BY$94)+SUM(CA$87:CA$94)+SUM(CC$87:CC$94)+SUM(CE$87:CE$94)</f>
        <v>180608.5346314981</v>
      </c>
      <c r="N136" s="106">
        <f>SUM(CG$87:CG$94)+SUM(CI$87:CI$94)+SUM(CK$87:CK$94)+SUM(CM$87:CM$94)</f>
        <v>161220.29657174344</v>
      </c>
      <c r="O136" s="106">
        <f>SUM(CO$87:CO$94)+SUM(CQ$87:CQ$94)+SUM(CS$87:CS$94)+SUM(CU$87:CU$94)</f>
        <v>160552.80344449176</v>
      </c>
    </row>
    <row r="137" spans="2:15">
      <c r="C137" s="105" t="s">
        <v>132</v>
      </c>
      <c r="D137" s="106">
        <f>SUM(E$95:E$105)+SUM(G$95:G$105)+SUM(I$95:I$105)+SUM(K$95:K$105)</f>
        <v>255490.72501861677</v>
      </c>
      <c r="E137" s="106">
        <f>SUM(M$95:M$105)+SUM(O$95:O$105)+SUM(Q$95:Q$105)+SUM(S$95:S$105)</f>
        <v>287187.90990797058</v>
      </c>
      <c r="F137" s="106">
        <f>SUM(U$95:U$105)+SUM(W$95:W$105)+SUM(Y$95:Y$105)+SUM(AA$95:AA$105)</f>
        <v>303729.19560609496</v>
      </c>
      <c r="G137" s="106">
        <f>SUM(AC$95:AC$105)+SUM(AE$95:AE$105)+SUM(AG$95:AG$105)+SUM(AI$95:AI$105)</f>
        <v>176991.10929225769</v>
      </c>
      <c r="H137" s="106">
        <f>SUM(AK$95:AK$105)+SUM(AM$95:AM$105)+SUM(AO$95:AO$105)+SUM(AQ$95:AQ$105)</f>
        <v>137147.87447597797</v>
      </c>
      <c r="I137" s="106">
        <f>SUM(AS$95:AS$105)+SUM(AU$95:AU$105)+SUM(AW$95:AW$105)+SUM(AY$95:AY$105)</f>
        <v>192756.46894554375</v>
      </c>
      <c r="J137" s="106">
        <f>SUM(BA$95:BA$105)+SUM(BC$95:BC$105)+SUM(BE$95:BE$105)+SUM(BG$95:BG$105)</f>
        <v>196415.06010609047</v>
      </c>
      <c r="K137" s="106">
        <f>SUM(BI$95:BI$105)+SUM(BK$95:BK$105)+SUM(BM$95:BM$105)+SUM(BO$95:BO$105)</f>
        <v>281000.30416811694</v>
      </c>
      <c r="L137" s="106">
        <f>SUM(BQ$95:BQ$105)+SUM(BS$95:BS$105)+SUM(BU$95:BU$105)+SUM(BW$95:BW$105)</f>
        <v>317925.50591968844</v>
      </c>
      <c r="M137" s="106">
        <f>SUM(BY$95:BY$105)+SUM(CA$95:CA$105)+SUM(CC$95:CC$105)+SUM(CE$95:CE$105)</f>
        <v>311300.22164618655</v>
      </c>
      <c r="N137" s="106">
        <f>SUM(CG$95:CG$105)+SUM(CI$95:CI$105)+SUM(CK$95:CK$105)+SUM(CM$95:CM$105)</f>
        <v>251070.04531467473</v>
      </c>
      <c r="O137" s="106">
        <f>SUM(CO$95:CO$105)+SUM(CQ$95:CQ$105)+SUM(CS$95:CS$105)+SUM(CU$95:CU$105)</f>
        <v>209082.47339768082</v>
      </c>
    </row>
    <row r="138" spans="2:15">
      <c r="C138" s="105" t="s">
        <v>278</v>
      </c>
      <c r="D138" s="100">
        <f t="shared" ref="D138:O138" si="2">SUM(D$131:D$137)</f>
        <v>2477632.0955269048</v>
      </c>
      <c r="E138" s="100">
        <f t="shared" si="2"/>
        <v>2713698.4488474606</v>
      </c>
      <c r="F138" s="100">
        <f t="shared" si="2"/>
        <v>2610847.5234611286</v>
      </c>
      <c r="G138" s="100">
        <f t="shared" si="2"/>
        <v>2047828.0504513355</v>
      </c>
      <c r="H138" s="100">
        <f t="shared" si="2"/>
        <v>1850264.920956871</v>
      </c>
      <c r="I138" s="100">
        <f t="shared" si="2"/>
        <v>2778179.9306053873</v>
      </c>
      <c r="J138" s="100">
        <f t="shared" si="2"/>
        <v>2504012.5062201973</v>
      </c>
      <c r="K138" s="100">
        <f t="shared" si="2"/>
        <v>2163090.3877176535</v>
      </c>
      <c r="L138" s="100">
        <f t="shared" si="2"/>
        <v>2571668.1053577675</v>
      </c>
      <c r="M138" s="100">
        <f t="shared" si="2"/>
        <v>2379470.33409295</v>
      </c>
      <c r="N138" s="100">
        <f t="shared" si="2"/>
        <v>2876746.5360760423</v>
      </c>
      <c r="O138" s="100">
        <f t="shared" si="2"/>
        <v>1671113.738232462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5.2308708675317774</v>
      </c>
      <c r="G6" s="100">
        <v>3025.5357097803799</v>
      </c>
      <c r="H6" s="100">
        <v>7</v>
      </c>
      <c r="I6" s="100">
        <v>4048.7999999999997</v>
      </c>
      <c r="J6" s="100">
        <v>5</v>
      </c>
      <c r="K6" s="100">
        <v>2892</v>
      </c>
      <c r="L6" s="100">
        <v>9</v>
      </c>
      <c r="M6" s="100">
        <v>5205.5999999999995</v>
      </c>
      <c r="N6" s="100">
        <v>5</v>
      </c>
      <c r="O6" s="100">
        <v>2892</v>
      </c>
      <c r="P6" s="100">
        <v>8</v>
      </c>
      <c r="Q6" s="100">
        <v>4627.2</v>
      </c>
      <c r="R6" s="100">
        <v>7</v>
      </c>
      <c r="S6" s="100">
        <v>4048.7999999999997</v>
      </c>
      <c r="T6" s="100">
        <v>8</v>
      </c>
      <c r="U6" s="100">
        <v>4627.2</v>
      </c>
      <c r="V6" s="100">
        <v>4.5417269280340946</v>
      </c>
      <c r="W6" s="100">
        <v>2626.9348551749204</v>
      </c>
      <c r="X6" s="100">
        <v>9.1446965563622289</v>
      </c>
      <c r="Y6" s="100">
        <v>5289.2924881999134</v>
      </c>
      <c r="Z6" s="100">
        <v>2.1882734084654398</v>
      </c>
      <c r="AA6" s="100">
        <v>1265.6973394564104</v>
      </c>
      <c r="AB6" s="100">
        <v>9.2966358016332027</v>
      </c>
      <c r="AC6" s="100">
        <v>5377.1741476646439</v>
      </c>
      <c r="AD6" s="100">
        <v>3.8604917455712222</v>
      </c>
      <c r="AE6" s="100">
        <v>2232.9084256383949</v>
      </c>
      <c r="AF6" s="100">
        <v>4.2990633371313747</v>
      </c>
      <c r="AG6" s="100">
        <v>2486.578234196787</v>
      </c>
      <c r="AH6" s="100">
        <v>6</v>
      </c>
      <c r="AI6" s="100">
        <v>3470.3999999999996</v>
      </c>
      <c r="AJ6" s="100">
        <v>4.2036688263227138</v>
      </c>
      <c r="AK6" s="100">
        <v>2431.4020491450574</v>
      </c>
      <c r="AL6" s="100">
        <v>3.3667553456303856</v>
      </c>
      <c r="AM6" s="100">
        <v>1947.3312919126149</v>
      </c>
      <c r="AN6" s="100">
        <v>9</v>
      </c>
      <c r="AO6" s="100">
        <v>5205.5999999999995</v>
      </c>
      <c r="AP6" s="100">
        <v>8</v>
      </c>
      <c r="AQ6" s="100">
        <v>4627.2</v>
      </c>
      <c r="AR6" s="100">
        <v>7</v>
      </c>
      <c r="AS6" s="100">
        <v>4048.7999999999997</v>
      </c>
      <c r="AT6" s="100">
        <v>6</v>
      </c>
      <c r="AU6" s="100">
        <v>3470.3999999999996</v>
      </c>
      <c r="AV6" s="100">
        <v>8.0431209328967981</v>
      </c>
      <c r="AW6" s="100">
        <v>4652.1411475875075</v>
      </c>
      <c r="AX6" s="100">
        <v>4.4109829569642152</v>
      </c>
      <c r="AY6" s="100">
        <v>2551.3125423081019</v>
      </c>
      <c r="AZ6" s="100">
        <v>6</v>
      </c>
      <c r="BA6" s="100">
        <v>3470.3999999999996</v>
      </c>
      <c r="BB6" s="100">
        <v>6.0333385327636382</v>
      </c>
      <c r="BC6" s="100">
        <v>3489.683007350488</v>
      </c>
      <c r="BD6" s="100">
        <v>7.7798128815863556</v>
      </c>
      <c r="BE6" s="100">
        <v>4499.8437707095482</v>
      </c>
      <c r="BF6" s="100">
        <v>7.2706868834842489</v>
      </c>
      <c r="BG6" s="100">
        <v>4205.3652934072898</v>
      </c>
      <c r="BH6" s="100">
        <v>5.4911079053832834</v>
      </c>
      <c r="BI6" s="100">
        <v>3176.056812473691</v>
      </c>
      <c r="BJ6" s="100">
        <v>2.2251543951005419</v>
      </c>
      <c r="BK6" s="100">
        <v>1287.0293021261534</v>
      </c>
      <c r="BL6" s="100">
        <v>7.6905334481572867</v>
      </c>
      <c r="BM6" s="100">
        <v>4448.2045464141747</v>
      </c>
      <c r="BN6" s="100">
        <v>5.8348670547815029</v>
      </c>
      <c r="BO6" s="100">
        <v>3374.887104485621</v>
      </c>
      <c r="BP6" s="100">
        <v>1.6069223649599189</v>
      </c>
      <c r="BQ6" s="100">
        <v>929.44389589281707</v>
      </c>
      <c r="BR6" s="100">
        <v>6.0107785658258264</v>
      </c>
      <c r="BS6" s="100">
        <v>3476.6343224736579</v>
      </c>
      <c r="BT6" s="100">
        <v>6.3890330937449287</v>
      </c>
      <c r="BU6" s="100">
        <v>3695.4167414220665</v>
      </c>
      <c r="BV6" s="100">
        <v>6.1882299226664657</v>
      </c>
      <c r="BW6" s="100">
        <v>3579.2721872702837</v>
      </c>
      <c r="BX6" s="100">
        <v>4.2696976537923668</v>
      </c>
      <c r="BY6" s="100">
        <v>2469.5931229535049</v>
      </c>
      <c r="BZ6" s="100">
        <v>3.9507843341581053</v>
      </c>
      <c r="CA6" s="100">
        <v>2285.1336588770482</v>
      </c>
      <c r="CB6" s="100">
        <v>8</v>
      </c>
      <c r="CC6" s="100">
        <v>4627.2</v>
      </c>
      <c r="CD6" s="100">
        <v>7</v>
      </c>
      <c r="CE6" s="100">
        <v>4048.7999999999997</v>
      </c>
      <c r="CF6" s="100">
        <v>6</v>
      </c>
      <c r="CG6" s="100">
        <v>3470.3999999999996</v>
      </c>
      <c r="CH6" s="100">
        <v>5</v>
      </c>
      <c r="CI6" s="100">
        <v>2892</v>
      </c>
      <c r="CJ6" s="100">
        <v>9</v>
      </c>
      <c r="CK6" s="100">
        <v>5205.5999999999995</v>
      </c>
      <c r="CL6" s="100">
        <v>6.2875577300474754</v>
      </c>
      <c r="CM6" s="100">
        <v>3636.7233910594596</v>
      </c>
      <c r="CN6" s="100">
        <v>6.7203051168233605</v>
      </c>
      <c r="CO6" s="100">
        <v>3887.0244795706317</v>
      </c>
      <c r="CP6" s="100">
        <v>5.5271608578423308</v>
      </c>
      <c r="CQ6" s="100">
        <v>3196.9098401760039</v>
      </c>
      <c r="CR6" s="100">
        <v>1.5864953857443267</v>
      </c>
      <c r="CS6" s="100">
        <v>917.62893111451854</v>
      </c>
      <c r="CT6" s="100">
        <v>6.46722583876734</v>
      </c>
      <c r="CU6" s="100">
        <v>3740.6434251430292</v>
      </c>
    </row>
    <row r="7" spans="1:99">
      <c r="C7" s="99" t="s">
        <v>173</v>
      </c>
      <c r="D7" s="100">
        <v>7</v>
      </c>
      <c r="E7" s="100">
        <v>5518.8</v>
      </c>
      <c r="F7" s="100">
        <v>5.2308708675317774</v>
      </c>
      <c r="G7" s="100">
        <v>4124.0185919620535</v>
      </c>
      <c r="H7" s="100">
        <v>7</v>
      </c>
      <c r="I7" s="100">
        <v>5518.8</v>
      </c>
      <c r="J7" s="100">
        <v>6</v>
      </c>
      <c r="K7" s="100">
        <v>4730.3999999999996</v>
      </c>
      <c r="L7" s="100">
        <v>8</v>
      </c>
      <c r="M7" s="100">
        <v>6307.2</v>
      </c>
      <c r="N7" s="100">
        <v>5</v>
      </c>
      <c r="O7" s="100">
        <v>3942</v>
      </c>
      <c r="P7" s="100">
        <v>8</v>
      </c>
      <c r="Q7" s="100">
        <v>6307.2</v>
      </c>
      <c r="R7" s="100">
        <v>7</v>
      </c>
      <c r="S7" s="100">
        <v>5518.8</v>
      </c>
      <c r="T7" s="100">
        <v>8</v>
      </c>
      <c r="U7" s="100">
        <v>6307.2</v>
      </c>
      <c r="V7" s="100">
        <v>5.1094427940383564</v>
      </c>
      <c r="W7" s="100">
        <v>4028.2846988198403</v>
      </c>
      <c r="X7" s="100">
        <v>8.1446965563622289</v>
      </c>
      <c r="Y7" s="100">
        <v>6421.2787650359815</v>
      </c>
      <c r="Z7" s="100">
        <v>2.1882734084654398</v>
      </c>
      <c r="AA7" s="100">
        <v>1725.2347552341528</v>
      </c>
      <c r="AB7" s="100">
        <v>9.2696689105756391</v>
      </c>
      <c r="AC7" s="100">
        <v>7308.2069690978333</v>
      </c>
      <c r="AD7" s="100">
        <v>3.3953697057738141</v>
      </c>
      <c r="AE7" s="100">
        <v>2676.909476032075</v>
      </c>
      <c r="AF7" s="100">
        <v>3.7616804199899536</v>
      </c>
      <c r="AG7" s="100">
        <v>2965.7088431200796</v>
      </c>
      <c r="AH7" s="100">
        <v>6</v>
      </c>
      <c r="AI7" s="100">
        <v>4730.3999999999996</v>
      </c>
      <c r="AJ7" s="100">
        <v>4.1705325935966613</v>
      </c>
      <c r="AK7" s="100">
        <v>3288.0478967916079</v>
      </c>
      <c r="AL7" s="100">
        <v>2.9459109274265876</v>
      </c>
      <c r="AM7" s="100">
        <v>2322.5561751831215</v>
      </c>
      <c r="AN7" s="100">
        <v>9</v>
      </c>
      <c r="AO7" s="100">
        <v>7095.5999999999995</v>
      </c>
      <c r="AP7" s="100">
        <v>8</v>
      </c>
      <c r="AQ7" s="100">
        <v>6307.2</v>
      </c>
      <c r="AR7" s="100">
        <v>7</v>
      </c>
      <c r="AS7" s="100">
        <v>5518.8</v>
      </c>
      <c r="AT7" s="100">
        <v>5</v>
      </c>
      <c r="AU7" s="100">
        <v>3942</v>
      </c>
      <c r="AV7" s="100">
        <v>7.047041017705598</v>
      </c>
      <c r="AW7" s="100">
        <v>5555.8871383590931</v>
      </c>
      <c r="AX7" s="100">
        <v>4.4109829569642152</v>
      </c>
      <c r="AY7" s="100">
        <v>3477.6189632705873</v>
      </c>
      <c r="AZ7" s="100">
        <v>6</v>
      </c>
      <c r="BA7" s="100">
        <v>4730.3999999999996</v>
      </c>
      <c r="BB7" s="100">
        <v>7.0370428141818202</v>
      </c>
      <c r="BC7" s="100">
        <v>5548.0045547009468</v>
      </c>
      <c r="BD7" s="100">
        <v>6.9229308507366092</v>
      </c>
      <c r="BE7" s="100">
        <v>5458.0386827207421</v>
      </c>
      <c r="BF7" s="100">
        <v>7.2706868834842489</v>
      </c>
      <c r="BG7" s="100">
        <v>5732.2095389389815</v>
      </c>
      <c r="BH7" s="100">
        <v>5.5197772456465479</v>
      </c>
      <c r="BI7" s="100">
        <v>4351.7923804677384</v>
      </c>
      <c r="BJ7" s="100">
        <v>2.5960134609506325</v>
      </c>
      <c r="BK7" s="100">
        <v>2046.6970126134786</v>
      </c>
      <c r="BL7" s="100">
        <v>8.6518501291769478</v>
      </c>
      <c r="BM7" s="100">
        <v>6821.1186418431053</v>
      </c>
      <c r="BN7" s="100">
        <v>5.8298921549656262</v>
      </c>
      <c r="BO7" s="100">
        <v>4596.2869749748997</v>
      </c>
      <c r="BP7" s="100">
        <v>1.406057069339929</v>
      </c>
      <c r="BQ7" s="100">
        <v>1108.5353934676</v>
      </c>
      <c r="BR7" s="100">
        <v>6.0123183609438016</v>
      </c>
      <c r="BS7" s="100">
        <v>4740.1117957680926</v>
      </c>
      <c r="BT7" s="100">
        <v>6.3890330937449287</v>
      </c>
      <c r="BU7" s="100">
        <v>5037.1136911085014</v>
      </c>
      <c r="BV7" s="100">
        <v>5.1876553406300134</v>
      </c>
      <c r="BW7" s="100">
        <v>4089.9474705527023</v>
      </c>
      <c r="BX7" s="100">
        <v>4.2449969777436571</v>
      </c>
      <c r="BY7" s="100">
        <v>3346.755617253099</v>
      </c>
      <c r="BZ7" s="100">
        <v>3.9507843341581053</v>
      </c>
      <c r="CA7" s="100">
        <v>3114.7983690502501</v>
      </c>
      <c r="CB7" s="100">
        <v>7</v>
      </c>
      <c r="CC7" s="100">
        <v>5518.8</v>
      </c>
      <c r="CD7" s="100">
        <v>7</v>
      </c>
      <c r="CE7" s="100">
        <v>5518.8</v>
      </c>
      <c r="CF7" s="100">
        <v>6</v>
      </c>
      <c r="CG7" s="100">
        <v>4730.3999999999996</v>
      </c>
      <c r="CH7" s="100">
        <v>5</v>
      </c>
      <c r="CI7" s="100">
        <v>3942</v>
      </c>
      <c r="CJ7" s="100">
        <v>9</v>
      </c>
      <c r="CK7" s="100">
        <v>7095.5999999999995</v>
      </c>
      <c r="CL7" s="100">
        <v>6.2875577300474754</v>
      </c>
      <c r="CM7" s="100">
        <v>4957.1105143694294</v>
      </c>
      <c r="CN7" s="100">
        <v>6.7203051168233605</v>
      </c>
      <c r="CO7" s="100">
        <v>5298.2885541035375</v>
      </c>
      <c r="CP7" s="100">
        <v>4.6855793628846358</v>
      </c>
      <c r="CQ7" s="100">
        <v>3694.1107696982467</v>
      </c>
      <c r="CR7" s="100">
        <v>1.3881834625262859</v>
      </c>
      <c r="CS7" s="100">
        <v>1094.4438418557238</v>
      </c>
      <c r="CT7" s="100">
        <v>6.46722583876734</v>
      </c>
      <c r="CU7" s="100">
        <v>5098.7608512841707</v>
      </c>
    </row>
    <row r="8" spans="1:99">
      <c r="C8" s="99" t="s">
        <v>174</v>
      </c>
      <c r="D8" s="100">
        <v>7</v>
      </c>
      <c r="E8" s="100">
        <v>2167.1999999999998</v>
      </c>
      <c r="F8" s="100">
        <v>5.2308708675317774</v>
      </c>
      <c r="G8" s="100">
        <v>1619.4776205878381</v>
      </c>
      <c r="H8" s="100">
        <v>6</v>
      </c>
      <c r="I8" s="100">
        <v>1857.6</v>
      </c>
      <c r="J8" s="100">
        <v>6</v>
      </c>
      <c r="K8" s="100">
        <v>1857.6</v>
      </c>
      <c r="L8" s="100">
        <v>8</v>
      </c>
      <c r="M8" s="100">
        <v>2476.7999999999997</v>
      </c>
      <c r="N8" s="100">
        <v>4</v>
      </c>
      <c r="O8" s="100">
        <v>1238.3999999999999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</v>
      </c>
      <c r="U8" s="100">
        <v>2167.1999999999998</v>
      </c>
      <c r="V8" s="100">
        <v>5.1094427940383564</v>
      </c>
      <c r="W8" s="100">
        <v>1581.883489034275</v>
      </c>
      <c r="X8" s="100">
        <v>8.1446965563622289</v>
      </c>
      <c r="Y8" s="100">
        <v>2521.5980538497456</v>
      </c>
      <c r="Z8" s="100">
        <v>2.6259280901585278</v>
      </c>
      <c r="AA8" s="100">
        <v>812.98733671308014</v>
      </c>
      <c r="AB8" s="100">
        <v>8.2427020195180738</v>
      </c>
      <c r="AC8" s="100">
        <v>2551.9405452427955</v>
      </c>
      <c r="AD8" s="100">
        <v>3.3953697057738141</v>
      </c>
      <c r="AE8" s="100">
        <v>1051.2064609075728</v>
      </c>
      <c r="AF8" s="100">
        <v>4.2990633371313747</v>
      </c>
      <c r="AG8" s="100">
        <v>1330.9900091758734</v>
      </c>
      <c r="AH8" s="100">
        <v>6</v>
      </c>
      <c r="AI8" s="100">
        <v>1857.6</v>
      </c>
      <c r="AJ8" s="100">
        <v>4.2368050590487663</v>
      </c>
      <c r="AK8" s="100">
        <v>1311.7148462814978</v>
      </c>
      <c r="AL8" s="100">
        <v>3.3667553456303856</v>
      </c>
      <c r="AM8" s="100">
        <v>1042.3474550071674</v>
      </c>
      <c r="AN8" s="100">
        <v>9</v>
      </c>
      <c r="AO8" s="100">
        <v>2786.3999999999996</v>
      </c>
      <c r="AP8" s="100">
        <v>9</v>
      </c>
      <c r="AQ8" s="100">
        <v>2786.3999999999996</v>
      </c>
      <c r="AR8" s="100">
        <v>7</v>
      </c>
      <c r="AS8" s="100">
        <v>2167.1999999999998</v>
      </c>
      <c r="AT8" s="100">
        <v>5</v>
      </c>
      <c r="AU8" s="100">
        <v>1547.9999999999998</v>
      </c>
      <c r="AV8" s="100">
        <v>7.0431209328967981</v>
      </c>
      <c r="AW8" s="100">
        <v>2180.5502408248485</v>
      </c>
      <c r="AX8" s="100">
        <v>4.4109829569642152</v>
      </c>
      <c r="AY8" s="100">
        <v>1365.6403234761208</v>
      </c>
      <c r="AZ8" s="100">
        <v>6</v>
      </c>
      <c r="BA8" s="100">
        <v>1857.6</v>
      </c>
      <c r="BB8" s="100">
        <v>7.0370428141818202</v>
      </c>
      <c r="BC8" s="100">
        <v>2178.6684552706911</v>
      </c>
      <c r="BD8" s="100">
        <v>6.9229308507366092</v>
      </c>
      <c r="BE8" s="100">
        <v>2143.3393913880541</v>
      </c>
      <c r="BF8" s="100">
        <v>7.2504512122554461</v>
      </c>
      <c r="BG8" s="100">
        <v>2244.7396953142857</v>
      </c>
      <c r="BH8" s="100">
        <v>5.5484465859098115</v>
      </c>
      <c r="BI8" s="100">
        <v>1717.7990629976775</v>
      </c>
      <c r="BJ8" s="100">
        <v>2.2251543951005419</v>
      </c>
      <c r="BK8" s="100">
        <v>688.90780072312771</v>
      </c>
      <c r="BL8" s="100">
        <v>9.6131668101966099</v>
      </c>
      <c r="BM8" s="100">
        <v>2976.23644443687</v>
      </c>
      <c r="BN8" s="100">
        <v>6.5548974994744214</v>
      </c>
      <c r="BO8" s="100">
        <v>2029.3962658372807</v>
      </c>
      <c r="BP8" s="100">
        <v>1.6069223649599189</v>
      </c>
      <c r="BQ8" s="100">
        <v>497.50316419159083</v>
      </c>
      <c r="BR8" s="100">
        <v>6.0123183609438016</v>
      </c>
      <c r="BS8" s="100">
        <v>1861.4137645482008</v>
      </c>
      <c r="BT8" s="100">
        <v>7.0279364031194209</v>
      </c>
      <c r="BU8" s="100">
        <v>2175.8491104057725</v>
      </c>
      <c r="BV8" s="100">
        <v>5.2800465558538887</v>
      </c>
      <c r="BW8" s="100">
        <v>1634.7024136923637</v>
      </c>
      <c r="BX8" s="100">
        <v>4.2696976537923668</v>
      </c>
      <c r="BY8" s="100">
        <v>1321.8983936141167</v>
      </c>
      <c r="BZ8" s="100">
        <v>4.3897603712867834</v>
      </c>
      <c r="CA8" s="100">
        <v>1359.069810950388</v>
      </c>
      <c r="CB8" s="100">
        <v>7</v>
      </c>
      <c r="CC8" s="100">
        <v>2167.1999999999998</v>
      </c>
      <c r="CD8" s="100">
        <v>7</v>
      </c>
      <c r="CE8" s="100">
        <v>2167.1999999999998</v>
      </c>
      <c r="CF8" s="100">
        <v>6</v>
      </c>
      <c r="CG8" s="100">
        <v>1857.6</v>
      </c>
      <c r="CH8" s="100">
        <v>5</v>
      </c>
      <c r="CI8" s="100">
        <v>1547.9999999999998</v>
      </c>
      <c r="CJ8" s="100">
        <v>8</v>
      </c>
      <c r="CK8" s="100">
        <v>2476.7999999999997</v>
      </c>
      <c r="CL8" s="100">
        <v>6.2875577300474754</v>
      </c>
      <c r="CM8" s="100">
        <v>1946.6278732226981</v>
      </c>
      <c r="CN8" s="100">
        <v>6.7203051168233605</v>
      </c>
      <c r="CO8" s="100">
        <v>2080.606464168512</v>
      </c>
      <c r="CP8" s="100">
        <v>4.7529700308219569</v>
      </c>
      <c r="CQ8" s="100">
        <v>1471.5195215424776</v>
      </c>
      <c r="CR8" s="100">
        <v>1.5864953857443267</v>
      </c>
      <c r="CS8" s="100">
        <v>491.17897142644347</v>
      </c>
      <c r="CT8" s="100">
        <v>6.46722583876734</v>
      </c>
      <c r="CU8" s="100">
        <v>2002.2531196823682</v>
      </c>
    </row>
    <row r="9" spans="1:99">
      <c r="C9" s="99" t="s">
        <v>175</v>
      </c>
      <c r="D9" s="100">
        <v>7</v>
      </c>
      <c r="E9" s="100">
        <v>4914</v>
      </c>
      <c r="F9" s="100">
        <v>5.2308708675317774</v>
      </c>
      <c r="G9" s="100">
        <v>3672.0713490073076</v>
      </c>
      <c r="H9" s="100">
        <v>7</v>
      </c>
      <c r="I9" s="100">
        <v>4914</v>
      </c>
      <c r="J9" s="100">
        <v>6</v>
      </c>
      <c r="K9" s="100">
        <v>4212</v>
      </c>
      <c r="L9" s="100">
        <v>8</v>
      </c>
      <c r="M9" s="100">
        <v>5616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8</v>
      </c>
      <c r="U9" s="100">
        <v>5616</v>
      </c>
      <c r="V9" s="100">
        <v>5.1094427940383564</v>
      </c>
      <c r="W9" s="100">
        <v>3586.828841414926</v>
      </c>
      <c r="X9" s="100">
        <v>9.1688126490892667</v>
      </c>
      <c r="Y9" s="100">
        <v>6436.5064796606648</v>
      </c>
      <c r="Z9" s="100">
        <v>2.1882734084654398</v>
      </c>
      <c r="AA9" s="100">
        <v>1536.1679327427387</v>
      </c>
      <c r="AB9" s="100">
        <v>8.2696689105756391</v>
      </c>
      <c r="AC9" s="100">
        <v>5805.3075752240984</v>
      </c>
      <c r="AD9" s="100">
        <v>3.4186222769724752</v>
      </c>
      <c r="AE9" s="100">
        <v>2399.8728384346778</v>
      </c>
      <c r="AF9" s="100">
        <v>3.7616804199899536</v>
      </c>
      <c r="AG9" s="100">
        <v>2640.6996548329475</v>
      </c>
      <c r="AH9" s="100">
        <v>6</v>
      </c>
      <c r="AI9" s="100">
        <v>4212</v>
      </c>
      <c r="AJ9" s="100">
        <v>4.2368050590487663</v>
      </c>
      <c r="AK9" s="100">
        <v>2974.2371514522338</v>
      </c>
      <c r="AL9" s="100">
        <v>3.3667553456303856</v>
      </c>
      <c r="AM9" s="100">
        <v>2363.4622526325306</v>
      </c>
      <c r="AN9" s="100">
        <v>9</v>
      </c>
      <c r="AO9" s="100">
        <v>6318</v>
      </c>
      <c r="AP9" s="100">
        <v>9</v>
      </c>
      <c r="AQ9" s="100">
        <v>6318</v>
      </c>
      <c r="AR9" s="100">
        <v>6</v>
      </c>
      <c r="AS9" s="100">
        <v>4212</v>
      </c>
      <c r="AT9" s="100">
        <v>5</v>
      </c>
      <c r="AU9" s="100">
        <v>3510</v>
      </c>
      <c r="AV9" s="100">
        <v>8.0431209328967981</v>
      </c>
      <c r="AW9" s="100">
        <v>5646.2708948935524</v>
      </c>
      <c r="AX9" s="100">
        <v>4.4109829569642152</v>
      </c>
      <c r="AY9" s="100">
        <v>3096.5100357888791</v>
      </c>
      <c r="AZ9" s="100">
        <v>6</v>
      </c>
      <c r="BA9" s="100">
        <v>4212</v>
      </c>
      <c r="BB9" s="100">
        <v>7.0333385327636382</v>
      </c>
      <c r="BC9" s="100">
        <v>4937.4036500000739</v>
      </c>
      <c r="BD9" s="100">
        <v>6.9455557187161565</v>
      </c>
      <c r="BE9" s="100">
        <v>4875.7801145387421</v>
      </c>
      <c r="BF9" s="100">
        <v>7.2706868834842489</v>
      </c>
      <c r="BG9" s="100">
        <v>5104.0221922059427</v>
      </c>
      <c r="BH9" s="100">
        <v>5.5484465859098115</v>
      </c>
      <c r="BI9" s="100">
        <v>3895.0095033086877</v>
      </c>
      <c r="BJ9" s="100">
        <v>2.5960134609506325</v>
      </c>
      <c r="BK9" s="100">
        <v>1822.4014495873439</v>
      </c>
      <c r="BL9" s="100">
        <v>9.6131668101966099</v>
      </c>
      <c r="BM9" s="100">
        <v>6748.4431007580206</v>
      </c>
      <c r="BN9" s="100">
        <v>5.8298921549656262</v>
      </c>
      <c r="BO9" s="100">
        <v>4092.5842927858694</v>
      </c>
      <c r="BP9" s="100">
        <v>1.6069223649599189</v>
      </c>
      <c r="BQ9" s="100">
        <v>1128.0595002018631</v>
      </c>
      <c r="BR9" s="100">
        <v>6.0123183609438016</v>
      </c>
      <c r="BS9" s="100">
        <v>4220.6474893825489</v>
      </c>
      <c r="BT9" s="100">
        <v>6.3890330937449287</v>
      </c>
      <c r="BU9" s="100">
        <v>4485.1012318089397</v>
      </c>
      <c r="BV9" s="100">
        <v>6.2344255302784033</v>
      </c>
      <c r="BW9" s="100">
        <v>4376.5667222554393</v>
      </c>
      <c r="BX9" s="100">
        <v>4.2449969777436571</v>
      </c>
      <c r="BY9" s="100">
        <v>2979.9878783760473</v>
      </c>
      <c r="BZ9" s="100">
        <v>3.9507843341581053</v>
      </c>
      <c r="CA9" s="100">
        <v>2773.4506025789897</v>
      </c>
      <c r="CB9" s="100">
        <v>8</v>
      </c>
      <c r="CC9" s="100">
        <v>5616</v>
      </c>
      <c r="CD9" s="100">
        <v>7</v>
      </c>
      <c r="CE9" s="100">
        <v>4914</v>
      </c>
      <c r="CF9" s="100">
        <v>6</v>
      </c>
      <c r="CG9" s="100">
        <v>4212</v>
      </c>
      <c r="CH9" s="100">
        <v>5</v>
      </c>
      <c r="CI9" s="100">
        <v>3510</v>
      </c>
      <c r="CJ9" s="100">
        <v>8</v>
      </c>
      <c r="CK9" s="100">
        <v>5616</v>
      </c>
      <c r="CL9" s="100">
        <v>6.2875577300474754</v>
      </c>
      <c r="CM9" s="100">
        <v>4413.8655264933277</v>
      </c>
      <c r="CN9" s="100">
        <v>6.0482746051410237</v>
      </c>
      <c r="CO9" s="100">
        <v>4245.8887728089985</v>
      </c>
      <c r="CP9" s="100">
        <v>3.9046494690705296</v>
      </c>
      <c r="CQ9" s="100">
        <v>2741.0639272875119</v>
      </c>
      <c r="CR9" s="100">
        <v>1.5864953857443267</v>
      </c>
      <c r="CS9" s="100">
        <v>1113.7197607925173</v>
      </c>
      <c r="CT9" s="100">
        <v>6.46722583876734</v>
      </c>
      <c r="CU9" s="100">
        <v>4539.992538814673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5.2308708675317774</v>
      </c>
      <c r="G10" s="100">
        <v>2849.7784486313121</v>
      </c>
      <c r="H10" s="100">
        <v>7</v>
      </c>
      <c r="I10" s="100">
        <v>3813.5999999999995</v>
      </c>
      <c r="J10" s="100">
        <v>5</v>
      </c>
      <c r="K10" s="100">
        <v>2724</v>
      </c>
      <c r="L10" s="100">
        <v>8</v>
      </c>
      <c r="M10" s="100">
        <v>4358.3999999999996</v>
      </c>
      <c r="N10" s="100">
        <v>4</v>
      </c>
      <c r="O10" s="100">
        <v>2179.1999999999998</v>
      </c>
      <c r="P10" s="100">
        <v>7</v>
      </c>
      <c r="Q10" s="100">
        <v>3813.5999999999995</v>
      </c>
      <c r="R10" s="100">
        <v>7</v>
      </c>
      <c r="S10" s="100">
        <v>3813.5999999999995</v>
      </c>
      <c r="T10" s="100">
        <v>8</v>
      </c>
      <c r="U10" s="100">
        <v>4358.3999999999996</v>
      </c>
      <c r="V10" s="100">
        <v>5.6771586600426174</v>
      </c>
      <c r="W10" s="100">
        <v>3092.9160379912178</v>
      </c>
      <c r="X10" s="100">
        <v>9.1688126490892667</v>
      </c>
      <c r="Y10" s="100">
        <v>4995.1691312238318</v>
      </c>
      <c r="Z10" s="100">
        <v>2.6259280901585278</v>
      </c>
      <c r="AA10" s="100">
        <v>1430.6056235183657</v>
      </c>
      <c r="AB10" s="100">
        <v>9.2427020195180738</v>
      </c>
      <c r="AC10" s="100">
        <v>5035.4240602334457</v>
      </c>
      <c r="AD10" s="100">
        <v>2.9302476659764074</v>
      </c>
      <c r="AE10" s="100">
        <v>1596.3989284239467</v>
      </c>
      <c r="AF10" s="100">
        <v>4.2990633371313747</v>
      </c>
      <c r="AG10" s="100">
        <v>2342.1297060691727</v>
      </c>
      <c r="AH10" s="100">
        <v>6</v>
      </c>
      <c r="AI10" s="100">
        <v>3268.7999999999997</v>
      </c>
      <c r="AJ10" s="100">
        <v>4.9781301261351514</v>
      </c>
      <c r="AK10" s="100">
        <v>2712.0852927184301</v>
      </c>
      <c r="AL10" s="100">
        <v>2.9459109274265876</v>
      </c>
      <c r="AM10" s="100">
        <v>1604.9322732620049</v>
      </c>
      <c r="AN10" s="100">
        <v>8</v>
      </c>
      <c r="AO10" s="100">
        <v>4358.3999999999996</v>
      </c>
      <c r="AP10" s="100">
        <v>9</v>
      </c>
      <c r="AQ10" s="100">
        <v>4903.2</v>
      </c>
      <c r="AR10" s="100">
        <v>7</v>
      </c>
      <c r="AS10" s="100">
        <v>3813.5999999999995</v>
      </c>
      <c r="AT10" s="100">
        <v>6</v>
      </c>
      <c r="AU10" s="100">
        <v>3268.7999999999997</v>
      </c>
      <c r="AV10" s="100">
        <v>8.0431209328967981</v>
      </c>
      <c r="AW10" s="100">
        <v>4381.8922842421753</v>
      </c>
      <c r="AX10" s="100">
        <v>4.4109829569642152</v>
      </c>
      <c r="AY10" s="100">
        <v>2403.1035149541044</v>
      </c>
      <c r="AZ10" s="100">
        <v>6</v>
      </c>
      <c r="BA10" s="100">
        <v>3268.7999999999997</v>
      </c>
      <c r="BB10" s="100">
        <v>7.0333385327636382</v>
      </c>
      <c r="BC10" s="100">
        <v>3831.7628326496297</v>
      </c>
      <c r="BD10" s="100">
        <v>6.9455557187161565</v>
      </c>
      <c r="BE10" s="100">
        <v>3783.9387555565618</v>
      </c>
      <c r="BF10" s="100">
        <v>6.5436181951358243</v>
      </c>
      <c r="BG10" s="100">
        <v>3564.9631927099967</v>
      </c>
      <c r="BH10" s="100">
        <v>5.5197772456465479</v>
      </c>
      <c r="BI10" s="100">
        <v>3007.1746434282391</v>
      </c>
      <c r="BJ10" s="100">
        <v>2.2251543951005419</v>
      </c>
      <c r="BK10" s="100">
        <v>1212.2641144507752</v>
      </c>
      <c r="BL10" s="100">
        <v>9.6131668101966099</v>
      </c>
      <c r="BM10" s="100">
        <v>5237.2532781951122</v>
      </c>
      <c r="BN10" s="100">
        <v>5.8348670547815029</v>
      </c>
      <c r="BO10" s="100">
        <v>3178.8355714449626</v>
      </c>
      <c r="BP10" s="100">
        <v>1.6069223649599189</v>
      </c>
      <c r="BQ10" s="100">
        <v>875.45130443016376</v>
      </c>
      <c r="BR10" s="100">
        <v>6.0123183609438016</v>
      </c>
      <c r="BS10" s="100">
        <v>3275.5110430421828</v>
      </c>
      <c r="BT10" s="100">
        <v>6.3890330937449287</v>
      </c>
      <c r="BU10" s="100">
        <v>3480.745229472237</v>
      </c>
      <c r="BV10" s="100">
        <v>5.2338509482419502</v>
      </c>
      <c r="BW10" s="100">
        <v>2851.4019966022142</v>
      </c>
      <c r="BX10" s="100">
        <v>4.2696976537923668</v>
      </c>
      <c r="BY10" s="100">
        <v>2326.1312817860812</v>
      </c>
      <c r="BZ10" s="100">
        <v>4.3897603712867834</v>
      </c>
      <c r="CA10" s="100">
        <v>2391.5414502770395</v>
      </c>
      <c r="CB10" s="100">
        <v>6</v>
      </c>
      <c r="CC10" s="100">
        <v>3268.7999999999997</v>
      </c>
      <c r="CD10" s="100">
        <v>6</v>
      </c>
      <c r="CE10" s="100">
        <v>3268.7999999999997</v>
      </c>
      <c r="CF10" s="100">
        <v>6</v>
      </c>
      <c r="CG10" s="100">
        <v>3268.7999999999997</v>
      </c>
      <c r="CH10" s="100">
        <v>6</v>
      </c>
      <c r="CI10" s="100">
        <v>3268.7999999999997</v>
      </c>
      <c r="CJ10" s="100">
        <v>8</v>
      </c>
      <c r="CK10" s="100">
        <v>4358.3999999999996</v>
      </c>
      <c r="CL10" s="100">
        <v>5.5016130137915411</v>
      </c>
      <c r="CM10" s="100">
        <v>2997.2787699136315</v>
      </c>
      <c r="CN10" s="100">
        <v>6.0482746051410237</v>
      </c>
      <c r="CO10" s="100">
        <v>3295.1000048808296</v>
      </c>
      <c r="CP10" s="100">
        <v>4.6855793628846358</v>
      </c>
      <c r="CQ10" s="100">
        <v>2552.7036368995496</v>
      </c>
      <c r="CR10" s="100">
        <v>1.5864953857443267</v>
      </c>
      <c r="CS10" s="100">
        <v>864.32268615350915</v>
      </c>
      <c r="CT10" s="100">
        <v>7.7606710065208091</v>
      </c>
      <c r="CU10" s="100">
        <v>4228.0135643525364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4.3590590562764815</v>
      </c>
      <c r="G11" s="100">
        <v>2322.5066651841094</v>
      </c>
      <c r="H11" s="100">
        <v>7</v>
      </c>
      <c r="I11" s="100">
        <v>3729.5999999999995</v>
      </c>
      <c r="J11" s="100">
        <v>5</v>
      </c>
      <c r="K11" s="100">
        <v>2664</v>
      </c>
      <c r="L11" s="100">
        <v>8</v>
      </c>
      <c r="M11" s="100">
        <v>4262.3999999999996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8</v>
      </c>
      <c r="U11" s="100">
        <v>4262.3999999999996</v>
      </c>
      <c r="V11" s="100">
        <v>4.5417269280340946</v>
      </c>
      <c r="W11" s="100">
        <v>2419.8321072565655</v>
      </c>
      <c r="X11" s="100">
        <v>8.1446965563622289</v>
      </c>
      <c r="Y11" s="100">
        <v>4339.4943252297953</v>
      </c>
      <c r="Z11" s="100">
        <v>2.1882734084654398</v>
      </c>
      <c r="AA11" s="100">
        <v>1165.9120720303863</v>
      </c>
      <c r="AB11" s="100">
        <v>9.2696689105756391</v>
      </c>
      <c r="AC11" s="100">
        <v>4938.8795955547002</v>
      </c>
      <c r="AD11" s="100">
        <v>3.4186222769724752</v>
      </c>
      <c r="AE11" s="100">
        <v>1821.4419491709345</v>
      </c>
      <c r="AF11" s="100">
        <v>4.2990633371313747</v>
      </c>
      <c r="AG11" s="100">
        <v>2290.540946023596</v>
      </c>
      <c r="AH11" s="100">
        <v>6</v>
      </c>
      <c r="AI11" s="100">
        <v>3196.7999999999997</v>
      </c>
      <c r="AJ11" s="100">
        <v>4.2036688263227138</v>
      </c>
      <c r="AK11" s="100">
        <v>2239.7147506647416</v>
      </c>
      <c r="AL11" s="100">
        <v>2.9459109274265876</v>
      </c>
      <c r="AM11" s="100">
        <v>1569.5813421328858</v>
      </c>
      <c r="AN11" s="100">
        <v>8</v>
      </c>
      <c r="AO11" s="100">
        <v>4262.3999999999996</v>
      </c>
      <c r="AP11" s="100">
        <v>8</v>
      </c>
      <c r="AQ11" s="100">
        <v>4262.3999999999996</v>
      </c>
      <c r="AR11" s="100">
        <v>6</v>
      </c>
      <c r="AS11" s="100">
        <v>3196.7999999999997</v>
      </c>
      <c r="AT11" s="100">
        <v>5</v>
      </c>
      <c r="AU11" s="100">
        <v>2664</v>
      </c>
      <c r="AV11" s="100">
        <v>8.0431209328967981</v>
      </c>
      <c r="AW11" s="100">
        <v>4285.3748330474136</v>
      </c>
      <c r="AX11" s="100">
        <v>4.4109829569642152</v>
      </c>
      <c r="AY11" s="100">
        <v>2350.1717194705338</v>
      </c>
      <c r="AZ11" s="100">
        <v>6</v>
      </c>
      <c r="BA11" s="100">
        <v>3196.7999999999997</v>
      </c>
      <c r="BB11" s="100">
        <v>7.0370428141818202</v>
      </c>
      <c r="BC11" s="100">
        <v>3749.3364113960733</v>
      </c>
      <c r="BD11" s="100">
        <v>6.9455557187161565</v>
      </c>
      <c r="BE11" s="100">
        <v>3700.592086931968</v>
      </c>
      <c r="BF11" s="100">
        <v>6.5638538663646262</v>
      </c>
      <c r="BG11" s="100">
        <v>3497.2213399990724</v>
      </c>
      <c r="BH11" s="100">
        <v>5.5484465859098115</v>
      </c>
      <c r="BI11" s="100">
        <v>2956.2123409727474</v>
      </c>
      <c r="BJ11" s="100">
        <v>2.2251543951005419</v>
      </c>
      <c r="BK11" s="100">
        <v>1185.5622617095687</v>
      </c>
      <c r="BL11" s="100">
        <v>9.6131668101966099</v>
      </c>
      <c r="BM11" s="100">
        <v>5121.8952764727537</v>
      </c>
      <c r="BN11" s="100">
        <v>6.5548974994744214</v>
      </c>
      <c r="BO11" s="100">
        <v>3492.4493877199716</v>
      </c>
      <c r="BP11" s="100">
        <v>1.6069223649599189</v>
      </c>
      <c r="BQ11" s="100">
        <v>856.16823605064474</v>
      </c>
      <c r="BR11" s="100">
        <v>6.0123183609438016</v>
      </c>
      <c r="BS11" s="100">
        <v>3203.3632227108574</v>
      </c>
      <c r="BT11" s="100">
        <v>7.0279364031194209</v>
      </c>
      <c r="BU11" s="100">
        <v>3744.4845155820271</v>
      </c>
      <c r="BV11" s="100">
        <v>5.2800465558538887</v>
      </c>
      <c r="BW11" s="100">
        <v>2813.2088049589515</v>
      </c>
      <c r="BX11" s="100">
        <v>4.2449969777436571</v>
      </c>
      <c r="BY11" s="100">
        <v>2261.7343897418205</v>
      </c>
      <c r="BZ11" s="100">
        <v>3.5118082970294271</v>
      </c>
      <c r="CA11" s="100">
        <v>1871.0914606572785</v>
      </c>
      <c r="CB11" s="100">
        <v>7</v>
      </c>
      <c r="CC11" s="100">
        <v>3729.5999999999995</v>
      </c>
      <c r="CD11" s="100">
        <v>6</v>
      </c>
      <c r="CE11" s="100">
        <v>3196.7999999999997</v>
      </c>
      <c r="CF11" s="100">
        <v>7</v>
      </c>
      <c r="CG11" s="100">
        <v>3729.5999999999995</v>
      </c>
      <c r="CH11" s="100">
        <v>6</v>
      </c>
      <c r="CI11" s="100">
        <v>3196.7999999999997</v>
      </c>
      <c r="CJ11" s="100">
        <v>9</v>
      </c>
      <c r="CK11" s="100">
        <v>4795.2</v>
      </c>
      <c r="CL11" s="100">
        <v>6.2875577300474754</v>
      </c>
      <c r="CM11" s="100">
        <v>3350.0107585692945</v>
      </c>
      <c r="CN11" s="100">
        <v>6.7203051168233605</v>
      </c>
      <c r="CO11" s="100">
        <v>3580.578566243486</v>
      </c>
      <c r="CP11" s="100">
        <v>4.6855793628846358</v>
      </c>
      <c r="CQ11" s="100">
        <v>2496.476684544934</v>
      </c>
      <c r="CR11" s="100">
        <v>1.5864953857443267</v>
      </c>
      <c r="CS11" s="100">
        <v>845.28474152457716</v>
      </c>
      <c r="CT11" s="100">
        <v>6.46722583876734</v>
      </c>
      <c r="CU11" s="100">
        <v>3445.7379268952386</v>
      </c>
    </row>
    <row r="12" spans="1:99">
      <c r="C12" s="99" t="s">
        <v>178</v>
      </c>
      <c r="D12" s="100">
        <v>7</v>
      </c>
      <c r="E12" s="100">
        <v>3939.5999999999995</v>
      </c>
      <c r="F12" s="100">
        <v>5.2308708675317774</v>
      </c>
      <c r="G12" s="100">
        <v>2943.934124246884</v>
      </c>
      <c r="H12" s="100">
        <v>7</v>
      </c>
      <c r="I12" s="100">
        <v>3939.5999999999995</v>
      </c>
      <c r="J12" s="100">
        <v>5</v>
      </c>
      <c r="K12" s="100">
        <v>2814</v>
      </c>
      <c r="L12" s="100">
        <v>9</v>
      </c>
      <c r="M12" s="100">
        <v>5065.2</v>
      </c>
      <c r="N12" s="100">
        <v>4</v>
      </c>
      <c r="O12" s="100">
        <v>2251.1999999999998</v>
      </c>
      <c r="P12" s="100">
        <v>7</v>
      </c>
      <c r="Q12" s="100">
        <v>3939.5999999999995</v>
      </c>
      <c r="R12" s="100">
        <v>7</v>
      </c>
      <c r="S12" s="100">
        <v>3939.5999999999995</v>
      </c>
      <c r="T12" s="100">
        <v>8</v>
      </c>
      <c r="U12" s="100">
        <v>4502.3999999999996</v>
      </c>
      <c r="V12" s="100">
        <v>5.1094427940383564</v>
      </c>
      <c r="W12" s="100">
        <v>2875.594404484787</v>
      </c>
      <c r="X12" s="100">
        <v>9.1688126490892667</v>
      </c>
      <c r="Y12" s="100">
        <v>5160.2077589074388</v>
      </c>
      <c r="Z12" s="100">
        <v>2.1882734084654398</v>
      </c>
      <c r="AA12" s="100">
        <v>1231.5602742843494</v>
      </c>
      <c r="AB12" s="100">
        <v>9.2696689105756391</v>
      </c>
      <c r="AC12" s="100">
        <v>5216.9696628719694</v>
      </c>
      <c r="AD12" s="100">
        <v>3.4186222769724752</v>
      </c>
      <c r="AE12" s="100">
        <v>1924.000617480109</v>
      </c>
      <c r="AF12" s="100">
        <v>3.7616804199899536</v>
      </c>
      <c r="AG12" s="100">
        <v>2117.0737403703456</v>
      </c>
      <c r="AH12" s="100">
        <v>6</v>
      </c>
      <c r="AI12" s="100">
        <v>3376.7999999999997</v>
      </c>
      <c r="AJ12" s="100">
        <v>4.2368050590487663</v>
      </c>
      <c r="AK12" s="100">
        <v>2384.4738872326457</v>
      </c>
      <c r="AL12" s="100">
        <v>3.3667553456303856</v>
      </c>
      <c r="AM12" s="100">
        <v>1894.8099085207809</v>
      </c>
      <c r="AN12" s="100">
        <v>8</v>
      </c>
      <c r="AO12" s="100">
        <v>4502.3999999999996</v>
      </c>
      <c r="AP12" s="100">
        <v>9</v>
      </c>
      <c r="AQ12" s="100">
        <v>5065.2</v>
      </c>
      <c r="AR12" s="100">
        <v>7</v>
      </c>
      <c r="AS12" s="100">
        <v>3939.5999999999995</v>
      </c>
      <c r="AT12" s="100">
        <v>5</v>
      </c>
      <c r="AU12" s="100">
        <v>2814</v>
      </c>
      <c r="AV12" s="100">
        <v>8.0431209328967981</v>
      </c>
      <c r="AW12" s="100">
        <v>4526.6684610343173</v>
      </c>
      <c r="AX12" s="100">
        <v>4.4109829569642152</v>
      </c>
      <c r="AY12" s="100">
        <v>2482.5012081794603</v>
      </c>
      <c r="AZ12" s="100">
        <v>5</v>
      </c>
      <c r="BA12" s="100">
        <v>2814</v>
      </c>
      <c r="BB12" s="100">
        <v>7.0370428141818202</v>
      </c>
      <c r="BC12" s="100">
        <v>3960.4476958215282</v>
      </c>
      <c r="BD12" s="100">
        <v>6.9455557187161565</v>
      </c>
      <c r="BE12" s="100">
        <v>3908.9587584934525</v>
      </c>
      <c r="BF12" s="100">
        <v>6.584089537593429</v>
      </c>
      <c r="BG12" s="100">
        <v>3705.5255917575814</v>
      </c>
      <c r="BH12" s="100">
        <v>5.5484465859098115</v>
      </c>
      <c r="BI12" s="100">
        <v>3122.6657385500416</v>
      </c>
      <c r="BJ12" s="100">
        <v>2.2251543951005419</v>
      </c>
      <c r="BK12" s="100">
        <v>1252.3168935625849</v>
      </c>
      <c r="BL12" s="100">
        <v>9.6131668101966099</v>
      </c>
      <c r="BM12" s="100">
        <v>5410.2902807786513</v>
      </c>
      <c r="BN12" s="100">
        <v>5.8348670547815029</v>
      </c>
      <c r="BO12" s="100">
        <v>3283.8631784310296</v>
      </c>
      <c r="BP12" s="100">
        <v>1.406057069339929</v>
      </c>
      <c r="BQ12" s="100">
        <v>791.32891862451197</v>
      </c>
      <c r="BR12" s="100">
        <v>6.0123183609438016</v>
      </c>
      <c r="BS12" s="100">
        <v>3383.7327735391714</v>
      </c>
      <c r="BT12" s="100">
        <v>6.3890330937449287</v>
      </c>
      <c r="BU12" s="100">
        <v>3595.7478251596453</v>
      </c>
      <c r="BV12" s="100">
        <v>5.2800465558538887</v>
      </c>
      <c r="BW12" s="100">
        <v>2971.6102016345685</v>
      </c>
      <c r="BX12" s="100">
        <v>4.2696976537923668</v>
      </c>
      <c r="BY12" s="100">
        <v>2402.9858395543438</v>
      </c>
      <c r="BZ12" s="100">
        <v>3.9507843341581053</v>
      </c>
      <c r="CA12" s="100">
        <v>2223.5014232641815</v>
      </c>
      <c r="CB12" s="100">
        <v>8</v>
      </c>
      <c r="CC12" s="100">
        <v>4502.3999999999996</v>
      </c>
      <c r="CD12" s="100">
        <v>6</v>
      </c>
      <c r="CE12" s="100">
        <v>3376.7999999999997</v>
      </c>
      <c r="CF12" s="100">
        <v>7</v>
      </c>
      <c r="CG12" s="100">
        <v>3939.5999999999995</v>
      </c>
      <c r="CH12" s="100">
        <v>5</v>
      </c>
      <c r="CI12" s="100">
        <v>2814</v>
      </c>
      <c r="CJ12" s="100">
        <v>8</v>
      </c>
      <c r="CK12" s="100">
        <v>4502.3999999999996</v>
      </c>
      <c r="CL12" s="100">
        <v>6.2875577300474754</v>
      </c>
      <c r="CM12" s="100">
        <v>3538.6374904707191</v>
      </c>
      <c r="CN12" s="100">
        <v>6.7203051168233605</v>
      </c>
      <c r="CO12" s="100">
        <v>3782.1877197481872</v>
      </c>
      <c r="CP12" s="100">
        <v>4.6855793628846358</v>
      </c>
      <c r="CQ12" s="100">
        <v>2637.044065431473</v>
      </c>
      <c r="CR12" s="100">
        <v>1.5864953857443267</v>
      </c>
      <c r="CS12" s="100">
        <v>892.87960309690698</v>
      </c>
      <c r="CT12" s="100">
        <v>6.46722583876734</v>
      </c>
      <c r="CU12" s="100">
        <v>3639.7547020582588</v>
      </c>
    </row>
    <row r="13" spans="1:99">
      <c r="C13" s="99" t="s">
        <v>179</v>
      </c>
      <c r="D13" s="100">
        <v>8</v>
      </c>
      <c r="E13" s="100">
        <v>681.6</v>
      </c>
      <c r="F13" s="100">
        <v>5.2308708675317774</v>
      </c>
      <c r="G13" s="100">
        <v>445.67019791370745</v>
      </c>
      <c r="H13" s="100">
        <v>7</v>
      </c>
      <c r="I13" s="100">
        <v>596.4</v>
      </c>
      <c r="J13" s="100">
        <v>6</v>
      </c>
      <c r="K13" s="100">
        <v>511.20000000000005</v>
      </c>
      <c r="L13" s="100">
        <v>8</v>
      </c>
      <c r="M13" s="100">
        <v>681.6</v>
      </c>
      <c r="N13" s="100">
        <v>5</v>
      </c>
      <c r="O13" s="100">
        <v>426</v>
      </c>
      <c r="P13" s="100">
        <v>8</v>
      </c>
      <c r="Q13" s="100">
        <v>681.6</v>
      </c>
      <c r="R13" s="100">
        <v>7</v>
      </c>
      <c r="S13" s="100">
        <v>596.4</v>
      </c>
      <c r="T13" s="100">
        <v>8</v>
      </c>
      <c r="U13" s="100">
        <v>681.6</v>
      </c>
      <c r="V13" s="100">
        <v>5.1094427940383564</v>
      </c>
      <c r="W13" s="100">
        <v>435.32452605206799</v>
      </c>
      <c r="X13" s="100">
        <v>8.1446965563622289</v>
      </c>
      <c r="Y13" s="100">
        <v>693.92814660206193</v>
      </c>
      <c r="Z13" s="100">
        <v>2.1882734084654398</v>
      </c>
      <c r="AA13" s="100">
        <v>186.44089440125549</v>
      </c>
      <c r="AB13" s="100">
        <v>9.2966358016332027</v>
      </c>
      <c r="AC13" s="100">
        <v>792.07337029914891</v>
      </c>
      <c r="AD13" s="100">
        <v>3.3953697057738141</v>
      </c>
      <c r="AE13" s="100">
        <v>289.285498931929</v>
      </c>
      <c r="AF13" s="100">
        <v>3.7616804199899536</v>
      </c>
      <c r="AG13" s="100">
        <v>320.49517178314403</v>
      </c>
      <c r="AH13" s="100">
        <v>6</v>
      </c>
      <c r="AI13" s="100">
        <v>511.20000000000005</v>
      </c>
      <c r="AJ13" s="100">
        <v>4.2036688263227138</v>
      </c>
      <c r="AK13" s="100">
        <v>358.15258400269522</v>
      </c>
      <c r="AL13" s="100">
        <v>3.3667553456303856</v>
      </c>
      <c r="AM13" s="100">
        <v>286.84755544770888</v>
      </c>
      <c r="AN13" s="100">
        <v>9</v>
      </c>
      <c r="AO13" s="100">
        <v>766.80000000000007</v>
      </c>
      <c r="AP13" s="100">
        <v>8</v>
      </c>
      <c r="AQ13" s="100">
        <v>681.6</v>
      </c>
      <c r="AR13" s="100">
        <v>6</v>
      </c>
      <c r="AS13" s="100">
        <v>511.20000000000005</v>
      </c>
      <c r="AT13" s="100">
        <v>6</v>
      </c>
      <c r="AU13" s="100">
        <v>511.20000000000005</v>
      </c>
      <c r="AV13" s="100">
        <v>7.047041017705598</v>
      </c>
      <c r="AW13" s="100">
        <v>600.40789470851701</v>
      </c>
      <c r="AX13" s="100">
        <v>4.4109829569642152</v>
      </c>
      <c r="AY13" s="100">
        <v>375.81574793335113</v>
      </c>
      <c r="AZ13" s="100">
        <v>6</v>
      </c>
      <c r="BA13" s="100">
        <v>511.20000000000005</v>
      </c>
      <c r="BB13" s="100">
        <v>8.0333385327636382</v>
      </c>
      <c r="BC13" s="100">
        <v>684.44044299146196</v>
      </c>
      <c r="BD13" s="100">
        <v>6.9229308507366092</v>
      </c>
      <c r="BE13" s="100">
        <v>589.83370848275911</v>
      </c>
      <c r="BF13" s="100">
        <v>7.9775199006038706</v>
      </c>
      <c r="BG13" s="100">
        <v>679.68469553144985</v>
      </c>
      <c r="BH13" s="100">
        <v>5.5484465859098115</v>
      </c>
      <c r="BI13" s="100">
        <v>472.72764911951595</v>
      </c>
      <c r="BJ13" s="100">
        <v>2.5960134609506325</v>
      </c>
      <c r="BK13" s="100">
        <v>221.18034687299388</v>
      </c>
      <c r="BL13" s="100">
        <v>9.6131668101966099</v>
      </c>
      <c r="BM13" s="100">
        <v>819.04181222875116</v>
      </c>
      <c r="BN13" s="100">
        <v>5.8298921549656262</v>
      </c>
      <c r="BO13" s="100">
        <v>496.70681160307134</v>
      </c>
      <c r="BP13" s="100">
        <v>1.807787660579909</v>
      </c>
      <c r="BQ13" s="100">
        <v>154.02350868140826</v>
      </c>
      <c r="BR13" s="100">
        <v>7.0123183609438016</v>
      </c>
      <c r="BS13" s="100">
        <v>597.44952435241191</v>
      </c>
      <c r="BT13" s="100">
        <v>7.0279364031194209</v>
      </c>
      <c r="BU13" s="100">
        <v>598.78018154577467</v>
      </c>
      <c r="BV13" s="100">
        <v>5.2338509482419502</v>
      </c>
      <c r="BW13" s="100">
        <v>445.9241007902142</v>
      </c>
      <c r="BX13" s="100">
        <v>4.2449969777436571</v>
      </c>
      <c r="BY13" s="100">
        <v>361.67374250375963</v>
      </c>
      <c r="BZ13" s="100">
        <v>3.9507843341581053</v>
      </c>
      <c r="CA13" s="100">
        <v>336.60682527027058</v>
      </c>
      <c r="CB13" s="100">
        <v>8</v>
      </c>
      <c r="CC13" s="100">
        <v>681.6</v>
      </c>
      <c r="CD13" s="100">
        <v>7</v>
      </c>
      <c r="CE13" s="100">
        <v>596.4</v>
      </c>
      <c r="CF13" s="100">
        <v>7</v>
      </c>
      <c r="CG13" s="100">
        <v>596.4</v>
      </c>
      <c r="CH13" s="100">
        <v>5</v>
      </c>
      <c r="CI13" s="100">
        <v>426</v>
      </c>
      <c r="CJ13" s="100">
        <v>9</v>
      </c>
      <c r="CK13" s="100">
        <v>766.80000000000007</v>
      </c>
      <c r="CL13" s="100">
        <v>6.2875577300474754</v>
      </c>
      <c r="CM13" s="100">
        <v>535.69991860004495</v>
      </c>
      <c r="CN13" s="100">
        <v>7.3923356285056956</v>
      </c>
      <c r="CO13" s="100">
        <v>629.82699554868532</v>
      </c>
      <c r="CP13" s="100">
        <v>4.6855793628846358</v>
      </c>
      <c r="CQ13" s="100">
        <v>399.21136171777101</v>
      </c>
      <c r="CR13" s="100">
        <v>1.5864953857443267</v>
      </c>
      <c r="CS13" s="100">
        <v>135.16940686541665</v>
      </c>
      <c r="CT13" s="100">
        <v>6.46722583876734</v>
      </c>
      <c r="CU13" s="100">
        <v>551.0076414629774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5.2308708675317774</v>
      </c>
      <c r="G14" s="100">
        <v>2554.7573317025199</v>
      </c>
      <c r="H14" s="100">
        <v>7</v>
      </c>
      <c r="I14" s="100">
        <v>3418.7999999999997</v>
      </c>
      <c r="J14" s="100">
        <v>6</v>
      </c>
      <c r="K14" s="100">
        <v>2930.3999999999996</v>
      </c>
      <c r="L14" s="100">
        <v>8</v>
      </c>
      <c r="M14" s="100">
        <v>3907.2</v>
      </c>
      <c r="N14" s="100">
        <v>5</v>
      </c>
      <c r="O14" s="100">
        <v>2442</v>
      </c>
      <c r="P14" s="100">
        <v>7</v>
      </c>
      <c r="Q14" s="100">
        <v>3418.7999999999997</v>
      </c>
      <c r="R14" s="100">
        <v>7</v>
      </c>
      <c r="S14" s="100">
        <v>3418.7999999999997</v>
      </c>
      <c r="T14" s="100">
        <v>8</v>
      </c>
      <c r="U14" s="100">
        <v>3907.2</v>
      </c>
      <c r="V14" s="100">
        <v>4.5417269280340946</v>
      </c>
      <c r="W14" s="100">
        <v>2218.1794316518517</v>
      </c>
      <c r="X14" s="100">
        <v>8.1688126490892667</v>
      </c>
      <c r="Y14" s="100">
        <v>3989.6480978151976</v>
      </c>
      <c r="Z14" s="100">
        <v>2.1882734084654398</v>
      </c>
      <c r="AA14" s="100">
        <v>1068.7527326945208</v>
      </c>
      <c r="AB14" s="100">
        <v>8.2696689105756391</v>
      </c>
      <c r="AC14" s="100">
        <v>4038.9062959251419</v>
      </c>
      <c r="AD14" s="100">
        <v>2.9302476659764074</v>
      </c>
      <c r="AE14" s="100">
        <v>1431.1329600628774</v>
      </c>
      <c r="AF14" s="100">
        <v>3.7616804199899536</v>
      </c>
      <c r="AG14" s="100">
        <v>1837.2047171230934</v>
      </c>
      <c r="AH14" s="100">
        <v>6</v>
      </c>
      <c r="AI14" s="100">
        <v>2930.3999999999996</v>
      </c>
      <c r="AJ14" s="100">
        <v>4.2368050590487663</v>
      </c>
      <c r="AK14" s="100">
        <v>2069.2555908394174</v>
      </c>
      <c r="AL14" s="100">
        <v>2.9459109274265876</v>
      </c>
      <c r="AM14" s="100">
        <v>1438.7828969551454</v>
      </c>
      <c r="AN14" s="100">
        <v>9</v>
      </c>
      <c r="AO14" s="100">
        <v>4395.5999999999995</v>
      </c>
      <c r="AP14" s="100">
        <v>9</v>
      </c>
      <c r="AQ14" s="100">
        <v>4395.5999999999995</v>
      </c>
      <c r="AR14" s="100">
        <v>6</v>
      </c>
      <c r="AS14" s="100">
        <v>2930.3999999999996</v>
      </c>
      <c r="AT14" s="100">
        <v>6</v>
      </c>
      <c r="AU14" s="100">
        <v>2930.3999999999996</v>
      </c>
      <c r="AV14" s="100">
        <v>7.047041017705598</v>
      </c>
      <c r="AW14" s="100">
        <v>3441.7748330474137</v>
      </c>
      <c r="AX14" s="100">
        <v>5.2931795483570587</v>
      </c>
      <c r="AY14" s="100">
        <v>2585.1888914175875</v>
      </c>
      <c r="AZ14" s="100">
        <v>5</v>
      </c>
      <c r="BA14" s="100">
        <v>2442</v>
      </c>
      <c r="BB14" s="100">
        <v>7.0333385327636382</v>
      </c>
      <c r="BC14" s="100">
        <v>3435.0825394017606</v>
      </c>
      <c r="BD14" s="100">
        <v>7.734563145627261</v>
      </c>
      <c r="BE14" s="100">
        <v>3777.5606403243542</v>
      </c>
      <c r="BF14" s="100">
        <v>7.2706868834842489</v>
      </c>
      <c r="BG14" s="100">
        <v>3551.003473893707</v>
      </c>
      <c r="BH14" s="100">
        <v>5.5484465859098115</v>
      </c>
      <c r="BI14" s="100">
        <v>2709.861312558352</v>
      </c>
      <c r="BJ14" s="100">
        <v>2.5960134609506325</v>
      </c>
      <c r="BK14" s="100">
        <v>1267.8929743282888</v>
      </c>
      <c r="BL14" s="100">
        <v>9.6131668101966099</v>
      </c>
      <c r="BM14" s="100">
        <v>4695.0706701000245</v>
      </c>
      <c r="BN14" s="100">
        <v>6.5548974994744214</v>
      </c>
      <c r="BO14" s="100">
        <v>3201.411938743307</v>
      </c>
      <c r="BP14" s="100">
        <v>1.6069223649599189</v>
      </c>
      <c r="BQ14" s="100">
        <v>784.82088304642434</v>
      </c>
      <c r="BR14" s="100">
        <v>6.0123183609438016</v>
      </c>
      <c r="BS14" s="100">
        <v>2936.4162874849526</v>
      </c>
      <c r="BT14" s="100">
        <v>6.3890330937449287</v>
      </c>
      <c r="BU14" s="100">
        <v>3120.4037629850231</v>
      </c>
      <c r="BV14" s="100">
        <v>5.2800465558538887</v>
      </c>
      <c r="BW14" s="100">
        <v>2578.7747378790391</v>
      </c>
      <c r="BX14" s="100">
        <v>4.2449969777436571</v>
      </c>
      <c r="BY14" s="100">
        <v>2073.256523930002</v>
      </c>
      <c r="BZ14" s="100">
        <v>3.5118082970294271</v>
      </c>
      <c r="CA14" s="100">
        <v>1715.1671722691722</v>
      </c>
      <c r="CB14" s="100">
        <v>7</v>
      </c>
      <c r="CC14" s="100">
        <v>3418.7999999999997</v>
      </c>
      <c r="CD14" s="100">
        <v>7</v>
      </c>
      <c r="CE14" s="100">
        <v>3418.7999999999997</v>
      </c>
      <c r="CF14" s="100">
        <v>7</v>
      </c>
      <c r="CG14" s="100">
        <v>3418.7999999999997</v>
      </c>
      <c r="CH14" s="100">
        <v>5</v>
      </c>
      <c r="CI14" s="100">
        <v>2442</v>
      </c>
      <c r="CJ14" s="100">
        <v>9</v>
      </c>
      <c r="CK14" s="100">
        <v>4395.5999999999995</v>
      </c>
      <c r="CL14" s="100">
        <v>7.0735024463034097</v>
      </c>
      <c r="CM14" s="100">
        <v>3454.6985947745852</v>
      </c>
      <c r="CN14" s="100">
        <v>7.3923356285056956</v>
      </c>
      <c r="CO14" s="100">
        <v>3610.4167209621814</v>
      </c>
      <c r="CP14" s="100">
        <v>4.6855793628846358</v>
      </c>
      <c r="CQ14" s="100">
        <v>2288.4369608328561</v>
      </c>
      <c r="CR14" s="100">
        <v>1.5864953857443267</v>
      </c>
      <c r="CS14" s="100">
        <v>774.84434639752908</v>
      </c>
      <c r="CT14" s="100">
        <v>6.46722583876734</v>
      </c>
      <c r="CU14" s="100">
        <v>3158.5930996539687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5.2308708675317774</v>
      </c>
      <c r="G15" s="100">
        <v>3992.200646100252</v>
      </c>
      <c r="H15" s="100">
        <v>6</v>
      </c>
      <c r="I15" s="100">
        <v>4579.2</v>
      </c>
      <c r="J15" s="100">
        <v>5</v>
      </c>
      <c r="K15" s="100">
        <v>3815.9999999999995</v>
      </c>
      <c r="L15" s="100">
        <v>8</v>
      </c>
      <c r="M15" s="100">
        <v>6105.5999999999995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6</v>
      </c>
      <c r="S15" s="100">
        <v>4579.2</v>
      </c>
      <c r="T15" s="100">
        <v>8</v>
      </c>
      <c r="U15" s="100">
        <v>6105.5999999999995</v>
      </c>
      <c r="V15" s="100">
        <v>4.5417269280340946</v>
      </c>
      <c r="W15" s="100">
        <v>3466.2459914756205</v>
      </c>
      <c r="X15" s="100">
        <v>9.1446965563622289</v>
      </c>
      <c r="Y15" s="100">
        <v>6979.2324118156521</v>
      </c>
      <c r="Z15" s="100">
        <v>2.6259280901585278</v>
      </c>
      <c r="AA15" s="100">
        <v>2004.1083184089882</v>
      </c>
      <c r="AB15" s="100">
        <v>8.2696689105756391</v>
      </c>
      <c r="AC15" s="100">
        <v>6311.4113125513268</v>
      </c>
      <c r="AD15" s="100">
        <v>3.3953697057738141</v>
      </c>
      <c r="AE15" s="100">
        <v>2591.3461594465748</v>
      </c>
      <c r="AF15" s="100">
        <v>4.2990633371313747</v>
      </c>
      <c r="AG15" s="100">
        <v>3281.0451388986648</v>
      </c>
      <c r="AH15" s="100">
        <v>6</v>
      </c>
      <c r="AI15" s="100">
        <v>4579.2</v>
      </c>
      <c r="AJ15" s="100">
        <v>4.1705325935966613</v>
      </c>
      <c r="AK15" s="100">
        <v>3182.9504754329714</v>
      </c>
      <c r="AL15" s="100">
        <v>3.3667553456303856</v>
      </c>
      <c r="AM15" s="100">
        <v>2569.5076797851102</v>
      </c>
      <c r="AN15" s="100">
        <v>9</v>
      </c>
      <c r="AO15" s="100">
        <v>6868.7999999999993</v>
      </c>
      <c r="AP15" s="100">
        <v>8</v>
      </c>
      <c r="AQ15" s="100">
        <v>6105.5999999999995</v>
      </c>
      <c r="AR15" s="100">
        <v>7</v>
      </c>
      <c r="AS15" s="100">
        <v>5342.4</v>
      </c>
      <c r="AT15" s="100">
        <v>5</v>
      </c>
      <c r="AU15" s="100">
        <v>3815.9999999999995</v>
      </c>
      <c r="AV15" s="100">
        <v>8.0470410177055989</v>
      </c>
      <c r="AW15" s="100">
        <v>6141.5017047129122</v>
      </c>
      <c r="AX15" s="100">
        <v>4.4109829569642152</v>
      </c>
      <c r="AY15" s="100">
        <v>3366.4621927550888</v>
      </c>
      <c r="AZ15" s="100">
        <v>6</v>
      </c>
      <c r="BA15" s="100">
        <v>4579.2</v>
      </c>
      <c r="BB15" s="100">
        <v>7.0333385327636382</v>
      </c>
      <c r="BC15" s="100">
        <v>5367.8439682052085</v>
      </c>
      <c r="BD15" s="100">
        <v>6.9003059827570619</v>
      </c>
      <c r="BE15" s="100">
        <v>5266.3135260401896</v>
      </c>
      <c r="BF15" s="100">
        <v>7.2706868834842489</v>
      </c>
      <c r="BG15" s="100">
        <v>5548.9882294751778</v>
      </c>
      <c r="BH15" s="100">
        <v>5.5484465859098115</v>
      </c>
      <c r="BI15" s="100">
        <v>4234.5744343663682</v>
      </c>
      <c r="BJ15" s="100">
        <v>2.2251543951005419</v>
      </c>
      <c r="BK15" s="100">
        <v>1698.2378343407333</v>
      </c>
      <c r="BL15" s="100">
        <v>8.6518501291769478</v>
      </c>
      <c r="BM15" s="100">
        <v>6603.0920185878458</v>
      </c>
      <c r="BN15" s="100">
        <v>6.5548974994744214</v>
      </c>
      <c r="BO15" s="100">
        <v>5002.6977715988778</v>
      </c>
      <c r="BP15" s="100">
        <v>1.6069223649599189</v>
      </c>
      <c r="BQ15" s="100">
        <v>1226.4031489374099</v>
      </c>
      <c r="BR15" s="100">
        <v>6.0107785658258264</v>
      </c>
      <c r="BS15" s="100">
        <v>4587.4262014382703</v>
      </c>
      <c r="BT15" s="100">
        <v>6.3890330937449287</v>
      </c>
      <c r="BU15" s="100">
        <v>4876.1100571461293</v>
      </c>
      <c r="BV15" s="100">
        <v>6.1882299226664657</v>
      </c>
      <c r="BW15" s="100">
        <v>4722.8570769790458</v>
      </c>
      <c r="BX15" s="100">
        <v>4.2696976537923668</v>
      </c>
      <c r="BY15" s="100">
        <v>3258.6332493743339</v>
      </c>
      <c r="BZ15" s="100">
        <v>4.3897603712867834</v>
      </c>
      <c r="CA15" s="100">
        <v>3350.2651153660727</v>
      </c>
      <c r="CB15" s="100">
        <v>8</v>
      </c>
      <c r="CC15" s="100">
        <v>6105.5999999999995</v>
      </c>
      <c r="CD15" s="100">
        <v>7</v>
      </c>
      <c r="CE15" s="100">
        <v>5342.4</v>
      </c>
      <c r="CF15" s="100">
        <v>6</v>
      </c>
      <c r="CG15" s="100">
        <v>4579.2</v>
      </c>
      <c r="CH15" s="100">
        <v>6</v>
      </c>
      <c r="CI15" s="100">
        <v>4579.2</v>
      </c>
      <c r="CJ15" s="100">
        <v>8</v>
      </c>
      <c r="CK15" s="100">
        <v>6105.5999999999995</v>
      </c>
      <c r="CL15" s="100">
        <v>6.2875577300474754</v>
      </c>
      <c r="CM15" s="100">
        <v>4798.6640595722329</v>
      </c>
      <c r="CN15" s="100">
        <v>6.0482746051410237</v>
      </c>
      <c r="CO15" s="100">
        <v>4616.0431786436293</v>
      </c>
      <c r="CP15" s="100">
        <v>4.6855793628846358</v>
      </c>
      <c r="CQ15" s="100">
        <v>3576.0341697535537</v>
      </c>
      <c r="CR15" s="100">
        <v>1.7848073089623677</v>
      </c>
      <c r="CS15" s="100">
        <v>1362.164938200079</v>
      </c>
      <c r="CT15" s="100">
        <v>7.7606710065208091</v>
      </c>
      <c r="CU15" s="100">
        <v>5922.9441121766813</v>
      </c>
    </row>
    <row r="16" spans="1:99">
      <c r="C16" s="99" t="s">
        <v>182</v>
      </c>
      <c r="D16" s="100">
        <v>8</v>
      </c>
      <c r="E16" s="100">
        <v>2726.4</v>
      </c>
      <c r="F16" s="100">
        <v>6.1026826787870743</v>
      </c>
      <c r="G16" s="100">
        <v>2079.7942569306351</v>
      </c>
      <c r="H16" s="100">
        <v>7</v>
      </c>
      <c r="I16" s="100">
        <v>2385.6</v>
      </c>
      <c r="J16" s="100">
        <v>6</v>
      </c>
      <c r="K16" s="100">
        <v>2044.8000000000002</v>
      </c>
      <c r="L16" s="100">
        <v>8</v>
      </c>
      <c r="M16" s="100">
        <v>2726.4</v>
      </c>
      <c r="N16" s="100">
        <v>5</v>
      </c>
      <c r="O16" s="100">
        <v>1704</v>
      </c>
      <c r="P16" s="100">
        <v>8</v>
      </c>
      <c r="Q16" s="100">
        <v>2726.4</v>
      </c>
      <c r="R16" s="100">
        <v>7</v>
      </c>
      <c r="S16" s="100">
        <v>2385.6</v>
      </c>
      <c r="T16" s="100">
        <v>7</v>
      </c>
      <c r="U16" s="100">
        <v>2385.6</v>
      </c>
      <c r="V16" s="100">
        <v>5.1094427940383564</v>
      </c>
      <c r="W16" s="100">
        <v>1741.298104208272</v>
      </c>
      <c r="X16" s="100">
        <v>9.1446965563622289</v>
      </c>
      <c r="Y16" s="100">
        <v>3116.5125864082479</v>
      </c>
      <c r="Z16" s="100">
        <v>2.1882734084654398</v>
      </c>
      <c r="AA16" s="100">
        <v>745.76357760502196</v>
      </c>
      <c r="AB16" s="100">
        <v>8.2427020195180738</v>
      </c>
      <c r="AC16" s="100">
        <v>2809.1128482517597</v>
      </c>
      <c r="AD16" s="100">
        <v>3.4186222769724752</v>
      </c>
      <c r="AE16" s="100">
        <v>1165.0664719922197</v>
      </c>
      <c r="AF16" s="100">
        <v>4.2990633371313747</v>
      </c>
      <c r="AG16" s="100">
        <v>1465.1207852943726</v>
      </c>
      <c r="AH16" s="100">
        <v>6</v>
      </c>
      <c r="AI16" s="100">
        <v>2044.8000000000002</v>
      </c>
      <c r="AJ16" s="100">
        <v>4.2368050590487663</v>
      </c>
      <c r="AK16" s="100">
        <v>1443.9031641238196</v>
      </c>
      <c r="AL16" s="100">
        <v>2.9459109274265876</v>
      </c>
      <c r="AM16" s="100">
        <v>1003.9664440669811</v>
      </c>
      <c r="AN16" s="100">
        <v>9</v>
      </c>
      <c r="AO16" s="100">
        <v>3067.2000000000003</v>
      </c>
      <c r="AP16" s="100">
        <v>9</v>
      </c>
      <c r="AQ16" s="100">
        <v>3067.2000000000003</v>
      </c>
      <c r="AR16" s="100">
        <v>7</v>
      </c>
      <c r="AS16" s="100">
        <v>2385.6</v>
      </c>
      <c r="AT16" s="100">
        <v>5</v>
      </c>
      <c r="AU16" s="100">
        <v>1704</v>
      </c>
      <c r="AV16" s="100">
        <v>8.0470410177055989</v>
      </c>
      <c r="AW16" s="100">
        <v>2742.4315788340682</v>
      </c>
      <c r="AX16" s="100">
        <v>4.4109829569642152</v>
      </c>
      <c r="AY16" s="100">
        <v>1503.2629917334045</v>
      </c>
      <c r="AZ16" s="100">
        <v>6</v>
      </c>
      <c r="BA16" s="100">
        <v>2044.8000000000002</v>
      </c>
      <c r="BB16" s="100">
        <v>7.0370428141818202</v>
      </c>
      <c r="BC16" s="100">
        <v>2398.2241910731645</v>
      </c>
      <c r="BD16" s="100">
        <v>6.9455557187161565</v>
      </c>
      <c r="BE16" s="100">
        <v>2367.0453889384662</v>
      </c>
      <c r="BF16" s="100">
        <v>6.584089537593429</v>
      </c>
      <c r="BG16" s="100">
        <v>2243.8577144118408</v>
      </c>
      <c r="BH16" s="100">
        <v>6.1774963935561953</v>
      </c>
      <c r="BI16" s="100">
        <v>2105.2907709239516</v>
      </c>
      <c r="BJ16" s="100">
        <v>2.5960134609506325</v>
      </c>
      <c r="BK16" s="100">
        <v>884.72138749197552</v>
      </c>
      <c r="BL16" s="100">
        <v>8.6518501291769478</v>
      </c>
      <c r="BM16" s="100">
        <v>2948.5505240235038</v>
      </c>
      <c r="BN16" s="100">
        <v>6.5548974994744214</v>
      </c>
      <c r="BO16" s="100">
        <v>2233.9090678208827</v>
      </c>
      <c r="BP16" s="100">
        <v>1.406057069339929</v>
      </c>
      <c r="BQ16" s="100">
        <v>479.18424923104783</v>
      </c>
      <c r="BR16" s="100">
        <v>6.0123183609438016</v>
      </c>
      <c r="BS16" s="100">
        <v>2048.9980974096475</v>
      </c>
      <c r="BT16" s="100">
        <v>6.3890330937449287</v>
      </c>
      <c r="BU16" s="100">
        <v>2177.3824783482719</v>
      </c>
      <c r="BV16" s="100">
        <v>6.142034315054528</v>
      </c>
      <c r="BW16" s="100">
        <v>2093.2052945705832</v>
      </c>
      <c r="BX16" s="100">
        <v>3.6879701901634117</v>
      </c>
      <c r="BY16" s="100">
        <v>1256.8602408076908</v>
      </c>
      <c r="BZ16" s="100">
        <v>4.3897603712867834</v>
      </c>
      <c r="CA16" s="100">
        <v>1496.0303345345358</v>
      </c>
      <c r="CB16" s="100">
        <v>7</v>
      </c>
      <c r="CC16" s="100">
        <v>2385.6</v>
      </c>
      <c r="CD16" s="100">
        <v>7</v>
      </c>
      <c r="CE16" s="100">
        <v>2385.6</v>
      </c>
      <c r="CF16" s="100">
        <v>7</v>
      </c>
      <c r="CG16" s="100">
        <v>2385.6</v>
      </c>
      <c r="CH16" s="100">
        <v>5</v>
      </c>
      <c r="CI16" s="100">
        <v>1704</v>
      </c>
      <c r="CJ16" s="100">
        <v>9</v>
      </c>
      <c r="CK16" s="100">
        <v>3067.2000000000003</v>
      </c>
      <c r="CL16" s="100">
        <v>6.2875577300474754</v>
      </c>
      <c r="CM16" s="100">
        <v>2142.7996744001798</v>
      </c>
      <c r="CN16" s="100">
        <v>6.7203051168233605</v>
      </c>
      <c r="CO16" s="100">
        <v>2290.2799838134015</v>
      </c>
      <c r="CP16" s="100">
        <v>4.6855793628846358</v>
      </c>
      <c r="CQ16" s="100">
        <v>1596.8454468710841</v>
      </c>
      <c r="CR16" s="100">
        <v>1.5864953857443267</v>
      </c>
      <c r="CS16" s="100">
        <v>540.67762746166659</v>
      </c>
      <c r="CT16" s="100">
        <v>7.7606710065208091</v>
      </c>
      <c r="CU16" s="100">
        <v>2644.8366790222917</v>
      </c>
    </row>
    <row r="17" spans="2:99">
      <c r="C17" s="99" t="s">
        <v>183</v>
      </c>
      <c r="D17" s="100">
        <v>8</v>
      </c>
      <c r="E17" s="100">
        <v>3379.2</v>
      </c>
      <c r="F17" s="100">
        <v>5.2308708675317774</v>
      </c>
      <c r="G17" s="100">
        <v>2209.5198544454229</v>
      </c>
      <c r="H17" s="100">
        <v>7</v>
      </c>
      <c r="I17" s="100">
        <v>2956.7999999999997</v>
      </c>
      <c r="J17" s="100">
        <v>6</v>
      </c>
      <c r="K17" s="100">
        <v>2534.3999999999996</v>
      </c>
      <c r="L17" s="100">
        <v>9</v>
      </c>
      <c r="M17" s="100">
        <v>3801.6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6</v>
      </c>
      <c r="S17" s="100">
        <v>2534.3999999999996</v>
      </c>
      <c r="T17" s="100">
        <v>8</v>
      </c>
      <c r="U17" s="100">
        <v>3379.2</v>
      </c>
      <c r="V17" s="100">
        <v>5.6771586600426174</v>
      </c>
      <c r="W17" s="100">
        <v>2398.0318180020013</v>
      </c>
      <c r="X17" s="100">
        <v>9.1688126490892667</v>
      </c>
      <c r="Y17" s="100">
        <v>3872.9064629753061</v>
      </c>
      <c r="Z17" s="100">
        <v>2.1882734084654398</v>
      </c>
      <c r="AA17" s="100">
        <v>924.32668773580178</v>
      </c>
      <c r="AB17" s="100">
        <v>8.2966358016332027</v>
      </c>
      <c r="AC17" s="100">
        <v>3504.4989626098645</v>
      </c>
      <c r="AD17" s="100">
        <v>3.3953697057738141</v>
      </c>
      <c r="AE17" s="100">
        <v>1434.204163718859</v>
      </c>
      <c r="AF17" s="100">
        <v>4.2990633371313747</v>
      </c>
      <c r="AG17" s="100">
        <v>1815.9243536042925</v>
      </c>
      <c r="AH17" s="100">
        <v>6</v>
      </c>
      <c r="AI17" s="100">
        <v>2534.3999999999996</v>
      </c>
      <c r="AJ17" s="100">
        <v>4.9781301261351514</v>
      </c>
      <c r="AK17" s="100">
        <v>2102.7621652794878</v>
      </c>
      <c r="AL17" s="100">
        <v>2.9459109274265876</v>
      </c>
      <c r="AM17" s="100">
        <v>1244.3527757449906</v>
      </c>
      <c r="AN17" s="100">
        <v>9</v>
      </c>
      <c r="AO17" s="100">
        <v>3801.6</v>
      </c>
      <c r="AP17" s="100">
        <v>8</v>
      </c>
      <c r="AQ17" s="100">
        <v>3379.2</v>
      </c>
      <c r="AR17" s="100">
        <v>7</v>
      </c>
      <c r="AS17" s="100">
        <v>2956.7999999999997</v>
      </c>
      <c r="AT17" s="100">
        <v>5</v>
      </c>
      <c r="AU17" s="100">
        <v>2112</v>
      </c>
      <c r="AV17" s="100">
        <v>8.0470410177055989</v>
      </c>
      <c r="AW17" s="100">
        <v>3399.0701258788449</v>
      </c>
      <c r="AX17" s="100">
        <v>4.4109829569642152</v>
      </c>
      <c r="AY17" s="100">
        <v>1863.1992010216843</v>
      </c>
      <c r="AZ17" s="100">
        <v>6</v>
      </c>
      <c r="BA17" s="100">
        <v>2534.3999999999996</v>
      </c>
      <c r="BB17" s="100">
        <v>7.0370428141818202</v>
      </c>
      <c r="BC17" s="100">
        <v>2972.4468847104008</v>
      </c>
      <c r="BD17" s="100">
        <v>6.9229308507366092</v>
      </c>
      <c r="BE17" s="100">
        <v>2924.2459913511434</v>
      </c>
      <c r="BF17" s="100">
        <v>7.2706868834842489</v>
      </c>
      <c r="BG17" s="100">
        <v>3071.1381395837466</v>
      </c>
      <c r="BH17" s="100">
        <v>5.5484465859098115</v>
      </c>
      <c r="BI17" s="100">
        <v>2343.6638378883044</v>
      </c>
      <c r="BJ17" s="100">
        <v>2.5960134609506325</v>
      </c>
      <c r="BK17" s="100">
        <v>1096.556085905547</v>
      </c>
      <c r="BL17" s="100">
        <v>8.6518501291769478</v>
      </c>
      <c r="BM17" s="100">
        <v>3654.5414945643424</v>
      </c>
      <c r="BN17" s="100">
        <v>6.5548974994744214</v>
      </c>
      <c r="BO17" s="100">
        <v>2768.7887037779956</v>
      </c>
      <c r="BP17" s="100">
        <v>1.6069223649599189</v>
      </c>
      <c r="BQ17" s="100">
        <v>678.76400695906966</v>
      </c>
      <c r="BR17" s="100">
        <v>7.0123183609438016</v>
      </c>
      <c r="BS17" s="100">
        <v>2962.0032756626615</v>
      </c>
      <c r="BT17" s="100">
        <v>7.0279364031194209</v>
      </c>
      <c r="BU17" s="100">
        <v>2968.6003366776431</v>
      </c>
      <c r="BV17" s="100">
        <v>6.2344255302784033</v>
      </c>
      <c r="BW17" s="100">
        <v>2633.4213439895975</v>
      </c>
      <c r="BX17" s="100">
        <v>4.2696976537923668</v>
      </c>
      <c r="BY17" s="100">
        <v>1803.5202889618956</v>
      </c>
      <c r="BZ17" s="100">
        <v>4.3897603712867834</v>
      </c>
      <c r="CA17" s="100">
        <v>1854.2347808315371</v>
      </c>
      <c r="CB17" s="100">
        <v>7</v>
      </c>
      <c r="CC17" s="100">
        <v>2956.7999999999997</v>
      </c>
      <c r="CD17" s="100">
        <v>7</v>
      </c>
      <c r="CE17" s="100">
        <v>2956.7999999999997</v>
      </c>
      <c r="CF17" s="100">
        <v>7</v>
      </c>
      <c r="CG17" s="100">
        <v>2956.7999999999997</v>
      </c>
      <c r="CH17" s="100">
        <v>5</v>
      </c>
      <c r="CI17" s="100">
        <v>2112</v>
      </c>
      <c r="CJ17" s="100">
        <v>8</v>
      </c>
      <c r="CK17" s="100">
        <v>3379.2</v>
      </c>
      <c r="CL17" s="100">
        <v>7.0735024463034097</v>
      </c>
      <c r="CM17" s="100">
        <v>2987.84743331856</v>
      </c>
      <c r="CN17" s="100">
        <v>6.0482746051410237</v>
      </c>
      <c r="CO17" s="100">
        <v>2554.791193211568</v>
      </c>
      <c r="CP17" s="100">
        <v>5.4665092566987417</v>
      </c>
      <c r="CQ17" s="100">
        <v>2309.0535100295483</v>
      </c>
      <c r="CR17" s="100">
        <v>1.7848073089623677</v>
      </c>
      <c r="CS17" s="100">
        <v>753.90260730570412</v>
      </c>
      <c r="CT17" s="100">
        <v>6.46722583876734</v>
      </c>
      <c r="CU17" s="100">
        <v>2731.7561942953243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5.2308708675317774</v>
      </c>
      <c r="G18" s="100">
        <v>3414.712502324744</v>
      </c>
      <c r="H18" s="100">
        <v>6</v>
      </c>
      <c r="I18" s="100">
        <v>3916.7999999999997</v>
      </c>
      <c r="J18" s="100">
        <v>5</v>
      </c>
      <c r="K18" s="100">
        <v>3264</v>
      </c>
      <c r="L18" s="100">
        <v>9</v>
      </c>
      <c r="M18" s="100">
        <v>5875.2</v>
      </c>
      <c r="N18" s="100">
        <v>5</v>
      </c>
      <c r="O18" s="100">
        <v>3264</v>
      </c>
      <c r="P18" s="100">
        <v>8</v>
      </c>
      <c r="Q18" s="100">
        <v>5222.3999999999996</v>
      </c>
      <c r="R18" s="100">
        <v>6</v>
      </c>
      <c r="S18" s="100">
        <v>3916.7999999999997</v>
      </c>
      <c r="T18" s="100">
        <v>7</v>
      </c>
      <c r="U18" s="100">
        <v>4569.5999999999995</v>
      </c>
      <c r="V18" s="100">
        <v>5.6771586600426174</v>
      </c>
      <c r="W18" s="100">
        <v>3706.0491732758205</v>
      </c>
      <c r="X18" s="100">
        <v>8.1446965563622289</v>
      </c>
      <c r="Y18" s="100">
        <v>5316.8579119932629</v>
      </c>
      <c r="Z18" s="100">
        <v>2.1882734084654398</v>
      </c>
      <c r="AA18" s="100">
        <v>1428.504881046239</v>
      </c>
      <c r="AB18" s="100">
        <v>8.2696689105756391</v>
      </c>
      <c r="AC18" s="100">
        <v>5398.4398648237766</v>
      </c>
      <c r="AD18" s="100">
        <v>3.4186222769724752</v>
      </c>
      <c r="AE18" s="100">
        <v>2231.6766224076318</v>
      </c>
      <c r="AF18" s="100">
        <v>3.7616804199899536</v>
      </c>
      <c r="AG18" s="100">
        <v>2455.6249781694414</v>
      </c>
      <c r="AH18" s="100">
        <v>6</v>
      </c>
      <c r="AI18" s="100">
        <v>3916.7999999999997</v>
      </c>
      <c r="AJ18" s="100">
        <v>4.2036688263227138</v>
      </c>
      <c r="AK18" s="100">
        <v>2744.1550098234675</v>
      </c>
      <c r="AL18" s="100">
        <v>2.9459109274265876</v>
      </c>
      <c r="AM18" s="100">
        <v>1923.0906534240762</v>
      </c>
      <c r="AN18" s="100">
        <v>8</v>
      </c>
      <c r="AO18" s="100">
        <v>5222.3999999999996</v>
      </c>
      <c r="AP18" s="100">
        <v>9</v>
      </c>
      <c r="AQ18" s="100">
        <v>5875.2</v>
      </c>
      <c r="AR18" s="100">
        <v>6</v>
      </c>
      <c r="AS18" s="100">
        <v>3916.7999999999997</v>
      </c>
      <c r="AT18" s="100">
        <v>6</v>
      </c>
      <c r="AU18" s="100">
        <v>3916.7999999999997</v>
      </c>
      <c r="AV18" s="100">
        <v>8.0431209328967981</v>
      </c>
      <c r="AW18" s="100">
        <v>5250.5493449950291</v>
      </c>
      <c r="AX18" s="100">
        <v>5.2931795483570587</v>
      </c>
      <c r="AY18" s="100">
        <v>3455.3876091674879</v>
      </c>
      <c r="AZ18" s="100">
        <v>6</v>
      </c>
      <c r="BA18" s="100">
        <v>3916.7999999999997</v>
      </c>
      <c r="BB18" s="100">
        <v>6.0333385327636382</v>
      </c>
      <c r="BC18" s="100">
        <v>3938.5633941881028</v>
      </c>
      <c r="BD18" s="100">
        <v>6.9455557187161565</v>
      </c>
      <c r="BE18" s="100">
        <v>4534.0587731779069</v>
      </c>
      <c r="BF18" s="100">
        <v>6.584089537593429</v>
      </c>
      <c r="BG18" s="100">
        <v>4298.0936501409906</v>
      </c>
      <c r="BH18" s="100">
        <v>5.5484465859098115</v>
      </c>
      <c r="BI18" s="100">
        <v>3622.0259312819248</v>
      </c>
      <c r="BJ18" s="100">
        <v>2.5960134609506325</v>
      </c>
      <c r="BK18" s="100">
        <v>1694.6775873085728</v>
      </c>
      <c r="BL18" s="100">
        <v>7.6905334481572867</v>
      </c>
      <c r="BM18" s="100">
        <v>5020.380234957076</v>
      </c>
      <c r="BN18" s="100">
        <v>6.5548974994744214</v>
      </c>
      <c r="BO18" s="100">
        <v>4279.0370876569023</v>
      </c>
      <c r="BP18" s="100">
        <v>1.6069223649599189</v>
      </c>
      <c r="BQ18" s="100">
        <v>1048.998919845835</v>
      </c>
      <c r="BR18" s="100">
        <v>6.0107785658258264</v>
      </c>
      <c r="BS18" s="100">
        <v>3923.8362477710994</v>
      </c>
      <c r="BT18" s="100">
        <v>6.3890330937449287</v>
      </c>
      <c r="BU18" s="100">
        <v>4170.7608035966896</v>
      </c>
      <c r="BV18" s="100">
        <v>5.1876553406300134</v>
      </c>
      <c r="BW18" s="100">
        <v>3386.5014063632725</v>
      </c>
      <c r="BX18" s="100">
        <v>4.2696976537923668</v>
      </c>
      <c r="BY18" s="100">
        <v>2787.2586283956566</v>
      </c>
      <c r="BZ18" s="100">
        <v>3.9507843341581053</v>
      </c>
      <c r="CA18" s="100">
        <v>2579.0720133384111</v>
      </c>
      <c r="CB18" s="100">
        <v>7</v>
      </c>
      <c r="CC18" s="100">
        <v>4569.5999999999995</v>
      </c>
      <c r="CD18" s="100">
        <v>7</v>
      </c>
      <c r="CE18" s="100">
        <v>4569.5999999999995</v>
      </c>
      <c r="CF18" s="100">
        <v>7</v>
      </c>
      <c r="CG18" s="100">
        <v>4569.5999999999995</v>
      </c>
      <c r="CH18" s="100">
        <v>5</v>
      </c>
      <c r="CI18" s="100">
        <v>3264</v>
      </c>
      <c r="CJ18" s="100">
        <v>8</v>
      </c>
      <c r="CK18" s="100">
        <v>5222.3999999999996</v>
      </c>
      <c r="CL18" s="100">
        <v>5.5016130137915411</v>
      </c>
      <c r="CM18" s="100">
        <v>3591.4529754031178</v>
      </c>
      <c r="CN18" s="100">
        <v>6.0482746051410237</v>
      </c>
      <c r="CO18" s="100">
        <v>3948.3136622360598</v>
      </c>
      <c r="CP18" s="100">
        <v>4.6855793628846358</v>
      </c>
      <c r="CQ18" s="100">
        <v>3058.74620809109</v>
      </c>
      <c r="CR18" s="100">
        <v>1.5864953857443267</v>
      </c>
      <c r="CS18" s="100">
        <v>1035.6641878138964</v>
      </c>
      <c r="CT18" s="100">
        <v>6.46722583876734</v>
      </c>
      <c r="CU18" s="100">
        <v>4221.8050275473197</v>
      </c>
    </row>
    <row r="19" spans="2:99">
      <c r="C19" s="99" t="s">
        <v>185</v>
      </c>
      <c r="D19" s="100">
        <v>8</v>
      </c>
      <c r="E19" s="100">
        <v>2640</v>
      </c>
      <c r="F19" s="100">
        <v>5.2308708675317774</v>
      </c>
      <c r="G19" s="100">
        <v>1726.1873862854866</v>
      </c>
      <c r="H19" s="100">
        <v>7</v>
      </c>
      <c r="I19" s="100">
        <v>2310</v>
      </c>
      <c r="J19" s="100">
        <v>6</v>
      </c>
      <c r="K19" s="100">
        <v>1980</v>
      </c>
      <c r="L19" s="100">
        <v>9</v>
      </c>
      <c r="M19" s="100">
        <v>2970</v>
      </c>
      <c r="N19" s="100">
        <v>5</v>
      </c>
      <c r="O19" s="100">
        <v>1650</v>
      </c>
      <c r="P19" s="100">
        <v>9</v>
      </c>
      <c r="Q19" s="100">
        <v>2970</v>
      </c>
      <c r="R19" s="100">
        <v>7</v>
      </c>
      <c r="S19" s="100">
        <v>2310</v>
      </c>
      <c r="T19" s="100">
        <v>7</v>
      </c>
      <c r="U19" s="100">
        <v>2310</v>
      </c>
      <c r="V19" s="100">
        <v>5.6771586600426174</v>
      </c>
      <c r="W19" s="100">
        <v>1873.4623578140638</v>
      </c>
      <c r="X19" s="100">
        <v>8.1688126490892667</v>
      </c>
      <c r="Y19" s="100">
        <v>2695.708174199458</v>
      </c>
      <c r="Z19" s="100">
        <v>2.1882734084654398</v>
      </c>
      <c r="AA19" s="100">
        <v>722.13022479359518</v>
      </c>
      <c r="AB19" s="100">
        <v>8.2427020195180738</v>
      </c>
      <c r="AC19" s="100">
        <v>2720.0916664409642</v>
      </c>
      <c r="AD19" s="100">
        <v>3.3953697057738141</v>
      </c>
      <c r="AE19" s="100">
        <v>1120.4720029053587</v>
      </c>
      <c r="AF19" s="100">
        <v>3.7616804199899536</v>
      </c>
      <c r="AG19" s="100">
        <v>1241.3545385966847</v>
      </c>
      <c r="AH19" s="100">
        <v>6</v>
      </c>
      <c r="AI19" s="100">
        <v>1980</v>
      </c>
      <c r="AJ19" s="100">
        <v>4.2368050590487663</v>
      </c>
      <c r="AK19" s="100">
        <v>1398.1456694860929</v>
      </c>
      <c r="AL19" s="100">
        <v>3.3667553456303856</v>
      </c>
      <c r="AM19" s="100">
        <v>1111.0292640580271</v>
      </c>
      <c r="AN19" s="100">
        <v>8</v>
      </c>
      <c r="AO19" s="100">
        <v>2640</v>
      </c>
      <c r="AP19" s="100">
        <v>9</v>
      </c>
      <c r="AQ19" s="100">
        <v>2970</v>
      </c>
      <c r="AR19" s="100">
        <v>7</v>
      </c>
      <c r="AS19" s="100">
        <v>2310</v>
      </c>
      <c r="AT19" s="100">
        <v>5</v>
      </c>
      <c r="AU19" s="100">
        <v>1650</v>
      </c>
      <c r="AV19" s="100">
        <v>8.0470410177055989</v>
      </c>
      <c r="AW19" s="100">
        <v>2655.5235358428477</v>
      </c>
      <c r="AX19" s="100">
        <v>4.4109829569642152</v>
      </c>
      <c r="AY19" s="100">
        <v>1455.6243757981911</v>
      </c>
      <c r="AZ19" s="100">
        <v>6</v>
      </c>
      <c r="BA19" s="100">
        <v>1980</v>
      </c>
      <c r="BB19" s="100">
        <v>7.0370428141818202</v>
      </c>
      <c r="BC19" s="100">
        <v>2322.2241286800008</v>
      </c>
      <c r="BD19" s="100">
        <v>6.9455557187161565</v>
      </c>
      <c r="BE19" s="100">
        <v>2292.0333871763319</v>
      </c>
      <c r="BF19" s="100">
        <v>7.2504512122554461</v>
      </c>
      <c r="BG19" s="100">
        <v>2392.6489000442971</v>
      </c>
      <c r="BH19" s="100">
        <v>5.5484465859098115</v>
      </c>
      <c r="BI19" s="100">
        <v>1830.9873733502377</v>
      </c>
      <c r="BJ19" s="100">
        <v>2.2251543951005419</v>
      </c>
      <c r="BK19" s="100">
        <v>734.30095038317882</v>
      </c>
      <c r="BL19" s="100">
        <v>9.6131668101966099</v>
      </c>
      <c r="BM19" s="100">
        <v>3172.3450473648813</v>
      </c>
      <c r="BN19" s="100">
        <v>5.8298921549656262</v>
      </c>
      <c r="BO19" s="100">
        <v>1923.8644111386566</v>
      </c>
      <c r="BP19" s="100">
        <v>1.6069223649599189</v>
      </c>
      <c r="BQ19" s="100">
        <v>530.28438043677329</v>
      </c>
      <c r="BR19" s="100">
        <v>7.0123183609438016</v>
      </c>
      <c r="BS19" s="100">
        <v>2314.0650591114545</v>
      </c>
      <c r="BT19" s="100">
        <v>5.7501297843704355</v>
      </c>
      <c r="BU19" s="100">
        <v>1897.5428288422438</v>
      </c>
      <c r="BV19" s="100">
        <v>5.2800465558538887</v>
      </c>
      <c r="BW19" s="100">
        <v>1742.4153634317834</v>
      </c>
      <c r="BX19" s="100">
        <v>4.2449969777436571</v>
      </c>
      <c r="BY19" s="100">
        <v>1400.8490026554068</v>
      </c>
      <c r="BZ19" s="100">
        <v>4.3897603712867834</v>
      </c>
      <c r="CA19" s="100">
        <v>1448.6209225246384</v>
      </c>
      <c r="CB19" s="100">
        <v>7</v>
      </c>
      <c r="CC19" s="100">
        <v>2310</v>
      </c>
      <c r="CD19" s="100">
        <v>7</v>
      </c>
      <c r="CE19" s="100">
        <v>2310</v>
      </c>
      <c r="CF19" s="100">
        <v>7</v>
      </c>
      <c r="CG19" s="100">
        <v>2310</v>
      </c>
      <c r="CH19" s="100">
        <v>5</v>
      </c>
      <c r="CI19" s="100">
        <v>1650</v>
      </c>
      <c r="CJ19" s="100">
        <v>8</v>
      </c>
      <c r="CK19" s="100">
        <v>2640</v>
      </c>
      <c r="CL19" s="100">
        <v>5.5016130137915411</v>
      </c>
      <c r="CM19" s="100">
        <v>1815.5322945512085</v>
      </c>
      <c r="CN19" s="100">
        <v>6.7203051168233605</v>
      </c>
      <c r="CO19" s="100">
        <v>2217.7006885517089</v>
      </c>
      <c r="CP19" s="100">
        <v>4.6855793628846358</v>
      </c>
      <c r="CQ19" s="100">
        <v>1546.2411897519298</v>
      </c>
      <c r="CR19" s="100">
        <v>1.5864953857443267</v>
      </c>
      <c r="CS19" s="100">
        <v>523.54347729562778</v>
      </c>
      <c r="CT19" s="100">
        <v>6.46722583876734</v>
      </c>
      <c r="CU19" s="100">
        <v>2134.1845267932222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11.333553546318852</v>
      </c>
      <c r="G20" s="100">
        <v>3250.4631570842466</v>
      </c>
      <c r="H20" s="100">
        <v>8</v>
      </c>
      <c r="I20" s="100">
        <v>2294.4</v>
      </c>
      <c r="J20" s="100">
        <v>10</v>
      </c>
      <c r="K20" s="100">
        <v>2868</v>
      </c>
      <c r="L20" s="100">
        <v>13</v>
      </c>
      <c r="M20" s="100">
        <v>3728.4</v>
      </c>
      <c r="N20" s="100">
        <v>10</v>
      </c>
      <c r="O20" s="100">
        <v>2868</v>
      </c>
      <c r="P20" s="100">
        <v>10</v>
      </c>
      <c r="Q20" s="100">
        <v>2868</v>
      </c>
      <c r="R20" s="100">
        <v>9</v>
      </c>
      <c r="S20" s="100">
        <v>2581.2000000000003</v>
      </c>
      <c r="T20" s="100">
        <v>11</v>
      </c>
      <c r="U20" s="100">
        <v>3154.8</v>
      </c>
      <c r="V20" s="100">
        <v>7.9480221240596656</v>
      </c>
      <c r="W20" s="100">
        <v>2279.4927451803123</v>
      </c>
      <c r="X20" s="100">
        <v>11.289393112724456</v>
      </c>
      <c r="Y20" s="100">
        <v>3237.7979447293742</v>
      </c>
      <c r="Z20" s="100">
        <v>5.6895108620101436</v>
      </c>
      <c r="AA20" s="100">
        <v>1631.7517152245093</v>
      </c>
      <c r="AB20" s="100">
        <v>13</v>
      </c>
      <c r="AC20" s="100">
        <v>3728.4</v>
      </c>
      <c r="AD20" s="100">
        <v>6.0000107591447804</v>
      </c>
      <c r="AE20" s="100">
        <v>1720.8030857227232</v>
      </c>
      <c r="AF20" s="100">
        <v>5.9112120885556418</v>
      </c>
      <c r="AG20" s="100">
        <v>1695.3356269977583</v>
      </c>
      <c r="AH20" s="100">
        <v>15</v>
      </c>
      <c r="AI20" s="100">
        <v>4302</v>
      </c>
      <c r="AJ20" s="100">
        <v>9.1155264870057611</v>
      </c>
      <c r="AK20" s="100">
        <v>2614.3329964732525</v>
      </c>
      <c r="AL20" s="100">
        <v>4.2084441820379821</v>
      </c>
      <c r="AM20" s="100">
        <v>1206.9817914084933</v>
      </c>
      <c r="AN20" s="100">
        <v>10</v>
      </c>
      <c r="AO20" s="100">
        <v>2868</v>
      </c>
      <c r="AP20" s="100">
        <v>16</v>
      </c>
      <c r="AQ20" s="100">
        <v>4588.8</v>
      </c>
      <c r="AR20" s="100">
        <v>11</v>
      </c>
      <c r="AS20" s="100">
        <v>3154.8</v>
      </c>
      <c r="AT20" s="100">
        <v>9</v>
      </c>
      <c r="AU20" s="100">
        <v>2581.2000000000003</v>
      </c>
      <c r="AV20" s="100">
        <v>9</v>
      </c>
      <c r="AW20" s="100">
        <v>2581.2000000000003</v>
      </c>
      <c r="AX20" s="100">
        <v>10.586359096714117</v>
      </c>
      <c r="AY20" s="100">
        <v>3036.1677889376092</v>
      </c>
      <c r="AZ20" s="100">
        <v>11</v>
      </c>
      <c r="BA20" s="100">
        <v>3154.8</v>
      </c>
      <c r="BB20" s="100">
        <v>12</v>
      </c>
      <c r="BC20" s="100">
        <v>3441.6000000000004</v>
      </c>
      <c r="BD20" s="100">
        <v>10.418333578074234</v>
      </c>
      <c r="BE20" s="100">
        <v>2987.9780701916907</v>
      </c>
      <c r="BF20" s="100">
        <v>8.88670963001152</v>
      </c>
      <c r="BG20" s="100">
        <v>2548.708321887304</v>
      </c>
      <c r="BH20" s="100">
        <v>10.525182044699767</v>
      </c>
      <c r="BI20" s="100">
        <v>3018.6222104198932</v>
      </c>
      <c r="BJ20" s="100">
        <v>5.562885987751355</v>
      </c>
      <c r="BK20" s="100">
        <v>1595.4357012870887</v>
      </c>
      <c r="BL20" s="100">
        <v>13.458433534275253</v>
      </c>
      <c r="BM20" s="100">
        <v>3859.8787376301425</v>
      </c>
      <c r="BN20" s="100">
        <v>10.249572819440683</v>
      </c>
      <c r="BO20" s="100">
        <v>2939.5774846155882</v>
      </c>
      <c r="BP20" s="100">
        <v>2.2095182518198886</v>
      </c>
      <c r="BQ20" s="100">
        <v>633.6898346219441</v>
      </c>
      <c r="BR20" s="100">
        <v>8.0230969267696288</v>
      </c>
      <c r="BS20" s="100">
        <v>2301.0241985975294</v>
      </c>
      <c r="BT20" s="100">
        <v>8.3057430218684072</v>
      </c>
      <c r="BU20" s="100">
        <v>2382.0870986718592</v>
      </c>
      <c r="BV20" s="100">
        <v>16.101584527807116</v>
      </c>
      <c r="BW20" s="100">
        <v>4617.9344425750814</v>
      </c>
      <c r="BX20" s="100">
        <v>5.655458665488668</v>
      </c>
      <c r="BY20" s="100">
        <v>1621.98554526215</v>
      </c>
      <c r="BZ20" s="100">
        <v>3.9507843341581053</v>
      </c>
      <c r="CA20" s="100">
        <v>1133.0849470365447</v>
      </c>
      <c r="CB20" s="100">
        <v>9</v>
      </c>
      <c r="CC20" s="100">
        <v>2581.2000000000003</v>
      </c>
      <c r="CD20" s="100">
        <v>8</v>
      </c>
      <c r="CE20" s="100">
        <v>2294.4</v>
      </c>
      <c r="CF20" s="100">
        <v>16</v>
      </c>
      <c r="CG20" s="100">
        <v>4588.8</v>
      </c>
      <c r="CH20" s="100">
        <v>11</v>
      </c>
      <c r="CI20" s="100">
        <v>3154.8</v>
      </c>
      <c r="CJ20" s="100">
        <v>17</v>
      </c>
      <c r="CK20" s="100">
        <v>4875.6000000000004</v>
      </c>
      <c r="CL20" s="100">
        <v>10.217281311327147</v>
      </c>
      <c r="CM20" s="100">
        <v>2930.3162800886257</v>
      </c>
      <c r="CN20" s="100">
        <v>8.7363966518703684</v>
      </c>
      <c r="CO20" s="100">
        <v>2505.5985597564218</v>
      </c>
      <c r="CP20" s="100">
        <v>10.152088619583377</v>
      </c>
      <c r="CQ20" s="100">
        <v>2911.619016096513</v>
      </c>
      <c r="CR20" s="100">
        <v>2.3797430786164901</v>
      </c>
      <c r="CS20" s="100">
        <v>682.51031494720939</v>
      </c>
      <c r="CT20" s="100">
        <v>10.347561342027745</v>
      </c>
      <c r="CU20" s="100">
        <v>2967.6805928935573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11.333553546318852</v>
      </c>
      <c r="G21" s="100">
        <v>707.2137412902963</v>
      </c>
      <c r="H21" s="100">
        <v>7</v>
      </c>
      <c r="I21" s="100">
        <v>436.8</v>
      </c>
      <c r="J21" s="100">
        <v>9</v>
      </c>
      <c r="K21" s="100">
        <v>561.6</v>
      </c>
      <c r="L21" s="100">
        <v>13</v>
      </c>
      <c r="M21" s="100">
        <v>811.19999999999993</v>
      </c>
      <c r="N21" s="100">
        <v>10</v>
      </c>
      <c r="O21" s="100">
        <v>624</v>
      </c>
      <c r="P21" s="100">
        <v>9</v>
      </c>
      <c r="Q21" s="100">
        <v>561.6</v>
      </c>
      <c r="R21" s="100">
        <v>9</v>
      </c>
      <c r="S21" s="100">
        <v>561.6</v>
      </c>
      <c r="T21" s="100">
        <v>12</v>
      </c>
      <c r="U21" s="100">
        <v>748.8</v>
      </c>
      <c r="V21" s="100">
        <v>8.5157379900639256</v>
      </c>
      <c r="W21" s="100">
        <v>531.38205057998891</v>
      </c>
      <c r="X21" s="100">
        <v>11.289393112724456</v>
      </c>
      <c r="Y21" s="100">
        <v>704.45813023400603</v>
      </c>
      <c r="Z21" s="100">
        <v>6.1271655437032315</v>
      </c>
      <c r="AA21" s="100">
        <v>382.33512992708165</v>
      </c>
      <c r="AB21" s="100">
        <v>11.485404039036149</v>
      </c>
      <c r="AC21" s="100">
        <v>716.68921203585569</v>
      </c>
      <c r="AD21" s="100">
        <v>6.0232633303434415</v>
      </c>
      <c r="AE21" s="100">
        <v>375.85163181343074</v>
      </c>
      <c r="AF21" s="100">
        <v>6.4485950056970633</v>
      </c>
      <c r="AG21" s="100">
        <v>402.39232835549672</v>
      </c>
      <c r="AH21" s="100">
        <v>16</v>
      </c>
      <c r="AI21" s="100">
        <v>998.4</v>
      </c>
      <c r="AJ21" s="100">
        <v>9.248071417909971</v>
      </c>
      <c r="AK21" s="100">
        <v>577.07965647758215</v>
      </c>
      <c r="AL21" s="100">
        <v>4.6292886002417806</v>
      </c>
      <c r="AM21" s="100">
        <v>288.86760865508711</v>
      </c>
      <c r="AN21" s="100">
        <v>11</v>
      </c>
      <c r="AO21" s="100">
        <v>686.4</v>
      </c>
      <c r="AP21" s="100">
        <v>14</v>
      </c>
      <c r="AQ21" s="100">
        <v>873.6</v>
      </c>
      <c r="AR21" s="100">
        <v>13</v>
      </c>
      <c r="AS21" s="100">
        <v>811.19999999999993</v>
      </c>
      <c r="AT21" s="100">
        <v>9</v>
      </c>
      <c r="AU21" s="100">
        <v>561.6</v>
      </c>
      <c r="AV21" s="100">
        <v>8</v>
      </c>
      <c r="AW21" s="100">
        <v>499.2</v>
      </c>
      <c r="AX21" s="100">
        <v>9.7041625053212748</v>
      </c>
      <c r="AY21" s="100">
        <v>605.53974033204759</v>
      </c>
      <c r="AZ21" s="100">
        <v>11</v>
      </c>
      <c r="BA21" s="100">
        <v>686.4</v>
      </c>
      <c r="BB21" s="100">
        <v>12</v>
      </c>
      <c r="BC21" s="100">
        <v>748.8</v>
      </c>
      <c r="BD21" s="100">
        <v>10.395708710094686</v>
      </c>
      <c r="BE21" s="100">
        <v>648.69222350990844</v>
      </c>
      <c r="BF21" s="100">
        <v>8.1798766128918974</v>
      </c>
      <c r="BG21" s="100">
        <v>510.42430064445438</v>
      </c>
      <c r="BH21" s="100">
        <v>9.1524050683539446</v>
      </c>
      <c r="BI21" s="100">
        <v>571.11007626528612</v>
      </c>
      <c r="BJ21" s="100">
        <v>6.3046041194515352</v>
      </c>
      <c r="BK21" s="100">
        <v>393.40729705377578</v>
      </c>
      <c r="BL21" s="100">
        <v>12.497116853255593</v>
      </c>
      <c r="BM21" s="100">
        <v>779.820091643149</v>
      </c>
      <c r="BN21" s="100">
        <v>9.5146176753001317</v>
      </c>
      <c r="BO21" s="100">
        <v>593.71214293872822</v>
      </c>
      <c r="BP21" s="100">
        <v>2.2095182518198886</v>
      </c>
      <c r="BQ21" s="100">
        <v>137.87393891356103</v>
      </c>
      <c r="BR21" s="100">
        <v>9.0200173365336784</v>
      </c>
      <c r="BS21" s="100">
        <v>562.84908179970148</v>
      </c>
      <c r="BT21" s="100">
        <v>8.9446463312429003</v>
      </c>
      <c r="BU21" s="100">
        <v>558.14593106955692</v>
      </c>
      <c r="BV21" s="100">
        <v>14.239022186570024</v>
      </c>
      <c r="BW21" s="100">
        <v>888.51498444196943</v>
      </c>
      <c r="BX21" s="100">
        <v>5.0737312018597125</v>
      </c>
      <c r="BY21" s="100">
        <v>316.60082699604607</v>
      </c>
      <c r="BZ21" s="100">
        <v>3.9507843341581053</v>
      </c>
      <c r="CA21" s="100">
        <v>246.52894245146575</v>
      </c>
      <c r="CB21" s="100">
        <v>10</v>
      </c>
      <c r="CC21" s="100">
        <v>624</v>
      </c>
      <c r="CD21" s="100">
        <v>9</v>
      </c>
      <c r="CE21" s="100">
        <v>561.6</v>
      </c>
      <c r="CF21" s="100">
        <v>17</v>
      </c>
      <c r="CG21" s="100">
        <v>1060.8</v>
      </c>
      <c r="CH21" s="100">
        <v>11</v>
      </c>
      <c r="CI21" s="100">
        <v>686.4</v>
      </c>
      <c r="CJ21" s="100">
        <v>17</v>
      </c>
      <c r="CK21" s="100">
        <v>1060.8</v>
      </c>
      <c r="CL21" s="100">
        <v>11.789170743839017</v>
      </c>
      <c r="CM21" s="100">
        <v>735.64425441555466</v>
      </c>
      <c r="CN21" s="100">
        <v>8.7363966518703684</v>
      </c>
      <c r="CO21" s="100">
        <v>545.15115107671102</v>
      </c>
      <c r="CP21" s="100">
        <v>9.3711587257692717</v>
      </c>
      <c r="CQ21" s="100">
        <v>584.76030448800259</v>
      </c>
      <c r="CR21" s="100">
        <v>2.1814311553984496</v>
      </c>
      <c r="CS21" s="100">
        <v>136.12130409686324</v>
      </c>
      <c r="CT21" s="100">
        <v>9.7008387581510096</v>
      </c>
      <c r="CU21" s="100">
        <v>605.33233850862302</v>
      </c>
    </row>
    <row r="22" spans="2:99">
      <c r="C22" s="99" t="s">
        <v>188</v>
      </c>
      <c r="D22" s="100">
        <v>12</v>
      </c>
      <c r="E22" s="100">
        <v>2246.3999999999996</v>
      </c>
      <c r="F22" s="100">
        <v>10.461741735063555</v>
      </c>
      <c r="G22" s="100">
        <v>1958.4380528038973</v>
      </c>
      <c r="H22" s="100">
        <v>8</v>
      </c>
      <c r="I22" s="100">
        <v>1497.6</v>
      </c>
      <c r="J22" s="100">
        <v>9</v>
      </c>
      <c r="K22" s="100">
        <v>1684.8</v>
      </c>
      <c r="L22" s="100">
        <v>12</v>
      </c>
      <c r="M22" s="100">
        <v>2246.3999999999996</v>
      </c>
      <c r="N22" s="100">
        <v>9</v>
      </c>
      <c r="O22" s="100">
        <v>1684.8</v>
      </c>
      <c r="P22" s="100">
        <v>10</v>
      </c>
      <c r="Q22" s="100">
        <v>1872</v>
      </c>
      <c r="R22" s="100">
        <v>9</v>
      </c>
      <c r="S22" s="100">
        <v>1684.8</v>
      </c>
      <c r="T22" s="100">
        <v>11</v>
      </c>
      <c r="U22" s="100">
        <v>2059.1999999999998</v>
      </c>
      <c r="V22" s="100">
        <v>8.5157379900639256</v>
      </c>
      <c r="W22" s="100">
        <v>1594.1461517399669</v>
      </c>
      <c r="X22" s="100">
        <v>11.337625298178532</v>
      </c>
      <c r="Y22" s="100">
        <v>2122.403455819021</v>
      </c>
      <c r="Z22" s="100">
        <v>5.6895108620101436</v>
      </c>
      <c r="AA22" s="100">
        <v>1065.0764333682989</v>
      </c>
      <c r="AB22" s="100">
        <v>11.512370930093713</v>
      </c>
      <c r="AC22" s="100">
        <v>2155.1158381135428</v>
      </c>
      <c r="AD22" s="100">
        <v>6.0000107591447804</v>
      </c>
      <c r="AE22" s="100">
        <v>1123.2020141119028</v>
      </c>
      <c r="AF22" s="100">
        <v>6.9859779228384857</v>
      </c>
      <c r="AG22" s="100">
        <v>1307.7750671553645</v>
      </c>
      <c r="AH22" s="100">
        <v>16</v>
      </c>
      <c r="AI22" s="100">
        <v>2995.2</v>
      </c>
      <c r="AJ22" s="100">
        <v>8.4073376526454275</v>
      </c>
      <c r="AK22" s="100">
        <v>1573.8536085752239</v>
      </c>
      <c r="AL22" s="100">
        <v>4.2084441820379821</v>
      </c>
      <c r="AM22" s="100">
        <v>787.82075087751025</v>
      </c>
      <c r="AN22" s="100">
        <v>12</v>
      </c>
      <c r="AO22" s="100">
        <v>2246.3999999999996</v>
      </c>
      <c r="AP22" s="100">
        <v>15</v>
      </c>
      <c r="AQ22" s="100">
        <v>2808</v>
      </c>
      <c r="AR22" s="100">
        <v>13</v>
      </c>
      <c r="AS22" s="100">
        <v>2433.6</v>
      </c>
      <c r="AT22" s="100">
        <v>10</v>
      </c>
      <c r="AU22" s="100">
        <v>1872</v>
      </c>
      <c r="AV22" s="100">
        <v>8</v>
      </c>
      <c r="AW22" s="100">
        <v>1497.6</v>
      </c>
      <c r="AX22" s="100">
        <v>9.7041625053212748</v>
      </c>
      <c r="AY22" s="100">
        <v>1816.6192209961425</v>
      </c>
      <c r="AZ22" s="100">
        <v>12</v>
      </c>
      <c r="BA22" s="100">
        <v>2246.3999999999996</v>
      </c>
      <c r="BB22" s="100">
        <v>11</v>
      </c>
      <c r="BC22" s="100">
        <v>2059.1999999999998</v>
      </c>
      <c r="BD22" s="100">
        <v>10.37308384211514</v>
      </c>
      <c r="BE22" s="100">
        <v>1941.8412952439539</v>
      </c>
      <c r="BF22" s="100">
        <v>8.8664739587827164</v>
      </c>
      <c r="BG22" s="100">
        <v>1659.8039250841243</v>
      </c>
      <c r="BH22" s="100">
        <v>9.8387935565268574</v>
      </c>
      <c r="BI22" s="100">
        <v>1841.8221537818276</v>
      </c>
      <c r="BJ22" s="100">
        <v>5.9337450536014451</v>
      </c>
      <c r="BK22" s="100">
        <v>1110.7970740341905</v>
      </c>
      <c r="BL22" s="100">
        <v>11.535800172235932</v>
      </c>
      <c r="BM22" s="100">
        <v>2159.5017922425664</v>
      </c>
      <c r="BN22" s="100">
        <v>10.244597919624805</v>
      </c>
      <c r="BO22" s="100">
        <v>1917.7887305537633</v>
      </c>
      <c r="BP22" s="100">
        <v>2.6112488430598684</v>
      </c>
      <c r="BQ22" s="100">
        <v>488.82578342080734</v>
      </c>
      <c r="BR22" s="100">
        <v>9.0215571316516527</v>
      </c>
      <c r="BS22" s="100">
        <v>1688.8354950451892</v>
      </c>
      <c r="BT22" s="100">
        <v>8.3057430218684072</v>
      </c>
      <c r="BU22" s="100">
        <v>1554.8350936937657</v>
      </c>
      <c r="BV22" s="100">
        <v>16.147780135419055</v>
      </c>
      <c r="BW22" s="100">
        <v>3022.8644413504467</v>
      </c>
      <c r="BX22" s="100">
        <v>5.0737312018597125</v>
      </c>
      <c r="BY22" s="100">
        <v>949.80248098813809</v>
      </c>
      <c r="BZ22" s="100">
        <v>3.5118082970294271</v>
      </c>
      <c r="CA22" s="100">
        <v>657.41051320390875</v>
      </c>
      <c r="CB22" s="100">
        <v>10</v>
      </c>
      <c r="CC22" s="100">
        <v>1872</v>
      </c>
      <c r="CD22" s="100">
        <v>9</v>
      </c>
      <c r="CE22" s="100">
        <v>1684.8</v>
      </c>
      <c r="CF22" s="100">
        <v>16</v>
      </c>
      <c r="CG22" s="100">
        <v>2995.2</v>
      </c>
      <c r="CH22" s="100">
        <v>13</v>
      </c>
      <c r="CI22" s="100">
        <v>2433.6</v>
      </c>
      <c r="CJ22" s="100">
        <v>17</v>
      </c>
      <c r="CK22" s="100">
        <v>3182.3999999999996</v>
      </c>
      <c r="CL22" s="100">
        <v>11.003226027583082</v>
      </c>
      <c r="CM22" s="100">
        <v>2059.8039123635531</v>
      </c>
      <c r="CN22" s="100">
        <v>10.08045767523504</v>
      </c>
      <c r="CO22" s="100">
        <v>1887.0616768039995</v>
      </c>
      <c r="CP22" s="100">
        <v>10.152088619583377</v>
      </c>
      <c r="CQ22" s="100">
        <v>1900.470989586008</v>
      </c>
      <c r="CR22" s="100">
        <v>2.1814311553984496</v>
      </c>
      <c r="CS22" s="100">
        <v>408.36391229058972</v>
      </c>
      <c r="CT22" s="100">
        <v>9.0541161742742773</v>
      </c>
      <c r="CU22" s="100">
        <v>1694.9305478241447</v>
      </c>
    </row>
    <row r="23" spans="2:99">
      <c r="C23" s="99" t="s">
        <v>189</v>
      </c>
      <c r="D23" s="100">
        <v>13</v>
      </c>
      <c r="E23" s="100">
        <v>3822</v>
      </c>
      <c r="F23" s="100">
        <v>10.461741735063555</v>
      </c>
      <c r="G23" s="100">
        <v>3075.7520701086851</v>
      </c>
      <c r="H23" s="100">
        <v>7</v>
      </c>
      <c r="I23" s="100">
        <v>2058</v>
      </c>
      <c r="J23" s="100">
        <v>9</v>
      </c>
      <c r="K23" s="100">
        <v>2646</v>
      </c>
      <c r="L23" s="100">
        <v>12</v>
      </c>
      <c r="M23" s="100">
        <v>3528</v>
      </c>
      <c r="N23" s="100">
        <v>10</v>
      </c>
      <c r="O23" s="100">
        <v>2940</v>
      </c>
      <c r="P23" s="100">
        <v>9</v>
      </c>
      <c r="Q23" s="100">
        <v>2646</v>
      </c>
      <c r="R23" s="100">
        <v>10</v>
      </c>
      <c r="S23" s="100">
        <v>2940</v>
      </c>
      <c r="T23" s="100">
        <v>10</v>
      </c>
      <c r="U23" s="100">
        <v>2940</v>
      </c>
      <c r="V23" s="100">
        <v>6.8125903920511419</v>
      </c>
      <c r="W23" s="100">
        <v>2002.9015752630357</v>
      </c>
      <c r="X23" s="100">
        <v>12.313509205451494</v>
      </c>
      <c r="Y23" s="100">
        <v>3620.1717064027393</v>
      </c>
      <c r="Z23" s="100">
        <v>6.1271655437032315</v>
      </c>
      <c r="AA23" s="100">
        <v>1801.38666984875</v>
      </c>
      <c r="AB23" s="100">
        <v>12.485404039036149</v>
      </c>
      <c r="AC23" s="100">
        <v>3670.708787476628</v>
      </c>
      <c r="AD23" s="100">
        <v>6.5116379413395089</v>
      </c>
      <c r="AE23" s="100">
        <v>1914.4215547538156</v>
      </c>
      <c r="AF23" s="100">
        <v>6.4485950056970633</v>
      </c>
      <c r="AG23" s="100">
        <v>1895.8869316749367</v>
      </c>
      <c r="AH23" s="100">
        <v>14</v>
      </c>
      <c r="AI23" s="100">
        <v>4116</v>
      </c>
      <c r="AJ23" s="100">
        <v>9.181798952457866</v>
      </c>
      <c r="AK23" s="100">
        <v>2699.4488920226127</v>
      </c>
      <c r="AL23" s="100">
        <v>4.6292886002417806</v>
      </c>
      <c r="AM23" s="100">
        <v>1361.0108484710836</v>
      </c>
      <c r="AN23" s="100">
        <v>10</v>
      </c>
      <c r="AO23" s="100">
        <v>2940</v>
      </c>
      <c r="AP23" s="100">
        <v>16</v>
      </c>
      <c r="AQ23" s="100">
        <v>4704</v>
      </c>
      <c r="AR23" s="100">
        <v>12</v>
      </c>
      <c r="AS23" s="100">
        <v>3528</v>
      </c>
      <c r="AT23" s="100">
        <v>10</v>
      </c>
      <c r="AU23" s="100">
        <v>2940</v>
      </c>
      <c r="AV23" s="100">
        <v>7</v>
      </c>
      <c r="AW23" s="100">
        <v>2058</v>
      </c>
      <c r="AX23" s="100">
        <v>10.586359096714117</v>
      </c>
      <c r="AY23" s="100">
        <v>3112.3895744339507</v>
      </c>
      <c r="AZ23" s="100">
        <v>11</v>
      </c>
      <c r="BA23" s="100">
        <v>3234</v>
      </c>
      <c r="BB23" s="100">
        <v>11</v>
      </c>
      <c r="BC23" s="100">
        <v>3234</v>
      </c>
      <c r="BD23" s="100">
        <v>11.229965872964886</v>
      </c>
      <c r="BE23" s="100">
        <v>3301.6099666516766</v>
      </c>
      <c r="BF23" s="100">
        <v>8.88670963001152</v>
      </c>
      <c r="BG23" s="100">
        <v>2612.6926312233868</v>
      </c>
      <c r="BH23" s="100">
        <v>9.0950663878274192</v>
      </c>
      <c r="BI23" s="100">
        <v>2673.9495180212612</v>
      </c>
      <c r="BJ23" s="100">
        <v>6.3046041194515352</v>
      </c>
      <c r="BK23" s="100">
        <v>1853.5536111187514</v>
      </c>
      <c r="BL23" s="100">
        <v>11.535800172235932</v>
      </c>
      <c r="BM23" s="100">
        <v>3391.525250637364</v>
      </c>
      <c r="BN23" s="100">
        <v>8.794587230607215</v>
      </c>
      <c r="BO23" s="100">
        <v>2585.6086457985211</v>
      </c>
      <c r="BP23" s="100">
        <v>2.6112488430598684</v>
      </c>
      <c r="BQ23" s="100">
        <v>767.70715985960135</v>
      </c>
      <c r="BR23" s="100">
        <v>9.0230969267696288</v>
      </c>
      <c r="BS23" s="100">
        <v>2652.7904964702707</v>
      </c>
      <c r="BT23" s="100">
        <v>8.9446463312429003</v>
      </c>
      <c r="BU23" s="100">
        <v>2629.7260213854129</v>
      </c>
      <c r="BV23" s="100">
        <v>15.147205553382602</v>
      </c>
      <c r="BW23" s="100">
        <v>4453.2784326944848</v>
      </c>
      <c r="BX23" s="100">
        <v>5.7048600175860882</v>
      </c>
      <c r="BY23" s="100">
        <v>1677.22884517031</v>
      </c>
      <c r="BZ23" s="100">
        <v>3.9507843341581053</v>
      </c>
      <c r="CA23" s="100">
        <v>1161.5305942424829</v>
      </c>
      <c r="CB23" s="100">
        <v>9</v>
      </c>
      <c r="CC23" s="100">
        <v>2646</v>
      </c>
      <c r="CD23" s="100">
        <v>9</v>
      </c>
      <c r="CE23" s="100">
        <v>2646</v>
      </c>
      <c r="CF23" s="100">
        <v>15</v>
      </c>
      <c r="CG23" s="100">
        <v>4410</v>
      </c>
      <c r="CH23" s="100">
        <v>11</v>
      </c>
      <c r="CI23" s="100">
        <v>3234</v>
      </c>
      <c r="CJ23" s="100">
        <v>16</v>
      </c>
      <c r="CK23" s="100">
        <v>4704</v>
      </c>
      <c r="CL23" s="100">
        <v>10.217281311327147</v>
      </c>
      <c r="CM23" s="100">
        <v>3003.8807055301813</v>
      </c>
      <c r="CN23" s="100">
        <v>9.4084271635527035</v>
      </c>
      <c r="CO23" s="100">
        <v>2766.0775860844947</v>
      </c>
      <c r="CP23" s="100">
        <v>9.3711587257692717</v>
      </c>
      <c r="CQ23" s="100">
        <v>2755.120665376166</v>
      </c>
      <c r="CR23" s="100">
        <v>2.3797430786164901</v>
      </c>
      <c r="CS23" s="100">
        <v>699.64446511324809</v>
      </c>
      <c r="CT23" s="100">
        <v>9.7008387581510096</v>
      </c>
      <c r="CU23" s="100">
        <v>2852.046594896397</v>
      </c>
    </row>
    <row r="24" spans="2:99">
      <c r="C24" s="99" t="s">
        <v>190</v>
      </c>
      <c r="D24" s="100">
        <v>14</v>
      </c>
      <c r="E24" s="100">
        <v>5140.8</v>
      </c>
      <c r="F24" s="100">
        <v>11.333553546318852</v>
      </c>
      <c r="G24" s="100">
        <v>4161.6808622082826</v>
      </c>
      <c r="H24" s="100">
        <v>8</v>
      </c>
      <c r="I24" s="100">
        <v>2937.6</v>
      </c>
      <c r="J24" s="100">
        <v>10</v>
      </c>
      <c r="K24" s="100">
        <v>3672</v>
      </c>
      <c r="L24" s="100">
        <v>12</v>
      </c>
      <c r="M24" s="100">
        <v>4406.3999999999996</v>
      </c>
      <c r="N24" s="100">
        <v>10</v>
      </c>
      <c r="O24" s="100">
        <v>3672</v>
      </c>
      <c r="P24" s="100">
        <v>10</v>
      </c>
      <c r="Q24" s="100">
        <v>3672</v>
      </c>
      <c r="R24" s="100">
        <v>9</v>
      </c>
      <c r="S24" s="100">
        <v>3304.7999999999997</v>
      </c>
      <c r="T24" s="100">
        <v>11</v>
      </c>
      <c r="U24" s="100">
        <v>4039.2</v>
      </c>
      <c r="V24" s="100">
        <v>7.3803062580554029</v>
      </c>
      <c r="W24" s="100">
        <v>2710.0484579579438</v>
      </c>
      <c r="X24" s="100">
        <v>12.289393112724456</v>
      </c>
      <c r="Y24" s="100">
        <v>4512.6651509924204</v>
      </c>
      <c r="Z24" s="100">
        <v>5.2518561803170556</v>
      </c>
      <c r="AA24" s="100">
        <v>1928.4815894124229</v>
      </c>
      <c r="AB24" s="100">
        <v>12.512370930093713</v>
      </c>
      <c r="AC24" s="100">
        <v>4594.5426055304115</v>
      </c>
      <c r="AD24" s="100">
        <v>6.0000107591447804</v>
      </c>
      <c r="AE24" s="100">
        <v>2203.2039507579634</v>
      </c>
      <c r="AF24" s="100">
        <v>6.9859779228384857</v>
      </c>
      <c r="AG24" s="100">
        <v>2565.2510932662917</v>
      </c>
      <c r="AH24" s="100">
        <v>14</v>
      </c>
      <c r="AI24" s="100">
        <v>5140.8</v>
      </c>
      <c r="AJ24" s="100">
        <v>9.248071417909971</v>
      </c>
      <c r="AK24" s="100">
        <v>3395.8918246565413</v>
      </c>
      <c r="AL24" s="100">
        <v>4.6292886002417806</v>
      </c>
      <c r="AM24" s="100">
        <v>1699.8747740087817</v>
      </c>
      <c r="AN24" s="100">
        <v>11</v>
      </c>
      <c r="AO24" s="100">
        <v>4039.2</v>
      </c>
      <c r="AP24" s="100">
        <v>14</v>
      </c>
      <c r="AQ24" s="100">
        <v>5140.8</v>
      </c>
      <c r="AR24" s="100">
        <v>12</v>
      </c>
      <c r="AS24" s="100">
        <v>4406.3999999999996</v>
      </c>
      <c r="AT24" s="100">
        <v>9</v>
      </c>
      <c r="AU24" s="100">
        <v>3304.7999999999997</v>
      </c>
      <c r="AV24" s="100">
        <v>8</v>
      </c>
      <c r="AW24" s="100">
        <v>2937.6</v>
      </c>
      <c r="AX24" s="100">
        <v>10.586359096714117</v>
      </c>
      <c r="AY24" s="100">
        <v>3887.3110603134237</v>
      </c>
      <c r="AZ24" s="100">
        <v>10</v>
      </c>
      <c r="BA24" s="100">
        <v>3672</v>
      </c>
      <c r="BB24" s="100">
        <v>12</v>
      </c>
      <c r="BC24" s="100">
        <v>4406.3999999999996</v>
      </c>
      <c r="BD24" s="100">
        <v>9.516201811265395</v>
      </c>
      <c r="BE24" s="100">
        <v>3494.3493050966531</v>
      </c>
      <c r="BF24" s="100">
        <v>8.88670963001152</v>
      </c>
      <c r="BG24" s="100">
        <v>3263.1997761402299</v>
      </c>
      <c r="BH24" s="100">
        <v>8.4660165801810354</v>
      </c>
      <c r="BI24" s="100">
        <v>3108.721288242476</v>
      </c>
      <c r="BJ24" s="100">
        <v>5.9337450536014451</v>
      </c>
      <c r="BK24" s="100">
        <v>2178.8711836824505</v>
      </c>
      <c r="BL24" s="100">
        <v>12.497116853255593</v>
      </c>
      <c r="BM24" s="100">
        <v>4588.9413085154538</v>
      </c>
      <c r="BN24" s="100">
        <v>8.7896123307913374</v>
      </c>
      <c r="BO24" s="100">
        <v>3227.5456478665792</v>
      </c>
      <c r="BP24" s="100">
        <v>2.4103835474398783</v>
      </c>
      <c r="BQ24" s="100">
        <v>885.09283861992321</v>
      </c>
      <c r="BR24" s="100">
        <v>8.0200173365336784</v>
      </c>
      <c r="BS24" s="100">
        <v>2944.9503659751667</v>
      </c>
      <c r="BT24" s="100">
        <v>7.666839712493914</v>
      </c>
      <c r="BU24" s="100">
        <v>2815.2635424277651</v>
      </c>
      <c r="BV24" s="100">
        <v>15.239596768606477</v>
      </c>
      <c r="BW24" s="100">
        <v>5595.9799334322979</v>
      </c>
      <c r="BX24" s="100">
        <v>5.655458665488668</v>
      </c>
      <c r="BY24" s="100">
        <v>2076.684421967439</v>
      </c>
      <c r="BZ24" s="100">
        <v>3.9507843341581053</v>
      </c>
      <c r="CA24" s="100">
        <v>1450.7280075028561</v>
      </c>
      <c r="CB24" s="100">
        <v>10</v>
      </c>
      <c r="CC24" s="100">
        <v>3672</v>
      </c>
      <c r="CD24" s="100">
        <v>10</v>
      </c>
      <c r="CE24" s="100">
        <v>3672</v>
      </c>
      <c r="CF24" s="100">
        <v>14</v>
      </c>
      <c r="CG24" s="100">
        <v>5140.8</v>
      </c>
      <c r="CH24" s="100">
        <v>12</v>
      </c>
      <c r="CI24" s="100">
        <v>4406.3999999999996</v>
      </c>
      <c r="CJ24" s="100">
        <v>16</v>
      </c>
      <c r="CK24" s="100">
        <v>5875.2</v>
      </c>
      <c r="CL24" s="100">
        <v>10.217281311327147</v>
      </c>
      <c r="CM24" s="100">
        <v>3751.7856975193281</v>
      </c>
      <c r="CN24" s="100">
        <v>10.08045767523504</v>
      </c>
      <c r="CO24" s="100">
        <v>3701.5440583463069</v>
      </c>
      <c r="CP24" s="100">
        <v>10.152088619583377</v>
      </c>
      <c r="CQ24" s="100">
        <v>3727.8469411110159</v>
      </c>
      <c r="CR24" s="100">
        <v>2.1814311553984496</v>
      </c>
      <c r="CS24" s="100">
        <v>801.02152026231067</v>
      </c>
      <c r="CT24" s="100">
        <v>10.347561342027745</v>
      </c>
      <c r="CU24" s="100">
        <v>3799.6245247925881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10.461741735063555</v>
      </c>
      <c r="G25" s="100">
        <v>5548.9078162777096</v>
      </c>
      <c r="H25" s="100">
        <v>8</v>
      </c>
      <c r="I25" s="100">
        <v>4243.2</v>
      </c>
      <c r="J25" s="100">
        <v>9</v>
      </c>
      <c r="K25" s="100">
        <v>4773.5999999999995</v>
      </c>
      <c r="L25" s="100">
        <v>12</v>
      </c>
      <c r="M25" s="100">
        <v>6364.7999999999993</v>
      </c>
      <c r="N25" s="100">
        <v>9</v>
      </c>
      <c r="O25" s="100">
        <v>4773.5999999999995</v>
      </c>
      <c r="P25" s="100">
        <v>9</v>
      </c>
      <c r="Q25" s="100">
        <v>4773.5999999999995</v>
      </c>
      <c r="R25" s="100">
        <v>9</v>
      </c>
      <c r="S25" s="100">
        <v>4773.5999999999995</v>
      </c>
      <c r="T25" s="100">
        <v>10</v>
      </c>
      <c r="U25" s="100">
        <v>5304</v>
      </c>
      <c r="V25" s="100">
        <v>7.3803062580554029</v>
      </c>
      <c r="W25" s="100">
        <v>3914.5144392725856</v>
      </c>
      <c r="X25" s="100">
        <v>11.289393112724456</v>
      </c>
      <c r="Y25" s="100">
        <v>5987.8941069890516</v>
      </c>
      <c r="Z25" s="100">
        <v>5.2518561803170556</v>
      </c>
      <c r="AA25" s="100">
        <v>2785.5845180401661</v>
      </c>
      <c r="AB25" s="100">
        <v>12</v>
      </c>
      <c r="AC25" s="100">
        <v>6364.7999999999993</v>
      </c>
      <c r="AD25" s="100">
        <v>6.0465159015421017</v>
      </c>
      <c r="AE25" s="100">
        <v>3207.0720341779306</v>
      </c>
      <c r="AF25" s="100">
        <v>5.9112120885556418</v>
      </c>
      <c r="AG25" s="100">
        <v>3135.3068917699125</v>
      </c>
      <c r="AH25" s="100">
        <v>15</v>
      </c>
      <c r="AI25" s="100">
        <v>7956</v>
      </c>
      <c r="AJ25" s="100">
        <v>9.2149351851839185</v>
      </c>
      <c r="AK25" s="100">
        <v>4887.6016222215503</v>
      </c>
      <c r="AL25" s="100">
        <v>4.2084441820379821</v>
      </c>
      <c r="AM25" s="100">
        <v>2232.1587941529456</v>
      </c>
      <c r="AN25" s="100">
        <v>11</v>
      </c>
      <c r="AO25" s="100">
        <v>5834.4</v>
      </c>
      <c r="AP25" s="100">
        <v>13</v>
      </c>
      <c r="AQ25" s="100">
        <v>6895.2</v>
      </c>
      <c r="AR25" s="100">
        <v>11</v>
      </c>
      <c r="AS25" s="100">
        <v>5834.4</v>
      </c>
      <c r="AT25" s="100">
        <v>9</v>
      </c>
      <c r="AU25" s="100">
        <v>4773.5999999999995</v>
      </c>
      <c r="AV25" s="100">
        <v>8</v>
      </c>
      <c r="AW25" s="100">
        <v>4243.2</v>
      </c>
      <c r="AX25" s="100">
        <v>9.7041625053212748</v>
      </c>
      <c r="AY25" s="100">
        <v>5147.0877928224036</v>
      </c>
      <c r="AZ25" s="100">
        <v>11</v>
      </c>
      <c r="BA25" s="100">
        <v>5834.4</v>
      </c>
      <c r="BB25" s="100">
        <v>12</v>
      </c>
      <c r="BC25" s="100">
        <v>6364.7999999999993</v>
      </c>
      <c r="BD25" s="100">
        <v>11.229965872964886</v>
      </c>
      <c r="BE25" s="100">
        <v>5956.3738990205757</v>
      </c>
      <c r="BF25" s="100">
        <v>8.8462382875539145</v>
      </c>
      <c r="BG25" s="100">
        <v>4692.0447877185961</v>
      </c>
      <c r="BH25" s="100">
        <v>9.0950663878274192</v>
      </c>
      <c r="BI25" s="100">
        <v>4824.0232121036634</v>
      </c>
      <c r="BJ25" s="100">
        <v>5.562885987751355</v>
      </c>
      <c r="BK25" s="100">
        <v>2950.5547279033185</v>
      </c>
      <c r="BL25" s="100">
        <v>12.497116853255593</v>
      </c>
      <c r="BM25" s="100">
        <v>6628.4707789667664</v>
      </c>
      <c r="BN25" s="100">
        <v>9.5146176753001317</v>
      </c>
      <c r="BO25" s="100">
        <v>5046.5532149791898</v>
      </c>
      <c r="BP25" s="100">
        <v>2.6112488430598684</v>
      </c>
      <c r="BQ25" s="100">
        <v>1385.0063863589542</v>
      </c>
      <c r="BR25" s="100">
        <v>8.0230969267696288</v>
      </c>
      <c r="BS25" s="100">
        <v>4255.4506099586106</v>
      </c>
      <c r="BT25" s="100">
        <v>9.5835496406173917</v>
      </c>
      <c r="BU25" s="100">
        <v>5083.1147293834647</v>
      </c>
      <c r="BV25" s="100">
        <v>14.285217794181962</v>
      </c>
      <c r="BW25" s="100">
        <v>7576.8795180341122</v>
      </c>
      <c r="BX25" s="100">
        <v>5.1231325539571335</v>
      </c>
      <c r="BY25" s="100">
        <v>2717.3095066188635</v>
      </c>
      <c r="BZ25" s="100">
        <v>3.5118082970294271</v>
      </c>
      <c r="CA25" s="100">
        <v>1862.6631207444082</v>
      </c>
      <c r="CB25" s="100">
        <v>9</v>
      </c>
      <c r="CC25" s="100">
        <v>4773.5999999999995</v>
      </c>
      <c r="CD25" s="100">
        <v>8</v>
      </c>
      <c r="CE25" s="100">
        <v>4243.2</v>
      </c>
      <c r="CF25" s="100">
        <v>14</v>
      </c>
      <c r="CG25" s="100">
        <v>7425.5999999999995</v>
      </c>
      <c r="CH25" s="100">
        <v>11</v>
      </c>
      <c r="CI25" s="100">
        <v>5834.4</v>
      </c>
      <c r="CJ25" s="100">
        <v>14</v>
      </c>
      <c r="CK25" s="100">
        <v>7425.5999999999995</v>
      </c>
      <c r="CL25" s="100">
        <v>10.217281311327147</v>
      </c>
      <c r="CM25" s="100">
        <v>5419.2460075279187</v>
      </c>
      <c r="CN25" s="100">
        <v>9.4084271635527035</v>
      </c>
      <c r="CO25" s="100">
        <v>4990.2297675483533</v>
      </c>
      <c r="CP25" s="100">
        <v>9.3711587257692717</v>
      </c>
      <c r="CQ25" s="100">
        <v>4970.4625881480215</v>
      </c>
      <c r="CR25" s="100">
        <v>2.1814311553984496</v>
      </c>
      <c r="CS25" s="100">
        <v>1157.0310848233376</v>
      </c>
      <c r="CT25" s="100">
        <v>9.7008387581510096</v>
      </c>
      <c r="CU25" s="100">
        <v>5145.3248773232954</v>
      </c>
    </row>
    <row r="26" spans="2:99">
      <c r="C26" s="99" t="s">
        <v>192</v>
      </c>
      <c r="D26" s="100">
        <v>12</v>
      </c>
      <c r="E26" s="100">
        <v>5832</v>
      </c>
      <c r="F26" s="100">
        <v>9.5899299238082598</v>
      </c>
      <c r="G26" s="100">
        <v>4660.7059429708142</v>
      </c>
      <c r="H26" s="100">
        <v>7</v>
      </c>
      <c r="I26" s="100">
        <v>3402</v>
      </c>
      <c r="J26" s="100">
        <v>8</v>
      </c>
      <c r="K26" s="100">
        <v>3888</v>
      </c>
      <c r="L26" s="100">
        <v>13</v>
      </c>
      <c r="M26" s="100">
        <v>6318</v>
      </c>
      <c r="N26" s="100">
        <v>9</v>
      </c>
      <c r="O26" s="100">
        <v>4374</v>
      </c>
      <c r="P26" s="100">
        <v>10</v>
      </c>
      <c r="Q26" s="100">
        <v>4860</v>
      </c>
      <c r="R26" s="100">
        <v>9</v>
      </c>
      <c r="S26" s="100">
        <v>4374</v>
      </c>
      <c r="T26" s="100">
        <v>12</v>
      </c>
      <c r="U26" s="100">
        <v>5832</v>
      </c>
      <c r="V26" s="100">
        <v>8.5157379900639256</v>
      </c>
      <c r="W26" s="100">
        <v>4138.6486631710677</v>
      </c>
      <c r="X26" s="100">
        <v>11.313509205451494</v>
      </c>
      <c r="Y26" s="100">
        <v>5498.3654738494261</v>
      </c>
      <c r="Z26" s="100">
        <v>5.2518561803170556</v>
      </c>
      <c r="AA26" s="100">
        <v>2552.4021036340891</v>
      </c>
      <c r="AB26" s="100">
        <v>12.485404039036149</v>
      </c>
      <c r="AC26" s="100">
        <v>6067.9063629715683</v>
      </c>
      <c r="AD26" s="100">
        <v>6.5116379413395089</v>
      </c>
      <c r="AE26" s="100">
        <v>3164.6560394910011</v>
      </c>
      <c r="AF26" s="100">
        <v>6.4485950056970633</v>
      </c>
      <c r="AG26" s="100">
        <v>3134.017172768773</v>
      </c>
      <c r="AH26" s="100">
        <v>14</v>
      </c>
      <c r="AI26" s="100">
        <v>6804</v>
      </c>
      <c r="AJ26" s="100">
        <v>8.3742014199193768</v>
      </c>
      <c r="AK26" s="100">
        <v>4069.8618900808169</v>
      </c>
      <c r="AL26" s="100">
        <v>4.6292886002417806</v>
      </c>
      <c r="AM26" s="100">
        <v>2249.8342597175056</v>
      </c>
      <c r="AN26" s="100">
        <v>11</v>
      </c>
      <c r="AO26" s="100">
        <v>5346</v>
      </c>
      <c r="AP26" s="100">
        <v>14</v>
      </c>
      <c r="AQ26" s="100">
        <v>6804</v>
      </c>
      <c r="AR26" s="100">
        <v>13</v>
      </c>
      <c r="AS26" s="100">
        <v>6318</v>
      </c>
      <c r="AT26" s="100">
        <v>10</v>
      </c>
      <c r="AU26" s="100">
        <v>4860</v>
      </c>
      <c r="AV26" s="100">
        <v>7</v>
      </c>
      <c r="AW26" s="100">
        <v>3402</v>
      </c>
      <c r="AX26" s="100">
        <v>9.7041625053212748</v>
      </c>
      <c r="AY26" s="100">
        <v>4716.2229775861397</v>
      </c>
      <c r="AZ26" s="100">
        <v>10</v>
      </c>
      <c r="BA26" s="100">
        <v>4860</v>
      </c>
      <c r="BB26" s="100">
        <v>11</v>
      </c>
      <c r="BC26" s="100">
        <v>5346</v>
      </c>
      <c r="BD26" s="100">
        <v>11.252590740944434</v>
      </c>
      <c r="BE26" s="100">
        <v>5468.7591000989951</v>
      </c>
      <c r="BF26" s="100">
        <v>7.4325722533146692</v>
      </c>
      <c r="BG26" s="100">
        <v>3612.2301151109291</v>
      </c>
      <c r="BH26" s="100">
        <v>10.439174023909976</v>
      </c>
      <c r="BI26" s="100">
        <v>5073.4385756202482</v>
      </c>
      <c r="BJ26" s="100">
        <v>5.9337450536014451</v>
      </c>
      <c r="BK26" s="100">
        <v>2883.8000960503023</v>
      </c>
      <c r="BL26" s="100">
        <v>13.458433534275253</v>
      </c>
      <c r="BM26" s="100">
        <v>6540.7986976577731</v>
      </c>
      <c r="BN26" s="100">
        <v>9.5146176753001317</v>
      </c>
      <c r="BO26" s="100">
        <v>4624.1041901958642</v>
      </c>
      <c r="BP26" s="100">
        <v>2.2095182518198886</v>
      </c>
      <c r="BQ26" s="100">
        <v>1073.8258703844658</v>
      </c>
      <c r="BR26" s="100">
        <v>9.0200173365336784</v>
      </c>
      <c r="BS26" s="100">
        <v>4383.7284255553677</v>
      </c>
      <c r="BT26" s="100">
        <v>7.666839712493914</v>
      </c>
      <c r="BU26" s="100">
        <v>3726.0841002720422</v>
      </c>
      <c r="BV26" s="100">
        <v>14.331413401793899</v>
      </c>
      <c r="BW26" s="100">
        <v>6965.0669132718349</v>
      </c>
      <c r="BX26" s="100">
        <v>5.0737312018597125</v>
      </c>
      <c r="BY26" s="100">
        <v>2465.8333641038203</v>
      </c>
      <c r="BZ26" s="100">
        <v>3.5118082970294271</v>
      </c>
      <c r="CA26" s="100">
        <v>1706.7388323563016</v>
      </c>
      <c r="CB26" s="100">
        <v>10</v>
      </c>
      <c r="CC26" s="100">
        <v>4860</v>
      </c>
      <c r="CD26" s="100">
        <v>10</v>
      </c>
      <c r="CE26" s="100">
        <v>4860</v>
      </c>
      <c r="CF26" s="100">
        <v>16</v>
      </c>
      <c r="CG26" s="100">
        <v>7776</v>
      </c>
      <c r="CH26" s="100">
        <v>11</v>
      </c>
      <c r="CI26" s="100">
        <v>5346</v>
      </c>
      <c r="CJ26" s="100">
        <v>15</v>
      </c>
      <c r="CK26" s="100">
        <v>7290</v>
      </c>
      <c r="CL26" s="100">
        <v>10.217281311327147</v>
      </c>
      <c r="CM26" s="100">
        <v>4965.5987173049934</v>
      </c>
      <c r="CN26" s="100">
        <v>10.752488186917375</v>
      </c>
      <c r="CO26" s="100">
        <v>5225.7092588418445</v>
      </c>
      <c r="CP26" s="100">
        <v>10.152088619583377</v>
      </c>
      <c r="CQ26" s="100">
        <v>4933.9150691175219</v>
      </c>
      <c r="CR26" s="100">
        <v>2.3797430786164901</v>
      </c>
      <c r="CS26" s="100">
        <v>1156.5551362076142</v>
      </c>
      <c r="CT26" s="100">
        <v>9.7008387581510096</v>
      </c>
      <c r="CU26" s="100">
        <v>4714.6076364613909</v>
      </c>
    </row>
    <row r="27" spans="2:99">
      <c r="C27" s="99" t="s">
        <v>193</v>
      </c>
      <c r="D27" s="100">
        <v>13</v>
      </c>
      <c r="E27" s="100">
        <v>5553.5999999999995</v>
      </c>
      <c r="F27" s="100">
        <v>11.333553546318852</v>
      </c>
      <c r="G27" s="100">
        <v>4841.6940749874129</v>
      </c>
      <c r="H27" s="100">
        <v>8</v>
      </c>
      <c r="I27" s="100">
        <v>3417.6</v>
      </c>
      <c r="J27" s="100">
        <v>9</v>
      </c>
      <c r="K27" s="100">
        <v>3844.7999999999997</v>
      </c>
      <c r="L27" s="100">
        <v>12</v>
      </c>
      <c r="M27" s="100">
        <v>5126.3999999999996</v>
      </c>
      <c r="N27" s="100">
        <v>10</v>
      </c>
      <c r="O27" s="100">
        <v>4272</v>
      </c>
      <c r="P27" s="100">
        <v>9</v>
      </c>
      <c r="Q27" s="100">
        <v>3844.7999999999997</v>
      </c>
      <c r="R27" s="100">
        <v>10</v>
      </c>
      <c r="S27" s="100">
        <v>4272</v>
      </c>
      <c r="T27" s="100">
        <v>10</v>
      </c>
      <c r="U27" s="100">
        <v>4272</v>
      </c>
      <c r="V27" s="100">
        <v>7.9480221240596656</v>
      </c>
      <c r="W27" s="100">
        <v>3395.3950513982891</v>
      </c>
      <c r="X27" s="100">
        <v>12.313509205451494</v>
      </c>
      <c r="Y27" s="100">
        <v>5260.3311325688783</v>
      </c>
      <c r="Z27" s="100">
        <v>6.1271655437032315</v>
      </c>
      <c r="AA27" s="100">
        <v>2617.5251202700206</v>
      </c>
      <c r="AB27" s="100">
        <v>12</v>
      </c>
      <c r="AC27" s="100">
        <v>5126.3999999999996</v>
      </c>
      <c r="AD27" s="100">
        <v>6.4883853701408478</v>
      </c>
      <c r="AE27" s="100">
        <v>2771.83823012417</v>
      </c>
      <c r="AF27" s="100">
        <v>6.4485950056970633</v>
      </c>
      <c r="AG27" s="100">
        <v>2754.8397864337853</v>
      </c>
      <c r="AH27" s="100">
        <v>13</v>
      </c>
      <c r="AI27" s="100">
        <v>5553.5999999999995</v>
      </c>
      <c r="AJ27" s="100">
        <v>9.1486627197318136</v>
      </c>
      <c r="AK27" s="100">
        <v>3908.3087138694304</v>
      </c>
      <c r="AL27" s="100">
        <v>3.7875997638341841</v>
      </c>
      <c r="AM27" s="100">
        <v>1618.0626191099634</v>
      </c>
      <c r="AN27" s="100">
        <v>10</v>
      </c>
      <c r="AO27" s="100">
        <v>4272</v>
      </c>
      <c r="AP27" s="100">
        <v>16</v>
      </c>
      <c r="AQ27" s="100">
        <v>6835.2</v>
      </c>
      <c r="AR27" s="100">
        <v>12</v>
      </c>
      <c r="AS27" s="100">
        <v>5126.3999999999996</v>
      </c>
      <c r="AT27" s="100">
        <v>9</v>
      </c>
      <c r="AU27" s="100">
        <v>3844.7999999999997</v>
      </c>
      <c r="AV27" s="100">
        <v>8</v>
      </c>
      <c r="AW27" s="100">
        <v>3417.6</v>
      </c>
      <c r="AX27" s="100">
        <v>9.7041625053212748</v>
      </c>
      <c r="AY27" s="100">
        <v>4145.6182222732486</v>
      </c>
      <c r="AZ27" s="100">
        <v>11</v>
      </c>
      <c r="BA27" s="100">
        <v>4699.2</v>
      </c>
      <c r="BB27" s="100">
        <v>11</v>
      </c>
      <c r="BC27" s="100">
        <v>4699.2</v>
      </c>
      <c r="BD27" s="100">
        <v>11.229965872964886</v>
      </c>
      <c r="BE27" s="100">
        <v>4797.4414209305996</v>
      </c>
      <c r="BF27" s="100">
        <v>8.8664739587827164</v>
      </c>
      <c r="BG27" s="100">
        <v>3787.7576751919764</v>
      </c>
      <c r="BH27" s="100">
        <v>9.810124216263592</v>
      </c>
      <c r="BI27" s="100">
        <v>4190.8850651878065</v>
      </c>
      <c r="BJ27" s="100">
        <v>5.562885987751355</v>
      </c>
      <c r="BK27" s="100">
        <v>2376.4648939673789</v>
      </c>
      <c r="BL27" s="100">
        <v>13.458433534275253</v>
      </c>
      <c r="BM27" s="100">
        <v>5749.4428058423882</v>
      </c>
      <c r="BN27" s="100">
        <v>10.249572819440683</v>
      </c>
      <c r="BO27" s="100">
        <v>4378.6175084650595</v>
      </c>
      <c r="BP27" s="100">
        <v>2.2095182518198886</v>
      </c>
      <c r="BQ27" s="100">
        <v>943.90619717745642</v>
      </c>
      <c r="BR27" s="100">
        <v>8.0200173365336784</v>
      </c>
      <c r="BS27" s="100">
        <v>3426.1514061671874</v>
      </c>
      <c r="BT27" s="100">
        <v>8.3057430218684072</v>
      </c>
      <c r="BU27" s="100">
        <v>3548.2134189421836</v>
      </c>
      <c r="BV27" s="100">
        <v>16.193975743030993</v>
      </c>
      <c r="BW27" s="100">
        <v>6918.06643742284</v>
      </c>
      <c r="BX27" s="100">
        <v>6.2124854530689131</v>
      </c>
      <c r="BY27" s="100">
        <v>2653.9737855510398</v>
      </c>
      <c r="BZ27" s="100">
        <v>3.5118082970294271</v>
      </c>
      <c r="CA27" s="100">
        <v>1500.2445044909712</v>
      </c>
      <c r="CB27" s="100">
        <v>10</v>
      </c>
      <c r="CC27" s="100">
        <v>4272</v>
      </c>
      <c r="CD27" s="100">
        <v>10</v>
      </c>
      <c r="CE27" s="100">
        <v>4272</v>
      </c>
      <c r="CF27" s="100">
        <v>15</v>
      </c>
      <c r="CG27" s="100">
        <v>6408</v>
      </c>
      <c r="CH27" s="100">
        <v>12</v>
      </c>
      <c r="CI27" s="100">
        <v>5126.3999999999996</v>
      </c>
      <c r="CJ27" s="100">
        <v>16</v>
      </c>
      <c r="CK27" s="100">
        <v>6835.2</v>
      </c>
      <c r="CL27" s="100">
        <v>11.003226027583082</v>
      </c>
      <c r="CM27" s="100">
        <v>4700.5781589834924</v>
      </c>
      <c r="CN27" s="100">
        <v>9.4084271635527035</v>
      </c>
      <c r="CO27" s="100">
        <v>4019.2800842697147</v>
      </c>
      <c r="CP27" s="100">
        <v>10.152088619583377</v>
      </c>
      <c r="CQ27" s="100">
        <v>4336.9722582860186</v>
      </c>
      <c r="CR27" s="100">
        <v>2.3797430786164901</v>
      </c>
      <c r="CS27" s="100">
        <v>1016.6262431849646</v>
      </c>
      <c r="CT27" s="100">
        <v>9.7008387581510096</v>
      </c>
      <c r="CU27" s="100">
        <v>4144.1983174821116</v>
      </c>
    </row>
    <row r="28" spans="2:99">
      <c r="C28" s="99" t="s">
        <v>194</v>
      </c>
      <c r="D28" s="100">
        <v>13</v>
      </c>
      <c r="E28" s="100">
        <v>9594</v>
      </c>
      <c r="F28" s="100">
        <v>10.461741735063555</v>
      </c>
      <c r="G28" s="100">
        <v>7720.7654004769038</v>
      </c>
      <c r="H28" s="100">
        <v>7</v>
      </c>
      <c r="I28" s="100">
        <v>5166</v>
      </c>
      <c r="J28" s="100">
        <v>9</v>
      </c>
      <c r="K28" s="100">
        <v>6642</v>
      </c>
      <c r="L28" s="100">
        <v>13</v>
      </c>
      <c r="M28" s="100">
        <v>9594</v>
      </c>
      <c r="N28" s="100">
        <v>10</v>
      </c>
      <c r="O28" s="100">
        <v>7380</v>
      </c>
      <c r="P28" s="100">
        <v>10</v>
      </c>
      <c r="Q28" s="100">
        <v>7380</v>
      </c>
      <c r="R28" s="100">
        <v>10</v>
      </c>
      <c r="S28" s="100">
        <v>7380</v>
      </c>
      <c r="T28" s="100">
        <v>12</v>
      </c>
      <c r="U28" s="100">
        <v>8856</v>
      </c>
      <c r="V28" s="100">
        <v>7.9480221240596656</v>
      </c>
      <c r="W28" s="100">
        <v>5865.6403275560333</v>
      </c>
      <c r="X28" s="100">
        <v>11.289393112724456</v>
      </c>
      <c r="Y28" s="100">
        <v>8331.572117190648</v>
      </c>
      <c r="Z28" s="100">
        <v>5.6895108620101436</v>
      </c>
      <c r="AA28" s="100">
        <v>4198.8590161634856</v>
      </c>
      <c r="AB28" s="100">
        <v>11</v>
      </c>
      <c r="AC28" s="100">
        <v>8118</v>
      </c>
      <c r="AD28" s="100">
        <v>5.5581412905460343</v>
      </c>
      <c r="AE28" s="100">
        <v>4101.9082724229729</v>
      </c>
      <c r="AF28" s="100">
        <v>6.4485950056970633</v>
      </c>
      <c r="AG28" s="100">
        <v>4759.0631142044331</v>
      </c>
      <c r="AH28" s="100">
        <v>14</v>
      </c>
      <c r="AI28" s="100">
        <v>10332</v>
      </c>
      <c r="AJ28" s="100">
        <v>8.3410651871933226</v>
      </c>
      <c r="AK28" s="100">
        <v>6155.7061081486718</v>
      </c>
      <c r="AL28" s="100">
        <v>4.6292886002417806</v>
      </c>
      <c r="AM28" s="100">
        <v>3416.4149869784342</v>
      </c>
      <c r="AN28" s="100">
        <v>11</v>
      </c>
      <c r="AO28" s="100">
        <v>8118</v>
      </c>
      <c r="AP28" s="100">
        <v>15</v>
      </c>
      <c r="AQ28" s="100">
        <v>11070</v>
      </c>
      <c r="AR28" s="100">
        <v>11</v>
      </c>
      <c r="AS28" s="100">
        <v>8118</v>
      </c>
      <c r="AT28" s="100">
        <v>9</v>
      </c>
      <c r="AU28" s="100">
        <v>6642</v>
      </c>
      <c r="AV28" s="100">
        <v>8</v>
      </c>
      <c r="AW28" s="100">
        <v>5904</v>
      </c>
      <c r="AX28" s="100">
        <v>8.8219659139284303</v>
      </c>
      <c r="AY28" s="100">
        <v>6510.6108444791817</v>
      </c>
      <c r="AZ28" s="100">
        <v>10</v>
      </c>
      <c r="BA28" s="100">
        <v>7380</v>
      </c>
      <c r="BB28" s="100">
        <v>12</v>
      </c>
      <c r="BC28" s="100">
        <v>8856</v>
      </c>
      <c r="BD28" s="100">
        <v>10.37308384211514</v>
      </c>
      <c r="BE28" s="100">
        <v>7655.3358754809733</v>
      </c>
      <c r="BF28" s="100">
        <v>7.4123365820858664</v>
      </c>
      <c r="BG28" s="100">
        <v>5470.3043975793698</v>
      </c>
      <c r="BH28" s="100">
        <v>10.41050468364671</v>
      </c>
      <c r="BI28" s="100">
        <v>7682.9524565312722</v>
      </c>
      <c r="BJ28" s="100">
        <v>6.3046041194515352</v>
      </c>
      <c r="BK28" s="100">
        <v>4652.7978401552327</v>
      </c>
      <c r="BL28" s="100">
        <v>13.458433534275253</v>
      </c>
      <c r="BM28" s="100">
        <v>9932.3239482951358</v>
      </c>
      <c r="BN28" s="100">
        <v>10.249572819440683</v>
      </c>
      <c r="BO28" s="100">
        <v>7564.1847407472242</v>
      </c>
      <c r="BP28" s="100">
        <v>2.4103835474398783</v>
      </c>
      <c r="BQ28" s="100">
        <v>1778.8630580106301</v>
      </c>
      <c r="BR28" s="100">
        <v>9.0230969267696288</v>
      </c>
      <c r="BS28" s="100">
        <v>6659.045531955986</v>
      </c>
      <c r="BT28" s="100">
        <v>7.666839712493914</v>
      </c>
      <c r="BU28" s="100">
        <v>5658.1277078205085</v>
      </c>
      <c r="BV28" s="100">
        <v>14.285217794181962</v>
      </c>
      <c r="BW28" s="100">
        <v>10542.490732106287</v>
      </c>
      <c r="BX28" s="100">
        <v>5.098431877908423</v>
      </c>
      <c r="BY28" s="100">
        <v>3762.6427258964163</v>
      </c>
      <c r="BZ28" s="100">
        <v>3.5118082970294271</v>
      </c>
      <c r="CA28" s="100">
        <v>2591.7145232077173</v>
      </c>
      <c r="CB28" s="100">
        <v>9</v>
      </c>
      <c r="CC28" s="100">
        <v>6642</v>
      </c>
      <c r="CD28" s="100">
        <v>9</v>
      </c>
      <c r="CE28" s="100">
        <v>6642</v>
      </c>
      <c r="CF28" s="100">
        <v>14</v>
      </c>
      <c r="CG28" s="100">
        <v>10332</v>
      </c>
      <c r="CH28" s="100">
        <v>11</v>
      </c>
      <c r="CI28" s="100">
        <v>8118</v>
      </c>
      <c r="CJ28" s="100">
        <v>14</v>
      </c>
      <c r="CK28" s="100">
        <v>10332</v>
      </c>
      <c r="CL28" s="100">
        <v>11.003226027583082</v>
      </c>
      <c r="CM28" s="100">
        <v>8120.3808083563144</v>
      </c>
      <c r="CN28" s="100">
        <v>9.4084271635527035</v>
      </c>
      <c r="CO28" s="100">
        <v>6943.4192467018947</v>
      </c>
      <c r="CP28" s="100">
        <v>10.152088619583377</v>
      </c>
      <c r="CQ28" s="100">
        <v>7492.2414012525323</v>
      </c>
      <c r="CR28" s="100">
        <v>2.3797430786164901</v>
      </c>
      <c r="CS28" s="100">
        <v>1756.2503920189697</v>
      </c>
      <c r="CT28" s="100">
        <v>9.7008387581510096</v>
      </c>
      <c r="CU28" s="100">
        <v>7159.2190035154454</v>
      </c>
    </row>
    <row r="29" spans="2:99">
      <c r="C29" s="99" t="s">
        <v>195</v>
      </c>
      <c r="D29" s="100">
        <v>14</v>
      </c>
      <c r="E29" s="100">
        <v>4737.5999999999995</v>
      </c>
      <c r="F29" s="100">
        <v>10.461741735063555</v>
      </c>
      <c r="G29" s="100">
        <v>3540.2534031455066</v>
      </c>
      <c r="H29" s="100">
        <v>7</v>
      </c>
      <c r="I29" s="100">
        <v>2368.7999999999997</v>
      </c>
      <c r="J29" s="100">
        <v>9</v>
      </c>
      <c r="K29" s="100">
        <v>3045.6</v>
      </c>
      <c r="L29" s="100">
        <v>12</v>
      </c>
      <c r="M29" s="100">
        <v>4060.7999999999997</v>
      </c>
      <c r="N29" s="100">
        <v>10</v>
      </c>
      <c r="O29" s="100">
        <v>3384</v>
      </c>
      <c r="P29" s="100">
        <v>9</v>
      </c>
      <c r="Q29" s="100">
        <v>3045.6</v>
      </c>
      <c r="R29" s="100">
        <v>9</v>
      </c>
      <c r="S29" s="100">
        <v>3045.6</v>
      </c>
      <c r="T29" s="100">
        <v>11</v>
      </c>
      <c r="U29" s="100">
        <v>3722.3999999999996</v>
      </c>
      <c r="V29" s="100">
        <v>7.3803062580554029</v>
      </c>
      <c r="W29" s="100">
        <v>2497.4956377259482</v>
      </c>
      <c r="X29" s="100">
        <v>11.313509205451494</v>
      </c>
      <c r="Y29" s="100">
        <v>3828.4915151247851</v>
      </c>
      <c r="Z29" s="100">
        <v>6.1271655437032315</v>
      </c>
      <c r="AA29" s="100">
        <v>2073.4328199891734</v>
      </c>
      <c r="AB29" s="100">
        <v>12</v>
      </c>
      <c r="AC29" s="100">
        <v>4060.7999999999997</v>
      </c>
      <c r="AD29" s="100">
        <v>6.4883853701408478</v>
      </c>
      <c r="AE29" s="100">
        <v>2195.6696092556626</v>
      </c>
      <c r="AF29" s="100">
        <v>6.4485950056970633</v>
      </c>
      <c r="AG29" s="100">
        <v>2182.2045499278861</v>
      </c>
      <c r="AH29" s="100">
        <v>15</v>
      </c>
      <c r="AI29" s="100">
        <v>5076</v>
      </c>
      <c r="AJ29" s="100">
        <v>8.4736101180975325</v>
      </c>
      <c r="AK29" s="100">
        <v>2867.4696639642048</v>
      </c>
      <c r="AL29" s="100">
        <v>4.6292886002417806</v>
      </c>
      <c r="AM29" s="100">
        <v>1566.5512623218185</v>
      </c>
      <c r="AN29" s="100">
        <v>11</v>
      </c>
      <c r="AO29" s="100">
        <v>3722.3999999999996</v>
      </c>
      <c r="AP29" s="100">
        <v>16</v>
      </c>
      <c r="AQ29" s="100">
        <v>5414.4</v>
      </c>
      <c r="AR29" s="100">
        <v>11</v>
      </c>
      <c r="AS29" s="100">
        <v>3722.3999999999996</v>
      </c>
      <c r="AT29" s="100">
        <v>9</v>
      </c>
      <c r="AU29" s="100">
        <v>3045.6</v>
      </c>
      <c r="AV29" s="100">
        <v>8</v>
      </c>
      <c r="AW29" s="100">
        <v>2707.2</v>
      </c>
      <c r="AX29" s="100">
        <v>9.7041625053212748</v>
      </c>
      <c r="AY29" s="100">
        <v>3283.888591800719</v>
      </c>
      <c r="AZ29" s="100">
        <v>11</v>
      </c>
      <c r="BA29" s="100">
        <v>3722.3999999999996</v>
      </c>
      <c r="BB29" s="100">
        <v>12</v>
      </c>
      <c r="BC29" s="100">
        <v>4060.7999999999997</v>
      </c>
      <c r="BD29" s="100">
        <v>11.229965872964886</v>
      </c>
      <c r="BE29" s="100">
        <v>3800.2204514113173</v>
      </c>
      <c r="BF29" s="100">
        <v>7.4528079245434729</v>
      </c>
      <c r="BG29" s="100">
        <v>2522.030201665511</v>
      </c>
      <c r="BH29" s="100">
        <v>10.439174023909976</v>
      </c>
      <c r="BI29" s="100">
        <v>3532.6164896911355</v>
      </c>
      <c r="BJ29" s="100">
        <v>6.3046041194515352</v>
      </c>
      <c r="BK29" s="100">
        <v>2133.4780340223992</v>
      </c>
      <c r="BL29" s="100">
        <v>12.497116853255593</v>
      </c>
      <c r="BM29" s="100">
        <v>4229.024343141692</v>
      </c>
      <c r="BN29" s="100">
        <v>10.244597919624805</v>
      </c>
      <c r="BO29" s="100">
        <v>3466.7719360010337</v>
      </c>
      <c r="BP29" s="100">
        <v>2.2095182518198886</v>
      </c>
      <c r="BQ29" s="100">
        <v>747.70097641585028</v>
      </c>
      <c r="BR29" s="100">
        <v>8.0200173365336784</v>
      </c>
      <c r="BS29" s="100">
        <v>2713.9738666829967</v>
      </c>
      <c r="BT29" s="100">
        <v>8.9446463312429003</v>
      </c>
      <c r="BU29" s="100">
        <v>3026.8683184925972</v>
      </c>
      <c r="BV29" s="100">
        <v>13.330838819757448</v>
      </c>
      <c r="BW29" s="100">
        <v>4511.1558566059202</v>
      </c>
      <c r="BX29" s="100">
        <v>5.7048600175860882</v>
      </c>
      <c r="BY29" s="100">
        <v>1930.5246299511321</v>
      </c>
      <c r="BZ29" s="100">
        <v>3.5118082970294271</v>
      </c>
      <c r="CA29" s="100">
        <v>1188.395927714758</v>
      </c>
      <c r="CB29" s="100">
        <v>10</v>
      </c>
      <c r="CC29" s="100">
        <v>3384</v>
      </c>
      <c r="CD29" s="100">
        <v>9</v>
      </c>
      <c r="CE29" s="100">
        <v>3045.6</v>
      </c>
      <c r="CF29" s="100">
        <v>16</v>
      </c>
      <c r="CG29" s="100">
        <v>5414.4</v>
      </c>
      <c r="CH29" s="100">
        <v>12</v>
      </c>
      <c r="CI29" s="100">
        <v>4060.7999999999997</v>
      </c>
      <c r="CJ29" s="100">
        <v>15</v>
      </c>
      <c r="CK29" s="100">
        <v>5076</v>
      </c>
      <c r="CL29" s="100">
        <v>9.4313365950712136</v>
      </c>
      <c r="CM29" s="100">
        <v>3191.5643037720984</v>
      </c>
      <c r="CN29" s="100">
        <v>8.7363966518703684</v>
      </c>
      <c r="CO29" s="100">
        <v>2956.3966269929324</v>
      </c>
      <c r="CP29" s="100">
        <v>10.152088619583377</v>
      </c>
      <c r="CQ29" s="100">
        <v>3435.4667888670147</v>
      </c>
      <c r="CR29" s="100">
        <v>2.3797430786164901</v>
      </c>
      <c r="CS29" s="100">
        <v>805.3050578038202</v>
      </c>
      <c r="CT29" s="100">
        <v>9.7008387581510096</v>
      </c>
      <c r="CU29" s="100">
        <v>3282.7638357583014</v>
      </c>
    </row>
    <row r="30" spans="2:99">
      <c r="C30" s="99" t="s">
        <v>196</v>
      </c>
      <c r="D30" s="100">
        <v>13</v>
      </c>
      <c r="E30" s="100">
        <v>1809.6</v>
      </c>
      <c r="F30" s="100">
        <v>11.333553546318852</v>
      </c>
      <c r="G30" s="100">
        <v>1577.630653647584</v>
      </c>
      <c r="H30" s="100">
        <v>8</v>
      </c>
      <c r="I30" s="100">
        <v>1113.5999999999999</v>
      </c>
      <c r="J30" s="100">
        <v>10</v>
      </c>
      <c r="K30" s="100">
        <v>1392</v>
      </c>
      <c r="L30" s="100">
        <v>11</v>
      </c>
      <c r="M30" s="100">
        <v>1531.1999999999998</v>
      </c>
      <c r="N30" s="100">
        <v>10</v>
      </c>
      <c r="O30" s="100">
        <v>1392</v>
      </c>
      <c r="P30" s="100">
        <v>9</v>
      </c>
      <c r="Q30" s="100">
        <v>1252.8</v>
      </c>
      <c r="R30" s="100">
        <v>10</v>
      </c>
      <c r="S30" s="100">
        <v>1392</v>
      </c>
      <c r="T30" s="100">
        <v>11</v>
      </c>
      <c r="U30" s="100">
        <v>1531.1999999999998</v>
      </c>
      <c r="V30" s="100">
        <v>7.3803062580554029</v>
      </c>
      <c r="W30" s="100">
        <v>1027.3386311213119</v>
      </c>
      <c r="X30" s="100">
        <v>11.313509205451494</v>
      </c>
      <c r="Y30" s="100">
        <v>1574.8404813988477</v>
      </c>
      <c r="Z30" s="100">
        <v>5.6895108620101436</v>
      </c>
      <c r="AA30" s="100">
        <v>791.97991199181195</v>
      </c>
      <c r="AB30" s="100">
        <v>13.512370930093713</v>
      </c>
      <c r="AC30" s="100">
        <v>1880.9220334690447</v>
      </c>
      <c r="AD30" s="100">
        <v>6.4883853701408478</v>
      </c>
      <c r="AE30" s="100">
        <v>903.18324352360594</v>
      </c>
      <c r="AF30" s="100">
        <v>6.9859779228384857</v>
      </c>
      <c r="AG30" s="100">
        <v>972.44812685911711</v>
      </c>
      <c r="AH30" s="100">
        <v>14</v>
      </c>
      <c r="AI30" s="100">
        <v>1948.7999999999997</v>
      </c>
      <c r="AJ30" s="100">
        <v>9.181798952457866</v>
      </c>
      <c r="AK30" s="100">
        <v>1278.1064141821348</v>
      </c>
      <c r="AL30" s="100">
        <v>4.6292886002417806</v>
      </c>
      <c r="AM30" s="100">
        <v>644.39697315365584</v>
      </c>
      <c r="AN30" s="100">
        <v>11</v>
      </c>
      <c r="AO30" s="100">
        <v>1531.1999999999998</v>
      </c>
      <c r="AP30" s="100">
        <v>16</v>
      </c>
      <c r="AQ30" s="100">
        <v>2227.1999999999998</v>
      </c>
      <c r="AR30" s="100">
        <v>13</v>
      </c>
      <c r="AS30" s="100">
        <v>1809.6</v>
      </c>
      <c r="AT30" s="100">
        <v>10</v>
      </c>
      <c r="AU30" s="100">
        <v>1392</v>
      </c>
      <c r="AV30" s="100">
        <v>7</v>
      </c>
      <c r="AW30" s="100">
        <v>974.39999999999986</v>
      </c>
      <c r="AX30" s="100">
        <v>10.586359096714117</v>
      </c>
      <c r="AY30" s="100">
        <v>1473.6211862626051</v>
      </c>
      <c r="AZ30" s="100">
        <v>10</v>
      </c>
      <c r="BA30" s="100">
        <v>1392</v>
      </c>
      <c r="BB30" s="100">
        <v>12</v>
      </c>
      <c r="BC30" s="100">
        <v>1670.3999999999999</v>
      </c>
      <c r="BD30" s="100">
        <v>11.20734100498534</v>
      </c>
      <c r="BE30" s="100">
        <v>1560.0618678939591</v>
      </c>
      <c r="BF30" s="100">
        <v>8.1394052704342919</v>
      </c>
      <c r="BG30" s="100">
        <v>1133.0052136444533</v>
      </c>
      <c r="BH30" s="100">
        <v>9.1237357280906828</v>
      </c>
      <c r="BI30" s="100">
        <v>1270.024013350223</v>
      </c>
      <c r="BJ30" s="100">
        <v>5.562885987751355</v>
      </c>
      <c r="BK30" s="100">
        <v>774.35372949498856</v>
      </c>
      <c r="BL30" s="100">
        <v>13.458433534275253</v>
      </c>
      <c r="BM30" s="100">
        <v>1873.413947971115</v>
      </c>
      <c r="BN30" s="100">
        <v>10.239623019808928</v>
      </c>
      <c r="BO30" s="100">
        <v>1425.3555243574026</v>
      </c>
      <c r="BP30" s="100">
        <v>2.2095182518198886</v>
      </c>
      <c r="BQ30" s="100">
        <v>307.56494065332845</v>
      </c>
      <c r="BR30" s="100">
        <v>9.0215571316516527</v>
      </c>
      <c r="BS30" s="100">
        <v>1255.8007527259099</v>
      </c>
      <c r="BT30" s="100">
        <v>8.9446463312429003</v>
      </c>
      <c r="BU30" s="100">
        <v>1245.0947693090116</v>
      </c>
      <c r="BV30" s="100">
        <v>14.331413401793899</v>
      </c>
      <c r="BW30" s="100">
        <v>1994.9327455297105</v>
      </c>
      <c r="BX30" s="100">
        <v>5.7048600175860882</v>
      </c>
      <c r="BY30" s="100">
        <v>794.11651444798338</v>
      </c>
      <c r="BZ30" s="100">
        <v>3.5118082970294271</v>
      </c>
      <c r="CA30" s="100">
        <v>488.84371494649622</v>
      </c>
      <c r="CB30" s="100">
        <v>9</v>
      </c>
      <c r="CC30" s="100">
        <v>1252.8</v>
      </c>
      <c r="CD30" s="100">
        <v>10</v>
      </c>
      <c r="CE30" s="100">
        <v>1392</v>
      </c>
      <c r="CF30" s="100">
        <v>14</v>
      </c>
      <c r="CG30" s="100">
        <v>1948.7999999999997</v>
      </c>
      <c r="CH30" s="100">
        <v>12</v>
      </c>
      <c r="CI30" s="100">
        <v>1670.3999999999999</v>
      </c>
      <c r="CJ30" s="100">
        <v>15</v>
      </c>
      <c r="CK30" s="100">
        <v>2088</v>
      </c>
      <c r="CL30" s="100">
        <v>10.217281311327147</v>
      </c>
      <c r="CM30" s="100">
        <v>1422.2455585367388</v>
      </c>
      <c r="CN30" s="100">
        <v>10.08045767523504</v>
      </c>
      <c r="CO30" s="100">
        <v>1403.1997083927174</v>
      </c>
      <c r="CP30" s="100">
        <v>10.152088619583377</v>
      </c>
      <c r="CQ30" s="100">
        <v>1413.170735846006</v>
      </c>
      <c r="CR30" s="100">
        <v>2.3797430786164901</v>
      </c>
      <c r="CS30" s="100">
        <v>331.26023654341537</v>
      </c>
      <c r="CT30" s="100">
        <v>10.347561342027745</v>
      </c>
      <c r="CU30" s="100">
        <v>1440.3805388102621</v>
      </c>
    </row>
    <row r="31" spans="2:99">
      <c r="C31" s="99" t="s">
        <v>197</v>
      </c>
      <c r="D31" s="100">
        <v>13</v>
      </c>
      <c r="E31" s="100">
        <v>4430.4000000000005</v>
      </c>
      <c r="F31" s="100">
        <v>10.461741735063555</v>
      </c>
      <c r="G31" s="100">
        <v>3565.3615833096596</v>
      </c>
      <c r="H31" s="100">
        <v>7</v>
      </c>
      <c r="I31" s="100">
        <v>2385.6</v>
      </c>
      <c r="J31" s="100">
        <v>10</v>
      </c>
      <c r="K31" s="100">
        <v>3408</v>
      </c>
      <c r="L31" s="100">
        <v>11</v>
      </c>
      <c r="M31" s="100">
        <v>3748.8</v>
      </c>
      <c r="N31" s="100">
        <v>11</v>
      </c>
      <c r="O31" s="100">
        <v>3748.8</v>
      </c>
      <c r="P31" s="100">
        <v>9</v>
      </c>
      <c r="Q31" s="100">
        <v>3067.2000000000003</v>
      </c>
      <c r="R31" s="100">
        <v>9</v>
      </c>
      <c r="S31" s="100">
        <v>3067.2000000000003</v>
      </c>
      <c r="T31" s="100">
        <v>10</v>
      </c>
      <c r="U31" s="100">
        <v>3408</v>
      </c>
      <c r="V31" s="100">
        <v>7.9480221240596656</v>
      </c>
      <c r="W31" s="100">
        <v>2708.6859398795341</v>
      </c>
      <c r="X31" s="100">
        <v>12.289393112724456</v>
      </c>
      <c r="Y31" s="100">
        <v>4188.2251728164947</v>
      </c>
      <c r="Z31" s="100">
        <v>5.2518561803170556</v>
      </c>
      <c r="AA31" s="100">
        <v>1789.8325862520526</v>
      </c>
      <c r="AB31" s="100">
        <v>13.512370930093713</v>
      </c>
      <c r="AC31" s="100">
        <v>4605.0160129759379</v>
      </c>
      <c r="AD31" s="100">
        <v>6.5116379413395089</v>
      </c>
      <c r="AE31" s="100">
        <v>2219.1662104085049</v>
      </c>
      <c r="AF31" s="100">
        <v>6.9859779228384857</v>
      </c>
      <c r="AG31" s="100">
        <v>2380.821276103356</v>
      </c>
      <c r="AH31" s="100">
        <v>16</v>
      </c>
      <c r="AI31" s="100">
        <v>5452.8</v>
      </c>
      <c r="AJ31" s="100">
        <v>8.3742014199193768</v>
      </c>
      <c r="AK31" s="100">
        <v>2853.9278439085238</v>
      </c>
      <c r="AL31" s="100">
        <v>4.2084441820379821</v>
      </c>
      <c r="AM31" s="100">
        <v>1434.2377772385444</v>
      </c>
      <c r="AN31" s="100">
        <v>12</v>
      </c>
      <c r="AO31" s="100">
        <v>4089.6000000000004</v>
      </c>
      <c r="AP31" s="100">
        <v>14</v>
      </c>
      <c r="AQ31" s="100">
        <v>4771.2</v>
      </c>
      <c r="AR31" s="100">
        <v>13</v>
      </c>
      <c r="AS31" s="100">
        <v>4430.4000000000005</v>
      </c>
      <c r="AT31" s="100">
        <v>9</v>
      </c>
      <c r="AU31" s="100">
        <v>3067.2000000000003</v>
      </c>
      <c r="AV31" s="100">
        <v>8</v>
      </c>
      <c r="AW31" s="100">
        <v>2726.4</v>
      </c>
      <c r="AX31" s="100">
        <v>10.586359096714117</v>
      </c>
      <c r="AY31" s="100">
        <v>3607.8311801601712</v>
      </c>
      <c r="AZ31" s="100">
        <v>12</v>
      </c>
      <c r="BA31" s="100">
        <v>4089.6000000000004</v>
      </c>
      <c r="BB31" s="100">
        <v>11</v>
      </c>
      <c r="BC31" s="100">
        <v>3748.8</v>
      </c>
      <c r="BD31" s="100">
        <v>10.418333578074234</v>
      </c>
      <c r="BE31" s="100">
        <v>3550.5680834076993</v>
      </c>
      <c r="BF31" s="100">
        <v>8.8664739587827164</v>
      </c>
      <c r="BG31" s="100">
        <v>3021.6943251531497</v>
      </c>
      <c r="BH31" s="100">
        <v>9.18107440861721</v>
      </c>
      <c r="BI31" s="100">
        <v>3128.9101584567452</v>
      </c>
      <c r="BJ31" s="100">
        <v>6.3046041194515352</v>
      </c>
      <c r="BK31" s="100">
        <v>2148.6090839090834</v>
      </c>
      <c r="BL31" s="100">
        <v>11.535800172235932</v>
      </c>
      <c r="BM31" s="100">
        <v>3931.4006986980057</v>
      </c>
      <c r="BN31" s="100">
        <v>10.239623019808928</v>
      </c>
      <c r="BO31" s="100">
        <v>3489.6635251508828</v>
      </c>
      <c r="BP31" s="100">
        <v>2.4103835474398783</v>
      </c>
      <c r="BQ31" s="100">
        <v>821.45871296751056</v>
      </c>
      <c r="BR31" s="100">
        <v>8.0215571316516527</v>
      </c>
      <c r="BS31" s="100">
        <v>2733.7466704668832</v>
      </c>
      <c r="BT31" s="100">
        <v>8.3057430218684072</v>
      </c>
      <c r="BU31" s="100">
        <v>2830.5972218527531</v>
      </c>
      <c r="BV31" s="100">
        <v>15.19340116099454</v>
      </c>
      <c r="BW31" s="100">
        <v>5177.9111156669396</v>
      </c>
      <c r="BX31" s="100">
        <v>6.2865874812150437</v>
      </c>
      <c r="BY31" s="100">
        <v>2142.4690135980868</v>
      </c>
      <c r="BZ31" s="100">
        <v>3.5118082970294271</v>
      </c>
      <c r="CA31" s="100">
        <v>1196.8242676276288</v>
      </c>
      <c r="CB31" s="100">
        <v>10</v>
      </c>
      <c r="CC31" s="100">
        <v>3408</v>
      </c>
      <c r="CD31" s="100">
        <v>8</v>
      </c>
      <c r="CE31" s="100">
        <v>2726.4</v>
      </c>
      <c r="CF31" s="100">
        <v>16</v>
      </c>
      <c r="CG31" s="100">
        <v>5452.8</v>
      </c>
      <c r="CH31" s="100">
        <v>13</v>
      </c>
      <c r="CI31" s="100">
        <v>4430.4000000000005</v>
      </c>
      <c r="CJ31" s="100">
        <v>15</v>
      </c>
      <c r="CK31" s="100">
        <v>5112</v>
      </c>
      <c r="CL31" s="100">
        <v>10.217281311327147</v>
      </c>
      <c r="CM31" s="100">
        <v>3482.0494709002919</v>
      </c>
      <c r="CN31" s="100">
        <v>9.4084271635527035</v>
      </c>
      <c r="CO31" s="100">
        <v>3206.3919773387615</v>
      </c>
      <c r="CP31" s="100">
        <v>8.5902288319551658</v>
      </c>
      <c r="CQ31" s="100">
        <v>2927.5499859303204</v>
      </c>
      <c r="CR31" s="100">
        <v>2.3797430786164901</v>
      </c>
      <c r="CS31" s="100">
        <v>811.01644119249988</v>
      </c>
      <c r="CT31" s="100">
        <v>9.7008387581510096</v>
      </c>
      <c r="CU31" s="100">
        <v>3306.0458487778642</v>
      </c>
    </row>
    <row r="32" spans="2:99">
      <c r="C32" s="99" t="s">
        <v>198</v>
      </c>
      <c r="D32" s="100">
        <v>13</v>
      </c>
      <c r="E32" s="100">
        <v>10920</v>
      </c>
      <c r="F32" s="100">
        <v>9.5899299238082598</v>
      </c>
      <c r="G32" s="100">
        <v>8055.5411359989384</v>
      </c>
      <c r="H32" s="100">
        <v>7</v>
      </c>
      <c r="I32" s="100">
        <v>5880</v>
      </c>
      <c r="J32" s="100">
        <v>9</v>
      </c>
      <c r="K32" s="100">
        <v>7560</v>
      </c>
      <c r="L32" s="100">
        <v>11</v>
      </c>
      <c r="M32" s="100">
        <v>9240</v>
      </c>
      <c r="N32" s="100">
        <v>10</v>
      </c>
      <c r="O32" s="100">
        <v>8400</v>
      </c>
      <c r="P32" s="100">
        <v>9</v>
      </c>
      <c r="Q32" s="100">
        <v>7560</v>
      </c>
      <c r="R32" s="100">
        <v>9</v>
      </c>
      <c r="S32" s="100">
        <v>7560</v>
      </c>
      <c r="T32" s="100">
        <v>11</v>
      </c>
      <c r="U32" s="100">
        <v>9240</v>
      </c>
      <c r="V32" s="100">
        <v>7.9480221240596656</v>
      </c>
      <c r="W32" s="100">
        <v>6676.3385842101188</v>
      </c>
      <c r="X32" s="100">
        <v>11.289393112724456</v>
      </c>
      <c r="Y32" s="100">
        <v>9483.0902146885437</v>
      </c>
      <c r="Z32" s="100">
        <v>5.6895108620101436</v>
      </c>
      <c r="AA32" s="100">
        <v>4779.1891240885207</v>
      </c>
      <c r="AB32" s="100">
        <v>12</v>
      </c>
      <c r="AC32" s="100">
        <v>10080</v>
      </c>
      <c r="AD32" s="100">
        <v>5.5116361481487131</v>
      </c>
      <c r="AE32" s="100">
        <v>4629.7743644449192</v>
      </c>
      <c r="AF32" s="100">
        <v>5.9112120885556418</v>
      </c>
      <c r="AG32" s="100">
        <v>4965.4181543867389</v>
      </c>
      <c r="AH32" s="100">
        <v>13</v>
      </c>
      <c r="AI32" s="100">
        <v>10920</v>
      </c>
      <c r="AJ32" s="100">
        <v>7.5997401201069383</v>
      </c>
      <c r="AK32" s="100">
        <v>6383.7817008898282</v>
      </c>
      <c r="AL32" s="100">
        <v>4.2084441820379821</v>
      </c>
      <c r="AM32" s="100">
        <v>3535.0931129119049</v>
      </c>
      <c r="AN32" s="100">
        <v>11</v>
      </c>
      <c r="AO32" s="100">
        <v>9240</v>
      </c>
      <c r="AP32" s="100">
        <v>14</v>
      </c>
      <c r="AQ32" s="100">
        <v>11760</v>
      </c>
      <c r="AR32" s="100">
        <v>11</v>
      </c>
      <c r="AS32" s="100">
        <v>9240</v>
      </c>
      <c r="AT32" s="100">
        <v>10</v>
      </c>
      <c r="AU32" s="100">
        <v>8400</v>
      </c>
      <c r="AV32" s="100">
        <v>7</v>
      </c>
      <c r="AW32" s="100">
        <v>5880</v>
      </c>
      <c r="AX32" s="100">
        <v>9.7041625053212748</v>
      </c>
      <c r="AY32" s="100">
        <v>8151.4965044698711</v>
      </c>
      <c r="AZ32" s="100">
        <v>10</v>
      </c>
      <c r="BA32" s="100">
        <v>8400</v>
      </c>
      <c r="BB32" s="100">
        <v>10</v>
      </c>
      <c r="BC32" s="100">
        <v>8400</v>
      </c>
      <c r="BD32" s="100">
        <v>10.418333578074234</v>
      </c>
      <c r="BE32" s="100">
        <v>8751.4002055823566</v>
      </c>
      <c r="BF32" s="100">
        <v>7.4730435957722747</v>
      </c>
      <c r="BG32" s="100">
        <v>6277.3566204487106</v>
      </c>
      <c r="BH32" s="100">
        <v>9.1524050683539446</v>
      </c>
      <c r="BI32" s="100">
        <v>7688.0202574173136</v>
      </c>
      <c r="BJ32" s="100">
        <v>5.1920269219012649</v>
      </c>
      <c r="BK32" s="100">
        <v>4361.3026143970628</v>
      </c>
      <c r="BL32" s="100">
        <v>13.458433534275253</v>
      </c>
      <c r="BM32" s="100">
        <v>11305.084168791213</v>
      </c>
      <c r="BN32" s="100">
        <v>10.234648119993048</v>
      </c>
      <c r="BO32" s="100">
        <v>8597.1044207941613</v>
      </c>
      <c r="BP32" s="100">
        <v>2.4103835474398783</v>
      </c>
      <c r="BQ32" s="100">
        <v>2024.7221798494977</v>
      </c>
      <c r="BR32" s="100">
        <v>8.0200173365336784</v>
      </c>
      <c r="BS32" s="100">
        <v>6736.8145626882897</v>
      </c>
      <c r="BT32" s="100">
        <v>8.3057430218684072</v>
      </c>
      <c r="BU32" s="100">
        <v>6976.8241383694622</v>
      </c>
      <c r="BV32" s="100">
        <v>15.19340116099454</v>
      </c>
      <c r="BW32" s="100">
        <v>12762.456975235415</v>
      </c>
      <c r="BX32" s="100">
        <v>5.6801593415373786</v>
      </c>
      <c r="BY32" s="100">
        <v>4771.333846891398</v>
      </c>
      <c r="BZ32" s="100">
        <v>3.5118082970294271</v>
      </c>
      <c r="CA32" s="100">
        <v>2949.9189695047189</v>
      </c>
      <c r="CB32" s="100">
        <v>9</v>
      </c>
      <c r="CC32" s="100">
        <v>7560</v>
      </c>
      <c r="CD32" s="100">
        <v>9</v>
      </c>
      <c r="CE32" s="100">
        <v>7560</v>
      </c>
      <c r="CF32" s="100">
        <v>14</v>
      </c>
      <c r="CG32" s="100">
        <v>11760</v>
      </c>
      <c r="CH32" s="100">
        <v>12</v>
      </c>
      <c r="CI32" s="100">
        <v>10080</v>
      </c>
      <c r="CJ32" s="100">
        <v>15</v>
      </c>
      <c r="CK32" s="100">
        <v>12600</v>
      </c>
      <c r="CL32" s="100">
        <v>10.217281311327147</v>
      </c>
      <c r="CM32" s="100">
        <v>8582.5163015148028</v>
      </c>
      <c r="CN32" s="100">
        <v>9.4084271635527035</v>
      </c>
      <c r="CO32" s="100">
        <v>7903.0788173842711</v>
      </c>
      <c r="CP32" s="100">
        <v>8.5902288319551658</v>
      </c>
      <c r="CQ32" s="100">
        <v>7215.792218842339</v>
      </c>
      <c r="CR32" s="100">
        <v>2.1814311553984496</v>
      </c>
      <c r="CS32" s="100">
        <v>1832.4021705346977</v>
      </c>
      <c r="CT32" s="100">
        <v>9.7008387581510096</v>
      </c>
      <c r="CU32" s="100">
        <v>8148.7045568468484</v>
      </c>
    </row>
    <row r="33" spans="2:99">
      <c r="C33" s="99" t="s">
        <v>199</v>
      </c>
      <c r="D33" s="100">
        <v>12</v>
      </c>
      <c r="E33" s="100">
        <v>5688</v>
      </c>
      <c r="F33" s="100">
        <v>10.461741735063555</v>
      </c>
      <c r="G33" s="100">
        <v>4958.8655824201251</v>
      </c>
      <c r="H33" s="100">
        <v>8</v>
      </c>
      <c r="I33" s="100">
        <v>3792</v>
      </c>
      <c r="J33" s="100">
        <v>9</v>
      </c>
      <c r="K33" s="100">
        <v>4266</v>
      </c>
      <c r="L33" s="100">
        <v>11</v>
      </c>
      <c r="M33" s="100">
        <v>5214</v>
      </c>
      <c r="N33" s="100">
        <v>10</v>
      </c>
      <c r="O33" s="100">
        <v>4740</v>
      </c>
      <c r="P33" s="100">
        <v>9</v>
      </c>
      <c r="Q33" s="100">
        <v>4266</v>
      </c>
      <c r="R33" s="100">
        <v>10</v>
      </c>
      <c r="S33" s="100">
        <v>4740</v>
      </c>
      <c r="T33" s="100">
        <v>11</v>
      </c>
      <c r="U33" s="100">
        <v>5214</v>
      </c>
      <c r="V33" s="100">
        <v>8.5157379900639256</v>
      </c>
      <c r="W33" s="100">
        <v>4036.4598072903009</v>
      </c>
      <c r="X33" s="100">
        <v>12.265277019997418</v>
      </c>
      <c r="Y33" s="100">
        <v>5813.7413074787764</v>
      </c>
      <c r="Z33" s="100">
        <v>5.6895108620101436</v>
      </c>
      <c r="AA33" s="100">
        <v>2696.8281485928082</v>
      </c>
      <c r="AB33" s="100">
        <v>12</v>
      </c>
      <c r="AC33" s="100">
        <v>5688</v>
      </c>
      <c r="AD33" s="100">
        <v>6.0000107591447804</v>
      </c>
      <c r="AE33" s="100">
        <v>2844.005099834626</v>
      </c>
      <c r="AF33" s="100">
        <v>6.9859779228384857</v>
      </c>
      <c r="AG33" s="100">
        <v>3311.3535354254423</v>
      </c>
      <c r="AH33" s="100">
        <v>16</v>
      </c>
      <c r="AI33" s="100">
        <v>7584</v>
      </c>
      <c r="AJ33" s="100">
        <v>9.2149351851839185</v>
      </c>
      <c r="AK33" s="100">
        <v>4367.8792777771778</v>
      </c>
      <c r="AL33" s="100">
        <v>4.6292886002417806</v>
      </c>
      <c r="AM33" s="100">
        <v>2194.2827965146039</v>
      </c>
      <c r="AN33" s="100">
        <v>11</v>
      </c>
      <c r="AO33" s="100">
        <v>5214</v>
      </c>
      <c r="AP33" s="100">
        <v>14</v>
      </c>
      <c r="AQ33" s="100">
        <v>6636</v>
      </c>
      <c r="AR33" s="100">
        <v>12</v>
      </c>
      <c r="AS33" s="100">
        <v>5688</v>
      </c>
      <c r="AT33" s="100">
        <v>9</v>
      </c>
      <c r="AU33" s="100">
        <v>4266</v>
      </c>
      <c r="AV33" s="100">
        <v>8</v>
      </c>
      <c r="AW33" s="100">
        <v>3792</v>
      </c>
      <c r="AX33" s="100">
        <v>10.586359096714117</v>
      </c>
      <c r="AY33" s="100">
        <v>5017.934211842492</v>
      </c>
      <c r="AZ33" s="100">
        <v>10</v>
      </c>
      <c r="BA33" s="100">
        <v>4740</v>
      </c>
      <c r="BB33" s="100">
        <v>12</v>
      </c>
      <c r="BC33" s="100">
        <v>5688</v>
      </c>
      <c r="BD33" s="100">
        <v>10.418333578074234</v>
      </c>
      <c r="BE33" s="100">
        <v>4938.290116007187</v>
      </c>
      <c r="BF33" s="100">
        <v>7.4325722533146692</v>
      </c>
      <c r="BG33" s="100">
        <v>3523.039248071153</v>
      </c>
      <c r="BH33" s="100">
        <v>9.810124216263592</v>
      </c>
      <c r="BI33" s="100">
        <v>4649.9988785089427</v>
      </c>
      <c r="BJ33" s="100">
        <v>5.562885987751355</v>
      </c>
      <c r="BK33" s="100">
        <v>2636.8079581941424</v>
      </c>
      <c r="BL33" s="100">
        <v>11.535800172235932</v>
      </c>
      <c r="BM33" s="100">
        <v>5467.9692816398319</v>
      </c>
      <c r="BN33" s="100">
        <v>9.5096427754842541</v>
      </c>
      <c r="BO33" s="100">
        <v>4507.5706755795363</v>
      </c>
      <c r="BP33" s="100">
        <v>2.2095182518198886</v>
      </c>
      <c r="BQ33" s="100">
        <v>1047.3116513626271</v>
      </c>
      <c r="BR33" s="100">
        <v>8.0215571316516527</v>
      </c>
      <c r="BS33" s="100">
        <v>3802.2180804028835</v>
      </c>
      <c r="BT33" s="100">
        <v>8.3057430218684072</v>
      </c>
      <c r="BU33" s="100">
        <v>3936.9221923656251</v>
      </c>
      <c r="BV33" s="100">
        <v>16.147780135419055</v>
      </c>
      <c r="BW33" s="100">
        <v>7654.0477841886322</v>
      </c>
      <c r="BX33" s="100">
        <v>5.655458665488668</v>
      </c>
      <c r="BY33" s="100">
        <v>2680.6874074416287</v>
      </c>
      <c r="BZ33" s="100">
        <v>3.5118082970294271</v>
      </c>
      <c r="CA33" s="100">
        <v>1664.5971327919485</v>
      </c>
      <c r="CB33" s="100">
        <v>9</v>
      </c>
      <c r="CC33" s="100">
        <v>4266</v>
      </c>
      <c r="CD33" s="100">
        <v>9</v>
      </c>
      <c r="CE33" s="100">
        <v>4266</v>
      </c>
      <c r="CF33" s="100">
        <v>15</v>
      </c>
      <c r="CG33" s="100">
        <v>7110</v>
      </c>
      <c r="CH33" s="100">
        <v>12</v>
      </c>
      <c r="CI33" s="100">
        <v>5688</v>
      </c>
      <c r="CJ33" s="100">
        <v>16</v>
      </c>
      <c r="CK33" s="100">
        <v>7584</v>
      </c>
      <c r="CL33" s="100">
        <v>10.217281311327147</v>
      </c>
      <c r="CM33" s="100">
        <v>4842.991341569068</v>
      </c>
      <c r="CN33" s="100">
        <v>8.7363966518703684</v>
      </c>
      <c r="CO33" s="100">
        <v>4141.0520129865545</v>
      </c>
      <c r="CP33" s="100">
        <v>9.3711587257692717</v>
      </c>
      <c r="CQ33" s="100">
        <v>4441.9292360146346</v>
      </c>
      <c r="CR33" s="100">
        <v>2.3797430786164901</v>
      </c>
      <c r="CS33" s="100">
        <v>1127.9982192642162</v>
      </c>
      <c r="CT33" s="100">
        <v>10.347561342027745</v>
      </c>
      <c r="CU33" s="100">
        <v>4904.744076121151</v>
      </c>
    </row>
    <row r="34" spans="2:99">
      <c r="C34" s="99" t="s">
        <v>200</v>
      </c>
      <c r="D34" s="100">
        <v>13</v>
      </c>
      <c r="E34" s="100">
        <v>7129.2</v>
      </c>
      <c r="F34" s="100">
        <v>9.5899299238082598</v>
      </c>
      <c r="G34" s="100">
        <v>5259.1175702164492</v>
      </c>
      <c r="H34" s="100">
        <v>7</v>
      </c>
      <c r="I34" s="100">
        <v>3838.7999999999997</v>
      </c>
      <c r="J34" s="100">
        <v>8</v>
      </c>
      <c r="K34" s="100">
        <v>4387.2</v>
      </c>
      <c r="L34" s="100">
        <v>12</v>
      </c>
      <c r="M34" s="100">
        <v>6580.7999999999993</v>
      </c>
      <c r="N34" s="100">
        <v>9</v>
      </c>
      <c r="O34" s="100">
        <v>4935.5999999999995</v>
      </c>
      <c r="P34" s="100">
        <v>9</v>
      </c>
      <c r="Q34" s="100">
        <v>4935.5999999999995</v>
      </c>
      <c r="R34" s="100">
        <v>10</v>
      </c>
      <c r="S34" s="100">
        <v>5484</v>
      </c>
      <c r="T34" s="100">
        <v>10</v>
      </c>
      <c r="U34" s="100">
        <v>5484</v>
      </c>
      <c r="V34" s="100">
        <v>7.3803062580554029</v>
      </c>
      <c r="W34" s="100">
        <v>4047.3599519175827</v>
      </c>
      <c r="X34" s="100">
        <v>11.289393112724456</v>
      </c>
      <c r="Y34" s="100">
        <v>6191.1031830180918</v>
      </c>
      <c r="Z34" s="100">
        <v>6.1271655437032315</v>
      </c>
      <c r="AA34" s="100">
        <v>3360.1375841668519</v>
      </c>
      <c r="AB34" s="100">
        <v>12.512370930093713</v>
      </c>
      <c r="AC34" s="100">
        <v>6861.7842180633916</v>
      </c>
      <c r="AD34" s="100">
        <v>6.0000107591447804</v>
      </c>
      <c r="AE34" s="100">
        <v>3290.4059003149973</v>
      </c>
      <c r="AF34" s="100">
        <v>6.4485950056970633</v>
      </c>
      <c r="AG34" s="100">
        <v>3536.4095011242694</v>
      </c>
      <c r="AH34" s="100">
        <v>16</v>
      </c>
      <c r="AI34" s="100">
        <v>8774.4</v>
      </c>
      <c r="AJ34" s="100">
        <v>7.5997401201069383</v>
      </c>
      <c r="AK34" s="100">
        <v>4167.6974818666449</v>
      </c>
      <c r="AL34" s="100">
        <v>4.2084441820379821</v>
      </c>
      <c r="AM34" s="100">
        <v>2307.9107894296294</v>
      </c>
      <c r="AN34" s="100">
        <v>12</v>
      </c>
      <c r="AO34" s="100">
        <v>6580.7999999999993</v>
      </c>
      <c r="AP34" s="100">
        <v>16</v>
      </c>
      <c r="AQ34" s="100">
        <v>8774.4</v>
      </c>
      <c r="AR34" s="100">
        <v>12</v>
      </c>
      <c r="AS34" s="100">
        <v>6580.7999999999993</v>
      </c>
      <c r="AT34" s="100">
        <v>10</v>
      </c>
      <c r="AU34" s="100">
        <v>5484</v>
      </c>
      <c r="AV34" s="100">
        <v>8</v>
      </c>
      <c r="AW34" s="100">
        <v>4387.2</v>
      </c>
      <c r="AX34" s="100">
        <v>8.8219659139284303</v>
      </c>
      <c r="AY34" s="100">
        <v>4837.966107198351</v>
      </c>
      <c r="AZ34" s="100">
        <v>10</v>
      </c>
      <c r="BA34" s="100">
        <v>5484</v>
      </c>
      <c r="BB34" s="100">
        <v>12</v>
      </c>
      <c r="BC34" s="100">
        <v>6580.7999999999993</v>
      </c>
      <c r="BD34" s="100">
        <v>10.37308384211514</v>
      </c>
      <c r="BE34" s="100">
        <v>5688.5991790159424</v>
      </c>
      <c r="BF34" s="100">
        <v>8.8260026163251108</v>
      </c>
      <c r="BG34" s="100">
        <v>4840.1798347926906</v>
      </c>
      <c r="BH34" s="100">
        <v>10.467843364173239</v>
      </c>
      <c r="BI34" s="100">
        <v>5740.5653009126045</v>
      </c>
      <c r="BJ34" s="100">
        <v>5.562885987751355</v>
      </c>
      <c r="BK34" s="100">
        <v>3050.6866756828431</v>
      </c>
      <c r="BL34" s="100">
        <v>11.535800172235932</v>
      </c>
      <c r="BM34" s="100">
        <v>6326.2328144541852</v>
      </c>
      <c r="BN34" s="100">
        <v>9.5146176753001317</v>
      </c>
      <c r="BO34" s="100">
        <v>5217.8163331345922</v>
      </c>
      <c r="BP34" s="100">
        <v>2.4103835474398783</v>
      </c>
      <c r="BQ34" s="100">
        <v>1321.8543374160292</v>
      </c>
      <c r="BR34" s="100">
        <v>9.0200173365336784</v>
      </c>
      <c r="BS34" s="100">
        <v>4946.5775073550694</v>
      </c>
      <c r="BT34" s="100">
        <v>7.666839712493914</v>
      </c>
      <c r="BU34" s="100">
        <v>4204.4948983316626</v>
      </c>
      <c r="BV34" s="100">
        <v>14.192826578958087</v>
      </c>
      <c r="BW34" s="100">
        <v>7783.3460959006143</v>
      </c>
      <c r="BX34" s="100">
        <v>5.655458665488668</v>
      </c>
      <c r="BY34" s="100">
        <v>3101.4535321539856</v>
      </c>
      <c r="BZ34" s="100">
        <v>3.5118082970294271</v>
      </c>
      <c r="CA34" s="100">
        <v>1925.8756700909378</v>
      </c>
      <c r="CB34" s="100">
        <v>9</v>
      </c>
      <c r="CC34" s="100">
        <v>4935.5999999999995</v>
      </c>
      <c r="CD34" s="100">
        <v>10</v>
      </c>
      <c r="CE34" s="100">
        <v>5484</v>
      </c>
      <c r="CF34" s="100">
        <v>17</v>
      </c>
      <c r="CG34" s="100">
        <v>9322.7999999999993</v>
      </c>
      <c r="CH34" s="100">
        <v>12</v>
      </c>
      <c r="CI34" s="100">
        <v>6580.7999999999993</v>
      </c>
      <c r="CJ34" s="100">
        <v>15</v>
      </c>
      <c r="CK34" s="100">
        <v>8226</v>
      </c>
      <c r="CL34" s="100">
        <v>11.003226027583082</v>
      </c>
      <c r="CM34" s="100">
        <v>6034.1691535265618</v>
      </c>
      <c r="CN34" s="100">
        <v>8.7363966518703684</v>
      </c>
      <c r="CO34" s="100">
        <v>4791.0399238857099</v>
      </c>
      <c r="CP34" s="100">
        <v>10.152088619583377</v>
      </c>
      <c r="CQ34" s="100">
        <v>5567.4053989795239</v>
      </c>
      <c r="CR34" s="100">
        <v>1.9831192321804083</v>
      </c>
      <c r="CS34" s="100">
        <v>1087.5425869277358</v>
      </c>
      <c r="CT34" s="100">
        <v>9.7008387581510096</v>
      </c>
      <c r="CU34" s="100">
        <v>5319.9399749700133</v>
      </c>
    </row>
    <row r="35" spans="2:99">
      <c r="C35" s="99" t="s">
        <v>201</v>
      </c>
      <c r="D35" s="100">
        <v>13</v>
      </c>
      <c r="E35" s="100">
        <v>6536.3999999999987</v>
      </c>
      <c r="F35" s="100">
        <v>11.333553546318852</v>
      </c>
      <c r="G35" s="100">
        <v>5698.5107230891172</v>
      </c>
      <c r="H35" s="100">
        <v>8</v>
      </c>
      <c r="I35" s="100">
        <v>4022.3999999999992</v>
      </c>
      <c r="J35" s="100">
        <v>10</v>
      </c>
      <c r="K35" s="100">
        <v>5027.9999999999991</v>
      </c>
      <c r="L35" s="100">
        <v>12</v>
      </c>
      <c r="M35" s="100">
        <v>6033.5999999999985</v>
      </c>
      <c r="N35" s="100">
        <v>10</v>
      </c>
      <c r="O35" s="100">
        <v>5027.9999999999991</v>
      </c>
      <c r="P35" s="100">
        <v>9</v>
      </c>
      <c r="Q35" s="100">
        <v>4525.1999999999989</v>
      </c>
      <c r="R35" s="100">
        <v>9</v>
      </c>
      <c r="S35" s="100">
        <v>4525.1999999999989</v>
      </c>
      <c r="T35" s="100">
        <v>11</v>
      </c>
      <c r="U35" s="100">
        <v>5530.7999999999993</v>
      </c>
      <c r="V35" s="100">
        <v>8.5157379900639256</v>
      </c>
      <c r="W35" s="100">
        <v>4281.7130614041407</v>
      </c>
      <c r="X35" s="100">
        <v>11.289393112724456</v>
      </c>
      <c r="Y35" s="100">
        <v>5676.3068570778551</v>
      </c>
      <c r="Z35" s="100">
        <v>5.6895108620101436</v>
      </c>
      <c r="AA35" s="100">
        <v>2860.6860614186994</v>
      </c>
      <c r="AB35" s="100">
        <v>11.539337821151276</v>
      </c>
      <c r="AC35" s="100">
        <v>5801.979056474861</v>
      </c>
      <c r="AD35" s="100">
        <v>6.0465159015421017</v>
      </c>
      <c r="AE35" s="100">
        <v>3040.1881952953681</v>
      </c>
      <c r="AF35" s="100">
        <v>6.9859779228384857</v>
      </c>
      <c r="AG35" s="100">
        <v>3512.5496996031898</v>
      </c>
      <c r="AH35" s="100">
        <v>15</v>
      </c>
      <c r="AI35" s="100">
        <v>7541.9999999999982</v>
      </c>
      <c r="AJ35" s="100">
        <v>9.1486627197318136</v>
      </c>
      <c r="AK35" s="100">
        <v>4599.9476154811546</v>
      </c>
      <c r="AL35" s="100">
        <v>4.2084441820379821</v>
      </c>
      <c r="AM35" s="100">
        <v>2116.005734728697</v>
      </c>
      <c r="AN35" s="100">
        <v>12</v>
      </c>
      <c r="AO35" s="100">
        <v>6033.5999999999985</v>
      </c>
      <c r="AP35" s="100">
        <v>14</v>
      </c>
      <c r="AQ35" s="100">
        <v>7039.1999999999989</v>
      </c>
      <c r="AR35" s="100">
        <v>11</v>
      </c>
      <c r="AS35" s="100">
        <v>5530.7999999999993</v>
      </c>
      <c r="AT35" s="100">
        <v>10</v>
      </c>
      <c r="AU35" s="100">
        <v>5027.9999999999991</v>
      </c>
      <c r="AV35" s="100">
        <v>8</v>
      </c>
      <c r="AW35" s="100">
        <v>4022.3999999999992</v>
      </c>
      <c r="AX35" s="100">
        <v>10.586359096714117</v>
      </c>
      <c r="AY35" s="100">
        <v>5322.8213538278569</v>
      </c>
      <c r="AZ35" s="100">
        <v>10</v>
      </c>
      <c r="BA35" s="100">
        <v>5027.9999999999991</v>
      </c>
      <c r="BB35" s="100">
        <v>12</v>
      </c>
      <c r="BC35" s="100">
        <v>6033.5999999999985</v>
      </c>
      <c r="BD35" s="100">
        <v>11.229965872964886</v>
      </c>
      <c r="BE35" s="100">
        <v>5646.4268409267434</v>
      </c>
      <c r="BF35" s="100">
        <v>8.1798766128918974</v>
      </c>
      <c r="BG35" s="100">
        <v>4112.8419609620451</v>
      </c>
      <c r="BH35" s="100">
        <v>10.467843364173239</v>
      </c>
      <c r="BI35" s="100">
        <v>5263.231643506304</v>
      </c>
      <c r="BJ35" s="100">
        <v>5.9337450536014451</v>
      </c>
      <c r="BK35" s="100">
        <v>2983.4870129508058</v>
      </c>
      <c r="BL35" s="100">
        <v>12.497116853255593</v>
      </c>
      <c r="BM35" s="100">
        <v>6283.5503538169105</v>
      </c>
      <c r="BN35" s="100">
        <v>10.239623019808928</v>
      </c>
      <c r="BO35" s="100">
        <v>5148.4824543599279</v>
      </c>
      <c r="BP35" s="100">
        <v>2.2095182518198886</v>
      </c>
      <c r="BQ35" s="100">
        <v>1110.9457770150398</v>
      </c>
      <c r="BR35" s="100">
        <v>9.0200173365336784</v>
      </c>
      <c r="BS35" s="100">
        <v>4535.2647168091326</v>
      </c>
      <c r="BT35" s="100">
        <v>9.5835496406173917</v>
      </c>
      <c r="BU35" s="100">
        <v>4818.608759302424</v>
      </c>
      <c r="BV35" s="100">
        <v>14.239022186570024</v>
      </c>
      <c r="BW35" s="100">
        <v>7159.3803554074066</v>
      </c>
      <c r="BX35" s="100">
        <v>5.049030525811002</v>
      </c>
      <c r="BY35" s="100">
        <v>2538.6525483777714</v>
      </c>
      <c r="BZ35" s="100">
        <v>3.5118082970294271</v>
      </c>
      <c r="CA35" s="100">
        <v>1765.7372117463956</v>
      </c>
      <c r="CB35" s="100">
        <v>9</v>
      </c>
      <c r="CC35" s="100">
        <v>4525.1999999999989</v>
      </c>
      <c r="CD35" s="100">
        <v>10</v>
      </c>
      <c r="CE35" s="100">
        <v>5027.9999999999991</v>
      </c>
      <c r="CF35" s="100">
        <v>16</v>
      </c>
      <c r="CG35" s="100">
        <v>8044.7999999999984</v>
      </c>
      <c r="CH35" s="100">
        <v>12</v>
      </c>
      <c r="CI35" s="100">
        <v>6033.5999999999985</v>
      </c>
      <c r="CJ35" s="100">
        <v>15</v>
      </c>
      <c r="CK35" s="100">
        <v>7541.9999999999982</v>
      </c>
      <c r="CL35" s="100">
        <v>10.217281311327147</v>
      </c>
      <c r="CM35" s="100">
        <v>5137.2490433352887</v>
      </c>
      <c r="CN35" s="100">
        <v>9.4084271635527035</v>
      </c>
      <c r="CO35" s="100">
        <v>4730.5571778342983</v>
      </c>
      <c r="CP35" s="100">
        <v>8.5902288319551658</v>
      </c>
      <c r="CQ35" s="100">
        <v>4319.1670567070569</v>
      </c>
      <c r="CR35" s="100">
        <v>2.1814311553984496</v>
      </c>
      <c r="CS35" s="100">
        <v>1096.8235849343403</v>
      </c>
      <c r="CT35" s="100">
        <v>10.347561342027745</v>
      </c>
      <c r="CU35" s="100">
        <v>5202.753842771549</v>
      </c>
    </row>
    <row r="36" spans="2:99">
      <c r="C36" s="99" t="s">
        <v>202</v>
      </c>
      <c r="D36" s="100">
        <v>12</v>
      </c>
      <c r="E36" s="100">
        <v>9129.5999999999985</v>
      </c>
      <c r="F36" s="100">
        <v>10.461741735063555</v>
      </c>
      <c r="G36" s="100">
        <v>7959.2931120363519</v>
      </c>
      <c r="H36" s="100">
        <v>7</v>
      </c>
      <c r="I36" s="100">
        <v>5325.5999999999995</v>
      </c>
      <c r="J36" s="100">
        <v>9</v>
      </c>
      <c r="K36" s="100">
        <v>6847.2</v>
      </c>
      <c r="L36" s="100">
        <v>12</v>
      </c>
      <c r="M36" s="100">
        <v>9129.5999999999985</v>
      </c>
      <c r="N36" s="100">
        <v>10</v>
      </c>
      <c r="O36" s="100">
        <v>7608</v>
      </c>
      <c r="P36" s="100">
        <v>9</v>
      </c>
      <c r="Q36" s="100">
        <v>6847.2</v>
      </c>
      <c r="R36" s="100">
        <v>9</v>
      </c>
      <c r="S36" s="100">
        <v>6847.2</v>
      </c>
      <c r="T36" s="100">
        <v>11</v>
      </c>
      <c r="U36" s="100">
        <v>8368.7999999999993</v>
      </c>
      <c r="V36" s="100">
        <v>7.9480221240596656</v>
      </c>
      <c r="W36" s="100">
        <v>6046.855231984593</v>
      </c>
      <c r="X36" s="100">
        <v>12.313509205451494</v>
      </c>
      <c r="Y36" s="100">
        <v>9368.1178035074954</v>
      </c>
      <c r="Z36" s="100">
        <v>6.1271655437032315</v>
      </c>
      <c r="AA36" s="100">
        <v>4661.5475456494187</v>
      </c>
      <c r="AB36" s="100">
        <v>12.485404039036149</v>
      </c>
      <c r="AC36" s="100">
        <v>9498.8953928987012</v>
      </c>
      <c r="AD36" s="100">
        <v>5.5348887193473733</v>
      </c>
      <c r="AE36" s="100">
        <v>4210.9433376794814</v>
      </c>
      <c r="AF36" s="100">
        <v>6.4485950056970633</v>
      </c>
      <c r="AG36" s="100">
        <v>4906.0910803343259</v>
      </c>
      <c r="AH36" s="100">
        <v>15</v>
      </c>
      <c r="AI36" s="100">
        <v>11412</v>
      </c>
      <c r="AJ36" s="100">
        <v>8.3742014199193768</v>
      </c>
      <c r="AK36" s="100">
        <v>6371.0924402746614</v>
      </c>
      <c r="AL36" s="100">
        <v>4.2084441820379821</v>
      </c>
      <c r="AM36" s="100">
        <v>3201.7843336944966</v>
      </c>
      <c r="AN36" s="100">
        <v>11</v>
      </c>
      <c r="AO36" s="100">
        <v>8368.7999999999993</v>
      </c>
      <c r="AP36" s="100">
        <v>14</v>
      </c>
      <c r="AQ36" s="100">
        <v>10651.199999999999</v>
      </c>
      <c r="AR36" s="100">
        <v>12</v>
      </c>
      <c r="AS36" s="100">
        <v>9129.5999999999985</v>
      </c>
      <c r="AT36" s="100">
        <v>9</v>
      </c>
      <c r="AU36" s="100">
        <v>6847.2</v>
      </c>
      <c r="AV36" s="100">
        <v>8</v>
      </c>
      <c r="AW36" s="100">
        <v>6086.4</v>
      </c>
      <c r="AX36" s="100">
        <v>10.586359096714117</v>
      </c>
      <c r="AY36" s="100">
        <v>8054.1020007800998</v>
      </c>
      <c r="AZ36" s="100">
        <v>11</v>
      </c>
      <c r="BA36" s="100">
        <v>8368.7999999999993</v>
      </c>
      <c r="BB36" s="100">
        <v>11</v>
      </c>
      <c r="BC36" s="100">
        <v>8368.7999999999993</v>
      </c>
      <c r="BD36" s="100">
        <v>9.5840764152040361</v>
      </c>
      <c r="BE36" s="100">
        <v>7291.5653366872302</v>
      </c>
      <c r="BF36" s="100">
        <v>8.1394052704342919</v>
      </c>
      <c r="BG36" s="100">
        <v>6192.4595297464093</v>
      </c>
      <c r="BH36" s="100">
        <v>9.7814548760003284</v>
      </c>
      <c r="BI36" s="100">
        <v>7441.7308696610489</v>
      </c>
      <c r="BJ36" s="100">
        <v>5.9337450536014451</v>
      </c>
      <c r="BK36" s="100">
        <v>4514.3932367799789</v>
      </c>
      <c r="BL36" s="100">
        <v>12.497116853255593</v>
      </c>
      <c r="BM36" s="100">
        <v>9507.8065019568548</v>
      </c>
      <c r="BN36" s="100">
        <v>10.239623019808928</v>
      </c>
      <c r="BO36" s="100">
        <v>7790.3051934706318</v>
      </c>
      <c r="BP36" s="100">
        <v>2.4103835474398783</v>
      </c>
      <c r="BQ36" s="100">
        <v>1833.8198028922593</v>
      </c>
      <c r="BR36" s="100">
        <v>8.0200173365336784</v>
      </c>
      <c r="BS36" s="100">
        <v>6101.6291896348221</v>
      </c>
      <c r="BT36" s="100">
        <v>8.9446463312429003</v>
      </c>
      <c r="BU36" s="100">
        <v>6805.0869288095982</v>
      </c>
      <c r="BV36" s="100">
        <v>14.285217794181962</v>
      </c>
      <c r="BW36" s="100">
        <v>10868.193697813636</v>
      </c>
      <c r="BX36" s="100">
        <v>5.0737312018597125</v>
      </c>
      <c r="BY36" s="100">
        <v>3860.094698374869</v>
      </c>
      <c r="BZ36" s="100">
        <v>3.0728322599007485</v>
      </c>
      <c r="CA36" s="100">
        <v>2337.8107833324893</v>
      </c>
      <c r="CB36" s="100">
        <v>8</v>
      </c>
      <c r="CC36" s="100">
        <v>6086.4</v>
      </c>
      <c r="CD36" s="100">
        <v>10</v>
      </c>
      <c r="CE36" s="100">
        <v>7608</v>
      </c>
      <c r="CF36" s="100">
        <v>15</v>
      </c>
      <c r="CG36" s="100">
        <v>11412</v>
      </c>
      <c r="CH36" s="100">
        <v>11</v>
      </c>
      <c r="CI36" s="100">
        <v>8368.7999999999993</v>
      </c>
      <c r="CJ36" s="100">
        <v>15</v>
      </c>
      <c r="CK36" s="100">
        <v>11412</v>
      </c>
      <c r="CL36" s="100">
        <v>11.003226027583082</v>
      </c>
      <c r="CM36" s="100">
        <v>8371.2543617852079</v>
      </c>
      <c r="CN36" s="100">
        <v>8.7363966518703684</v>
      </c>
      <c r="CO36" s="100">
        <v>6646.6505727429758</v>
      </c>
      <c r="CP36" s="100">
        <v>9.3711587257692717</v>
      </c>
      <c r="CQ36" s="100">
        <v>7129.5775585652618</v>
      </c>
      <c r="CR36" s="100">
        <v>1.9831192321804083</v>
      </c>
      <c r="CS36" s="100">
        <v>1508.7571118428546</v>
      </c>
      <c r="CT36" s="100">
        <v>9.7008387581510096</v>
      </c>
      <c r="CU36" s="100">
        <v>7380.3981272012879</v>
      </c>
    </row>
    <row r="37" spans="2:99">
      <c r="B37" s="99" t="s">
        <v>128</v>
      </c>
      <c r="C37" s="99" t="s">
        <v>203</v>
      </c>
      <c r="D37" s="100">
        <v>5</v>
      </c>
      <c r="E37" s="100">
        <v>4302</v>
      </c>
      <c r="F37" s="100">
        <v>6.1026826787870743</v>
      </c>
      <c r="G37" s="100">
        <v>5250.7481768283988</v>
      </c>
      <c r="H37" s="100">
        <v>6</v>
      </c>
      <c r="I37" s="100">
        <v>5162.3999999999996</v>
      </c>
      <c r="J37" s="100">
        <v>7</v>
      </c>
      <c r="K37" s="100">
        <v>6022.8</v>
      </c>
      <c r="L37" s="100">
        <v>5</v>
      </c>
      <c r="M37" s="100">
        <v>4302</v>
      </c>
      <c r="N37" s="100">
        <v>8</v>
      </c>
      <c r="O37" s="100">
        <v>6883.2</v>
      </c>
      <c r="P37" s="100">
        <v>7</v>
      </c>
      <c r="Q37" s="100">
        <v>6022.8</v>
      </c>
      <c r="R37" s="100">
        <v>6</v>
      </c>
      <c r="S37" s="100">
        <v>5162.3999999999996</v>
      </c>
      <c r="T37" s="100">
        <v>8</v>
      </c>
      <c r="U37" s="100">
        <v>6883.2</v>
      </c>
      <c r="V37" s="100">
        <v>5.1094427940383564</v>
      </c>
      <c r="W37" s="100">
        <v>4396.1645799906019</v>
      </c>
      <c r="X37" s="100">
        <v>6.1929287418163046</v>
      </c>
      <c r="Y37" s="100">
        <v>5328.3958894587486</v>
      </c>
      <c r="Z37" s="100">
        <v>3.5012374535447033</v>
      </c>
      <c r="AA37" s="100">
        <v>3012.4647050298627</v>
      </c>
      <c r="AB37" s="100">
        <v>9.2427020195180738</v>
      </c>
      <c r="AC37" s="100">
        <v>7952.4208175933509</v>
      </c>
      <c r="AD37" s="100">
        <v>3.1395208067643559</v>
      </c>
      <c r="AE37" s="100">
        <v>2701.2437021400515</v>
      </c>
      <c r="AF37" s="100">
        <v>4.8364462542727971</v>
      </c>
      <c r="AG37" s="100">
        <v>4161.2783571763148</v>
      </c>
      <c r="AH37" s="100">
        <v>7</v>
      </c>
      <c r="AI37" s="100">
        <v>6022.8</v>
      </c>
      <c r="AJ37" s="100">
        <v>6.5933251912121325</v>
      </c>
      <c r="AK37" s="100">
        <v>5672.8969945189183</v>
      </c>
      <c r="AL37" s="100">
        <v>2.5250665092227891</v>
      </c>
      <c r="AM37" s="100">
        <v>2172.5672245352876</v>
      </c>
      <c r="AN37" s="100">
        <v>5</v>
      </c>
      <c r="AO37" s="100">
        <v>4302</v>
      </c>
      <c r="AP37" s="100">
        <v>6</v>
      </c>
      <c r="AQ37" s="100">
        <v>5162.3999999999996</v>
      </c>
      <c r="AR37" s="100">
        <v>9</v>
      </c>
      <c r="AS37" s="100">
        <v>7743.5999999999995</v>
      </c>
      <c r="AT37" s="100">
        <v>6</v>
      </c>
      <c r="AU37" s="100">
        <v>5162.3999999999996</v>
      </c>
      <c r="AV37" s="100">
        <v>4.0392008480879991</v>
      </c>
      <c r="AW37" s="100">
        <v>3475.3284096949142</v>
      </c>
      <c r="AX37" s="100">
        <v>7.0575727311427459</v>
      </c>
      <c r="AY37" s="100">
        <v>6072.3355778752184</v>
      </c>
      <c r="AZ37" s="100">
        <v>5</v>
      </c>
      <c r="BA37" s="100">
        <v>4302</v>
      </c>
      <c r="BB37" s="100">
        <v>5.0518599398545492</v>
      </c>
      <c r="BC37" s="100">
        <v>4346.6202922508537</v>
      </c>
      <c r="BD37" s="100">
        <v>6.0886736878664101</v>
      </c>
      <c r="BE37" s="100">
        <v>5238.6948410402592</v>
      </c>
      <c r="BF37" s="100">
        <v>4.4231191437769573</v>
      </c>
      <c r="BG37" s="100">
        <v>3805.6517113056939</v>
      </c>
      <c r="BH37" s="100">
        <v>3.517950461654344</v>
      </c>
      <c r="BI37" s="100">
        <v>3026.8445772073974</v>
      </c>
      <c r="BJ37" s="100">
        <v>2.9668725268007226</v>
      </c>
      <c r="BK37" s="100">
        <v>2552.6971220593418</v>
      </c>
      <c r="BL37" s="100">
        <v>8.6518501291769478</v>
      </c>
      <c r="BM37" s="100">
        <v>7444.0518511438459</v>
      </c>
      <c r="BN37" s="100">
        <v>6.5946966980014414</v>
      </c>
      <c r="BO37" s="100">
        <v>5674.0770389604404</v>
      </c>
      <c r="BP37" s="100">
        <v>1.2051917737199391</v>
      </c>
      <c r="BQ37" s="100">
        <v>1036.9470021086356</v>
      </c>
      <c r="BR37" s="100">
        <v>9.0138581560617776</v>
      </c>
      <c r="BS37" s="100">
        <v>7755.5235574755534</v>
      </c>
      <c r="BT37" s="100">
        <v>5.7501297843704355</v>
      </c>
      <c r="BU37" s="100">
        <v>4947.4116664723224</v>
      </c>
      <c r="BV37" s="100">
        <v>6.0958387074425904</v>
      </c>
      <c r="BW37" s="100">
        <v>5244.8596238836044</v>
      </c>
      <c r="BX37" s="100">
        <v>5.5813566373425383</v>
      </c>
      <c r="BY37" s="100">
        <v>4802.1992507695195</v>
      </c>
      <c r="BZ37" s="100">
        <v>3.5118082970294271</v>
      </c>
      <c r="CA37" s="100">
        <v>3021.5598587641189</v>
      </c>
      <c r="CB37" s="100">
        <v>6</v>
      </c>
      <c r="CC37" s="100">
        <v>5162.3999999999996</v>
      </c>
      <c r="CD37" s="100">
        <v>8</v>
      </c>
      <c r="CE37" s="100">
        <v>6883.2</v>
      </c>
      <c r="CF37" s="100">
        <v>9</v>
      </c>
      <c r="CG37" s="100">
        <v>7743.5999999999995</v>
      </c>
      <c r="CH37" s="100">
        <v>8</v>
      </c>
      <c r="CI37" s="100">
        <v>6883.2</v>
      </c>
      <c r="CJ37" s="100">
        <v>8</v>
      </c>
      <c r="CK37" s="100">
        <v>6883.2</v>
      </c>
      <c r="CL37" s="100">
        <v>6.2875577300474754</v>
      </c>
      <c r="CM37" s="100">
        <v>5409.8146709328475</v>
      </c>
      <c r="CN37" s="100">
        <v>3.3601525584116803</v>
      </c>
      <c r="CO37" s="100">
        <v>2891.0752612574097</v>
      </c>
      <c r="CP37" s="100">
        <v>7.0283690443269533</v>
      </c>
      <c r="CQ37" s="100">
        <v>6047.2087257389103</v>
      </c>
      <c r="CR37" s="100">
        <v>1.3881834625262859</v>
      </c>
      <c r="CS37" s="100">
        <v>1194.3930511576164</v>
      </c>
      <c r="CT37" s="100">
        <v>5.1737806710138727</v>
      </c>
      <c r="CU37" s="100">
        <v>4451.520889340336</v>
      </c>
    </row>
    <row r="38" spans="2:99">
      <c r="C38" s="99" t="s">
        <v>204</v>
      </c>
      <c r="D38" s="100">
        <v>5</v>
      </c>
      <c r="E38" s="100">
        <v>6210</v>
      </c>
      <c r="F38" s="100">
        <v>6.9744944900423702</v>
      </c>
      <c r="G38" s="100">
        <v>8662.3221566326247</v>
      </c>
      <c r="H38" s="100">
        <v>6</v>
      </c>
      <c r="I38" s="100">
        <v>7452</v>
      </c>
      <c r="J38" s="100">
        <v>6</v>
      </c>
      <c r="K38" s="100">
        <v>7452</v>
      </c>
      <c r="L38" s="100">
        <v>5</v>
      </c>
      <c r="M38" s="100">
        <v>6210</v>
      </c>
      <c r="N38" s="100">
        <v>8</v>
      </c>
      <c r="O38" s="100">
        <v>9936</v>
      </c>
      <c r="P38" s="100">
        <v>6</v>
      </c>
      <c r="Q38" s="100">
        <v>7452</v>
      </c>
      <c r="R38" s="100">
        <v>5</v>
      </c>
      <c r="S38" s="100">
        <v>6210</v>
      </c>
      <c r="T38" s="100">
        <v>8</v>
      </c>
      <c r="U38" s="100">
        <v>9936</v>
      </c>
      <c r="V38" s="100">
        <v>5.1094427940383564</v>
      </c>
      <c r="W38" s="100">
        <v>6345.9279501956389</v>
      </c>
      <c r="X38" s="100">
        <v>7.1688126490892659</v>
      </c>
      <c r="Y38" s="100">
        <v>8903.665310168868</v>
      </c>
      <c r="Z38" s="100">
        <v>3.9388921352377917</v>
      </c>
      <c r="AA38" s="100">
        <v>4892.1040319653375</v>
      </c>
      <c r="AB38" s="100">
        <v>9.2696689105756391</v>
      </c>
      <c r="AC38" s="100">
        <v>11512.928786934945</v>
      </c>
      <c r="AD38" s="100">
        <v>3.0930156643670341</v>
      </c>
      <c r="AE38" s="100">
        <v>3841.5254551438566</v>
      </c>
      <c r="AF38" s="100">
        <v>4.8364462542727971</v>
      </c>
      <c r="AG38" s="100">
        <v>6006.8662478068136</v>
      </c>
      <c r="AH38" s="100">
        <v>7</v>
      </c>
      <c r="AI38" s="100">
        <v>8694</v>
      </c>
      <c r="AJ38" s="100">
        <v>5.7857276586736415</v>
      </c>
      <c r="AK38" s="100">
        <v>7185.8737520726627</v>
      </c>
      <c r="AL38" s="100">
        <v>2.9459109274265876</v>
      </c>
      <c r="AM38" s="100">
        <v>3658.8213718638217</v>
      </c>
      <c r="AN38" s="100">
        <v>5</v>
      </c>
      <c r="AO38" s="100">
        <v>6210</v>
      </c>
      <c r="AP38" s="100">
        <v>6</v>
      </c>
      <c r="AQ38" s="100">
        <v>7452</v>
      </c>
      <c r="AR38" s="100">
        <v>9</v>
      </c>
      <c r="AS38" s="100">
        <v>11178</v>
      </c>
      <c r="AT38" s="100">
        <v>6</v>
      </c>
      <c r="AU38" s="100">
        <v>7452</v>
      </c>
      <c r="AV38" s="100">
        <v>5.0431209328967981</v>
      </c>
      <c r="AW38" s="100">
        <v>6263.5561986578232</v>
      </c>
      <c r="AX38" s="100">
        <v>7.9397693225355885</v>
      </c>
      <c r="AY38" s="100">
        <v>9861.1934985892003</v>
      </c>
      <c r="AZ38" s="100">
        <v>5</v>
      </c>
      <c r="BA38" s="100">
        <v>6210</v>
      </c>
      <c r="BB38" s="100">
        <v>5</v>
      </c>
      <c r="BC38" s="100">
        <v>6210</v>
      </c>
      <c r="BD38" s="100">
        <v>6.9229308507366092</v>
      </c>
      <c r="BE38" s="100">
        <v>8598.2801166148693</v>
      </c>
      <c r="BF38" s="100">
        <v>4.2409981027177341</v>
      </c>
      <c r="BG38" s="100">
        <v>5267.3196435754262</v>
      </c>
      <c r="BH38" s="100">
        <v>4.1756696095639905</v>
      </c>
      <c r="BI38" s="100">
        <v>5186.1816550784761</v>
      </c>
      <c r="BJ38" s="100">
        <v>2.9668725268007226</v>
      </c>
      <c r="BK38" s="100">
        <v>3684.8556782864976</v>
      </c>
      <c r="BL38" s="100">
        <v>8.6518501291769478</v>
      </c>
      <c r="BM38" s="100">
        <v>10745.597860437769</v>
      </c>
      <c r="BN38" s="100">
        <v>6.599671597817319</v>
      </c>
      <c r="BO38" s="100">
        <v>8196.7921244891095</v>
      </c>
      <c r="BP38" s="100">
        <v>1.2051917737199391</v>
      </c>
      <c r="BQ38" s="100">
        <v>1496.8481829601644</v>
      </c>
      <c r="BR38" s="100">
        <v>9.0123183609438016</v>
      </c>
      <c r="BS38" s="100">
        <v>11193.299404292202</v>
      </c>
      <c r="BT38" s="100">
        <v>5.7501297843704355</v>
      </c>
      <c r="BU38" s="100">
        <v>7141.6611921880813</v>
      </c>
      <c r="BV38" s="100">
        <v>5.0952641254061382</v>
      </c>
      <c r="BW38" s="100">
        <v>6328.3180437544233</v>
      </c>
      <c r="BX38" s="100">
        <v>5.6307579894399584</v>
      </c>
      <c r="BY38" s="100">
        <v>6993.401422884428</v>
      </c>
      <c r="BZ38" s="100">
        <v>3.0728322599007485</v>
      </c>
      <c r="CA38" s="100">
        <v>3816.4576667967294</v>
      </c>
      <c r="CB38" s="100">
        <v>6</v>
      </c>
      <c r="CC38" s="100">
        <v>7452</v>
      </c>
      <c r="CD38" s="100">
        <v>8</v>
      </c>
      <c r="CE38" s="100">
        <v>9936</v>
      </c>
      <c r="CF38" s="100">
        <v>9</v>
      </c>
      <c r="CG38" s="100">
        <v>11178</v>
      </c>
      <c r="CH38" s="100">
        <v>8</v>
      </c>
      <c r="CI38" s="100">
        <v>9936</v>
      </c>
      <c r="CJ38" s="100">
        <v>7</v>
      </c>
      <c r="CK38" s="100">
        <v>8694</v>
      </c>
      <c r="CL38" s="100">
        <v>5.5016130137915411</v>
      </c>
      <c r="CM38" s="100">
        <v>6833.0033631290944</v>
      </c>
      <c r="CN38" s="100">
        <v>3.3601525584116803</v>
      </c>
      <c r="CO38" s="100">
        <v>4173.3094775473073</v>
      </c>
      <c r="CP38" s="100">
        <v>7.0283690443269533</v>
      </c>
      <c r="CQ38" s="100">
        <v>8729.2343530540766</v>
      </c>
      <c r="CR38" s="100">
        <v>1.5864953857443267</v>
      </c>
      <c r="CS38" s="100">
        <v>1970.4272690944538</v>
      </c>
      <c r="CT38" s="100">
        <v>4.5270580871371386</v>
      </c>
      <c r="CU38" s="100">
        <v>5622.6061442243263</v>
      </c>
    </row>
    <row r="39" spans="2:99">
      <c r="C39" s="99" t="s">
        <v>205</v>
      </c>
      <c r="D39" s="100">
        <v>5</v>
      </c>
      <c r="E39" s="100">
        <v>7116</v>
      </c>
      <c r="F39" s="100">
        <v>6.9744944900423702</v>
      </c>
      <c r="G39" s="100">
        <v>9926.1005582283015</v>
      </c>
      <c r="H39" s="100">
        <v>5</v>
      </c>
      <c r="I39" s="100">
        <v>7116</v>
      </c>
      <c r="J39" s="100">
        <v>6</v>
      </c>
      <c r="K39" s="100">
        <v>8539.2000000000007</v>
      </c>
      <c r="L39" s="100">
        <v>4</v>
      </c>
      <c r="M39" s="100">
        <v>5692.8</v>
      </c>
      <c r="N39" s="100">
        <v>7</v>
      </c>
      <c r="O39" s="100">
        <v>9962.4</v>
      </c>
      <c r="P39" s="100">
        <v>7</v>
      </c>
      <c r="Q39" s="100">
        <v>9962.4</v>
      </c>
      <c r="R39" s="100">
        <v>5</v>
      </c>
      <c r="S39" s="100">
        <v>7116</v>
      </c>
      <c r="T39" s="100">
        <v>8</v>
      </c>
      <c r="U39" s="100">
        <v>11385.6</v>
      </c>
      <c r="V39" s="100">
        <v>4.5417269280340946</v>
      </c>
      <c r="W39" s="100">
        <v>6463.7857639781232</v>
      </c>
      <c r="X39" s="100">
        <v>6.1929287418163046</v>
      </c>
      <c r="Y39" s="100">
        <v>8813.7761853529646</v>
      </c>
      <c r="Z39" s="100">
        <v>3.5012374535447033</v>
      </c>
      <c r="AA39" s="100">
        <v>4982.9611438848215</v>
      </c>
      <c r="AB39" s="100">
        <v>8.2427020195180738</v>
      </c>
      <c r="AC39" s="100">
        <v>11731.013514178123</v>
      </c>
      <c r="AD39" s="100">
        <v>3.1395208067643559</v>
      </c>
      <c r="AE39" s="100">
        <v>4468.1660121870318</v>
      </c>
      <c r="AF39" s="100">
        <v>4.8364462542727971</v>
      </c>
      <c r="AG39" s="100">
        <v>6883.2303090810447</v>
      </c>
      <c r="AH39" s="100">
        <v>7</v>
      </c>
      <c r="AI39" s="100">
        <v>9962.4</v>
      </c>
      <c r="AJ39" s="100">
        <v>5.752591425947589</v>
      </c>
      <c r="AK39" s="100">
        <v>8187.0881174086089</v>
      </c>
      <c r="AL39" s="100">
        <v>2.9459109274265876</v>
      </c>
      <c r="AM39" s="100">
        <v>4192.6204319135195</v>
      </c>
      <c r="AN39" s="100">
        <v>4</v>
      </c>
      <c r="AO39" s="100">
        <v>5692.8</v>
      </c>
      <c r="AP39" s="100">
        <v>6</v>
      </c>
      <c r="AQ39" s="100">
        <v>8539.2000000000007</v>
      </c>
      <c r="AR39" s="100">
        <v>8</v>
      </c>
      <c r="AS39" s="100">
        <v>11385.6</v>
      </c>
      <c r="AT39" s="100">
        <v>5</v>
      </c>
      <c r="AU39" s="100">
        <v>7116</v>
      </c>
      <c r="AV39" s="100">
        <v>5.0392008480879991</v>
      </c>
      <c r="AW39" s="100">
        <v>7171.7906469988402</v>
      </c>
      <c r="AX39" s="100">
        <v>8.8219659139284303</v>
      </c>
      <c r="AY39" s="100">
        <v>12555.421888702942</v>
      </c>
      <c r="AZ39" s="100">
        <v>6</v>
      </c>
      <c r="BA39" s="100">
        <v>8539.2000000000007</v>
      </c>
      <c r="BB39" s="100">
        <v>5.0481556584363672</v>
      </c>
      <c r="BC39" s="100">
        <v>7184.5351330866379</v>
      </c>
      <c r="BD39" s="100">
        <v>6.8776811147775154</v>
      </c>
      <c r="BE39" s="100">
        <v>9788.3157625513595</v>
      </c>
      <c r="BF39" s="100">
        <v>4.4028834725481545</v>
      </c>
      <c r="BG39" s="100">
        <v>6266.1837581305335</v>
      </c>
      <c r="BH39" s="100">
        <v>4.147000269300726</v>
      </c>
      <c r="BI39" s="100">
        <v>5902.0107832687936</v>
      </c>
      <c r="BJ39" s="100">
        <v>2.9668725268007226</v>
      </c>
      <c r="BK39" s="100">
        <v>4222.4529801427889</v>
      </c>
      <c r="BL39" s="100">
        <v>8.6518501291769478</v>
      </c>
      <c r="BM39" s="100">
        <v>12313.313103844632</v>
      </c>
      <c r="BN39" s="100">
        <v>5.1446860089838502</v>
      </c>
      <c r="BO39" s="100">
        <v>7321.9171279858156</v>
      </c>
      <c r="BP39" s="100">
        <v>1.2051917737199391</v>
      </c>
      <c r="BQ39" s="100">
        <v>1715.2289323582174</v>
      </c>
      <c r="BR39" s="100">
        <v>8.0123183609438016</v>
      </c>
      <c r="BS39" s="100">
        <v>11403.131491295218</v>
      </c>
      <c r="BT39" s="100">
        <v>5.7501297843704355</v>
      </c>
      <c r="BU39" s="100">
        <v>8183.584709116004</v>
      </c>
      <c r="BV39" s="100">
        <v>6.0496430998306536</v>
      </c>
      <c r="BW39" s="100">
        <v>8609.8520596789858</v>
      </c>
      <c r="BX39" s="100">
        <v>4.9996291737135827</v>
      </c>
      <c r="BY39" s="100">
        <v>7115.4722400291712</v>
      </c>
      <c r="BZ39" s="100">
        <v>3.0728322599007485</v>
      </c>
      <c r="CA39" s="100">
        <v>4373.254872290745</v>
      </c>
      <c r="CB39" s="100">
        <v>7</v>
      </c>
      <c r="CC39" s="100">
        <v>9962.4</v>
      </c>
      <c r="CD39" s="100">
        <v>8</v>
      </c>
      <c r="CE39" s="100">
        <v>11385.6</v>
      </c>
      <c r="CF39" s="100">
        <v>8</v>
      </c>
      <c r="CG39" s="100">
        <v>11385.6</v>
      </c>
      <c r="CH39" s="100">
        <v>8</v>
      </c>
      <c r="CI39" s="100">
        <v>11385.6</v>
      </c>
      <c r="CJ39" s="100">
        <v>8</v>
      </c>
      <c r="CK39" s="100">
        <v>11385.6</v>
      </c>
      <c r="CL39" s="100">
        <v>6.2875577300474754</v>
      </c>
      <c r="CM39" s="100">
        <v>8948.4521614035675</v>
      </c>
      <c r="CN39" s="100">
        <v>3.3601525584116803</v>
      </c>
      <c r="CO39" s="100">
        <v>4782.1691211315037</v>
      </c>
      <c r="CP39" s="100">
        <v>7.0283690443269533</v>
      </c>
      <c r="CQ39" s="100">
        <v>10002.77482388612</v>
      </c>
      <c r="CR39" s="100">
        <v>1.3881834625262859</v>
      </c>
      <c r="CS39" s="100">
        <v>1975.6627038674101</v>
      </c>
      <c r="CT39" s="100">
        <v>5.1737806710138727</v>
      </c>
      <c r="CU39" s="100">
        <v>7363.3246509869441</v>
      </c>
    </row>
    <row r="40" spans="2:99">
      <c r="C40" s="99" t="s">
        <v>206</v>
      </c>
      <c r="D40" s="100">
        <v>5</v>
      </c>
      <c r="E40" s="100">
        <v>3624</v>
      </c>
      <c r="F40" s="100">
        <v>6.9744944900423702</v>
      </c>
      <c r="G40" s="100">
        <v>5055.1136063827098</v>
      </c>
      <c r="H40" s="100">
        <v>6</v>
      </c>
      <c r="I40" s="100">
        <v>4348.7999999999993</v>
      </c>
      <c r="J40" s="100">
        <v>7</v>
      </c>
      <c r="K40" s="100">
        <v>5073.5999999999995</v>
      </c>
      <c r="L40" s="100">
        <v>5</v>
      </c>
      <c r="M40" s="100">
        <v>3624</v>
      </c>
      <c r="N40" s="100">
        <v>8</v>
      </c>
      <c r="O40" s="100">
        <v>5798.4</v>
      </c>
      <c r="P40" s="100">
        <v>8</v>
      </c>
      <c r="Q40" s="100">
        <v>5798.4</v>
      </c>
      <c r="R40" s="100">
        <v>5</v>
      </c>
      <c r="S40" s="100">
        <v>3624</v>
      </c>
      <c r="T40" s="100">
        <v>8</v>
      </c>
      <c r="U40" s="100">
        <v>5798.4</v>
      </c>
      <c r="V40" s="100">
        <v>4.5417269280340946</v>
      </c>
      <c r="W40" s="100">
        <v>3291.8436774391116</v>
      </c>
      <c r="X40" s="100">
        <v>7.1929287418163046</v>
      </c>
      <c r="Y40" s="100">
        <v>5213.4347520684569</v>
      </c>
      <c r="Z40" s="100">
        <v>3.9388921352377917</v>
      </c>
      <c r="AA40" s="100">
        <v>2854.909019620351</v>
      </c>
      <c r="AB40" s="100">
        <v>9.2427020195180738</v>
      </c>
      <c r="AC40" s="100">
        <v>6699.1104237466998</v>
      </c>
      <c r="AD40" s="100">
        <v>3.5813902753631015</v>
      </c>
      <c r="AE40" s="100">
        <v>2595.7916715831757</v>
      </c>
      <c r="AF40" s="100">
        <v>4.8364462542727971</v>
      </c>
      <c r="AG40" s="100">
        <v>3505.4562450969229</v>
      </c>
      <c r="AH40" s="100">
        <v>7</v>
      </c>
      <c r="AI40" s="100">
        <v>5073.5999999999995</v>
      </c>
      <c r="AJ40" s="100">
        <v>5.8188638913996957</v>
      </c>
      <c r="AK40" s="100">
        <v>4217.5125484864993</v>
      </c>
      <c r="AL40" s="100">
        <v>2.5250665092227891</v>
      </c>
      <c r="AM40" s="100">
        <v>1830.1682058846775</v>
      </c>
      <c r="AN40" s="100">
        <v>5</v>
      </c>
      <c r="AO40" s="100">
        <v>3624</v>
      </c>
      <c r="AP40" s="100">
        <v>7</v>
      </c>
      <c r="AQ40" s="100">
        <v>5073.5999999999995</v>
      </c>
      <c r="AR40" s="100">
        <v>9</v>
      </c>
      <c r="AS40" s="100">
        <v>6523.2</v>
      </c>
      <c r="AT40" s="100">
        <v>6</v>
      </c>
      <c r="AU40" s="100">
        <v>4348.7999999999993</v>
      </c>
      <c r="AV40" s="100">
        <v>5.0431209328967981</v>
      </c>
      <c r="AW40" s="100">
        <v>3655.2540521635992</v>
      </c>
      <c r="AX40" s="100">
        <v>7.9397693225355885</v>
      </c>
      <c r="AY40" s="100">
        <v>5754.7448049737941</v>
      </c>
      <c r="AZ40" s="100">
        <v>5</v>
      </c>
      <c r="BA40" s="100">
        <v>3624</v>
      </c>
      <c r="BB40" s="100">
        <v>6</v>
      </c>
      <c r="BC40" s="100">
        <v>4348.7999999999993</v>
      </c>
      <c r="BD40" s="100">
        <v>6.0660488198868636</v>
      </c>
      <c r="BE40" s="100">
        <v>4396.6721846539986</v>
      </c>
      <c r="BF40" s="100">
        <v>4.4231191437769573</v>
      </c>
      <c r="BG40" s="100">
        <v>3205.8767554095384</v>
      </c>
      <c r="BH40" s="100">
        <v>3.4892811213910795</v>
      </c>
      <c r="BI40" s="100">
        <v>2529.0309567842542</v>
      </c>
      <c r="BJ40" s="100">
        <v>3.3377315926508131</v>
      </c>
      <c r="BK40" s="100">
        <v>2419.1878583533094</v>
      </c>
      <c r="BL40" s="100">
        <v>8.6518501291769478</v>
      </c>
      <c r="BM40" s="100">
        <v>6270.8609736274511</v>
      </c>
      <c r="BN40" s="100">
        <v>5.8846160529402782</v>
      </c>
      <c r="BO40" s="100">
        <v>4265.1697151711132</v>
      </c>
      <c r="BP40" s="100">
        <v>1.2051917737199391</v>
      </c>
      <c r="BQ40" s="100">
        <v>873.52299759221182</v>
      </c>
      <c r="BR40" s="100">
        <v>9.0138581560617776</v>
      </c>
      <c r="BS40" s="100">
        <v>6533.2443915135764</v>
      </c>
      <c r="BT40" s="100">
        <v>6.3890330937449287</v>
      </c>
      <c r="BU40" s="100">
        <v>4630.7711863463237</v>
      </c>
      <c r="BV40" s="100">
        <v>6.0958387074425904</v>
      </c>
      <c r="BW40" s="100">
        <v>4418.2638951543895</v>
      </c>
      <c r="BX40" s="100">
        <v>5.0243298497622924</v>
      </c>
      <c r="BY40" s="100">
        <v>3641.6342751077091</v>
      </c>
      <c r="BZ40" s="100">
        <v>3.0728322599007485</v>
      </c>
      <c r="CA40" s="100">
        <v>2227.1888219760622</v>
      </c>
      <c r="CB40" s="100">
        <v>7</v>
      </c>
      <c r="CC40" s="100">
        <v>5073.5999999999995</v>
      </c>
      <c r="CD40" s="100">
        <v>8</v>
      </c>
      <c r="CE40" s="100">
        <v>5798.4</v>
      </c>
      <c r="CF40" s="100">
        <v>10</v>
      </c>
      <c r="CG40" s="100">
        <v>7248</v>
      </c>
      <c r="CH40" s="100">
        <v>9</v>
      </c>
      <c r="CI40" s="100">
        <v>6523.2</v>
      </c>
      <c r="CJ40" s="100">
        <v>8</v>
      </c>
      <c r="CK40" s="100">
        <v>5798.4</v>
      </c>
      <c r="CL40" s="100">
        <v>5.5016130137915411</v>
      </c>
      <c r="CM40" s="100">
        <v>3987.5691123961087</v>
      </c>
      <c r="CN40" s="100">
        <v>3.3601525584116803</v>
      </c>
      <c r="CO40" s="100">
        <v>2435.4385743367857</v>
      </c>
      <c r="CP40" s="100">
        <v>7.8092989381410591</v>
      </c>
      <c r="CQ40" s="100">
        <v>5660.1798703646391</v>
      </c>
      <c r="CR40" s="100">
        <v>1.3881834625262859</v>
      </c>
      <c r="CS40" s="100">
        <v>1006.155373639052</v>
      </c>
      <c r="CT40" s="100">
        <v>5.1737806710138727</v>
      </c>
      <c r="CU40" s="100">
        <v>3749.9562303508546</v>
      </c>
    </row>
    <row r="41" spans="2:99">
      <c r="C41" s="99" t="s">
        <v>207</v>
      </c>
      <c r="D41" s="100">
        <v>5</v>
      </c>
      <c r="E41" s="100">
        <v>3300</v>
      </c>
      <c r="F41" s="100">
        <v>6.9744944900423702</v>
      </c>
      <c r="G41" s="100">
        <v>4603.1663634279639</v>
      </c>
      <c r="H41" s="100">
        <v>6</v>
      </c>
      <c r="I41" s="100">
        <v>3960</v>
      </c>
      <c r="J41" s="100">
        <v>7</v>
      </c>
      <c r="K41" s="100">
        <v>4620</v>
      </c>
      <c r="L41" s="100">
        <v>4</v>
      </c>
      <c r="M41" s="100">
        <v>2640</v>
      </c>
      <c r="N41" s="100">
        <v>8</v>
      </c>
      <c r="O41" s="100">
        <v>5280</v>
      </c>
      <c r="P41" s="100">
        <v>8</v>
      </c>
      <c r="Q41" s="100">
        <v>5280</v>
      </c>
      <c r="R41" s="100">
        <v>5</v>
      </c>
      <c r="S41" s="100">
        <v>3300</v>
      </c>
      <c r="T41" s="100">
        <v>7</v>
      </c>
      <c r="U41" s="100">
        <v>4620</v>
      </c>
      <c r="V41" s="100">
        <v>5.1094427940383564</v>
      </c>
      <c r="W41" s="100">
        <v>3372.2322440653152</v>
      </c>
      <c r="X41" s="100">
        <v>6.1688126490892659</v>
      </c>
      <c r="Y41" s="100">
        <v>4071.4163483989155</v>
      </c>
      <c r="Z41" s="100">
        <v>3.9388921352377917</v>
      </c>
      <c r="AA41" s="100">
        <v>2599.6688092569425</v>
      </c>
      <c r="AB41" s="100">
        <v>8.2427020195180738</v>
      </c>
      <c r="AC41" s="100">
        <v>5440.1833328819284</v>
      </c>
      <c r="AD41" s="100">
        <v>3.5813902753631015</v>
      </c>
      <c r="AE41" s="100">
        <v>2363.7175817396469</v>
      </c>
      <c r="AF41" s="100">
        <v>4.8364462542727971</v>
      </c>
      <c r="AG41" s="100">
        <v>3192.0545278200461</v>
      </c>
      <c r="AH41" s="100">
        <v>6</v>
      </c>
      <c r="AI41" s="100">
        <v>3960</v>
      </c>
      <c r="AJ41" s="100">
        <v>5.7857276586736415</v>
      </c>
      <c r="AK41" s="100">
        <v>3818.5802547246035</v>
      </c>
      <c r="AL41" s="100">
        <v>2.5250665092227891</v>
      </c>
      <c r="AM41" s="100">
        <v>1666.5438960870408</v>
      </c>
      <c r="AN41" s="100">
        <v>5</v>
      </c>
      <c r="AO41" s="100">
        <v>3300</v>
      </c>
      <c r="AP41" s="100">
        <v>7</v>
      </c>
      <c r="AQ41" s="100">
        <v>4620</v>
      </c>
      <c r="AR41" s="100">
        <v>9</v>
      </c>
      <c r="AS41" s="100">
        <v>5940</v>
      </c>
      <c r="AT41" s="100">
        <v>6</v>
      </c>
      <c r="AU41" s="100">
        <v>3960</v>
      </c>
      <c r="AV41" s="100">
        <v>5.0431209328967981</v>
      </c>
      <c r="AW41" s="100">
        <v>3328.4598157118867</v>
      </c>
      <c r="AX41" s="100">
        <v>8.8219659139284303</v>
      </c>
      <c r="AY41" s="100">
        <v>5822.4975031927643</v>
      </c>
      <c r="AZ41" s="100">
        <v>5</v>
      </c>
      <c r="BA41" s="100">
        <v>3300</v>
      </c>
      <c r="BB41" s="100">
        <v>6.0555642212727312</v>
      </c>
      <c r="BC41" s="100">
        <v>3996.6723860400025</v>
      </c>
      <c r="BD41" s="100">
        <v>6.0886736878664101</v>
      </c>
      <c r="BE41" s="100">
        <v>4018.5246339918308</v>
      </c>
      <c r="BF41" s="100">
        <v>3.7365217978861374</v>
      </c>
      <c r="BG41" s="100">
        <v>2466.1043866048508</v>
      </c>
      <c r="BH41" s="100">
        <v>4.147000269300726</v>
      </c>
      <c r="BI41" s="100">
        <v>2737.0201777384791</v>
      </c>
      <c r="BJ41" s="100">
        <v>2.9668725268007226</v>
      </c>
      <c r="BK41" s="100">
        <v>1958.135867688477</v>
      </c>
      <c r="BL41" s="100">
        <v>7.6905334481572867</v>
      </c>
      <c r="BM41" s="100">
        <v>5075.7520757838092</v>
      </c>
      <c r="BN41" s="100">
        <v>6.6046464976331967</v>
      </c>
      <c r="BO41" s="100">
        <v>4359.0666884379098</v>
      </c>
      <c r="BP41" s="100">
        <v>1.2051917737199391</v>
      </c>
      <c r="BQ41" s="100">
        <v>795.42657065515982</v>
      </c>
      <c r="BR41" s="100">
        <v>9.0138581560617776</v>
      </c>
      <c r="BS41" s="100">
        <v>5949.1463830007733</v>
      </c>
      <c r="BT41" s="100">
        <v>5.7501297843704355</v>
      </c>
      <c r="BU41" s="100">
        <v>3795.0856576844876</v>
      </c>
      <c r="BV41" s="100">
        <v>6.0958387074425904</v>
      </c>
      <c r="BW41" s="100">
        <v>4023.2535469121099</v>
      </c>
      <c r="BX41" s="100">
        <v>5.6060573133912479</v>
      </c>
      <c r="BY41" s="100">
        <v>3699.9978268382238</v>
      </c>
      <c r="BZ41" s="100">
        <v>3.5118082970294271</v>
      </c>
      <c r="CA41" s="100">
        <v>2317.7934760394219</v>
      </c>
      <c r="CB41" s="100">
        <v>7</v>
      </c>
      <c r="CC41" s="100">
        <v>4620</v>
      </c>
      <c r="CD41" s="100">
        <v>9</v>
      </c>
      <c r="CE41" s="100">
        <v>5940</v>
      </c>
      <c r="CF41" s="100">
        <v>10</v>
      </c>
      <c r="CG41" s="100">
        <v>6600</v>
      </c>
      <c r="CH41" s="100">
        <v>8</v>
      </c>
      <c r="CI41" s="100">
        <v>5280</v>
      </c>
      <c r="CJ41" s="100">
        <v>8</v>
      </c>
      <c r="CK41" s="100">
        <v>5280</v>
      </c>
      <c r="CL41" s="100">
        <v>6.2875577300474754</v>
      </c>
      <c r="CM41" s="100">
        <v>4149.7881018313337</v>
      </c>
      <c r="CN41" s="100">
        <v>4.0321830700940158</v>
      </c>
      <c r="CO41" s="100">
        <v>2661.2408262620506</v>
      </c>
      <c r="CP41" s="100">
        <v>7.8092989381410591</v>
      </c>
      <c r="CQ41" s="100">
        <v>5154.1372991730987</v>
      </c>
      <c r="CR41" s="100">
        <v>1.3881834625262859</v>
      </c>
      <c r="CS41" s="100">
        <v>916.20108526734873</v>
      </c>
      <c r="CT41" s="100">
        <v>5.1737806710138727</v>
      </c>
      <c r="CU41" s="100">
        <v>3414.6952428691561</v>
      </c>
    </row>
    <row r="42" spans="2:99">
      <c r="C42" s="99" t="s">
        <v>208</v>
      </c>
      <c r="D42" s="100">
        <v>5</v>
      </c>
      <c r="E42" s="100">
        <v>4230</v>
      </c>
      <c r="F42" s="100">
        <v>6.9744944900423702</v>
      </c>
      <c r="G42" s="100">
        <v>5900.4223385758451</v>
      </c>
      <c r="H42" s="100">
        <v>6</v>
      </c>
      <c r="I42" s="100">
        <v>5076</v>
      </c>
      <c r="J42" s="100">
        <v>7</v>
      </c>
      <c r="K42" s="100">
        <v>5922</v>
      </c>
      <c r="L42" s="100">
        <v>4</v>
      </c>
      <c r="M42" s="100">
        <v>3384</v>
      </c>
      <c r="N42" s="100">
        <v>8</v>
      </c>
      <c r="O42" s="100">
        <v>6768</v>
      </c>
      <c r="P42" s="100">
        <v>8</v>
      </c>
      <c r="Q42" s="100">
        <v>6768</v>
      </c>
      <c r="R42" s="100">
        <v>5</v>
      </c>
      <c r="S42" s="100">
        <v>4230</v>
      </c>
      <c r="T42" s="100">
        <v>8</v>
      </c>
      <c r="U42" s="100">
        <v>6768</v>
      </c>
      <c r="V42" s="100">
        <v>4.5417269280340946</v>
      </c>
      <c r="W42" s="100">
        <v>3842.300981116844</v>
      </c>
      <c r="X42" s="100">
        <v>7.1929287418163046</v>
      </c>
      <c r="Y42" s="100">
        <v>6085.2177155765939</v>
      </c>
      <c r="Z42" s="100">
        <v>3.9388921352377917</v>
      </c>
      <c r="AA42" s="100">
        <v>3332.3027464111719</v>
      </c>
      <c r="AB42" s="100">
        <v>8.2427020195180738</v>
      </c>
      <c r="AC42" s="100">
        <v>6973.3259085122909</v>
      </c>
      <c r="AD42" s="100">
        <v>3.6278954177604241</v>
      </c>
      <c r="AE42" s="100">
        <v>3069.1995234253186</v>
      </c>
      <c r="AF42" s="100">
        <v>4.2990633371313747</v>
      </c>
      <c r="AG42" s="100">
        <v>3637.0075832131429</v>
      </c>
      <c r="AH42" s="100">
        <v>7</v>
      </c>
      <c r="AI42" s="100">
        <v>5922</v>
      </c>
      <c r="AJ42" s="100">
        <v>6.5933251912121325</v>
      </c>
      <c r="AK42" s="100">
        <v>5577.9531117654642</v>
      </c>
      <c r="AL42" s="100">
        <v>2.9459109274265876</v>
      </c>
      <c r="AM42" s="100">
        <v>2492.2406446028931</v>
      </c>
      <c r="AN42" s="100">
        <v>5</v>
      </c>
      <c r="AO42" s="100">
        <v>4230</v>
      </c>
      <c r="AP42" s="100">
        <v>6</v>
      </c>
      <c r="AQ42" s="100">
        <v>5076</v>
      </c>
      <c r="AR42" s="100">
        <v>9</v>
      </c>
      <c r="AS42" s="100">
        <v>7614</v>
      </c>
      <c r="AT42" s="100">
        <v>5</v>
      </c>
      <c r="AU42" s="100">
        <v>4230</v>
      </c>
      <c r="AV42" s="100">
        <v>5.0392008480879991</v>
      </c>
      <c r="AW42" s="100">
        <v>4263.1639174824468</v>
      </c>
      <c r="AX42" s="100">
        <v>7.9397693225355885</v>
      </c>
      <c r="AY42" s="100">
        <v>6717.0448468651075</v>
      </c>
      <c r="AZ42" s="100">
        <v>6</v>
      </c>
      <c r="BA42" s="100">
        <v>5076</v>
      </c>
      <c r="BB42" s="100">
        <v>5</v>
      </c>
      <c r="BC42" s="100">
        <v>4230</v>
      </c>
      <c r="BD42" s="100">
        <v>6.9003059827570619</v>
      </c>
      <c r="BE42" s="100">
        <v>5837.6588614124739</v>
      </c>
      <c r="BF42" s="100">
        <v>4.4231191437769573</v>
      </c>
      <c r="BG42" s="100">
        <v>3741.9587956353057</v>
      </c>
      <c r="BH42" s="100">
        <v>4.147000269300726</v>
      </c>
      <c r="BI42" s="100">
        <v>3508.3622278284142</v>
      </c>
      <c r="BJ42" s="100">
        <v>2.5960134609506325</v>
      </c>
      <c r="BK42" s="100">
        <v>2196.2273879642353</v>
      </c>
      <c r="BL42" s="100">
        <v>8.6518501291769478</v>
      </c>
      <c r="BM42" s="100">
        <v>7319.4652092836977</v>
      </c>
      <c r="BN42" s="100">
        <v>5.8696913534926471</v>
      </c>
      <c r="BO42" s="100">
        <v>4965.7588850547791</v>
      </c>
      <c r="BP42" s="100">
        <v>1.2051917737199391</v>
      </c>
      <c r="BQ42" s="100">
        <v>1019.5922405670685</v>
      </c>
      <c r="BR42" s="100">
        <v>8.0138581560617776</v>
      </c>
      <c r="BS42" s="100">
        <v>6779.7240000282636</v>
      </c>
      <c r="BT42" s="100">
        <v>5.7501297843704355</v>
      </c>
      <c r="BU42" s="100">
        <v>4864.6097975773882</v>
      </c>
      <c r="BV42" s="100">
        <v>6.142034315054528</v>
      </c>
      <c r="BW42" s="100">
        <v>5196.161030536131</v>
      </c>
      <c r="BX42" s="100">
        <v>5.0243298497622924</v>
      </c>
      <c r="BY42" s="100">
        <v>4250.583052898899</v>
      </c>
      <c r="BZ42" s="100">
        <v>3.0728322599007485</v>
      </c>
      <c r="CA42" s="100">
        <v>2599.6160918760334</v>
      </c>
      <c r="CB42" s="100">
        <v>7</v>
      </c>
      <c r="CC42" s="100">
        <v>5922</v>
      </c>
      <c r="CD42" s="100">
        <v>9</v>
      </c>
      <c r="CE42" s="100">
        <v>7614</v>
      </c>
      <c r="CF42" s="100">
        <v>8</v>
      </c>
      <c r="CG42" s="100">
        <v>6768</v>
      </c>
      <c r="CH42" s="100">
        <v>7</v>
      </c>
      <c r="CI42" s="100">
        <v>5922</v>
      </c>
      <c r="CJ42" s="100">
        <v>8</v>
      </c>
      <c r="CK42" s="100">
        <v>6768</v>
      </c>
      <c r="CL42" s="100">
        <v>6.2875577300474754</v>
      </c>
      <c r="CM42" s="100">
        <v>5319.2738396201639</v>
      </c>
      <c r="CN42" s="100">
        <v>3.3601525584116803</v>
      </c>
      <c r="CO42" s="100">
        <v>2842.6890644162813</v>
      </c>
      <c r="CP42" s="100">
        <v>7.0283690443269533</v>
      </c>
      <c r="CQ42" s="100">
        <v>5946.0002115006027</v>
      </c>
      <c r="CR42" s="100">
        <v>1.3881834625262859</v>
      </c>
      <c r="CS42" s="100">
        <v>1174.4032092972379</v>
      </c>
      <c r="CT42" s="100">
        <v>5.1737806710138727</v>
      </c>
      <c r="CU42" s="100">
        <v>4377.0184476777367</v>
      </c>
    </row>
    <row r="43" spans="2:99">
      <c r="C43" s="99" t="s">
        <v>209</v>
      </c>
      <c r="D43" s="100">
        <v>4</v>
      </c>
      <c r="E43" s="100">
        <v>4089.6</v>
      </c>
      <c r="F43" s="100">
        <v>6.9744944900423702</v>
      </c>
      <c r="G43" s="100">
        <v>7130.7231666193193</v>
      </c>
      <c r="H43" s="100">
        <v>6</v>
      </c>
      <c r="I43" s="100">
        <v>6134.4</v>
      </c>
      <c r="J43" s="100">
        <v>6</v>
      </c>
      <c r="K43" s="100">
        <v>6134.4</v>
      </c>
      <c r="L43" s="100">
        <v>5</v>
      </c>
      <c r="M43" s="100">
        <v>5112</v>
      </c>
      <c r="N43" s="100">
        <v>7</v>
      </c>
      <c r="O43" s="100">
        <v>7156.8</v>
      </c>
      <c r="P43" s="100">
        <v>7</v>
      </c>
      <c r="Q43" s="100">
        <v>7156.8</v>
      </c>
      <c r="R43" s="100">
        <v>5</v>
      </c>
      <c r="S43" s="100">
        <v>5112</v>
      </c>
      <c r="T43" s="100">
        <v>7</v>
      </c>
      <c r="U43" s="100">
        <v>7156.8</v>
      </c>
      <c r="V43" s="100">
        <v>5.1094427940383564</v>
      </c>
      <c r="W43" s="100">
        <v>5223.8943126248159</v>
      </c>
      <c r="X43" s="100">
        <v>6.1929287418163046</v>
      </c>
      <c r="Y43" s="100">
        <v>6331.6503456329892</v>
      </c>
      <c r="Z43" s="100">
        <v>3.9388921352377917</v>
      </c>
      <c r="AA43" s="100">
        <v>4027.1233190671182</v>
      </c>
      <c r="AB43" s="100">
        <v>8.2157351284605102</v>
      </c>
      <c r="AC43" s="100">
        <v>8399.7675953380258</v>
      </c>
      <c r="AD43" s="100">
        <v>3.0930156643670341</v>
      </c>
      <c r="AE43" s="100">
        <v>3162.2992152488555</v>
      </c>
      <c r="AF43" s="100">
        <v>4.2990633371313747</v>
      </c>
      <c r="AG43" s="100">
        <v>4395.3623558831177</v>
      </c>
      <c r="AH43" s="100">
        <v>7</v>
      </c>
      <c r="AI43" s="100">
        <v>7156.8</v>
      </c>
      <c r="AJ43" s="100">
        <v>5.8188638913996957</v>
      </c>
      <c r="AK43" s="100">
        <v>5949.2064425670487</v>
      </c>
      <c r="AL43" s="100">
        <v>2.5250665092227891</v>
      </c>
      <c r="AM43" s="100">
        <v>2581.6279990293797</v>
      </c>
      <c r="AN43" s="100">
        <v>4</v>
      </c>
      <c r="AO43" s="100">
        <v>4089.6</v>
      </c>
      <c r="AP43" s="100">
        <v>7</v>
      </c>
      <c r="AQ43" s="100">
        <v>7156.8</v>
      </c>
      <c r="AR43" s="100">
        <v>9</v>
      </c>
      <c r="AS43" s="100">
        <v>9201.6</v>
      </c>
      <c r="AT43" s="100">
        <v>6</v>
      </c>
      <c r="AU43" s="100">
        <v>6134.4</v>
      </c>
      <c r="AV43" s="100">
        <v>5.0392008480879991</v>
      </c>
      <c r="AW43" s="100">
        <v>5152.0789470851705</v>
      </c>
      <c r="AX43" s="100">
        <v>7.9397693225355885</v>
      </c>
      <c r="AY43" s="100">
        <v>8117.620155360386</v>
      </c>
      <c r="AZ43" s="100">
        <v>6</v>
      </c>
      <c r="BA43" s="100">
        <v>6134.4</v>
      </c>
      <c r="BB43" s="100">
        <v>6</v>
      </c>
      <c r="BC43" s="100">
        <v>6134.4</v>
      </c>
      <c r="BD43" s="100">
        <v>6.0886736878664101</v>
      </c>
      <c r="BE43" s="100">
        <v>6225.0599784746173</v>
      </c>
      <c r="BF43" s="100">
        <v>4.4231191437769573</v>
      </c>
      <c r="BG43" s="100">
        <v>4522.1970125975613</v>
      </c>
      <c r="BH43" s="100">
        <v>3.517950461654344</v>
      </c>
      <c r="BI43" s="100">
        <v>3596.7525519954011</v>
      </c>
      <c r="BJ43" s="100">
        <v>2.5960134609506325</v>
      </c>
      <c r="BK43" s="100">
        <v>2654.1641624759268</v>
      </c>
      <c r="BL43" s="100">
        <v>8.6518501291769478</v>
      </c>
      <c r="BM43" s="100">
        <v>8845.651572070512</v>
      </c>
      <c r="BN43" s="100">
        <v>6.5946966980014414</v>
      </c>
      <c r="BO43" s="100">
        <v>6742.4179040366735</v>
      </c>
      <c r="BP43" s="100">
        <v>1.2051917737199391</v>
      </c>
      <c r="BQ43" s="100">
        <v>1232.1880694512658</v>
      </c>
      <c r="BR43" s="100">
        <v>10.012318360943802</v>
      </c>
      <c r="BS43" s="100">
        <v>10236.594292228943</v>
      </c>
      <c r="BT43" s="100">
        <v>5.7501297843704355</v>
      </c>
      <c r="BU43" s="100">
        <v>5878.9326915403335</v>
      </c>
      <c r="BV43" s="100">
        <v>6.142034315054528</v>
      </c>
      <c r="BW43" s="100">
        <v>6279.6158837117491</v>
      </c>
      <c r="BX43" s="100">
        <v>5.0243298497622924</v>
      </c>
      <c r="BY43" s="100">
        <v>5136.8748383969678</v>
      </c>
      <c r="BZ43" s="100">
        <v>3.0728322599007485</v>
      </c>
      <c r="CA43" s="100">
        <v>3141.663702522525</v>
      </c>
      <c r="CB43" s="100">
        <v>7</v>
      </c>
      <c r="CC43" s="100">
        <v>7156.8</v>
      </c>
      <c r="CD43" s="100">
        <v>8</v>
      </c>
      <c r="CE43" s="100">
        <v>8179.2</v>
      </c>
      <c r="CF43" s="100">
        <v>9</v>
      </c>
      <c r="CG43" s="100">
        <v>9201.6</v>
      </c>
      <c r="CH43" s="100">
        <v>7</v>
      </c>
      <c r="CI43" s="100">
        <v>7156.8</v>
      </c>
      <c r="CJ43" s="100">
        <v>8</v>
      </c>
      <c r="CK43" s="100">
        <v>8179.2</v>
      </c>
      <c r="CL43" s="100">
        <v>6.2875577300474754</v>
      </c>
      <c r="CM43" s="100">
        <v>6428.399023200539</v>
      </c>
      <c r="CN43" s="100">
        <v>3.3601525584116803</v>
      </c>
      <c r="CO43" s="100">
        <v>3435.4199757201018</v>
      </c>
      <c r="CP43" s="100">
        <v>7.8092989381410591</v>
      </c>
      <c r="CQ43" s="100">
        <v>7984.2272343554187</v>
      </c>
      <c r="CR43" s="100">
        <v>1.5864953857443267</v>
      </c>
      <c r="CS43" s="100">
        <v>1622.0328823849995</v>
      </c>
      <c r="CT43" s="100">
        <v>5.1737806710138727</v>
      </c>
      <c r="CU43" s="100">
        <v>5289.6733580445834</v>
      </c>
    </row>
    <row r="44" spans="2:99">
      <c r="C44" s="99" t="s">
        <v>210</v>
      </c>
      <c r="D44" s="100">
        <v>5</v>
      </c>
      <c r="E44" s="100">
        <v>5112</v>
      </c>
      <c r="F44" s="100">
        <v>6.9744944900423702</v>
      </c>
      <c r="G44" s="100">
        <v>7130.7231666193193</v>
      </c>
      <c r="H44" s="100">
        <v>6</v>
      </c>
      <c r="I44" s="100">
        <v>6134.4</v>
      </c>
      <c r="J44" s="100">
        <v>7</v>
      </c>
      <c r="K44" s="100">
        <v>7156.8</v>
      </c>
      <c r="L44" s="100">
        <v>5</v>
      </c>
      <c r="M44" s="100">
        <v>5112</v>
      </c>
      <c r="N44" s="100">
        <v>8</v>
      </c>
      <c r="O44" s="100">
        <v>8179.2</v>
      </c>
      <c r="P44" s="100">
        <v>8</v>
      </c>
      <c r="Q44" s="100">
        <v>8179.2</v>
      </c>
      <c r="R44" s="100">
        <v>5</v>
      </c>
      <c r="S44" s="100">
        <v>5112</v>
      </c>
      <c r="T44" s="100">
        <v>8</v>
      </c>
      <c r="U44" s="100">
        <v>8179.2</v>
      </c>
      <c r="V44" s="100">
        <v>4.5417269280340946</v>
      </c>
      <c r="W44" s="100">
        <v>4643.4616112220583</v>
      </c>
      <c r="X44" s="100">
        <v>7.1688126490892659</v>
      </c>
      <c r="Y44" s="100">
        <v>7329.3940524288655</v>
      </c>
      <c r="Z44" s="100">
        <v>3.5012374535447033</v>
      </c>
      <c r="AA44" s="100">
        <v>3579.6651725041047</v>
      </c>
      <c r="AB44" s="100">
        <v>8.2696689105756391</v>
      </c>
      <c r="AC44" s="100">
        <v>8454.9094941725325</v>
      </c>
      <c r="AD44" s="100">
        <v>3.0930156643670341</v>
      </c>
      <c r="AE44" s="100">
        <v>3162.2992152488555</v>
      </c>
      <c r="AF44" s="100">
        <v>4.8364462542727971</v>
      </c>
      <c r="AG44" s="100">
        <v>4944.7826503685073</v>
      </c>
      <c r="AH44" s="100">
        <v>6</v>
      </c>
      <c r="AI44" s="100">
        <v>6134.4</v>
      </c>
      <c r="AJ44" s="100">
        <v>6.5933251912121325</v>
      </c>
      <c r="AK44" s="100">
        <v>6741.0156754952841</v>
      </c>
      <c r="AL44" s="100">
        <v>2.5250665092227891</v>
      </c>
      <c r="AM44" s="100">
        <v>2581.6279990293797</v>
      </c>
      <c r="AN44" s="100">
        <v>5</v>
      </c>
      <c r="AO44" s="100">
        <v>5112</v>
      </c>
      <c r="AP44" s="100">
        <v>7</v>
      </c>
      <c r="AQ44" s="100">
        <v>7156.8</v>
      </c>
      <c r="AR44" s="100">
        <v>8</v>
      </c>
      <c r="AS44" s="100">
        <v>8179.2</v>
      </c>
      <c r="AT44" s="100">
        <v>5</v>
      </c>
      <c r="AU44" s="100">
        <v>5112</v>
      </c>
      <c r="AV44" s="100">
        <v>5.0431209328967981</v>
      </c>
      <c r="AW44" s="100">
        <v>5156.0868417936863</v>
      </c>
      <c r="AX44" s="100">
        <v>8.8219659139284303</v>
      </c>
      <c r="AY44" s="100">
        <v>9019.5779504004277</v>
      </c>
      <c r="AZ44" s="100">
        <v>5</v>
      </c>
      <c r="BA44" s="100">
        <v>5112</v>
      </c>
      <c r="BB44" s="100">
        <v>5.0481556584363672</v>
      </c>
      <c r="BC44" s="100">
        <v>5161.2343451853412</v>
      </c>
      <c r="BD44" s="100">
        <v>6.0660488198868636</v>
      </c>
      <c r="BE44" s="100">
        <v>6201.9283134523293</v>
      </c>
      <c r="BF44" s="100">
        <v>4.44335481500576</v>
      </c>
      <c r="BG44" s="100">
        <v>4542.8859628618893</v>
      </c>
      <c r="BH44" s="100">
        <v>3.4892811213910795</v>
      </c>
      <c r="BI44" s="100">
        <v>3567.4410185102397</v>
      </c>
      <c r="BJ44" s="100">
        <v>2.5960134609506325</v>
      </c>
      <c r="BK44" s="100">
        <v>2654.1641624759268</v>
      </c>
      <c r="BL44" s="100">
        <v>8.6518501291769478</v>
      </c>
      <c r="BM44" s="100">
        <v>8845.651572070512</v>
      </c>
      <c r="BN44" s="100">
        <v>5.1546358086156063</v>
      </c>
      <c r="BO44" s="100">
        <v>5270.0996507285954</v>
      </c>
      <c r="BP44" s="100">
        <v>1.0043264780999495</v>
      </c>
      <c r="BQ44" s="100">
        <v>1026.8233912093883</v>
      </c>
      <c r="BR44" s="100">
        <v>8.0138581560617776</v>
      </c>
      <c r="BS44" s="100">
        <v>8193.3685787575614</v>
      </c>
      <c r="BT44" s="100">
        <v>5.7501297843704355</v>
      </c>
      <c r="BU44" s="100">
        <v>5878.9326915403335</v>
      </c>
      <c r="BV44" s="100">
        <v>6.0958387074425904</v>
      </c>
      <c r="BW44" s="100">
        <v>6232.3854944893046</v>
      </c>
      <c r="BX44" s="100">
        <v>5.0243298497622924</v>
      </c>
      <c r="BY44" s="100">
        <v>5136.8748383969678</v>
      </c>
      <c r="BZ44" s="100">
        <v>3.5118082970294271</v>
      </c>
      <c r="CA44" s="100">
        <v>3590.4728028828863</v>
      </c>
      <c r="CB44" s="100">
        <v>6</v>
      </c>
      <c r="CC44" s="100">
        <v>6134.4</v>
      </c>
      <c r="CD44" s="100">
        <v>8</v>
      </c>
      <c r="CE44" s="100">
        <v>8179.2</v>
      </c>
      <c r="CF44" s="100">
        <v>8</v>
      </c>
      <c r="CG44" s="100">
        <v>8179.2</v>
      </c>
      <c r="CH44" s="100">
        <v>8</v>
      </c>
      <c r="CI44" s="100">
        <v>8179.2</v>
      </c>
      <c r="CJ44" s="100">
        <v>8</v>
      </c>
      <c r="CK44" s="100">
        <v>8179.2</v>
      </c>
      <c r="CL44" s="100">
        <v>6.2875577300474754</v>
      </c>
      <c r="CM44" s="100">
        <v>6428.399023200539</v>
      </c>
      <c r="CN44" s="100">
        <v>4.0321830700940158</v>
      </c>
      <c r="CO44" s="100">
        <v>4122.5039708641216</v>
      </c>
      <c r="CP44" s="100">
        <v>7.0283690443269533</v>
      </c>
      <c r="CQ44" s="100">
        <v>7185.8045109198765</v>
      </c>
      <c r="CR44" s="100">
        <v>1.5864953857443267</v>
      </c>
      <c r="CS44" s="100">
        <v>1622.0328823849995</v>
      </c>
      <c r="CT44" s="100">
        <v>5.1737806710138727</v>
      </c>
      <c r="CU44" s="100">
        <v>5289.6733580445834</v>
      </c>
    </row>
    <row r="45" spans="2:99">
      <c r="C45" s="99" t="s">
        <v>211</v>
      </c>
      <c r="D45" s="100">
        <v>4</v>
      </c>
      <c r="E45" s="100">
        <v>4996.8</v>
      </c>
      <c r="F45" s="100">
        <v>6.9744944900423702</v>
      </c>
      <c r="G45" s="100">
        <v>8712.538516960929</v>
      </c>
      <c r="H45" s="100">
        <v>6</v>
      </c>
      <c r="I45" s="100">
        <v>7495.2000000000007</v>
      </c>
      <c r="J45" s="100">
        <v>7</v>
      </c>
      <c r="K45" s="100">
        <v>8744.4</v>
      </c>
      <c r="L45" s="100">
        <v>4</v>
      </c>
      <c r="M45" s="100">
        <v>4996.8</v>
      </c>
      <c r="N45" s="100">
        <v>7</v>
      </c>
      <c r="O45" s="100">
        <v>8744.4</v>
      </c>
      <c r="P45" s="100">
        <v>7</v>
      </c>
      <c r="Q45" s="100">
        <v>8744.4</v>
      </c>
      <c r="R45" s="100">
        <v>5</v>
      </c>
      <c r="S45" s="100">
        <v>6246</v>
      </c>
      <c r="T45" s="100">
        <v>8</v>
      </c>
      <c r="U45" s="100">
        <v>9993.6</v>
      </c>
      <c r="V45" s="100">
        <v>4.5417269280340946</v>
      </c>
      <c r="W45" s="100">
        <v>5673.5252785001912</v>
      </c>
      <c r="X45" s="100">
        <v>6.1688126490892659</v>
      </c>
      <c r="Y45" s="100">
        <v>7706.0807612423114</v>
      </c>
      <c r="Z45" s="100">
        <v>3.5012374535447033</v>
      </c>
      <c r="AA45" s="100">
        <v>4373.7458269680437</v>
      </c>
      <c r="AB45" s="100">
        <v>8.2157351284605102</v>
      </c>
      <c r="AC45" s="100">
        <v>10263.096322472869</v>
      </c>
      <c r="AD45" s="100">
        <v>3.1395208067643559</v>
      </c>
      <c r="AE45" s="100">
        <v>3921.8893918100334</v>
      </c>
      <c r="AF45" s="100">
        <v>4.8364462542727971</v>
      </c>
      <c r="AG45" s="100">
        <v>6041.688660837578</v>
      </c>
      <c r="AH45" s="100">
        <v>7</v>
      </c>
      <c r="AI45" s="100">
        <v>8744.4</v>
      </c>
      <c r="AJ45" s="100">
        <v>5.8188638913996957</v>
      </c>
      <c r="AK45" s="100">
        <v>7268.9247731365003</v>
      </c>
      <c r="AL45" s="100">
        <v>2.9459109274265876</v>
      </c>
      <c r="AM45" s="100">
        <v>3680.0319305412931</v>
      </c>
      <c r="AN45" s="100">
        <v>5</v>
      </c>
      <c r="AO45" s="100">
        <v>6246</v>
      </c>
      <c r="AP45" s="100">
        <v>6</v>
      </c>
      <c r="AQ45" s="100">
        <v>7495.2000000000007</v>
      </c>
      <c r="AR45" s="100">
        <v>9</v>
      </c>
      <c r="AS45" s="100">
        <v>11242.800000000001</v>
      </c>
      <c r="AT45" s="100">
        <v>5</v>
      </c>
      <c r="AU45" s="100">
        <v>6246</v>
      </c>
      <c r="AV45" s="100">
        <v>5.0431209328967981</v>
      </c>
      <c r="AW45" s="100">
        <v>6299.86666937468</v>
      </c>
      <c r="AX45" s="100">
        <v>7.9397693225355885</v>
      </c>
      <c r="AY45" s="100">
        <v>9918.3598377114577</v>
      </c>
      <c r="AZ45" s="100">
        <v>6</v>
      </c>
      <c r="BA45" s="100">
        <v>7495.2000000000007</v>
      </c>
      <c r="BB45" s="100">
        <v>6</v>
      </c>
      <c r="BC45" s="100">
        <v>7495.2000000000007</v>
      </c>
      <c r="BD45" s="100">
        <v>6.0660488198868636</v>
      </c>
      <c r="BE45" s="100">
        <v>7577.7081858026704</v>
      </c>
      <c r="BF45" s="100">
        <v>3.6960504554285318</v>
      </c>
      <c r="BG45" s="100">
        <v>4617.1062289213223</v>
      </c>
      <c r="BH45" s="100">
        <v>3.517950461654344</v>
      </c>
      <c r="BI45" s="100">
        <v>4394.6237166986066</v>
      </c>
      <c r="BJ45" s="100">
        <v>2.9668725268007226</v>
      </c>
      <c r="BK45" s="100">
        <v>3706.2171604794626</v>
      </c>
      <c r="BL45" s="100">
        <v>7.6905334481572867</v>
      </c>
      <c r="BM45" s="100">
        <v>9607.0143834380833</v>
      </c>
      <c r="BN45" s="100">
        <v>5.1446860089838502</v>
      </c>
      <c r="BO45" s="100">
        <v>6426.7417624226255</v>
      </c>
      <c r="BP45" s="100">
        <v>1.2051917737199391</v>
      </c>
      <c r="BQ45" s="100">
        <v>1505.5255637309481</v>
      </c>
      <c r="BR45" s="100">
        <v>9.0123183609438016</v>
      </c>
      <c r="BS45" s="100">
        <v>11258.188096490998</v>
      </c>
      <c r="BT45" s="100">
        <v>5.7501297843704355</v>
      </c>
      <c r="BU45" s="100">
        <v>7183.0621266355483</v>
      </c>
      <c r="BV45" s="100">
        <v>6.0496430998306536</v>
      </c>
      <c r="BW45" s="100">
        <v>7557.2141603084528</v>
      </c>
      <c r="BX45" s="100">
        <v>4.9996291737135827</v>
      </c>
      <c r="BY45" s="100">
        <v>6245.5367638030075</v>
      </c>
      <c r="BZ45" s="100">
        <v>2.6338562227720703</v>
      </c>
      <c r="CA45" s="100">
        <v>3290.2131934868703</v>
      </c>
      <c r="CB45" s="100">
        <v>7</v>
      </c>
      <c r="CC45" s="100">
        <v>8744.4</v>
      </c>
      <c r="CD45" s="100">
        <v>8</v>
      </c>
      <c r="CE45" s="100">
        <v>9993.6</v>
      </c>
      <c r="CF45" s="100">
        <v>10</v>
      </c>
      <c r="CG45" s="100">
        <v>12492</v>
      </c>
      <c r="CH45" s="100">
        <v>7</v>
      </c>
      <c r="CI45" s="100">
        <v>8744.4</v>
      </c>
      <c r="CJ45" s="100">
        <v>8</v>
      </c>
      <c r="CK45" s="100">
        <v>9993.6</v>
      </c>
      <c r="CL45" s="100">
        <v>6.2875577300474754</v>
      </c>
      <c r="CM45" s="100">
        <v>7854.4171163753063</v>
      </c>
      <c r="CN45" s="100">
        <v>3.3601525584116803</v>
      </c>
      <c r="CO45" s="100">
        <v>4197.5025759678711</v>
      </c>
      <c r="CP45" s="100">
        <v>7.8092989381410591</v>
      </c>
      <c r="CQ45" s="100">
        <v>9755.3762335258107</v>
      </c>
      <c r="CR45" s="100">
        <v>1.5864953857443267</v>
      </c>
      <c r="CS45" s="100">
        <v>1981.8500358718129</v>
      </c>
      <c r="CT45" s="100">
        <v>5.1737806710138727</v>
      </c>
      <c r="CU45" s="100">
        <v>6463.0868142305299</v>
      </c>
    </row>
    <row r="46" spans="2:99">
      <c r="C46" s="99" t="s">
        <v>212</v>
      </c>
      <c r="D46" s="100">
        <v>5</v>
      </c>
      <c r="E46" s="100">
        <v>6060</v>
      </c>
      <c r="F46" s="100">
        <v>7.846306301297667</v>
      </c>
      <c r="G46" s="100">
        <v>9509.7232371727732</v>
      </c>
      <c r="H46" s="100">
        <v>6</v>
      </c>
      <c r="I46" s="100">
        <v>7272</v>
      </c>
      <c r="J46" s="100">
        <v>6</v>
      </c>
      <c r="K46" s="100">
        <v>7272</v>
      </c>
      <c r="L46" s="100">
        <v>5</v>
      </c>
      <c r="M46" s="100">
        <v>6060</v>
      </c>
      <c r="N46" s="100">
        <v>7</v>
      </c>
      <c r="O46" s="100">
        <v>8484</v>
      </c>
      <c r="P46" s="100">
        <v>7</v>
      </c>
      <c r="Q46" s="100">
        <v>8484</v>
      </c>
      <c r="R46" s="100">
        <v>5</v>
      </c>
      <c r="S46" s="100">
        <v>6060</v>
      </c>
      <c r="T46" s="100">
        <v>8</v>
      </c>
      <c r="U46" s="100">
        <v>9696</v>
      </c>
      <c r="V46" s="100">
        <v>5.1094427940383564</v>
      </c>
      <c r="W46" s="100">
        <v>6192.6446663744882</v>
      </c>
      <c r="X46" s="100">
        <v>6.1688126490892659</v>
      </c>
      <c r="Y46" s="100">
        <v>7476.6009306961905</v>
      </c>
      <c r="Z46" s="100">
        <v>3.5012374535447033</v>
      </c>
      <c r="AA46" s="100">
        <v>4243.4997936961799</v>
      </c>
      <c r="AB46" s="100">
        <v>10.269668910575639</v>
      </c>
      <c r="AC46" s="100">
        <v>12446.838719617675</v>
      </c>
      <c r="AD46" s="100">
        <v>3.1162682355656948</v>
      </c>
      <c r="AE46" s="100">
        <v>3776.9171015056222</v>
      </c>
      <c r="AF46" s="100">
        <v>4.8364462542727971</v>
      </c>
      <c r="AG46" s="100">
        <v>5861.7728601786303</v>
      </c>
      <c r="AH46" s="100">
        <v>7</v>
      </c>
      <c r="AI46" s="100">
        <v>8484</v>
      </c>
      <c r="AJ46" s="100">
        <v>5.8188638913996957</v>
      </c>
      <c r="AK46" s="100">
        <v>7052.4630363764309</v>
      </c>
      <c r="AL46" s="100">
        <v>2.9459109274265876</v>
      </c>
      <c r="AM46" s="100">
        <v>3570.444044041024</v>
      </c>
      <c r="AN46" s="100">
        <v>5</v>
      </c>
      <c r="AO46" s="100">
        <v>6060</v>
      </c>
      <c r="AP46" s="100">
        <v>6</v>
      </c>
      <c r="AQ46" s="100">
        <v>7272</v>
      </c>
      <c r="AR46" s="100">
        <v>9</v>
      </c>
      <c r="AS46" s="100">
        <v>10908</v>
      </c>
      <c r="AT46" s="100">
        <v>6</v>
      </c>
      <c r="AU46" s="100">
        <v>7272</v>
      </c>
      <c r="AV46" s="100">
        <v>5.0392008480879991</v>
      </c>
      <c r="AW46" s="100">
        <v>6107.511427882655</v>
      </c>
      <c r="AX46" s="100">
        <v>8.8219659139284303</v>
      </c>
      <c r="AY46" s="100">
        <v>10692.222687681258</v>
      </c>
      <c r="AZ46" s="100">
        <v>5</v>
      </c>
      <c r="BA46" s="100">
        <v>6060</v>
      </c>
      <c r="BB46" s="100">
        <v>5.0518599398545492</v>
      </c>
      <c r="BC46" s="100">
        <v>6122.8542471037135</v>
      </c>
      <c r="BD46" s="100">
        <v>6.0886736878664101</v>
      </c>
      <c r="BE46" s="100">
        <v>7379.4725096940892</v>
      </c>
      <c r="BF46" s="100">
        <v>4.4028834725481545</v>
      </c>
      <c r="BG46" s="100">
        <v>5336.2947687283631</v>
      </c>
      <c r="BH46" s="100">
        <v>3.4892811213910795</v>
      </c>
      <c r="BI46" s="100">
        <v>4229.0087191259881</v>
      </c>
      <c r="BJ46" s="100">
        <v>2.5960134609506325</v>
      </c>
      <c r="BK46" s="100">
        <v>3146.3683146721664</v>
      </c>
      <c r="BL46" s="100">
        <v>7.6905334481572867</v>
      </c>
      <c r="BM46" s="100">
        <v>9320.9265391666322</v>
      </c>
      <c r="BN46" s="100">
        <v>5.1546358086156063</v>
      </c>
      <c r="BO46" s="100">
        <v>6247.418600042115</v>
      </c>
      <c r="BP46" s="100">
        <v>1.2051917737199391</v>
      </c>
      <c r="BQ46" s="100">
        <v>1460.6924297485662</v>
      </c>
      <c r="BR46" s="100">
        <v>10.012318360943802</v>
      </c>
      <c r="BS46" s="100">
        <v>12134.929853463887</v>
      </c>
      <c r="BT46" s="100">
        <v>5.7501297843704355</v>
      </c>
      <c r="BU46" s="100">
        <v>6969.1572986569681</v>
      </c>
      <c r="BV46" s="100">
        <v>6.0958387074425904</v>
      </c>
      <c r="BW46" s="100">
        <v>7388.1565134204193</v>
      </c>
      <c r="BX46" s="100">
        <v>5.6307579894399584</v>
      </c>
      <c r="BY46" s="100">
        <v>6824.4786832012296</v>
      </c>
      <c r="BZ46" s="100">
        <v>3.0728322599007485</v>
      </c>
      <c r="CA46" s="100">
        <v>3724.2726989997072</v>
      </c>
      <c r="CB46" s="100">
        <v>7</v>
      </c>
      <c r="CC46" s="100">
        <v>8484</v>
      </c>
      <c r="CD46" s="100">
        <v>8</v>
      </c>
      <c r="CE46" s="100">
        <v>9696</v>
      </c>
      <c r="CF46" s="100">
        <v>9</v>
      </c>
      <c r="CG46" s="100">
        <v>10908</v>
      </c>
      <c r="CH46" s="100">
        <v>7</v>
      </c>
      <c r="CI46" s="100">
        <v>8484</v>
      </c>
      <c r="CJ46" s="100">
        <v>8</v>
      </c>
      <c r="CK46" s="100">
        <v>9696</v>
      </c>
      <c r="CL46" s="100">
        <v>5.5016130137915411</v>
      </c>
      <c r="CM46" s="100">
        <v>6667.954972715348</v>
      </c>
      <c r="CN46" s="100">
        <v>3.3601525584116803</v>
      </c>
      <c r="CO46" s="100">
        <v>4072.5049007949565</v>
      </c>
      <c r="CP46" s="100">
        <v>7.0283690443269533</v>
      </c>
      <c r="CQ46" s="100">
        <v>8518.3832817242674</v>
      </c>
      <c r="CR46" s="100">
        <v>1.3881834625262859</v>
      </c>
      <c r="CS46" s="100">
        <v>1682.4783565818584</v>
      </c>
      <c r="CT46" s="100">
        <v>4.5270580871371386</v>
      </c>
      <c r="CU46" s="100">
        <v>5486.7944016102119</v>
      </c>
    </row>
    <row r="47" spans="2:99">
      <c r="C47" s="99" t="s">
        <v>213</v>
      </c>
      <c r="D47" s="100">
        <v>5</v>
      </c>
      <c r="E47" s="100">
        <v>7638</v>
      </c>
      <c r="F47" s="100">
        <v>6.1026826787870743</v>
      </c>
      <c r="G47" s="100">
        <v>9322.4580601151338</v>
      </c>
      <c r="H47" s="100">
        <v>6</v>
      </c>
      <c r="I47" s="100">
        <v>9165.5999999999985</v>
      </c>
      <c r="J47" s="100">
        <v>7</v>
      </c>
      <c r="K47" s="100">
        <v>10693.199999999999</v>
      </c>
      <c r="L47" s="100">
        <v>4</v>
      </c>
      <c r="M47" s="100">
        <v>6110.4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5</v>
      </c>
      <c r="S47" s="100">
        <v>7638</v>
      </c>
      <c r="T47" s="100">
        <v>8</v>
      </c>
      <c r="U47" s="100">
        <v>12220.8</v>
      </c>
      <c r="V47" s="100">
        <v>4.5417269280340946</v>
      </c>
      <c r="W47" s="100">
        <v>6937.9420552648826</v>
      </c>
      <c r="X47" s="100">
        <v>7.1929287418163046</v>
      </c>
      <c r="Y47" s="100">
        <v>10987.917945998586</v>
      </c>
      <c r="Z47" s="100">
        <v>3.5012374535447033</v>
      </c>
      <c r="AA47" s="100">
        <v>5348.4903340348883</v>
      </c>
      <c r="AB47" s="100">
        <v>9.2427020195180738</v>
      </c>
      <c r="AC47" s="100">
        <v>14119.151605015808</v>
      </c>
      <c r="AD47" s="100">
        <v>3.1395208067643559</v>
      </c>
      <c r="AE47" s="100">
        <v>4795.9319844132297</v>
      </c>
      <c r="AF47" s="100">
        <v>4.8364462542727971</v>
      </c>
      <c r="AG47" s="100">
        <v>7388.1552980271244</v>
      </c>
      <c r="AH47" s="100">
        <v>7</v>
      </c>
      <c r="AI47" s="100">
        <v>10693.199999999999</v>
      </c>
      <c r="AJ47" s="100">
        <v>5.8188638913996957</v>
      </c>
      <c r="AK47" s="100">
        <v>8888.8964805021751</v>
      </c>
      <c r="AL47" s="100">
        <v>2.9459109274265876</v>
      </c>
      <c r="AM47" s="100">
        <v>4500.1735327368551</v>
      </c>
      <c r="AN47" s="100">
        <v>4</v>
      </c>
      <c r="AO47" s="100">
        <v>6110.4</v>
      </c>
      <c r="AP47" s="100">
        <v>6</v>
      </c>
      <c r="AQ47" s="100">
        <v>9165.5999999999985</v>
      </c>
      <c r="AR47" s="100">
        <v>8</v>
      </c>
      <c r="AS47" s="100">
        <v>12220.8</v>
      </c>
      <c r="AT47" s="100">
        <v>5</v>
      </c>
      <c r="AU47" s="100">
        <v>7638</v>
      </c>
      <c r="AV47" s="100">
        <v>5.0431209328967981</v>
      </c>
      <c r="AW47" s="100">
        <v>7703.8715370931486</v>
      </c>
      <c r="AX47" s="100">
        <v>7.0575727311427459</v>
      </c>
      <c r="AY47" s="100">
        <v>10781.148104093658</v>
      </c>
      <c r="AZ47" s="100">
        <v>5</v>
      </c>
      <c r="BA47" s="100">
        <v>7638</v>
      </c>
      <c r="BB47" s="100">
        <v>5</v>
      </c>
      <c r="BC47" s="100">
        <v>7638</v>
      </c>
      <c r="BD47" s="100">
        <v>6.9229308507366092</v>
      </c>
      <c r="BE47" s="100">
        <v>10575.469167585243</v>
      </c>
      <c r="BF47" s="100">
        <v>4.4231191437769573</v>
      </c>
      <c r="BG47" s="100">
        <v>6756.7568040336791</v>
      </c>
      <c r="BH47" s="100">
        <v>3.4892811213910795</v>
      </c>
      <c r="BI47" s="100">
        <v>5330.2258410370123</v>
      </c>
      <c r="BJ47" s="100">
        <v>2.5960134609506325</v>
      </c>
      <c r="BK47" s="100">
        <v>3965.6701629481859</v>
      </c>
      <c r="BL47" s="100">
        <v>8.6518501291769478</v>
      </c>
      <c r="BM47" s="100">
        <v>13216.566257330705</v>
      </c>
      <c r="BN47" s="100">
        <v>5.8647164536767695</v>
      </c>
      <c r="BO47" s="100">
        <v>8958.9408546366321</v>
      </c>
      <c r="BP47" s="100">
        <v>1.2051917737199391</v>
      </c>
      <c r="BQ47" s="100">
        <v>1841.0509535345789</v>
      </c>
      <c r="BR47" s="100">
        <v>8.0123183609438016</v>
      </c>
      <c r="BS47" s="100">
        <v>12239.617528177751</v>
      </c>
      <c r="BT47" s="100">
        <v>5.7501297843704355</v>
      </c>
      <c r="BU47" s="100">
        <v>8783.8982586042766</v>
      </c>
      <c r="BV47" s="100">
        <v>5.0952641254061382</v>
      </c>
      <c r="BW47" s="100">
        <v>7783.5254779704164</v>
      </c>
      <c r="BX47" s="100">
        <v>4.3932010340359176</v>
      </c>
      <c r="BY47" s="100">
        <v>6711.0538995932675</v>
      </c>
      <c r="BZ47" s="100">
        <v>3.0728322599007485</v>
      </c>
      <c r="CA47" s="100">
        <v>4694.0585602243827</v>
      </c>
      <c r="CB47" s="100">
        <v>7</v>
      </c>
      <c r="CC47" s="100">
        <v>10693.199999999999</v>
      </c>
      <c r="CD47" s="100">
        <v>9</v>
      </c>
      <c r="CE47" s="100">
        <v>13748.4</v>
      </c>
      <c r="CF47" s="100">
        <v>8</v>
      </c>
      <c r="CG47" s="100">
        <v>12220.8</v>
      </c>
      <c r="CH47" s="100">
        <v>7</v>
      </c>
      <c r="CI47" s="100">
        <v>10693.199999999999</v>
      </c>
      <c r="CJ47" s="100">
        <v>8</v>
      </c>
      <c r="CK47" s="100">
        <v>12220.8</v>
      </c>
      <c r="CL47" s="100">
        <v>5.5016130137915411</v>
      </c>
      <c r="CM47" s="100">
        <v>8404.2640398679578</v>
      </c>
      <c r="CN47" s="100">
        <v>3.3601525584116803</v>
      </c>
      <c r="CO47" s="100">
        <v>5132.9690482296828</v>
      </c>
      <c r="CP47" s="100">
        <v>7.8092989381410591</v>
      </c>
      <c r="CQ47" s="100">
        <v>11929.485057904281</v>
      </c>
      <c r="CR47" s="100">
        <v>1.3881834625262859</v>
      </c>
      <c r="CS47" s="100">
        <v>2120.5890573551542</v>
      </c>
      <c r="CT47" s="100">
        <v>4.5270580871371386</v>
      </c>
      <c r="CU47" s="100">
        <v>6915.5339339106922</v>
      </c>
    </row>
    <row r="48" spans="2:99">
      <c r="C48" s="99" t="s">
        <v>214</v>
      </c>
      <c r="D48" s="100">
        <v>5</v>
      </c>
      <c r="E48" s="100">
        <v>4338</v>
      </c>
      <c r="F48" s="100">
        <v>6.9744944900423702</v>
      </c>
      <c r="G48" s="100">
        <v>6051.0714195607607</v>
      </c>
      <c r="H48" s="100">
        <v>5</v>
      </c>
      <c r="I48" s="100">
        <v>4338</v>
      </c>
      <c r="J48" s="100">
        <v>7</v>
      </c>
      <c r="K48" s="100">
        <v>6073.2</v>
      </c>
      <c r="L48" s="100">
        <v>4</v>
      </c>
      <c r="M48" s="100">
        <v>3470.4</v>
      </c>
      <c r="N48" s="100">
        <v>7</v>
      </c>
      <c r="O48" s="100">
        <v>6073.2</v>
      </c>
      <c r="P48" s="100">
        <v>7</v>
      </c>
      <c r="Q48" s="100">
        <v>6073.2</v>
      </c>
      <c r="R48" s="100">
        <v>5</v>
      </c>
      <c r="S48" s="100">
        <v>4338</v>
      </c>
      <c r="T48" s="100">
        <v>8</v>
      </c>
      <c r="U48" s="100">
        <v>6940.8</v>
      </c>
      <c r="V48" s="100">
        <v>4.5417269280340946</v>
      </c>
      <c r="W48" s="100">
        <v>3940.4022827623808</v>
      </c>
      <c r="X48" s="100">
        <v>7.1929287418163046</v>
      </c>
      <c r="Y48" s="100">
        <v>6240.5849763998258</v>
      </c>
      <c r="Z48" s="100">
        <v>3.9388921352377917</v>
      </c>
      <c r="AA48" s="100">
        <v>3417.382816532308</v>
      </c>
      <c r="AB48" s="100">
        <v>10.242702019518074</v>
      </c>
      <c r="AC48" s="100">
        <v>8886.5682721338817</v>
      </c>
      <c r="AD48" s="100">
        <v>3.1395208067643559</v>
      </c>
      <c r="AE48" s="100">
        <v>2723.8482519487552</v>
      </c>
      <c r="AF48" s="100">
        <v>4.8364462542727971</v>
      </c>
      <c r="AG48" s="100">
        <v>4196.1007702070792</v>
      </c>
      <c r="AH48" s="100">
        <v>6</v>
      </c>
      <c r="AI48" s="100">
        <v>5205.6000000000004</v>
      </c>
      <c r="AJ48" s="100">
        <v>5.7857276586736415</v>
      </c>
      <c r="AK48" s="100">
        <v>5019.6973166652515</v>
      </c>
      <c r="AL48" s="100">
        <v>2.9459109274265876</v>
      </c>
      <c r="AM48" s="100">
        <v>2555.8723206353075</v>
      </c>
      <c r="AN48" s="100">
        <v>4</v>
      </c>
      <c r="AO48" s="100">
        <v>3470.4</v>
      </c>
      <c r="AP48" s="100">
        <v>6</v>
      </c>
      <c r="AQ48" s="100">
        <v>5205.6000000000004</v>
      </c>
      <c r="AR48" s="100">
        <v>8</v>
      </c>
      <c r="AS48" s="100">
        <v>6940.8</v>
      </c>
      <c r="AT48" s="100">
        <v>6</v>
      </c>
      <c r="AU48" s="100">
        <v>5205.6000000000004</v>
      </c>
      <c r="AV48" s="100">
        <v>4.0392008480879991</v>
      </c>
      <c r="AW48" s="100">
        <v>3504.4106558011481</v>
      </c>
      <c r="AX48" s="100">
        <v>8.8219659139284303</v>
      </c>
      <c r="AY48" s="100">
        <v>7653.9376269243066</v>
      </c>
      <c r="AZ48" s="100">
        <v>5</v>
      </c>
      <c r="BA48" s="100">
        <v>4338</v>
      </c>
      <c r="BB48" s="100">
        <v>5</v>
      </c>
      <c r="BC48" s="100">
        <v>4338</v>
      </c>
      <c r="BD48" s="100">
        <v>6.9229308507366092</v>
      </c>
      <c r="BE48" s="100">
        <v>6006.334806099082</v>
      </c>
      <c r="BF48" s="100">
        <v>4.44335481500576</v>
      </c>
      <c r="BG48" s="100">
        <v>3855.0546374989976</v>
      </c>
      <c r="BH48" s="100">
        <v>3.517950461654344</v>
      </c>
      <c r="BI48" s="100">
        <v>3052.173820531309</v>
      </c>
      <c r="BJ48" s="100">
        <v>2.9668725268007226</v>
      </c>
      <c r="BK48" s="100">
        <v>2574.0586042523068</v>
      </c>
      <c r="BL48" s="100">
        <v>8.6518501291769478</v>
      </c>
      <c r="BM48" s="100">
        <v>7506.3451720739204</v>
      </c>
      <c r="BN48" s="100">
        <v>5.8796411531244015</v>
      </c>
      <c r="BO48" s="100">
        <v>5101.1766644507306</v>
      </c>
      <c r="BP48" s="100">
        <v>1.2051917737199391</v>
      </c>
      <c r="BQ48" s="100">
        <v>1045.6243828794193</v>
      </c>
      <c r="BR48" s="100">
        <v>8.0138581560617776</v>
      </c>
      <c r="BS48" s="100">
        <v>6952.8233361991988</v>
      </c>
      <c r="BT48" s="100">
        <v>5.1112264749959424</v>
      </c>
      <c r="BU48" s="100">
        <v>4434.5000897064801</v>
      </c>
      <c r="BV48" s="100">
        <v>5.1414597330180758</v>
      </c>
      <c r="BW48" s="100">
        <v>4460.7304643664829</v>
      </c>
      <c r="BX48" s="100">
        <v>4.9749284976648722</v>
      </c>
      <c r="BY48" s="100">
        <v>4316.2479645740432</v>
      </c>
      <c r="BZ48" s="100">
        <v>3.5118082970294271</v>
      </c>
      <c r="CA48" s="100">
        <v>3046.8448785027308</v>
      </c>
      <c r="CB48" s="100">
        <v>6</v>
      </c>
      <c r="CC48" s="100">
        <v>5205.6000000000004</v>
      </c>
      <c r="CD48" s="100">
        <v>8</v>
      </c>
      <c r="CE48" s="100">
        <v>6940.8</v>
      </c>
      <c r="CF48" s="100">
        <v>10</v>
      </c>
      <c r="CG48" s="100">
        <v>8676</v>
      </c>
      <c r="CH48" s="100">
        <v>8</v>
      </c>
      <c r="CI48" s="100">
        <v>6940.8</v>
      </c>
      <c r="CJ48" s="100">
        <v>8</v>
      </c>
      <c r="CK48" s="100">
        <v>6940.8</v>
      </c>
      <c r="CL48" s="100">
        <v>6.2875577300474754</v>
      </c>
      <c r="CM48" s="100">
        <v>5455.0850865891898</v>
      </c>
      <c r="CN48" s="100">
        <v>3.3601525584116803</v>
      </c>
      <c r="CO48" s="100">
        <v>2915.2683596779739</v>
      </c>
      <c r="CP48" s="100">
        <v>7.0283690443269533</v>
      </c>
      <c r="CQ48" s="100">
        <v>6097.812982858065</v>
      </c>
      <c r="CR48" s="100">
        <v>1.3881834625262859</v>
      </c>
      <c r="CS48" s="100">
        <v>1204.3879720878056</v>
      </c>
      <c r="CT48" s="100">
        <v>5.1737806710138727</v>
      </c>
      <c r="CU48" s="100">
        <v>4488.7721101716361</v>
      </c>
    </row>
    <row r="49" spans="2:99">
      <c r="B49" s="99" t="s">
        <v>129</v>
      </c>
      <c r="C49" s="99" t="s">
        <v>215</v>
      </c>
      <c r="D49" s="100">
        <v>5.5352904497680164</v>
      </c>
      <c r="E49" s="100">
        <v>5453.3681511114492</v>
      </c>
      <c r="F49" s="100">
        <v>5.2902944398830769</v>
      </c>
      <c r="G49" s="100">
        <v>5211.9980821728068</v>
      </c>
      <c r="H49" s="100">
        <v>4.471332793334895</v>
      </c>
      <c r="I49" s="100">
        <v>4405.1570679935385</v>
      </c>
      <c r="J49" s="100">
        <v>3.2801881521144054</v>
      </c>
      <c r="K49" s="100">
        <v>3231.6413674631121</v>
      </c>
      <c r="L49" s="100">
        <v>2.4351860369273428</v>
      </c>
      <c r="M49" s="100">
        <v>2399.1452835808182</v>
      </c>
      <c r="N49" s="100">
        <v>6</v>
      </c>
      <c r="O49" s="100">
        <v>5911.2</v>
      </c>
      <c r="P49" s="100">
        <v>6</v>
      </c>
      <c r="Q49" s="100">
        <v>5911.2</v>
      </c>
      <c r="R49" s="100">
        <v>4</v>
      </c>
      <c r="S49" s="100">
        <v>3940.7999999999997</v>
      </c>
      <c r="T49" s="100">
        <v>5</v>
      </c>
      <c r="U49" s="100">
        <v>4926</v>
      </c>
      <c r="V49" s="100">
        <v>7</v>
      </c>
      <c r="W49" s="100">
        <v>6896.4</v>
      </c>
      <c r="X49" s="100">
        <v>7</v>
      </c>
      <c r="Y49" s="100">
        <v>6896.4</v>
      </c>
      <c r="Z49" s="100">
        <v>6</v>
      </c>
      <c r="AA49" s="100">
        <v>5911.2</v>
      </c>
      <c r="AB49" s="100">
        <v>4</v>
      </c>
      <c r="AC49" s="100">
        <v>3940.7999999999997</v>
      </c>
      <c r="AD49" s="100">
        <v>5</v>
      </c>
      <c r="AE49" s="100">
        <v>4926</v>
      </c>
      <c r="AF49" s="100">
        <v>4.1460547123426483</v>
      </c>
      <c r="AG49" s="100">
        <v>4084.693102599977</v>
      </c>
      <c r="AH49" s="100">
        <v>3.2262971824492803</v>
      </c>
      <c r="AI49" s="100">
        <v>3178.5479841490305</v>
      </c>
      <c r="AJ49" s="100">
        <v>1.411945203889081</v>
      </c>
      <c r="AK49" s="100">
        <v>1391.0484148715225</v>
      </c>
      <c r="AL49" s="100">
        <v>1.7510012393290828</v>
      </c>
      <c r="AM49" s="100">
        <v>1725.0864209870122</v>
      </c>
      <c r="AN49" s="100">
        <v>1.1288410994635167</v>
      </c>
      <c r="AO49" s="100">
        <v>1112.1342511914565</v>
      </c>
      <c r="AP49" s="100">
        <v>5.124436660049855</v>
      </c>
      <c r="AQ49" s="100">
        <v>5048.5949974811165</v>
      </c>
      <c r="AR49" s="100">
        <v>1.1324895167051938</v>
      </c>
      <c r="AS49" s="100">
        <v>1115.7286718579569</v>
      </c>
      <c r="AT49" s="100">
        <v>7</v>
      </c>
      <c r="AU49" s="100">
        <v>6896.4</v>
      </c>
      <c r="AV49" s="100">
        <v>4</v>
      </c>
      <c r="AW49" s="100">
        <v>3940.7999999999997</v>
      </c>
      <c r="AX49" s="100">
        <v>5</v>
      </c>
      <c r="AY49" s="100">
        <v>4926</v>
      </c>
      <c r="AZ49" s="100">
        <v>4.3281898000592216</v>
      </c>
      <c r="BA49" s="100">
        <v>4264.132591018345</v>
      </c>
      <c r="BB49" s="100">
        <v>4.1626230054329509</v>
      </c>
      <c r="BC49" s="100">
        <v>4101.016184952543</v>
      </c>
      <c r="BD49" s="100">
        <v>2.519732322666695</v>
      </c>
      <c r="BE49" s="100">
        <v>2482.4402842912277</v>
      </c>
      <c r="BF49" s="100">
        <v>5</v>
      </c>
      <c r="BG49" s="100">
        <v>4926</v>
      </c>
      <c r="BH49" s="100">
        <v>6</v>
      </c>
      <c r="BI49" s="100">
        <v>5911.2</v>
      </c>
      <c r="BJ49" s="100">
        <v>3.3197835559514286</v>
      </c>
      <c r="BK49" s="100">
        <v>3270.6507593233473</v>
      </c>
      <c r="BL49" s="100">
        <v>2.1658900085808965</v>
      </c>
      <c r="BM49" s="100">
        <v>2133.8348364538992</v>
      </c>
      <c r="BN49" s="100">
        <v>4.3559022239701291</v>
      </c>
      <c r="BO49" s="100">
        <v>4291.4348710553704</v>
      </c>
      <c r="BP49" s="100">
        <v>3.6256692390291181</v>
      </c>
      <c r="BQ49" s="100">
        <v>3572.009334291487</v>
      </c>
      <c r="BR49" s="100">
        <v>7</v>
      </c>
      <c r="BS49" s="100">
        <v>6896.4</v>
      </c>
      <c r="BT49" s="100">
        <v>4</v>
      </c>
      <c r="BU49" s="100">
        <v>3940.7999999999997</v>
      </c>
      <c r="BV49" s="100">
        <v>4.2344584511990249</v>
      </c>
      <c r="BW49" s="100">
        <v>4171.7884661212793</v>
      </c>
      <c r="BX49" s="100">
        <v>4.3001496470164451</v>
      </c>
      <c r="BY49" s="100">
        <v>4236.5074322406017</v>
      </c>
      <c r="BZ49" s="100">
        <v>5.1619486348799892</v>
      </c>
      <c r="CA49" s="100">
        <v>5085.5517950837648</v>
      </c>
      <c r="CB49" s="100">
        <v>6.7652469912280839</v>
      </c>
      <c r="CC49" s="100">
        <v>6665.1213357579081</v>
      </c>
      <c r="CD49" s="100">
        <v>4</v>
      </c>
      <c r="CE49" s="100">
        <v>3940.7999999999997</v>
      </c>
      <c r="CF49" s="100">
        <v>5</v>
      </c>
      <c r="CG49" s="100">
        <v>4926</v>
      </c>
      <c r="CH49" s="100">
        <v>4</v>
      </c>
      <c r="CI49" s="100">
        <v>3940.7999999999997</v>
      </c>
      <c r="CJ49" s="100">
        <v>6</v>
      </c>
      <c r="CK49" s="100">
        <v>5911.2</v>
      </c>
      <c r="CL49" s="100">
        <v>7</v>
      </c>
      <c r="CM49" s="100">
        <v>6896.4</v>
      </c>
      <c r="CN49" s="100">
        <v>7.4441254835307733</v>
      </c>
      <c r="CO49" s="100">
        <v>7333.952426374517</v>
      </c>
      <c r="CP49" s="100">
        <v>2.2307637429780858</v>
      </c>
      <c r="CQ49" s="100">
        <v>2197.7484395820102</v>
      </c>
      <c r="CR49" s="100">
        <v>4.4893159214408973</v>
      </c>
      <c r="CS49" s="100">
        <v>4422.8740458035718</v>
      </c>
      <c r="CT49" s="100">
        <v>2.5548998368219533</v>
      </c>
      <c r="CU49" s="100">
        <v>2517.0873192369882</v>
      </c>
    </row>
    <row r="50" spans="2:99">
      <c r="C50" s="99" t="s">
        <v>216</v>
      </c>
      <c r="D50" s="100">
        <v>6</v>
      </c>
      <c r="E50" s="100">
        <v>1692</v>
      </c>
      <c r="F50" s="100">
        <v>5.2308708675317774</v>
      </c>
      <c r="G50" s="100">
        <v>1475.1055846439613</v>
      </c>
      <c r="H50" s="100">
        <v>7</v>
      </c>
      <c r="I50" s="100">
        <v>1974</v>
      </c>
      <c r="J50" s="100">
        <v>5</v>
      </c>
      <c r="K50" s="100">
        <v>1410</v>
      </c>
      <c r="L50" s="100">
        <v>4</v>
      </c>
      <c r="M50" s="100">
        <v>1128</v>
      </c>
      <c r="N50" s="100">
        <v>7</v>
      </c>
      <c r="O50" s="100">
        <v>1974</v>
      </c>
      <c r="P50" s="100">
        <v>6</v>
      </c>
      <c r="Q50" s="100">
        <v>1692</v>
      </c>
      <c r="R50" s="100">
        <v>4</v>
      </c>
      <c r="S50" s="100">
        <v>1128</v>
      </c>
      <c r="T50" s="100">
        <v>5</v>
      </c>
      <c r="U50" s="100">
        <v>1410</v>
      </c>
      <c r="V50" s="100">
        <v>3.406295196025571</v>
      </c>
      <c r="W50" s="100">
        <v>960.575245279211</v>
      </c>
      <c r="X50" s="100">
        <v>7.2411609272703803</v>
      </c>
      <c r="Y50" s="100">
        <v>2042.0073814902473</v>
      </c>
      <c r="Z50" s="100">
        <v>2.1882734084654398</v>
      </c>
      <c r="AA50" s="100">
        <v>617.09310118725398</v>
      </c>
      <c r="AB50" s="100">
        <v>3.2157351284605107</v>
      </c>
      <c r="AC50" s="100">
        <v>906.83730622586404</v>
      </c>
      <c r="AD50" s="100">
        <v>2.5813884821723048</v>
      </c>
      <c r="AE50" s="100">
        <v>727.95155197258998</v>
      </c>
      <c r="AF50" s="100">
        <v>2.1495316685656873</v>
      </c>
      <c r="AG50" s="100">
        <v>606.16793053552385</v>
      </c>
      <c r="AH50" s="100">
        <v>4</v>
      </c>
      <c r="AI50" s="100">
        <v>1128</v>
      </c>
      <c r="AJ50" s="100">
        <v>4.9781301261351514</v>
      </c>
      <c r="AK50" s="100">
        <v>1403.8326955701127</v>
      </c>
      <c r="AL50" s="100">
        <v>2.104222091018991</v>
      </c>
      <c r="AM50" s="100">
        <v>593.39062966735548</v>
      </c>
      <c r="AN50" s="100">
        <v>5</v>
      </c>
      <c r="AO50" s="100">
        <v>1410</v>
      </c>
      <c r="AP50" s="100">
        <v>7</v>
      </c>
      <c r="AQ50" s="100">
        <v>1974</v>
      </c>
      <c r="AR50" s="100">
        <v>4</v>
      </c>
      <c r="AS50" s="100">
        <v>1128</v>
      </c>
      <c r="AT50" s="100">
        <v>7</v>
      </c>
      <c r="AU50" s="100">
        <v>1974</v>
      </c>
      <c r="AV50" s="100">
        <v>4.0352807632791992</v>
      </c>
      <c r="AW50" s="100">
        <v>1137.9491752447341</v>
      </c>
      <c r="AX50" s="100">
        <v>4.4109829569642152</v>
      </c>
      <c r="AY50" s="100">
        <v>1243.8971938639086</v>
      </c>
      <c r="AZ50" s="100">
        <v>4</v>
      </c>
      <c r="BA50" s="100">
        <v>1128</v>
      </c>
      <c r="BB50" s="100">
        <v>4.0259299699272741</v>
      </c>
      <c r="BC50" s="100">
        <v>1135.3122515194914</v>
      </c>
      <c r="BD50" s="100">
        <v>5.2091667890371172</v>
      </c>
      <c r="BE50" s="100">
        <v>1468.9850345084672</v>
      </c>
      <c r="BF50" s="100">
        <v>5.1704235033541845</v>
      </c>
      <c r="BG50" s="100">
        <v>1458.0594279458801</v>
      </c>
      <c r="BH50" s="100">
        <v>4.1183309290374632</v>
      </c>
      <c r="BI50" s="100">
        <v>1161.3693219885647</v>
      </c>
      <c r="BJ50" s="100">
        <v>1.4834362634003613</v>
      </c>
      <c r="BK50" s="100">
        <v>418.32902627890189</v>
      </c>
      <c r="BL50" s="100">
        <v>5.7679000861179661</v>
      </c>
      <c r="BM50" s="100">
        <v>1626.5478242852664</v>
      </c>
      <c r="BN50" s="100">
        <v>2.9547452760098332</v>
      </c>
      <c r="BO50" s="100">
        <v>833.23816783477298</v>
      </c>
      <c r="BP50" s="100">
        <v>1.0043264780999495</v>
      </c>
      <c r="BQ50" s="100">
        <v>283.22006682418572</v>
      </c>
      <c r="BR50" s="100">
        <v>7.016937746297728</v>
      </c>
      <c r="BS50" s="100">
        <v>1978.7764444559593</v>
      </c>
      <c r="BT50" s="100">
        <v>2.5556132374979712</v>
      </c>
      <c r="BU50" s="100">
        <v>720.6829329744279</v>
      </c>
      <c r="BV50" s="100">
        <v>3.2788973917809825</v>
      </c>
      <c r="BW50" s="100">
        <v>924.64906448223701</v>
      </c>
      <c r="BX50" s="100">
        <v>3.1062427265344565</v>
      </c>
      <c r="BY50" s="100">
        <v>875.96044888271672</v>
      </c>
      <c r="BZ50" s="100">
        <v>1.7559041485147135</v>
      </c>
      <c r="CA50" s="100">
        <v>495.1649698811492</v>
      </c>
      <c r="CB50" s="100">
        <v>7</v>
      </c>
      <c r="CC50" s="100">
        <v>1974</v>
      </c>
      <c r="CD50" s="100">
        <v>4</v>
      </c>
      <c r="CE50" s="100">
        <v>1128</v>
      </c>
      <c r="CF50" s="100">
        <v>5</v>
      </c>
      <c r="CG50" s="100">
        <v>1410</v>
      </c>
      <c r="CH50" s="100">
        <v>4</v>
      </c>
      <c r="CI50" s="100">
        <v>1128</v>
      </c>
      <c r="CJ50" s="100">
        <v>7</v>
      </c>
      <c r="CK50" s="100">
        <v>1974</v>
      </c>
      <c r="CL50" s="100">
        <v>4.7156682975356068</v>
      </c>
      <c r="CM50" s="100">
        <v>1329.8184599050412</v>
      </c>
      <c r="CN50" s="100">
        <v>4.7042135817763517</v>
      </c>
      <c r="CO50" s="100">
        <v>1326.5882300609312</v>
      </c>
      <c r="CP50" s="100">
        <v>2.3427896814423179</v>
      </c>
      <c r="CQ50" s="100">
        <v>660.6666901667337</v>
      </c>
      <c r="CR50" s="100">
        <v>0.79324769287216335</v>
      </c>
      <c r="CS50" s="100">
        <v>223.69584938995007</v>
      </c>
      <c r="CT50" s="100">
        <v>3.23361291938367</v>
      </c>
      <c r="CU50" s="100">
        <v>911.87884326619496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5.2308708675317774</v>
      </c>
      <c r="G51" s="100">
        <v>4469.256069219151</v>
      </c>
      <c r="H51" s="100">
        <v>6</v>
      </c>
      <c r="I51" s="100">
        <v>5126.3999999999996</v>
      </c>
      <c r="J51" s="100">
        <v>4</v>
      </c>
      <c r="K51" s="100">
        <v>3417.6</v>
      </c>
      <c r="L51" s="100">
        <v>4</v>
      </c>
      <c r="M51" s="100">
        <v>3417.6</v>
      </c>
      <c r="N51" s="100">
        <v>7</v>
      </c>
      <c r="O51" s="100">
        <v>5980.8</v>
      </c>
      <c r="P51" s="100">
        <v>5</v>
      </c>
      <c r="Q51" s="100">
        <v>4272</v>
      </c>
      <c r="R51" s="100">
        <v>4</v>
      </c>
      <c r="S51" s="100">
        <v>3417.6</v>
      </c>
      <c r="T51" s="100">
        <v>5</v>
      </c>
      <c r="U51" s="100">
        <v>4272</v>
      </c>
      <c r="V51" s="100">
        <v>3.9740110620298328</v>
      </c>
      <c r="W51" s="100">
        <v>3395.3950513982891</v>
      </c>
      <c r="X51" s="100">
        <v>6.2170448345433424</v>
      </c>
      <c r="Y51" s="100">
        <v>5311.8431066338317</v>
      </c>
      <c r="Z51" s="100">
        <v>2.1882734084654398</v>
      </c>
      <c r="AA51" s="100">
        <v>1869.6608001928716</v>
      </c>
      <c r="AB51" s="100">
        <v>3.2157351284605107</v>
      </c>
      <c r="AC51" s="100">
        <v>2747.5240937566605</v>
      </c>
      <c r="AD51" s="100">
        <v>2.5581359109736437</v>
      </c>
      <c r="AE51" s="100">
        <v>2185.6713223358811</v>
      </c>
      <c r="AF51" s="100">
        <v>2.6869145857071097</v>
      </c>
      <c r="AG51" s="100">
        <v>2295.6998220281544</v>
      </c>
      <c r="AH51" s="100">
        <v>4</v>
      </c>
      <c r="AI51" s="100">
        <v>3417.6</v>
      </c>
      <c r="AJ51" s="100">
        <v>4.1705325935966613</v>
      </c>
      <c r="AK51" s="100">
        <v>3563.3030479689874</v>
      </c>
      <c r="AL51" s="100">
        <v>2.5250665092227891</v>
      </c>
      <c r="AM51" s="100">
        <v>2157.4168254799511</v>
      </c>
      <c r="AN51" s="100">
        <v>5</v>
      </c>
      <c r="AO51" s="100">
        <v>4272</v>
      </c>
      <c r="AP51" s="100">
        <v>6</v>
      </c>
      <c r="AQ51" s="100">
        <v>5126.3999999999996</v>
      </c>
      <c r="AR51" s="100">
        <v>4</v>
      </c>
      <c r="AS51" s="100">
        <v>3417.6</v>
      </c>
      <c r="AT51" s="100">
        <v>7</v>
      </c>
      <c r="AU51" s="100">
        <v>5980.8</v>
      </c>
      <c r="AV51" s="100">
        <v>3.0352807632791987</v>
      </c>
      <c r="AW51" s="100">
        <v>2593.3438841457473</v>
      </c>
      <c r="AX51" s="100">
        <v>4.4109829569642152</v>
      </c>
      <c r="AY51" s="100">
        <v>3768.7438384302254</v>
      </c>
      <c r="AZ51" s="100">
        <v>4</v>
      </c>
      <c r="BA51" s="100">
        <v>3417.6</v>
      </c>
      <c r="BB51" s="100">
        <v>4.0222256885090921</v>
      </c>
      <c r="BC51" s="100">
        <v>3436.5896282621684</v>
      </c>
      <c r="BD51" s="100">
        <v>6.020799083927769</v>
      </c>
      <c r="BE51" s="100">
        <v>5144.1707373078852</v>
      </c>
      <c r="BF51" s="100">
        <v>4.4231191437769573</v>
      </c>
      <c r="BG51" s="100">
        <v>3779.112996443032</v>
      </c>
      <c r="BH51" s="100">
        <v>4.1183309290374632</v>
      </c>
      <c r="BI51" s="100">
        <v>3518.7019457696083</v>
      </c>
      <c r="BJ51" s="100">
        <v>1.112577197550271</v>
      </c>
      <c r="BK51" s="100">
        <v>950.58595758695151</v>
      </c>
      <c r="BL51" s="100">
        <v>5.7679000861179661</v>
      </c>
      <c r="BM51" s="100">
        <v>4928.0938335791898</v>
      </c>
      <c r="BN51" s="100">
        <v>2.9497703761939555</v>
      </c>
      <c r="BO51" s="100">
        <v>2520.2838094201156</v>
      </c>
      <c r="BP51" s="100">
        <v>0.80346118247995946</v>
      </c>
      <c r="BQ51" s="100">
        <v>686.47723431087729</v>
      </c>
      <c r="BR51" s="100">
        <v>6.015397951179752</v>
      </c>
      <c r="BS51" s="100">
        <v>5139.5560094879802</v>
      </c>
      <c r="BT51" s="100">
        <v>2.5556132374979712</v>
      </c>
      <c r="BU51" s="100">
        <v>2183.5159501182666</v>
      </c>
      <c r="BV51" s="100">
        <v>3.2327017841690449</v>
      </c>
      <c r="BW51" s="100">
        <v>2762.0204043940316</v>
      </c>
      <c r="BX51" s="100">
        <v>3.1062427265344565</v>
      </c>
      <c r="BY51" s="100">
        <v>2653.9737855510398</v>
      </c>
      <c r="BZ51" s="100">
        <v>2.1948801856433917</v>
      </c>
      <c r="CA51" s="100">
        <v>1875.3056306137139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4</v>
      </c>
      <c r="CG51" s="100">
        <v>3417.6</v>
      </c>
      <c r="CH51" s="100">
        <v>4</v>
      </c>
      <c r="CI51" s="100">
        <v>3417.6</v>
      </c>
      <c r="CJ51" s="100">
        <v>7</v>
      </c>
      <c r="CK51" s="100">
        <v>5980.8</v>
      </c>
      <c r="CL51" s="100">
        <v>4.7156682975356068</v>
      </c>
      <c r="CM51" s="100">
        <v>4029.0669934144225</v>
      </c>
      <c r="CN51" s="100">
        <v>4.0321830700940158</v>
      </c>
      <c r="CO51" s="100">
        <v>3445.0972150883272</v>
      </c>
      <c r="CP51" s="100">
        <v>2.3427896814423179</v>
      </c>
      <c r="CQ51" s="100">
        <v>2001.6795038243163</v>
      </c>
      <c r="CR51" s="100">
        <v>0.79324769287216335</v>
      </c>
      <c r="CS51" s="100">
        <v>677.75082878997637</v>
      </c>
      <c r="CT51" s="100">
        <v>2.5868903355069364</v>
      </c>
      <c r="CU51" s="100">
        <v>2210.2391026571263</v>
      </c>
    </row>
    <row r="52" spans="2:99">
      <c r="C52" s="99" t="s">
        <v>218</v>
      </c>
      <c r="D52" s="100">
        <v>6</v>
      </c>
      <c r="E52" s="100">
        <v>3240</v>
      </c>
      <c r="F52" s="100">
        <v>6.1026826787870743</v>
      </c>
      <c r="G52" s="100">
        <v>3295.44864654502</v>
      </c>
      <c r="H52" s="100">
        <v>6</v>
      </c>
      <c r="I52" s="100">
        <v>3240</v>
      </c>
      <c r="J52" s="100">
        <v>5</v>
      </c>
      <c r="K52" s="100">
        <v>2700</v>
      </c>
      <c r="L52" s="100">
        <v>4</v>
      </c>
      <c r="M52" s="100">
        <v>2160</v>
      </c>
      <c r="N52" s="100">
        <v>6</v>
      </c>
      <c r="O52" s="100">
        <v>3240</v>
      </c>
      <c r="P52" s="100">
        <v>5</v>
      </c>
      <c r="Q52" s="100">
        <v>2700</v>
      </c>
      <c r="R52" s="100">
        <v>5</v>
      </c>
      <c r="S52" s="100">
        <v>2700</v>
      </c>
      <c r="T52" s="100">
        <v>6</v>
      </c>
      <c r="U52" s="100">
        <v>3240</v>
      </c>
      <c r="V52" s="100">
        <v>3.406295196025571</v>
      </c>
      <c r="W52" s="100">
        <v>1839.3994058538083</v>
      </c>
      <c r="X52" s="100">
        <v>7.2170448345433424</v>
      </c>
      <c r="Y52" s="100">
        <v>3897.204210653405</v>
      </c>
      <c r="Z52" s="100">
        <v>2.1882734084654398</v>
      </c>
      <c r="AA52" s="100">
        <v>1181.6676405713374</v>
      </c>
      <c r="AB52" s="100">
        <v>4.1887682374029467</v>
      </c>
      <c r="AC52" s="100">
        <v>2261.9348481975912</v>
      </c>
      <c r="AD52" s="100">
        <v>2.5581359109736437</v>
      </c>
      <c r="AE52" s="100">
        <v>1381.3933919257677</v>
      </c>
      <c r="AF52" s="100">
        <v>2.6869145857071097</v>
      </c>
      <c r="AG52" s="100">
        <v>1450.9338762818393</v>
      </c>
      <c r="AH52" s="100">
        <v>4</v>
      </c>
      <c r="AI52" s="100">
        <v>2160</v>
      </c>
      <c r="AJ52" s="100">
        <v>4.9781301261351514</v>
      </c>
      <c r="AK52" s="100">
        <v>2688.1902681129818</v>
      </c>
      <c r="AL52" s="100">
        <v>2.5250665092227891</v>
      </c>
      <c r="AM52" s="100">
        <v>1363.5359149803062</v>
      </c>
      <c r="AN52" s="100">
        <v>4</v>
      </c>
      <c r="AO52" s="100">
        <v>2160</v>
      </c>
      <c r="AP52" s="100">
        <v>6</v>
      </c>
      <c r="AQ52" s="100">
        <v>3240</v>
      </c>
      <c r="AR52" s="100">
        <v>4</v>
      </c>
      <c r="AS52" s="100">
        <v>2160</v>
      </c>
      <c r="AT52" s="100">
        <v>6</v>
      </c>
      <c r="AU52" s="100">
        <v>3240</v>
      </c>
      <c r="AV52" s="100">
        <v>3.0352807632791987</v>
      </c>
      <c r="AW52" s="100">
        <v>1639.0516121707674</v>
      </c>
      <c r="AX52" s="100">
        <v>4.4109829569642152</v>
      </c>
      <c r="AY52" s="100">
        <v>2381.930796760676</v>
      </c>
      <c r="AZ52" s="100">
        <v>4</v>
      </c>
      <c r="BA52" s="100">
        <v>2160</v>
      </c>
      <c r="BB52" s="100">
        <v>4.0259299699272741</v>
      </c>
      <c r="BC52" s="100">
        <v>2174.0021837607283</v>
      </c>
      <c r="BD52" s="100">
        <v>6.0434239519073154</v>
      </c>
      <c r="BE52" s="100">
        <v>3263.4489340299501</v>
      </c>
      <c r="BF52" s="100">
        <v>4.44335481500576</v>
      </c>
      <c r="BG52" s="100">
        <v>2399.4116001031102</v>
      </c>
      <c r="BH52" s="100">
        <v>4.8047194172103733</v>
      </c>
      <c r="BI52" s="100">
        <v>2594.5484852936015</v>
      </c>
      <c r="BJ52" s="100">
        <v>1.4834362634003613</v>
      </c>
      <c r="BK52" s="100">
        <v>801.05558223619505</v>
      </c>
      <c r="BL52" s="100">
        <v>5.7679000861179661</v>
      </c>
      <c r="BM52" s="100">
        <v>3114.6660465037016</v>
      </c>
      <c r="BN52" s="100">
        <v>2.9547452760098332</v>
      </c>
      <c r="BO52" s="100">
        <v>1595.5624490453099</v>
      </c>
      <c r="BP52" s="100">
        <v>1.0043264780999495</v>
      </c>
      <c r="BQ52" s="100">
        <v>542.33629817397275</v>
      </c>
      <c r="BR52" s="100">
        <v>7.0138581560617768</v>
      </c>
      <c r="BS52" s="100">
        <v>3787.4834042733596</v>
      </c>
      <c r="BT52" s="100">
        <v>2.5556132374979712</v>
      </c>
      <c r="BU52" s="100">
        <v>1380.0311482489044</v>
      </c>
      <c r="BV52" s="100">
        <v>4.1870807585935603</v>
      </c>
      <c r="BW52" s="100">
        <v>2261.0236096405224</v>
      </c>
      <c r="BX52" s="100">
        <v>3.1062427265344565</v>
      </c>
      <c r="BY52" s="100">
        <v>1677.3710723286065</v>
      </c>
      <c r="BZ52" s="100">
        <v>2.1948801856433917</v>
      </c>
      <c r="CA52" s="100">
        <v>1185.2353002474315</v>
      </c>
      <c r="CB52" s="100">
        <v>7</v>
      </c>
      <c r="CC52" s="100">
        <v>3780</v>
      </c>
      <c r="CD52" s="100">
        <v>4</v>
      </c>
      <c r="CE52" s="100">
        <v>2160</v>
      </c>
      <c r="CF52" s="100">
        <v>5</v>
      </c>
      <c r="CG52" s="100">
        <v>2700</v>
      </c>
      <c r="CH52" s="100">
        <v>4</v>
      </c>
      <c r="CI52" s="100">
        <v>2160</v>
      </c>
      <c r="CJ52" s="100">
        <v>7</v>
      </c>
      <c r="CK52" s="100">
        <v>3780</v>
      </c>
      <c r="CL52" s="100">
        <v>5.5016130137915411</v>
      </c>
      <c r="CM52" s="100">
        <v>2970.8710274474324</v>
      </c>
      <c r="CN52" s="100">
        <v>4.0321830700940158</v>
      </c>
      <c r="CO52" s="100">
        <v>2177.3788578507683</v>
      </c>
      <c r="CP52" s="100">
        <v>3.1237195752564237</v>
      </c>
      <c r="CQ52" s="100">
        <v>1686.8085706384688</v>
      </c>
      <c r="CR52" s="100">
        <v>0.79324769287216335</v>
      </c>
      <c r="CS52" s="100">
        <v>428.3537541509682</v>
      </c>
      <c r="CT52" s="100">
        <v>2.5868903355069364</v>
      </c>
      <c r="CU52" s="100">
        <v>1396.9207811737456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5.2308708675317774</v>
      </c>
      <c r="G53" s="100">
        <v>2127.918268911927</v>
      </c>
      <c r="H53" s="100">
        <v>6</v>
      </c>
      <c r="I53" s="100">
        <v>2440.8000000000002</v>
      </c>
      <c r="J53" s="100">
        <v>5</v>
      </c>
      <c r="K53" s="100">
        <v>2034</v>
      </c>
      <c r="L53" s="100">
        <v>4</v>
      </c>
      <c r="M53" s="100">
        <v>1627.2</v>
      </c>
      <c r="N53" s="100">
        <v>7</v>
      </c>
      <c r="O53" s="100">
        <v>2847.6</v>
      </c>
      <c r="P53" s="100">
        <v>5</v>
      </c>
      <c r="Q53" s="100">
        <v>2034</v>
      </c>
      <c r="R53" s="100">
        <v>4</v>
      </c>
      <c r="S53" s="100">
        <v>1627.2</v>
      </c>
      <c r="T53" s="100">
        <v>5</v>
      </c>
      <c r="U53" s="100">
        <v>2034</v>
      </c>
      <c r="V53" s="100">
        <v>3.9740110620298328</v>
      </c>
      <c r="W53" s="100">
        <v>1616.6277000337361</v>
      </c>
      <c r="X53" s="100">
        <v>7.2411609272703803</v>
      </c>
      <c r="Y53" s="100">
        <v>2945.7042652135906</v>
      </c>
      <c r="Z53" s="100">
        <v>2.6259280901585278</v>
      </c>
      <c r="AA53" s="100">
        <v>1068.2275470764891</v>
      </c>
      <c r="AB53" s="100">
        <v>4.1887682374029467</v>
      </c>
      <c r="AC53" s="100">
        <v>1703.9909189755188</v>
      </c>
      <c r="AD53" s="100">
        <v>2.5581359109736437</v>
      </c>
      <c r="AE53" s="100">
        <v>1040.6496885840784</v>
      </c>
      <c r="AF53" s="100">
        <v>2.6869145857071097</v>
      </c>
      <c r="AG53" s="100">
        <v>1093.0368534656523</v>
      </c>
      <c r="AH53" s="100">
        <v>4</v>
      </c>
      <c r="AI53" s="100">
        <v>1627.2</v>
      </c>
      <c r="AJ53" s="100">
        <v>4.2036688263227138</v>
      </c>
      <c r="AK53" s="100">
        <v>1710.05247854808</v>
      </c>
      <c r="AL53" s="100">
        <v>2.5250665092227891</v>
      </c>
      <c r="AM53" s="100">
        <v>1027.1970559518306</v>
      </c>
      <c r="AN53" s="100">
        <v>4</v>
      </c>
      <c r="AO53" s="100">
        <v>1627.2</v>
      </c>
      <c r="AP53" s="100">
        <v>6</v>
      </c>
      <c r="AQ53" s="100">
        <v>2440.8000000000002</v>
      </c>
      <c r="AR53" s="100">
        <v>4</v>
      </c>
      <c r="AS53" s="100">
        <v>1627.2</v>
      </c>
      <c r="AT53" s="100">
        <v>7</v>
      </c>
      <c r="AU53" s="100">
        <v>2847.6</v>
      </c>
      <c r="AV53" s="100">
        <v>3.0392008480879986</v>
      </c>
      <c r="AW53" s="100">
        <v>1236.3469050021979</v>
      </c>
      <c r="AX53" s="100">
        <v>4.4109829569642152</v>
      </c>
      <c r="AY53" s="100">
        <v>1794.3878668930429</v>
      </c>
      <c r="AZ53" s="100">
        <v>4</v>
      </c>
      <c r="BA53" s="100">
        <v>1627.2</v>
      </c>
      <c r="BB53" s="100">
        <v>4.0222256885090921</v>
      </c>
      <c r="BC53" s="100">
        <v>1636.2414100854987</v>
      </c>
      <c r="BD53" s="100">
        <v>6.0434239519073154</v>
      </c>
      <c r="BE53" s="100">
        <v>2458.4648636358961</v>
      </c>
      <c r="BF53" s="100">
        <v>5.129952160896579</v>
      </c>
      <c r="BG53" s="100">
        <v>2086.8645390527286</v>
      </c>
      <c r="BH53" s="100">
        <v>4.7760500769471097</v>
      </c>
      <c r="BI53" s="100">
        <v>1942.8971713020842</v>
      </c>
      <c r="BJ53" s="100">
        <v>1.4834362634003613</v>
      </c>
      <c r="BK53" s="100">
        <v>603.46187195126697</v>
      </c>
      <c r="BL53" s="100">
        <v>5.7679000861179661</v>
      </c>
      <c r="BM53" s="100">
        <v>2346.3817550327885</v>
      </c>
      <c r="BN53" s="100">
        <v>2.9547452760098332</v>
      </c>
      <c r="BO53" s="100">
        <v>1201.9903782808001</v>
      </c>
      <c r="BP53" s="100">
        <v>1.0043264780999495</v>
      </c>
      <c r="BQ53" s="100">
        <v>408.56001129105942</v>
      </c>
      <c r="BR53" s="100">
        <v>6.016937746297728</v>
      </c>
      <c r="BS53" s="100">
        <v>2447.690275193916</v>
      </c>
      <c r="BT53" s="100">
        <v>2.5556132374979712</v>
      </c>
      <c r="BU53" s="100">
        <v>1039.6234650141748</v>
      </c>
      <c r="BV53" s="100">
        <v>4.233276366205498</v>
      </c>
      <c r="BW53" s="100">
        <v>1722.0968257723966</v>
      </c>
      <c r="BX53" s="100">
        <v>3.1309434025831666</v>
      </c>
      <c r="BY53" s="100">
        <v>1273.6677761708322</v>
      </c>
      <c r="BZ53" s="100">
        <v>2.1948801856433917</v>
      </c>
      <c r="CA53" s="100">
        <v>892.87725951973175</v>
      </c>
      <c r="CB53" s="100">
        <v>6</v>
      </c>
      <c r="CC53" s="100">
        <v>2440.8000000000002</v>
      </c>
      <c r="CD53" s="100">
        <v>4</v>
      </c>
      <c r="CE53" s="100">
        <v>1627.2</v>
      </c>
      <c r="CF53" s="100">
        <v>5</v>
      </c>
      <c r="CG53" s="100">
        <v>2034</v>
      </c>
      <c r="CH53" s="100">
        <v>4</v>
      </c>
      <c r="CI53" s="100">
        <v>1627.2</v>
      </c>
      <c r="CJ53" s="100">
        <v>7</v>
      </c>
      <c r="CK53" s="100">
        <v>2847.6</v>
      </c>
      <c r="CL53" s="100">
        <v>5.5016130137915411</v>
      </c>
      <c r="CM53" s="100">
        <v>2238.056174010399</v>
      </c>
      <c r="CN53" s="100">
        <v>4.7042135817763517</v>
      </c>
      <c r="CO53" s="100">
        <v>1913.6740850666199</v>
      </c>
      <c r="CP53" s="100">
        <v>3.1237195752564237</v>
      </c>
      <c r="CQ53" s="100">
        <v>1270.7291232143132</v>
      </c>
      <c r="CR53" s="100">
        <v>0.99155961609020415</v>
      </c>
      <c r="CS53" s="100">
        <v>403.36645182549506</v>
      </c>
      <c r="CT53" s="100">
        <v>3.23361291938367</v>
      </c>
      <c r="CU53" s="100">
        <v>1315.433735605277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5.2308708675317774</v>
      </c>
      <c r="G54" s="100">
        <v>1751.2955664496392</v>
      </c>
      <c r="H54" s="100">
        <v>7</v>
      </c>
      <c r="I54" s="100">
        <v>2343.6</v>
      </c>
      <c r="J54" s="100">
        <v>5</v>
      </c>
      <c r="K54" s="100">
        <v>1674</v>
      </c>
      <c r="L54" s="100">
        <v>4</v>
      </c>
      <c r="M54" s="100">
        <v>1339.2</v>
      </c>
      <c r="N54" s="100">
        <v>7</v>
      </c>
      <c r="O54" s="100">
        <v>2343.6</v>
      </c>
      <c r="P54" s="100">
        <v>6</v>
      </c>
      <c r="Q54" s="100">
        <v>2008.8000000000002</v>
      </c>
      <c r="R54" s="100">
        <v>4</v>
      </c>
      <c r="S54" s="100">
        <v>1339.2</v>
      </c>
      <c r="T54" s="100">
        <v>5</v>
      </c>
      <c r="U54" s="100">
        <v>1674</v>
      </c>
      <c r="V54" s="100">
        <v>3.9740110620298328</v>
      </c>
      <c r="W54" s="100">
        <v>1330.4989035675881</v>
      </c>
      <c r="X54" s="100">
        <v>6.2411609272703803</v>
      </c>
      <c r="Y54" s="100">
        <v>2089.5406784501233</v>
      </c>
      <c r="Z54" s="100">
        <v>2.6259280901585278</v>
      </c>
      <c r="AA54" s="100">
        <v>879.16072458507517</v>
      </c>
      <c r="AB54" s="100">
        <v>4.2157351284605102</v>
      </c>
      <c r="AC54" s="100">
        <v>1411.428121008579</v>
      </c>
      <c r="AD54" s="100">
        <v>2.6046410533709659</v>
      </c>
      <c r="AE54" s="100">
        <v>872.03382466859944</v>
      </c>
      <c r="AF54" s="100">
        <v>2.6869145857071097</v>
      </c>
      <c r="AG54" s="100">
        <v>899.57900329474035</v>
      </c>
      <c r="AH54" s="100">
        <v>4</v>
      </c>
      <c r="AI54" s="100">
        <v>1339.2</v>
      </c>
      <c r="AJ54" s="100">
        <v>4.1705325935966613</v>
      </c>
      <c r="AK54" s="100">
        <v>1396.2943123361622</v>
      </c>
      <c r="AL54" s="100">
        <v>2.5250665092227891</v>
      </c>
      <c r="AM54" s="100">
        <v>845.39226728778976</v>
      </c>
      <c r="AN54" s="100">
        <v>5</v>
      </c>
      <c r="AO54" s="100">
        <v>1674</v>
      </c>
      <c r="AP54" s="100">
        <v>6</v>
      </c>
      <c r="AQ54" s="100">
        <v>2008.8000000000002</v>
      </c>
      <c r="AR54" s="100">
        <v>4</v>
      </c>
      <c r="AS54" s="100">
        <v>1339.2</v>
      </c>
      <c r="AT54" s="100">
        <v>6</v>
      </c>
      <c r="AU54" s="100">
        <v>2008.8000000000002</v>
      </c>
      <c r="AV54" s="100">
        <v>4.0392008480879991</v>
      </c>
      <c r="AW54" s="100">
        <v>1352.324443939862</v>
      </c>
      <c r="AX54" s="100">
        <v>4.4109829569642152</v>
      </c>
      <c r="AY54" s="100">
        <v>1476.7970939916192</v>
      </c>
      <c r="AZ54" s="100">
        <v>5</v>
      </c>
      <c r="BA54" s="100">
        <v>1674</v>
      </c>
      <c r="BB54" s="100">
        <v>4.0259299699272741</v>
      </c>
      <c r="BC54" s="100">
        <v>1347.8813539316513</v>
      </c>
      <c r="BD54" s="100">
        <v>6.0434239519073154</v>
      </c>
      <c r="BE54" s="100">
        <v>2023.3383390985693</v>
      </c>
      <c r="BF54" s="100">
        <v>4.44335481500576</v>
      </c>
      <c r="BG54" s="100">
        <v>1487.6351920639286</v>
      </c>
      <c r="BH54" s="100">
        <v>4.8047194172103733</v>
      </c>
      <c r="BI54" s="100">
        <v>1608.6200608820329</v>
      </c>
      <c r="BJ54" s="100">
        <v>1.4834362634003613</v>
      </c>
      <c r="BK54" s="100">
        <v>496.65446098644099</v>
      </c>
      <c r="BL54" s="100">
        <v>5.7679000861179661</v>
      </c>
      <c r="BM54" s="100">
        <v>1931.0929488322952</v>
      </c>
      <c r="BN54" s="100">
        <v>2.9497703761939555</v>
      </c>
      <c r="BO54" s="100">
        <v>987.58312194973632</v>
      </c>
      <c r="BP54" s="100">
        <v>1.0043264780999495</v>
      </c>
      <c r="BQ54" s="100">
        <v>336.24850486786312</v>
      </c>
      <c r="BR54" s="100">
        <v>7.016937746297728</v>
      </c>
      <c r="BS54" s="100">
        <v>2349.2707574604792</v>
      </c>
      <c r="BT54" s="100">
        <v>2.5556132374979712</v>
      </c>
      <c r="BU54" s="100">
        <v>855.61931191432075</v>
      </c>
      <c r="BV54" s="100">
        <v>4.233276366205498</v>
      </c>
      <c r="BW54" s="100">
        <v>1417.3009274056008</v>
      </c>
      <c r="BX54" s="100">
        <v>3.0815420504857465</v>
      </c>
      <c r="BY54" s="100">
        <v>1031.700278502628</v>
      </c>
      <c r="BZ54" s="100">
        <v>2.1948801856433917</v>
      </c>
      <c r="CA54" s="100">
        <v>734.8458861534076</v>
      </c>
      <c r="CB54" s="100">
        <v>7</v>
      </c>
      <c r="CC54" s="100">
        <v>2343.6</v>
      </c>
      <c r="CD54" s="100">
        <v>4</v>
      </c>
      <c r="CE54" s="100">
        <v>1339.2</v>
      </c>
      <c r="CF54" s="100">
        <v>4</v>
      </c>
      <c r="CG54" s="100">
        <v>1339.2</v>
      </c>
      <c r="CH54" s="100">
        <v>4</v>
      </c>
      <c r="CI54" s="100">
        <v>1339.2</v>
      </c>
      <c r="CJ54" s="100">
        <v>7</v>
      </c>
      <c r="CK54" s="100">
        <v>2343.6</v>
      </c>
      <c r="CL54" s="100">
        <v>5.5016130137915411</v>
      </c>
      <c r="CM54" s="100">
        <v>1841.940037017408</v>
      </c>
      <c r="CN54" s="100">
        <v>4.0321830700940158</v>
      </c>
      <c r="CO54" s="100">
        <v>1349.9748918674766</v>
      </c>
      <c r="CP54" s="100">
        <v>2.3427896814423179</v>
      </c>
      <c r="CQ54" s="100">
        <v>784.36598534688801</v>
      </c>
      <c r="CR54" s="100">
        <v>0.79324769287216335</v>
      </c>
      <c r="CS54" s="100">
        <v>265.57932757360032</v>
      </c>
      <c r="CT54" s="100">
        <v>3.23361291938367</v>
      </c>
      <c r="CU54" s="100">
        <v>1082.6136054096528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5.2308708675317774</v>
      </c>
      <c r="G55" s="100">
        <v>3471.2059076940877</v>
      </c>
      <c r="H55" s="100">
        <v>6</v>
      </c>
      <c r="I55" s="100">
        <v>3981.6000000000004</v>
      </c>
      <c r="J55" s="100">
        <v>5</v>
      </c>
      <c r="K55" s="100">
        <v>3318</v>
      </c>
      <c r="L55" s="100">
        <v>4</v>
      </c>
      <c r="M55" s="100">
        <v>2654.4</v>
      </c>
      <c r="N55" s="100">
        <v>6</v>
      </c>
      <c r="O55" s="100">
        <v>3981.6000000000004</v>
      </c>
      <c r="P55" s="100">
        <v>6</v>
      </c>
      <c r="Q55" s="100">
        <v>3981.6000000000004</v>
      </c>
      <c r="R55" s="100">
        <v>4</v>
      </c>
      <c r="S55" s="100">
        <v>2654.4</v>
      </c>
      <c r="T55" s="100">
        <v>5</v>
      </c>
      <c r="U55" s="100">
        <v>3318</v>
      </c>
      <c r="V55" s="100">
        <v>3.406295196025571</v>
      </c>
      <c r="W55" s="100">
        <v>2260.417492082569</v>
      </c>
      <c r="X55" s="100">
        <v>7.2170448345433424</v>
      </c>
      <c r="Y55" s="100">
        <v>4789.2309522029618</v>
      </c>
      <c r="Z55" s="100">
        <v>2.1882734084654398</v>
      </c>
      <c r="AA55" s="100">
        <v>1452.1382338576659</v>
      </c>
      <c r="AB55" s="100">
        <v>4.1887682374029467</v>
      </c>
      <c r="AC55" s="100">
        <v>2779.6666023405955</v>
      </c>
      <c r="AD55" s="100">
        <v>2.5813884821723048</v>
      </c>
      <c r="AE55" s="100">
        <v>1713.0093967695416</v>
      </c>
      <c r="AF55" s="100">
        <v>2.1495316685656873</v>
      </c>
      <c r="AG55" s="100">
        <v>1426.4292152601902</v>
      </c>
      <c r="AH55" s="100">
        <v>4</v>
      </c>
      <c r="AI55" s="100">
        <v>2654.4</v>
      </c>
      <c r="AJ55" s="100">
        <v>4.1705325935966613</v>
      </c>
      <c r="AK55" s="100">
        <v>2767.5654291107444</v>
      </c>
      <c r="AL55" s="100">
        <v>2.5250665092227891</v>
      </c>
      <c r="AM55" s="100">
        <v>1675.6341355202428</v>
      </c>
      <c r="AN55" s="100">
        <v>5</v>
      </c>
      <c r="AO55" s="100">
        <v>3318</v>
      </c>
      <c r="AP55" s="100">
        <v>6</v>
      </c>
      <c r="AQ55" s="100">
        <v>3981.6000000000004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3.0352807632791987</v>
      </c>
      <c r="AW55" s="100">
        <v>2014.2123145120763</v>
      </c>
      <c r="AX55" s="100">
        <v>4.4109829569642152</v>
      </c>
      <c r="AY55" s="100">
        <v>2927.1282902414532</v>
      </c>
      <c r="AZ55" s="100">
        <v>4</v>
      </c>
      <c r="BA55" s="100">
        <v>2654.4</v>
      </c>
      <c r="BB55" s="100">
        <v>4.0222256885090921</v>
      </c>
      <c r="BC55" s="100">
        <v>2669.1489668946338</v>
      </c>
      <c r="BD55" s="100">
        <v>5.2091667890371172</v>
      </c>
      <c r="BE55" s="100">
        <v>3456.803081205031</v>
      </c>
      <c r="BF55" s="100">
        <v>4.4231191437769573</v>
      </c>
      <c r="BG55" s="100">
        <v>2935.1818638103891</v>
      </c>
      <c r="BH55" s="100">
        <v>4.8047194172103733</v>
      </c>
      <c r="BI55" s="100">
        <v>3188.4118052608037</v>
      </c>
      <c r="BJ55" s="100">
        <v>1.4834362634003613</v>
      </c>
      <c r="BK55" s="100">
        <v>984.40830439247975</v>
      </c>
      <c r="BL55" s="100">
        <v>5.7679000861179661</v>
      </c>
      <c r="BM55" s="100">
        <v>3827.5784971478824</v>
      </c>
      <c r="BN55" s="100">
        <v>2.9497703761939555</v>
      </c>
      <c r="BO55" s="100">
        <v>1957.467621642309</v>
      </c>
      <c r="BP55" s="100">
        <v>1.0043264780999495</v>
      </c>
      <c r="BQ55" s="100">
        <v>666.47105086712645</v>
      </c>
      <c r="BR55" s="100">
        <v>7.0138581560617768</v>
      </c>
      <c r="BS55" s="100">
        <v>4654.3962723625955</v>
      </c>
      <c r="BT55" s="100">
        <v>2.5556132374979712</v>
      </c>
      <c r="BU55" s="100">
        <v>1695.9049444036536</v>
      </c>
      <c r="BV55" s="100">
        <v>4.1870807585935603</v>
      </c>
      <c r="BW55" s="100">
        <v>2778.5467914026867</v>
      </c>
      <c r="BX55" s="100">
        <v>3.1309434025831666</v>
      </c>
      <c r="BY55" s="100">
        <v>2077.6940419541893</v>
      </c>
      <c r="BZ55" s="100">
        <v>1.7559041485147135</v>
      </c>
      <c r="CA55" s="100">
        <v>1165.217992954364</v>
      </c>
      <c r="CB55" s="100">
        <v>7</v>
      </c>
      <c r="CC55" s="100">
        <v>4645.2</v>
      </c>
      <c r="CD55" s="100">
        <v>4</v>
      </c>
      <c r="CE55" s="100">
        <v>2654.4</v>
      </c>
      <c r="CF55" s="100">
        <v>4</v>
      </c>
      <c r="CG55" s="100">
        <v>2654.4</v>
      </c>
      <c r="CH55" s="100">
        <v>4</v>
      </c>
      <c r="CI55" s="100">
        <v>2654.4</v>
      </c>
      <c r="CJ55" s="100">
        <v>6</v>
      </c>
      <c r="CK55" s="100">
        <v>3981.6000000000004</v>
      </c>
      <c r="CL55" s="100">
        <v>4.7156682975356068</v>
      </c>
      <c r="CM55" s="100">
        <v>3129.317482244629</v>
      </c>
      <c r="CN55" s="100">
        <v>4.0321830700940158</v>
      </c>
      <c r="CO55" s="100">
        <v>2675.756685314389</v>
      </c>
      <c r="CP55" s="100">
        <v>2.3427896814423179</v>
      </c>
      <c r="CQ55" s="100">
        <v>1554.6752326051221</v>
      </c>
      <c r="CR55" s="100">
        <v>0.99155961609020415</v>
      </c>
      <c r="CS55" s="100">
        <v>657.99896123745953</v>
      </c>
      <c r="CT55" s="100">
        <v>2.5868903355069364</v>
      </c>
      <c r="CU55" s="100">
        <v>1716.6604266424031</v>
      </c>
    </row>
    <row r="56" spans="2:99">
      <c r="C56" s="99" t="s">
        <v>222</v>
      </c>
      <c r="D56" s="100">
        <v>1.8828459143947978</v>
      </c>
      <c r="E56" s="100">
        <v>1848.2015495699334</v>
      </c>
      <c r="F56" s="100">
        <v>4.3701646499677995</v>
      </c>
      <c r="G56" s="100">
        <v>4289.7536204083917</v>
      </c>
      <c r="H56" s="100">
        <v>4.4434102256607639</v>
      </c>
      <c r="I56" s="100">
        <v>4361.6514775086052</v>
      </c>
      <c r="J56" s="100">
        <v>2.5428656925844089</v>
      </c>
      <c r="K56" s="100">
        <v>2496.0769638408556</v>
      </c>
      <c r="L56" s="100">
        <v>1.9410462400408237</v>
      </c>
      <c r="M56" s="100">
        <v>1905.3309892240725</v>
      </c>
      <c r="N56" s="100">
        <v>5.6586140109919612</v>
      </c>
      <c r="O56" s="100">
        <v>5554.4955131897086</v>
      </c>
      <c r="P56" s="100">
        <v>2.2336080646600691</v>
      </c>
      <c r="Q56" s="100">
        <v>2192.5096762703238</v>
      </c>
      <c r="R56" s="100">
        <v>2.9700567018895878</v>
      </c>
      <c r="S56" s="100">
        <v>2915.4076585748189</v>
      </c>
      <c r="T56" s="100">
        <v>2.8801495468231644</v>
      </c>
      <c r="U56" s="100">
        <v>2827.154795161618</v>
      </c>
      <c r="V56" s="100">
        <v>6.7987825057440725</v>
      </c>
      <c r="W56" s="100">
        <v>6673.6849076383805</v>
      </c>
      <c r="X56" s="100">
        <v>4.4536197458215376</v>
      </c>
      <c r="Y56" s="100">
        <v>4371.6731424984209</v>
      </c>
      <c r="Z56" s="100">
        <v>4.8184838178558733</v>
      </c>
      <c r="AA56" s="100">
        <v>4729.8237156073246</v>
      </c>
      <c r="AB56" s="100">
        <v>1.3704460044353408</v>
      </c>
      <c r="AC56" s="100">
        <v>1345.2297979537304</v>
      </c>
      <c r="AD56" s="100">
        <v>4.0442478044126764</v>
      </c>
      <c r="AE56" s="100">
        <v>3969.8336448114828</v>
      </c>
      <c r="AF56" s="100">
        <v>5.2970176633982033</v>
      </c>
      <c r="AG56" s="100">
        <v>5199.5525383916756</v>
      </c>
      <c r="AH56" s="100">
        <v>1.029422040709759</v>
      </c>
      <c r="AI56" s="100">
        <v>1010.4806751606993</v>
      </c>
      <c r="AJ56" s="100">
        <v>0.69980421132883908</v>
      </c>
      <c r="AK56" s="100">
        <v>686.92781384038835</v>
      </c>
      <c r="AL56" s="100">
        <v>0.83479602960884014</v>
      </c>
      <c r="AM56" s="100">
        <v>819.43578266403745</v>
      </c>
      <c r="AN56" s="100">
        <v>0.72127059817941708</v>
      </c>
      <c r="AO56" s="100">
        <v>707.99921917291579</v>
      </c>
      <c r="AP56" s="100">
        <v>3.6605211614786342</v>
      </c>
      <c r="AQ56" s="100">
        <v>3593.1675721074271</v>
      </c>
      <c r="AR56" s="100">
        <v>3.1483822185315771</v>
      </c>
      <c r="AS56" s="100">
        <v>3090.4519857105956</v>
      </c>
      <c r="AT56" s="100">
        <v>3.8627705793621514</v>
      </c>
      <c r="AU56" s="100">
        <v>3791.6956007018875</v>
      </c>
      <c r="AV56" s="100">
        <v>2.408431227068085</v>
      </c>
      <c r="AW56" s="100">
        <v>2364.1160924900319</v>
      </c>
      <c r="AX56" s="100">
        <v>3.7507136895762732</v>
      </c>
      <c r="AY56" s="100">
        <v>3681.7005576880692</v>
      </c>
      <c r="AZ56" s="100">
        <v>0.57052127377837647</v>
      </c>
      <c r="BA56" s="100">
        <v>560.02368234085429</v>
      </c>
      <c r="BB56" s="100">
        <v>2.5062909443825458</v>
      </c>
      <c r="BC56" s="100">
        <v>2460.175191005907</v>
      </c>
      <c r="BD56" s="100">
        <v>3.7384766358510775</v>
      </c>
      <c r="BE56" s="100">
        <v>3669.6886657514174</v>
      </c>
      <c r="BF56" s="100">
        <v>3.6842919973773927</v>
      </c>
      <c r="BG56" s="100">
        <v>3616.5010246256484</v>
      </c>
      <c r="BH56" s="100">
        <v>1.2569901069093987</v>
      </c>
      <c r="BI56" s="100">
        <v>1233.8614889422656</v>
      </c>
      <c r="BJ56" s="100">
        <v>3.3716772208088774</v>
      </c>
      <c r="BK56" s="100">
        <v>3309.6383599459937</v>
      </c>
      <c r="BL56" s="100">
        <v>2.7702561875973344</v>
      </c>
      <c r="BM56" s="100">
        <v>2719.2834737455432</v>
      </c>
      <c r="BN56" s="100">
        <v>2.75607998522938</v>
      </c>
      <c r="BO56" s="100">
        <v>2705.3681135011593</v>
      </c>
      <c r="BP56" s="100">
        <v>4.5362560015241371</v>
      </c>
      <c r="BQ56" s="100">
        <v>4452.7888910960928</v>
      </c>
      <c r="BR56" s="100">
        <v>4.582651905753429</v>
      </c>
      <c r="BS56" s="100">
        <v>4498.3311106875653</v>
      </c>
      <c r="BT56" s="100">
        <v>2.7611460212817422</v>
      </c>
      <c r="BU56" s="100">
        <v>2710.3409344901579</v>
      </c>
      <c r="BV56" s="100">
        <v>3.1560136088709636</v>
      </c>
      <c r="BW56" s="100">
        <v>3097.9429584677378</v>
      </c>
      <c r="BX56" s="100">
        <v>3.5895512691362281</v>
      </c>
      <c r="BY56" s="100">
        <v>3523.5035257841214</v>
      </c>
      <c r="BZ56" s="100">
        <v>2.7548185365381048</v>
      </c>
      <c r="CA56" s="100">
        <v>2704.1298754658033</v>
      </c>
      <c r="CB56" s="100">
        <v>3.378111290946836</v>
      </c>
      <c r="CC56" s="100">
        <v>3315.9540431934138</v>
      </c>
      <c r="CD56" s="100">
        <v>2.3721104048225028</v>
      </c>
      <c r="CE56" s="100">
        <v>2328.4635733737687</v>
      </c>
      <c r="CF56" s="100">
        <v>2.3598663263397546</v>
      </c>
      <c r="CG56" s="100">
        <v>2316.444785935103</v>
      </c>
      <c r="CH56" s="100">
        <v>2.9715581204506858</v>
      </c>
      <c r="CI56" s="100">
        <v>2916.8814510343927</v>
      </c>
      <c r="CJ56" s="100">
        <v>1.206421539390055</v>
      </c>
      <c r="CK56" s="100">
        <v>1184.2233830652779</v>
      </c>
      <c r="CL56" s="100">
        <v>6.2418882580972141</v>
      </c>
      <c r="CM56" s="100">
        <v>6127.0375141482245</v>
      </c>
      <c r="CN56" s="100">
        <v>6.2095961491295126</v>
      </c>
      <c r="CO56" s="100">
        <v>6095.3395799855289</v>
      </c>
      <c r="CP56" s="100">
        <v>0.54100686927061981</v>
      </c>
      <c r="CQ56" s="100">
        <v>531.05234287604037</v>
      </c>
      <c r="CR56" s="100">
        <v>2.8587580807386699</v>
      </c>
      <c r="CS56" s="100">
        <v>2806.156932053078</v>
      </c>
      <c r="CT56" s="100">
        <v>1.2092013125222902</v>
      </c>
      <c r="CU56" s="100">
        <v>1186.9520083718801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5.2308708675317774</v>
      </c>
      <c r="G57" s="100">
        <v>7381.8049682608444</v>
      </c>
      <c r="H57" s="100">
        <v>5</v>
      </c>
      <c r="I57" s="100">
        <v>7056</v>
      </c>
      <c r="J57" s="100">
        <v>4</v>
      </c>
      <c r="K57" s="100">
        <v>5644.8</v>
      </c>
      <c r="L57" s="100">
        <v>4</v>
      </c>
      <c r="M57" s="100">
        <v>5644.8</v>
      </c>
      <c r="N57" s="100">
        <v>7</v>
      </c>
      <c r="O57" s="100">
        <v>9878.4</v>
      </c>
      <c r="P57" s="100">
        <v>6</v>
      </c>
      <c r="Q57" s="100">
        <v>8467.2000000000007</v>
      </c>
      <c r="R57" s="100">
        <v>4</v>
      </c>
      <c r="S57" s="100">
        <v>5644.8</v>
      </c>
      <c r="T57" s="100">
        <v>5</v>
      </c>
      <c r="U57" s="100">
        <v>7056</v>
      </c>
      <c r="V57" s="100">
        <v>3.9740110620298328</v>
      </c>
      <c r="W57" s="100">
        <v>5608.1244107365001</v>
      </c>
      <c r="X57" s="100">
        <v>7.2411609272703803</v>
      </c>
      <c r="Y57" s="100">
        <v>10218.726300563962</v>
      </c>
      <c r="Z57" s="100">
        <v>2.1882734084654398</v>
      </c>
      <c r="AA57" s="100">
        <v>3088.0914340264289</v>
      </c>
      <c r="AB57" s="100">
        <v>3.1887682374029467</v>
      </c>
      <c r="AC57" s="100">
        <v>4499.9897366230389</v>
      </c>
      <c r="AD57" s="100">
        <v>2.5581359109736437</v>
      </c>
      <c r="AE57" s="100">
        <v>3610.0413975660063</v>
      </c>
      <c r="AF57" s="100">
        <v>2.1495316685656873</v>
      </c>
      <c r="AG57" s="100">
        <v>3033.4190906798981</v>
      </c>
      <c r="AH57" s="100">
        <v>4</v>
      </c>
      <c r="AI57" s="100">
        <v>5644.8</v>
      </c>
      <c r="AJ57" s="100">
        <v>4.1705325935966613</v>
      </c>
      <c r="AK57" s="100">
        <v>5885.4555960836087</v>
      </c>
      <c r="AL57" s="100">
        <v>2.104222091018991</v>
      </c>
      <c r="AM57" s="100">
        <v>2969.4782148460004</v>
      </c>
      <c r="AN57" s="100">
        <v>4</v>
      </c>
      <c r="AO57" s="100">
        <v>5644.8</v>
      </c>
      <c r="AP57" s="100">
        <v>5</v>
      </c>
      <c r="AQ57" s="100">
        <v>7056</v>
      </c>
      <c r="AR57" s="100">
        <v>4</v>
      </c>
      <c r="AS57" s="100">
        <v>5644.8</v>
      </c>
      <c r="AT57" s="100">
        <v>6</v>
      </c>
      <c r="AU57" s="100">
        <v>8467.2000000000007</v>
      </c>
      <c r="AV57" s="100">
        <v>3.0352807632791987</v>
      </c>
      <c r="AW57" s="100">
        <v>4283.3882131396058</v>
      </c>
      <c r="AX57" s="100">
        <v>3.5287863655713729</v>
      </c>
      <c r="AY57" s="100">
        <v>4979.823319094322</v>
      </c>
      <c r="AZ57" s="100">
        <v>4</v>
      </c>
      <c r="BA57" s="100">
        <v>5644.8</v>
      </c>
      <c r="BB57" s="100">
        <v>4.0222256885090921</v>
      </c>
      <c r="BC57" s="100">
        <v>5676.164891624031</v>
      </c>
      <c r="BD57" s="100">
        <v>5.1865419210575698</v>
      </c>
      <c r="BE57" s="100">
        <v>7319.2479589964432</v>
      </c>
      <c r="BF57" s="100">
        <v>4.4231191437769573</v>
      </c>
      <c r="BG57" s="100">
        <v>6241.905735698042</v>
      </c>
      <c r="BH57" s="100">
        <v>4.7760500769471097</v>
      </c>
      <c r="BI57" s="100">
        <v>6739.9618685877613</v>
      </c>
      <c r="BJ57" s="100">
        <v>1.4834362634003613</v>
      </c>
      <c r="BK57" s="100">
        <v>2093.42525491059</v>
      </c>
      <c r="BL57" s="100">
        <v>5.7679000861179661</v>
      </c>
      <c r="BM57" s="100">
        <v>8139.6606015296738</v>
      </c>
      <c r="BN57" s="100">
        <v>2.9547452760098332</v>
      </c>
      <c r="BO57" s="100">
        <v>4169.7365335050763</v>
      </c>
      <c r="BP57" s="100">
        <v>1.0043264780999495</v>
      </c>
      <c r="BQ57" s="100">
        <v>1417.3055258946488</v>
      </c>
      <c r="BR57" s="100">
        <v>7.015397951179752</v>
      </c>
      <c r="BS57" s="100">
        <v>9900.1295887048655</v>
      </c>
      <c r="BT57" s="100">
        <v>2.5556132374979712</v>
      </c>
      <c r="BU57" s="100">
        <v>3606.4814007571372</v>
      </c>
      <c r="BV57" s="100">
        <v>3.2327017841690449</v>
      </c>
      <c r="BW57" s="100">
        <v>4561.9887578193566</v>
      </c>
      <c r="BX57" s="100">
        <v>3.1062427265344565</v>
      </c>
      <c r="BY57" s="100">
        <v>4383.5297356854253</v>
      </c>
      <c r="BZ57" s="100">
        <v>1.7559041485147135</v>
      </c>
      <c r="CA57" s="100">
        <v>2477.9319343839638</v>
      </c>
      <c r="CB57" s="100">
        <v>6</v>
      </c>
      <c r="CC57" s="100">
        <v>8467.2000000000007</v>
      </c>
      <c r="CD57" s="100">
        <v>4</v>
      </c>
      <c r="CE57" s="100">
        <v>5644.8</v>
      </c>
      <c r="CF57" s="100">
        <v>4</v>
      </c>
      <c r="CG57" s="100">
        <v>5644.8</v>
      </c>
      <c r="CH57" s="100">
        <v>3</v>
      </c>
      <c r="CI57" s="100">
        <v>4233.6000000000004</v>
      </c>
      <c r="CJ57" s="100">
        <v>6</v>
      </c>
      <c r="CK57" s="100">
        <v>8467.2000000000007</v>
      </c>
      <c r="CL57" s="100">
        <v>5.5016130137915411</v>
      </c>
      <c r="CM57" s="100">
        <v>7763.8762850626226</v>
      </c>
      <c r="CN57" s="100">
        <v>4.7042135817763517</v>
      </c>
      <c r="CO57" s="100">
        <v>6638.5862066027876</v>
      </c>
      <c r="CP57" s="100">
        <v>2.3427896814423179</v>
      </c>
      <c r="CQ57" s="100">
        <v>3306.1447984513993</v>
      </c>
      <c r="CR57" s="100">
        <v>0.79324769287216335</v>
      </c>
      <c r="CS57" s="100">
        <v>1119.4311441811969</v>
      </c>
      <c r="CT57" s="100">
        <v>3.23361291938367</v>
      </c>
      <c r="CU57" s="100">
        <v>4563.2745518342354</v>
      </c>
    </row>
    <row r="58" spans="2:99">
      <c r="C58" s="99" t="s">
        <v>224</v>
      </c>
      <c r="D58" s="100">
        <v>5.5352904497680164</v>
      </c>
      <c r="E58" s="100">
        <v>6516.1439174669094</v>
      </c>
      <c r="F58" s="100">
        <v>5.2902944398830769</v>
      </c>
      <c r="G58" s="100">
        <v>6227.734614630358</v>
      </c>
      <c r="H58" s="100">
        <v>4.4397433792686432</v>
      </c>
      <c r="I58" s="100">
        <v>5226.4659060750473</v>
      </c>
      <c r="J58" s="100">
        <v>2.7018028297291869</v>
      </c>
      <c r="K58" s="100">
        <v>3180.5622911571991</v>
      </c>
      <c r="L58" s="100">
        <v>3.043982546159179</v>
      </c>
      <c r="M58" s="100">
        <v>3583.3762533385857</v>
      </c>
      <c r="N58" s="100">
        <v>6</v>
      </c>
      <c r="O58" s="100">
        <v>7063.2000000000007</v>
      </c>
      <c r="P58" s="100">
        <v>6</v>
      </c>
      <c r="Q58" s="100">
        <v>7063.2000000000007</v>
      </c>
      <c r="R58" s="100">
        <v>4</v>
      </c>
      <c r="S58" s="100">
        <v>4708.8</v>
      </c>
      <c r="T58" s="100">
        <v>5</v>
      </c>
      <c r="U58" s="100">
        <v>5886</v>
      </c>
      <c r="V58" s="100">
        <v>6</v>
      </c>
      <c r="W58" s="100">
        <v>7063.2000000000007</v>
      </c>
      <c r="X58" s="100">
        <v>7</v>
      </c>
      <c r="Y58" s="100">
        <v>8240.4</v>
      </c>
      <c r="Z58" s="100">
        <v>6</v>
      </c>
      <c r="AA58" s="100">
        <v>7063.2000000000007</v>
      </c>
      <c r="AB58" s="100">
        <v>3</v>
      </c>
      <c r="AC58" s="100">
        <v>3531.6000000000004</v>
      </c>
      <c r="AD58" s="100">
        <v>5</v>
      </c>
      <c r="AE58" s="100">
        <v>5886</v>
      </c>
      <c r="AF58" s="100">
        <v>5.1460547123426483</v>
      </c>
      <c r="AG58" s="100">
        <v>6057.9356073697654</v>
      </c>
      <c r="AH58" s="100">
        <v>2.4715814656858379</v>
      </c>
      <c r="AI58" s="100">
        <v>2909.5457014053686</v>
      </c>
      <c r="AJ58" s="100">
        <v>1.4228653867363363</v>
      </c>
      <c r="AK58" s="100">
        <v>1674.9971332660152</v>
      </c>
      <c r="AL58" s="100">
        <v>1.7566801977334094</v>
      </c>
      <c r="AM58" s="100">
        <v>2067.9639287717696</v>
      </c>
      <c r="AN58" s="100">
        <v>1.4080751912623408</v>
      </c>
      <c r="AO58" s="100">
        <v>1657.5861151540278</v>
      </c>
      <c r="AP58" s="100">
        <v>4.3943596581370103</v>
      </c>
      <c r="AQ58" s="100">
        <v>5173.0401895588884</v>
      </c>
      <c r="AR58" s="100">
        <v>1.1324895167051938</v>
      </c>
      <c r="AS58" s="100">
        <v>1333.1666590653542</v>
      </c>
      <c r="AT58" s="100">
        <v>6</v>
      </c>
      <c r="AU58" s="100">
        <v>7063.2000000000007</v>
      </c>
      <c r="AV58" s="100">
        <v>3</v>
      </c>
      <c r="AW58" s="100">
        <v>3531.6000000000004</v>
      </c>
      <c r="AX58" s="100">
        <v>5</v>
      </c>
      <c r="AY58" s="100">
        <v>5886</v>
      </c>
      <c r="AZ58" s="100">
        <v>4.3281898000592216</v>
      </c>
      <c r="BA58" s="100">
        <v>5095.1450326297163</v>
      </c>
      <c r="BB58" s="100">
        <v>3.1393911475139578</v>
      </c>
      <c r="BC58" s="100">
        <v>3695.691258853431</v>
      </c>
      <c r="BD58" s="100">
        <v>2.1597705622857384</v>
      </c>
      <c r="BE58" s="100">
        <v>2542.4819059227711</v>
      </c>
      <c r="BF58" s="100">
        <v>6</v>
      </c>
      <c r="BG58" s="100">
        <v>7063.2000000000007</v>
      </c>
      <c r="BH58" s="100">
        <v>7</v>
      </c>
      <c r="BI58" s="100">
        <v>8240.4</v>
      </c>
      <c r="BJ58" s="100">
        <v>4.3197835559514282</v>
      </c>
      <c r="BK58" s="100">
        <v>5085.2492020660211</v>
      </c>
      <c r="BL58" s="100">
        <v>2.5268716766777124</v>
      </c>
      <c r="BM58" s="100">
        <v>2974.6333377850033</v>
      </c>
      <c r="BN58" s="100">
        <v>4.3914924463671419</v>
      </c>
      <c r="BO58" s="100">
        <v>5169.6649078634</v>
      </c>
      <c r="BP58" s="100">
        <v>3.6256692390291181</v>
      </c>
      <c r="BQ58" s="100">
        <v>4268.1378281850775</v>
      </c>
      <c r="BR58" s="100">
        <v>7</v>
      </c>
      <c r="BS58" s="100">
        <v>8240.4</v>
      </c>
      <c r="BT58" s="100">
        <v>4</v>
      </c>
      <c r="BU58" s="100">
        <v>4708.8</v>
      </c>
      <c r="BV58" s="100">
        <v>3.2344584511990244</v>
      </c>
      <c r="BW58" s="100">
        <v>3807.6044887514918</v>
      </c>
      <c r="BX58" s="100">
        <v>4.3001496470164451</v>
      </c>
      <c r="BY58" s="100">
        <v>5062.136164467759</v>
      </c>
      <c r="BZ58" s="100">
        <v>5.1619486348799892</v>
      </c>
      <c r="CA58" s="100">
        <v>6076.645932980724</v>
      </c>
      <c r="CB58" s="100">
        <v>5.7987831353383568</v>
      </c>
      <c r="CC58" s="100">
        <v>6826.3275069203137</v>
      </c>
      <c r="CD58" s="100">
        <v>4</v>
      </c>
      <c r="CE58" s="100">
        <v>4708.8</v>
      </c>
      <c r="CF58" s="100">
        <v>4</v>
      </c>
      <c r="CG58" s="100">
        <v>4708.8</v>
      </c>
      <c r="CH58" s="100">
        <v>4</v>
      </c>
      <c r="CI58" s="100">
        <v>4708.8</v>
      </c>
      <c r="CJ58" s="100">
        <v>6</v>
      </c>
      <c r="CK58" s="100">
        <v>7063.2000000000007</v>
      </c>
      <c r="CL58" s="100">
        <v>6</v>
      </c>
      <c r="CM58" s="100">
        <v>7063.2000000000007</v>
      </c>
      <c r="CN58" s="100">
        <v>6.493472759478637</v>
      </c>
      <c r="CO58" s="100">
        <v>7644.1161324582517</v>
      </c>
      <c r="CP58" s="100">
        <v>2.2622602976202306</v>
      </c>
      <c r="CQ58" s="100">
        <v>2663.1328223585356</v>
      </c>
      <c r="CR58" s="100">
        <v>3.6390514713089659</v>
      </c>
      <c r="CS58" s="100">
        <v>4283.8913920249151</v>
      </c>
      <c r="CT58" s="100">
        <v>2.5548998368219533</v>
      </c>
      <c r="CU58" s="100">
        <v>3007.6280879068036</v>
      </c>
    </row>
    <row r="59" spans="2:99">
      <c r="C59" s="99" t="s">
        <v>225</v>
      </c>
      <c r="D59" s="100">
        <v>5</v>
      </c>
      <c r="E59" s="100">
        <v>1517.9999999999998</v>
      </c>
      <c r="F59" s="100">
        <v>5.2308708675317774</v>
      </c>
      <c r="G59" s="100">
        <v>1588.0923953826475</v>
      </c>
      <c r="H59" s="100">
        <v>7</v>
      </c>
      <c r="I59" s="100">
        <v>2125.1999999999998</v>
      </c>
      <c r="J59" s="100">
        <v>5</v>
      </c>
      <c r="K59" s="100">
        <v>1517.9999999999998</v>
      </c>
      <c r="L59" s="100">
        <v>4</v>
      </c>
      <c r="M59" s="100">
        <v>1214.3999999999999</v>
      </c>
      <c r="N59" s="100">
        <v>7</v>
      </c>
      <c r="O59" s="100">
        <v>2125.1999999999998</v>
      </c>
      <c r="P59" s="100">
        <v>5</v>
      </c>
      <c r="Q59" s="100">
        <v>1517.9999999999998</v>
      </c>
      <c r="R59" s="100">
        <v>4</v>
      </c>
      <c r="S59" s="100">
        <v>1214.3999999999999</v>
      </c>
      <c r="T59" s="100">
        <v>6</v>
      </c>
      <c r="U59" s="100">
        <v>1821.6</v>
      </c>
      <c r="V59" s="100">
        <v>3.406295196025571</v>
      </c>
      <c r="W59" s="100">
        <v>1034.1512215133632</v>
      </c>
      <c r="X59" s="100">
        <v>7.2411609272703803</v>
      </c>
      <c r="Y59" s="100">
        <v>2198.4164575192872</v>
      </c>
      <c r="Z59" s="100">
        <v>2.1882734084654398</v>
      </c>
      <c r="AA59" s="100">
        <v>664.35980681010744</v>
      </c>
      <c r="AB59" s="100">
        <v>4.2157351284605102</v>
      </c>
      <c r="AC59" s="100">
        <v>1279.8971850006108</v>
      </c>
      <c r="AD59" s="100">
        <v>3.0232579507710509</v>
      </c>
      <c r="AE59" s="100">
        <v>917.86111385409095</v>
      </c>
      <c r="AF59" s="100">
        <v>2.6869145857071097</v>
      </c>
      <c r="AG59" s="100">
        <v>815.74726822067839</v>
      </c>
      <c r="AH59" s="100">
        <v>4</v>
      </c>
      <c r="AI59" s="100">
        <v>1214.3999999999999</v>
      </c>
      <c r="AJ59" s="100">
        <v>4.2036688263227138</v>
      </c>
      <c r="AK59" s="100">
        <v>1276.2338556715758</v>
      </c>
      <c r="AL59" s="100">
        <v>2.104222091018991</v>
      </c>
      <c r="AM59" s="100">
        <v>638.84182683336564</v>
      </c>
      <c r="AN59" s="100">
        <v>5</v>
      </c>
      <c r="AO59" s="100">
        <v>1517.9999999999998</v>
      </c>
      <c r="AP59" s="100">
        <v>7</v>
      </c>
      <c r="AQ59" s="100">
        <v>2125.1999999999998</v>
      </c>
      <c r="AR59" s="100">
        <v>5</v>
      </c>
      <c r="AS59" s="100">
        <v>1517.9999999999998</v>
      </c>
      <c r="AT59" s="100">
        <v>6</v>
      </c>
      <c r="AU59" s="100">
        <v>1821.6</v>
      </c>
      <c r="AV59" s="100">
        <v>4.0352807632791992</v>
      </c>
      <c r="AW59" s="100">
        <v>1225.1112397315646</v>
      </c>
      <c r="AX59" s="100">
        <v>4.4109829569642152</v>
      </c>
      <c r="AY59" s="100">
        <v>1339.1744257343355</v>
      </c>
      <c r="AZ59" s="100">
        <v>4</v>
      </c>
      <c r="BA59" s="100">
        <v>1214.3999999999999</v>
      </c>
      <c r="BB59" s="100">
        <v>4.0259299699272741</v>
      </c>
      <c r="BC59" s="100">
        <v>1222.2723388699203</v>
      </c>
      <c r="BD59" s="100">
        <v>6.0434239519073154</v>
      </c>
      <c r="BE59" s="100">
        <v>1834.7835117990608</v>
      </c>
      <c r="BF59" s="100">
        <v>4.44335481500576</v>
      </c>
      <c r="BG59" s="100">
        <v>1349.0025218357487</v>
      </c>
      <c r="BH59" s="100">
        <v>4.8047194172103733</v>
      </c>
      <c r="BI59" s="100">
        <v>1458.7128150650692</v>
      </c>
      <c r="BJ59" s="100">
        <v>1.4834362634003613</v>
      </c>
      <c r="BK59" s="100">
        <v>450.37124956834964</v>
      </c>
      <c r="BL59" s="100">
        <v>5.7679000861179661</v>
      </c>
      <c r="BM59" s="100">
        <v>1751.1344661454143</v>
      </c>
      <c r="BN59" s="100">
        <v>2.9547452760098332</v>
      </c>
      <c r="BO59" s="100">
        <v>897.06066579658523</v>
      </c>
      <c r="BP59" s="100">
        <v>1.0043264780999495</v>
      </c>
      <c r="BQ59" s="100">
        <v>304.91351875114464</v>
      </c>
      <c r="BR59" s="100">
        <v>7.015397951179752</v>
      </c>
      <c r="BS59" s="100">
        <v>2129.8748179781724</v>
      </c>
      <c r="BT59" s="100">
        <v>2.5556132374979712</v>
      </c>
      <c r="BU59" s="100">
        <v>775.88417890438393</v>
      </c>
      <c r="BV59" s="100">
        <v>4.1870807585935603</v>
      </c>
      <c r="BW59" s="100">
        <v>1271.1977183090048</v>
      </c>
      <c r="BX59" s="100">
        <v>3.0815420504857465</v>
      </c>
      <c r="BY59" s="100">
        <v>935.55616652747256</v>
      </c>
      <c r="BZ59" s="100">
        <v>2.1948801856433917</v>
      </c>
      <c r="CA59" s="100">
        <v>666.36562436133363</v>
      </c>
      <c r="CB59" s="100">
        <v>7</v>
      </c>
      <c r="CC59" s="100">
        <v>2125.1999999999998</v>
      </c>
      <c r="CD59" s="100">
        <v>4</v>
      </c>
      <c r="CE59" s="100">
        <v>1214.3999999999999</v>
      </c>
      <c r="CF59" s="100">
        <v>4</v>
      </c>
      <c r="CG59" s="100">
        <v>1214.3999999999999</v>
      </c>
      <c r="CH59" s="100">
        <v>4</v>
      </c>
      <c r="CI59" s="100">
        <v>1214.3999999999999</v>
      </c>
      <c r="CJ59" s="100">
        <v>7</v>
      </c>
      <c r="CK59" s="100">
        <v>2125.1999999999998</v>
      </c>
      <c r="CL59" s="100">
        <v>5.5016130137915411</v>
      </c>
      <c r="CM59" s="100">
        <v>1670.2897109871117</v>
      </c>
      <c r="CN59" s="100">
        <v>4.0321830700940158</v>
      </c>
      <c r="CO59" s="100">
        <v>1224.170780080543</v>
      </c>
      <c r="CP59" s="100">
        <v>3.1237195752564237</v>
      </c>
      <c r="CQ59" s="100">
        <v>948.36126304785012</v>
      </c>
      <c r="CR59" s="100">
        <v>0.79324769287216335</v>
      </c>
      <c r="CS59" s="100">
        <v>240.82999955598876</v>
      </c>
      <c r="CT59" s="100">
        <v>3.23361291938367</v>
      </c>
      <c r="CU59" s="100">
        <v>981.72488232488206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5.2308708675317774</v>
      </c>
      <c r="G60" s="100">
        <v>3408.4354572837065</v>
      </c>
      <c r="H60" s="100">
        <v>6</v>
      </c>
      <c r="I60" s="100">
        <v>3909.6000000000004</v>
      </c>
      <c r="J60" s="100">
        <v>5</v>
      </c>
      <c r="K60" s="100">
        <v>3258</v>
      </c>
      <c r="L60" s="100">
        <v>4</v>
      </c>
      <c r="M60" s="100">
        <v>2606.4</v>
      </c>
      <c r="N60" s="100">
        <v>6</v>
      </c>
      <c r="O60" s="100">
        <v>3909.6000000000004</v>
      </c>
      <c r="P60" s="100">
        <v>5</v>
      </c>
      <c r="Q60" s="100">
        <v>3258</v>
      </c>
      <c r="R60" s="100">
        <v>4</v>
      </c>
      <c r="S60" s="100">
        <v>2606.4</v>
      </c>
      <c r="T60" s="100">
        <v>5</v>
      </c>
      <c r="U60" s="100">
        <v>3258</v>
      </c>
      <c r="V60" s="100">
        <v>3.9740110620298328</v>
      </c>
      <c r="W60" s="100">
        <v>2589.4656080186392</v>
      </c>
      <c r="X60" s="100">
        <v>6.2170448345433424</v>
      </c>
      <c r="Y60" s="100">
        <v>4051.0264141884422</v>
      </c>
      <c r="Z60" s="100">
        <v>2.1882734084654398</v>
      </c>
      <c r="AA60" s="100">
        <v>1425.8789529560806</v>
      </c>
      <c r="AB60" s="100">
        <v>4.2157351284605102</v>
      </c>
      <c r="AC60" s="100">
        <v>2746.9730097048687</v>
      </c>
      <c r="AD60" s="100">
        <v>2.6046410533709659</v>
      </c>
      <c r="AE60" s="100">
        <v>1697.1841103765214</v>
      </c>
      <c r="AF60" s="100">
        <v>2.6869145857071097</v>
      </c>
      <c r="AG60" s="100">
        <v>1750.7935440467527</v>
      </c>
      <c r="AH60" s="100">
        <v>4</v>
      </c>
      <c r="AI60" s="100">
        <v>2606.4</v>
      </c>
      <c r="AJ60" s="100">
        <v>4.1705325935966613</v>
      </c>
      <c r="AK60" s="100">
        <v>2717.5190379875844</v>
      </c>
      <c r="AL60" s="100">
        <v>2.5250665092227891</v>
      </c>
      <c r="AM60" s="100">
        <v>1645.3333374095694</v>
      </c>
      <c r="AN60" s="100">
        <v>4</v>
      </c>
      <c r="AO60" s="100">
        <v>2606.4</v>
      </c>
      <c r="AP60" s="100">
        <v>7</v>
      </c>
      <c r="AQ60" s="100">
        <v>4561.2</v>
      </c>
      <c r="AR60" s="100">
        <v>4</v>
      </c>
      <c r="AS60" s="100">
        <v>2606.4</v>
      </c>
      <c r="AT60" s="100">
        <v>6</v>
      </c>
      <c r="AU60" s="100">
        <v>3909.6000000000004</v>
      </c>
      <c r="AV60" s="100">
        <v>4.0352807632791992</v>
      </c>
      <c r="AW60" s="100">
        <v>2629.3889453527263</v>
      </c>
      <c r="AX60" s="100">
        <v>4.4109829569642152</v>
      </c>
      <c r="AY60" s="100">
        <v>2874.1964947578826</v>
      </c>
      <c r="AZ60" s="100">
        <v>4</v>
      </c>
      <c r="BA60" s="100">
        <v>2606.4</v>
      </c>
      <c r="BB60" s="100">
        <v>4.0222256885090921</v>
      </c>
      <c r="BC60" s="100">
        <v>2620.8822586325246</v>
      </c>
      <c r="BD60" s="100">
        <v>6.020799083927769</v>
      </c>
      <c r="BE60" s="100">
        <v>3923.1526830873345</v>
      </c>
      <c r="BF60" s="100">
        <v>4.4231191437769573</v>
      </c>
      <c r="BG60" s="100">
        <v>2882.1044340850653</v>
      </c>
      <c r="BH60" s="100">
        <v>4.8047194172103733</v>
      </c>
      <c r="BI60" s="100">
        <v>3130.7551722542794</v>
      </c>
      <c r="BJ60" s="100">
        <v>1.4834362634003613</v>
      </c>
      <c r="BK60" s="100">
        <v>966.6070692316755</v>
      </c>
      <c r="BL60" s="100">
        <v>5.7679000861179661</v>
      </c>
      <c r="BM60" s="100">
        <v>3758.3636961144671</v>
      </c>
      <c r="BN60" s="100">
        <v>2.9547452760098332</v>
      </c>
      <c r="BO60" s="100">
        <v>1925.3120218480074</v>
      </c>
      <c r="BP60" s="100">
        <v>1.0043264780999495</v>
      </c>
      <c r="BQ60" s="100">
        <v>654.4191331299271</v>
      </c>
      <c r="BR60" s="100">
        <v>6.016937746297728</v>
      </c>
      <c r="BS60" s="100">
        <v>3920.6366354875995</v>
      </c>
      <c r="BT60" s="100">
        <v>2.5556132374979712</v>
      </c>
      <c r="BU60" s="100">
        <v>1665.2375855536782</v>
      </c>
      <c r="BV60" s="100">
        <v>3.2788973917809825</v>
      </c>
      <c r="BW60" s="100">
        <v>2136.5295404844883</v>
      </c>
      <c r="BX60" s="100">
        <v>3.1062427265344565</v>
      </c>
      <c r="BY60" s="100">
        <v>2024.0277606098521</v>
      </c>
      <c r="BZ60" s="100">
        <v>2.1948801856433917</v>
      </c>
      <c r="CA60" s="100">
        <v>1430.1839289652341</v>
      </c>
      <c r="CB60" s="100">
        <v>7</v>
      </c>
      <c r="CC60" s="100">
        <v>4561.2</v>
      </c>
      <c r="CD60" s="100">
        <v>4</v>
      </c>
      <c r="CE60" s="100">
        <v>2606.4</v>
      </c>
      <c r="CF60" s="100">
        <v>4</v>
      </c>
      <c r="CG60" s="100">
        <v>2606.4</v>
      </c>
      <c r="CH60" s="100">
        <v>4</v>
      </c>
      <c r="CI60" s="100">
        <v>2606.4</v>
      </c>
      <c r="CJ60" s="100">
        <v>7</v>
      </c>
      <c r="CK60" s="100">
        <v>4561.2</v>
      </c>
      <c r="CL60" s="100">
        <v>4.7156682975356068</v>
      </c>
      <c r="CM60" s="100">
        <v>3072.7294626742014</v>
      </c>
      <c r="CN60" s="100">
        <v>4.7042135817763517</v>
      </c>
      <c r="CO60" s="100">
        <v>3065.265569885471</v>
      </c>
      <c r="CP60" s="100">
        <v>3.1237195752564237</v>
      </c>
      <c r="CQ60" s="100">
        <v>2035.4156752370857</v>
      </c>
      <c r="CR60" s="100">
        <v>0.99155961609020415</v>
      </c>
      <c r="CS60" s="100">
        <v>646.10024584437701</v>
      </c>
      <c r="CT60" s="100">
        <v>3.23361291938367</v>
      </c>
      <c r="CU60" s="100">
        <v>2107.0221782703993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5.2308708675317774</v>
      </c>
      <c r="G61" s="100">
        <v>4977.6967175432392</v>
      </c>
      <c r="H61" s="100">
        <v>6</v>
      </c>
      <c r="I61" s="100">
        <v>5709.5999999999995</v>
      </c>
      <c r="J61" s="100">
        <v>4</v>
      </c>
      <c r="K61" s="100">
        <v>3806.3999999999996</v>
      </c>
      <c r="L61" s="100">
        <v>5</v>
      </c>
      <c r="M61" s="100">
        <v>4758</v>
      </c>
      <c r="N61" s="100">
        <v>6</v>
      </c>
      <c r="O61" s="100">
        <v>5709.5999999999995</v>
      </c>
      <c r="P61" s="100">
        <v>6</v>
      </c>
      <c r="Q61" s="100">
        <v>5709.5999999999995</v>
      </c>
      <c r="R61" s="100">
        <v>4</v>
      </c>
      <c r="S61" s="100">
        <v>3806.3999999999996</v>
      </c>
      <c r="T61" s="100">
        <v>5</v>
      </c>
      <c r="U61" s="100">
        <v>4758</v>
      </c>
      <c r="V61" s="100">
        <v>3.406295196025571</v>
      </c>
      <c r="W61" s="100">
        <v>3241.4305085379328</v>
      </c>
      <c r="X61" s="100">
        <v>7.2170448345433424</v>
      </c>
      <c r="Y61" s="100">
        <v>6867.739864551444</v>
      </c>
      <c r="Z61" s="100">
        <v>2.6259280901585278</v>
      </c>
      <c r="AA61" s="100">
        <v>2498.8331705948549</v>
      </c>
      <c r="AB61" s="100">
        <v>3.2157351284605107</v>
      </c>
      <c r="AC61" s="100">
        <v>3060.0935482430218</v>
      </c>
      <c r="AD61" s="100">
        <v>2.5581359109736437</v>
      </c>
      <c r="AE61" s="100">
        <v>2434.3221328825189</v>
      </c>
      <c r="AF61" s="100">
        <v>2.6869145857071097</v>
      </c>
      <c r="AG61" s="100">
        <v>2556.8679197588854</v>
      </c>
      <c r="AH61" s="100">
        <v>3</v>
      </c>
      <c r="AI61" s="100">
        <v>2854.7999999999997</v>
      </c>
      <c r="AJ61" s="100">
        <v>4.1705325935966613</v>
      </c>
      <c r="AK61" s="100">
        <v>3968.6788160665824</v>
      </c>
      <c r="AL61" s="100">
        <v>2.104222091018991</v>
      </c>
      <c r="AM61" s="100">
        <v>2002.3777418136717</v>
      </c>
      <c r="AN61" s="100">
        <v>4</v>
      </c>
      <c r="AO61" s="100">
        <v>3806.3999999999996</v>
      </c>
      <c r="AP61" s="100">
        <v>6</v>
      </c>
      <c r="AQ61" s="100">
        <v>5709.5999999999995</v>
      </c>
      <c r="AR61" s="100">
        <v>4</v>
      </c>
      <c r="AS61" s="100">
        <v>3806.3999999999996</v>
      </c>
      <c r="AT61" s="100">
        <v>6</v>
      </c>
      <c r="AU61" s="100">
        <v>5709.5999999999995</v>
      </c>
      <c r="AV61" s="100">
        <v>3.0313606784703988</v>
      </c>
      <c r="AW61" s="100">
        <v>2884.6428216324312</v>
      </c>
      <c r="AX61" s="100">
        <v>4.4109829569642152</v>
      </c>
      <c r="AY61" s="100">
        <v>4197.4913818471468</v>
      </c>
      <c r="AZ61" s="100">
        <v>4</v>
      </c>
      <c r="BA61" s="100">
        <v>3806.3999999999996</v>
      </c>
      <c r="BB61" s="100">
        <v>4.0222256885090921</v>
      </c>
      <c r="BC61" s="100">
        <v>3827.5499651852515</v>
      </c>
      <c r="BD61" s="100">
        <v>6.0434239519073154</v>
      </c>
      <c r="BE61" s="100">
        <v>5750.9222326350009</v>
      </c>
      <c r="BF61" s="100">
        <v>4.4231191437769573</v>
      </c>
      <c r="BG61" s="100">
        <v>4209.0401772181522</v>
      </c>
      <c r="BH61" s="100">
        <v>4.1183309290374632</v>
      </c>
      <c r="BI61" s="100">
        <v>3919.0037120720494</v>
      </c>
      <c r="BJ61" s="100">
        <v>1.4834362634003613</v>
      </c>
      <c r="BK61" s="100">
        <v>1411.6379482517837</v>
      </c>
      <c r="BL61" s="100">
        <v>5.7679000861179661</v>
      </c>
      <c r="BM61" s="100">
        <v>5488.7337219498559</v>
      </c>
      <c r="BN61" s="100">
        <v>2.9497703761939555</v>
      </c>
      <c r="BO61" s="100">
        <v>2807.0014899861681</v>
      </c>
      <c r="BP61" s="100">
        <v>0.80346118247995946</v>
      </c>
      <c r="BQ61" s="100">
        <v>764.57366124792929</v>
      </c>
      <c r="BR61" s="100">
        <v>6.016937746297728</v>
      </c>
      <c r="BS61" s="100">
        <v>5725.7179593769179</v>
      </c>
      <c r="BT61" s="100">
        <v>2.5556132374979712</v>
      </c>
      <c r="BU61" s="100">
        <v>2431.9215568030691</v>
      </c>
      <c r="BV61" s="100">
        <v>4.1870807585935603</v>
      </c>
      <c r="BW61" s="100">
        <v>3984.4260498776316</v>
      </c>
      <c r="BX61" s="100">
        <v>3.1062427265344565</v>
      </c>
      <c r="BY61" s="100">
        <v>2955.9005785701884</v>
      </c>
      <c r="BZ61" s="100">
        <v>1.7559041485147135</v>
      </c>
      <c r="CA61" s="100">
        <v>1670.9183877266012</v>
      </c>
      <c r="CB61" s="100">
        <v>6</v>
      </c>
      <c r="CC61" s="100">
        <v>5709.5999999999995</v>
      </c>
      <c r="CD61" s="100">
        <v>4</v>
      </c>
      <c r="CE61" s="100">
        <v>3806.3999999999996</v>
      </c>
      <c r="CF61" s="100">
        <v>4</v>
      </c>
      <c r="CG61" s="100">
        <v>3806.3999999999996</v>
      </c>
      <c r="CH61" s="100">
        <v>4</v>
      </c>
      <c r="CI61" s="100">
        <v>3806.3999999999996</v>
      </c>
      <c r="CJ61" s="100">
        <v>6</v>
      </c>
      <c r="CK61" s="100">
        <v>5709.5999999999995</v>
      </c>
      <c r="CL61" s="100">
        <v>5.5016130137915411</v>
      </c>
      <c r="CM61" s="100">
        <v>5235.3349439240301</v>
      </c>
      <c r="CN61" s="100">
        <v>4.7042135817763517</v>
      </c>
      <c r="CO61" s="100">
        <v>4476.5296444183759</v>
      </c>
      <c r="CP61" s="100">
        <v>3.1237195752564237</v>
      </c>
      <c r="CQ61" s="100">
        <v>2972.5315478140124</v>
      </c>
      <c r="CR61" s="100">
        <v>0.79324769287216335</v>
      </c>
      <c r="CS61" s="100">
        <v>754.85450453715055</v>
      </c>
      <c r="CT61" s="100">
        <v>3.23361291938367</v>
      </c>
      <c r="CU61" s="100">
        <v>3077.1060540855001</v>
      </c>
    </row>
    <row r="62" spans="2:99">
      <c r="C62" s="99" t="s">
        <v>228</v>
      </c>
      <c r="D62" s="100">
        <v>2.2406022768527674</v>
      </c>
      <c r="E62" s="100">
        <v>3740.0133205226393</v>
      </c>
      <c r="F62" s="100">
        <v>4.3701646499677995</v>
      </c>
      <c r="G62" s="100">
        <v>7294.6788337262515</v>
      </c>
      <c r="H62" s="100">
        <v>3.7255717046508661</v>
      </c>
      <c r="I62" s="100">
        <v>6218.7242894032261</v>
      </c>
      <c r="J62" s="100">
        <v>2.0660537342319691</v>
      </c>
      <c r="K62" s="100">
        <v>3448.656893180003</v>
      </c>
      <c r="L62" s="100">
        <v>1.9410462400408237</v>
      </c>
      <c r="M62" s="100">
        <v>3239.9943838761428</v>
      </c>
      <c r="N62" s="100">
        <v>5.6586140109919612</v>
      </c>
      <c r="O62" s="100">
        <v>9445.358507147781</v>
      </c>
      <c r="P62" s="100">
        <v>2.3446106617185056</v>
      </c>
      <c r="Q62" s="100">
        <v>3913.6241165405295</v>
      </c>
      <c r="R62" s="100">
        <v>2.9122281402609205</v>
      </c>
      <c r="S62" s="100">
        <v>4861.0912117235284</v>
      </c>
      <c r="T62" s="100">
        <v>2.8801495468231644</v>
      </c>
      <c r="U62" s="100">
        <v>4807.5456235572265</v>
      </c>
      <c r="V62" s="100">
        <v>5.827527862066348</v>
      </c>
      <c r="W62" s="100">
        <v>9727.3095073611476</v>
      </c>
      <c r="X62" s="100">
        <v>4.4306735951744622</v>
      </c>
      <c r="Y62" s="100">
        <v>7395.6803650652128</v>
      </c>
      <c r="Z62" s="100">
        <v>4.0875164792419421</v>
      </c>
      <c r="AA62" s="100">
        <v>6822.8825071506499</v>
      </c>
      <c r="AB62" s="100">
        <v>1.0406425909595804</v>
      </c>
      <c r="AC62" s="100">
        <v>1737.0406128297318</v>
      </c>
      <c r="AD62" s="100">
        <v>4.0442478044126764</v>
      </c>
      <c r="AE62" s="100">
        <v>6750.6584351256397</v>
      </c>
      <c r="AF62" s="100">
        <v>5.2970176633982033</v>
      </c>
      <c r="AG62" s="100">
        <v>8841.781883744281</v>
      </c>
      <c r="AH62" s="100">
        <v>1.029422040709759</v>
      </c>
      <c r="AI62" s="100">
        <v>1718.3112703527297</v>
      </c>
      <c r="AJ62" s="100">
        <v>0.55984336906307131</v>
      </c>
      <c r="AK62" s="100">
        <v>934.49055164007859</v>
      </c>
      <c r="AL62" s="100">
        <v>0.69566335800736667</v>
      </c>
      <c r="AM62" s="100">
        <v>1161.2012771858965</v>
      </c>
      <c r="AN62" s="100">
        <v>0.72127059817941708</v>
      </c>
      <c r="AO62" s="100">
        <v>1203.9448824810829</v>
      </c>
      <c r="AP62" s="100">
        <v>3.6605211614786342</v>
      </c>
      <c r="AQ62" s="100">
        <v>6110.1419227401366</v>
      </c>
      <c r="AR62" s="100">
        <v>3.1792330714928236</v>
      </c>
      <c r="AS62" s="100">
        <v>5306.7758429358209</v>
      </c>
      <c r="AT62" s="100">
        <v>3.8435729308077611</v>
      </c>
      <c r="AU62" s="100">
        <v>6415.6919361043147</v>
      </c>
      <c r="AV62" s="100">
        <v>3.1795311746272832</v>
      </c>
      <c r="AW62" s="100">
        <v>5307.2734366878612</v>
      </c>
      <c r="AX62" s="100">
        <v>3.0005709516610186</v>
      </c>
      <c r="AY62" s="100">
        <v>5008.5530325125728</v>
      </c>
      <c r="AZ62" s="100">
        <v>0.52270748486435026</v>
      </c>
      <c r="BA62" s="100">
        <v>872.50333373557351</v>
      </c>
      <c r="BB62" s="100">
        <v>2.5062909443825458</v>
      </c>
      <c r="BC62" s="100">
        <v>4183.500844363346</v>
      </c>
      <c r="BD62" s="100">
        <v>3.7210750733386768</v>
      </c>
      <c r="BE62" s="100">
        <v>6211.2185124169191</v>
      </c>
      <c r="BF62" s="100">
        <v>3.6842919973773927</v>
      </c>
      <c r="BG62" s="100">
        <v>6149.8202020223443</v>
      </c>
      <c r="BH62" s="100">
        <v>1.0774200916366274</v>
      </c>
      <c r="BI62" s="100">
        <v>1798.4296169598585</v>
      </c>
      <c r="BJ62" s="100">
        <v>3.3716772208088774</v>
      </c>
      <c r="BK62" s="100">
        <v>5628.0036169741779</v>
      </c>
      <c r="BL62" s="100">
        <v>2.308546822997779</v>
      </c>
      <c r="BM62" s="100">
        <v>3853.4263569478931</v>
      </c>
      <c r="BN62" s="100">
        <v>2.75607998522938</v>
      </c>
      <c r="BO62" s="100">
        <v>4600.4487113448813</v>
      </c>
      <c r="BP62" s="100">
        <v>3.6290048012193097</v>
      </c>
      <c r="BQ62" s="100">
        <v>6057.5348141952718</v>
      </c>
      <c r="BR62" s="100">
        <v>4.5803598912321508</v>
      </c>
      <c r="BS62" s="100">
        <v>7645.5367304447063</v>
      </c>
      <c r="BT62" s="100">
        <v>2.7152927144036485</v>
      </c>
      <c r="BU62" s="100">
        <v>4532.3665988825705</v>
      </c>
      <c r="BV62" s="100">
        <v>2.4021904185461089</v>
      </c>
      <c r="BW62" s="100">
        <v>4009.7362466371651</v>
      </c>
      <c r="BX62" s="100">
        <v>3.5660485031734561</v>
      </c>
      <c r="BY62" s="100">
        <v>5952.4481614971328</v>
      </c>
      <c r="BZ62" s="100">
        <v>2.7548185365381048</v>
      </c>
      <c r="CA62" s="100">
        <v>4598.3431011894045</v>
      </c>
      <c r="CB62" s="100">
        <v>3.3581211265662483</v>
      </c>
      <c r="CC62" s="100">
        <v>5605.3757844643815</v>
      </c>
      <c r="CD62" s="100">
        <v>2.3618537197048735</v>
      </c>
      <c r="CE62" s="100">
        <v>3942.4062289313747</v>
      </c>
      <c r="CF62" s="100">
        <v>2.3805682798104058</v>
      </c>
      <c r="CG62" s="100">
        <v>3973.6445726595293</v>
      </c>
      <c r="CH62" s="100">
        <v>2.9810434681723614</v>
      </c>
      <c r="CI62" s="100">
        <v>4975.9577570733054</v>
      </c>
      <c r="CJ62" s="100">
        <v>0.86172967099289655</v>
      </c>
      <c r="CK62" s="100">
        <v>1438.399166821343</v>
      </c>
      <c r="CL62" s="100">
        <v>6.2418882580972141</v>
      </c>
      <c r="CM62" s="100">
        <v>10418.95988041587</v>
      </c>
      <c r="CN62" s="100">
        <v>5.3808109100327011</v>
      </c>
      <c r="CO62" s="100">
        <v>8981.6495710265845</v>
      </c>
      <c r="CP62" s="100">
        <v>0.70106533689229211</v>
      </c>
      <c r="CQ62" s="100">
        <v>1170.2182603406141</v>
      </c>
      <c r="CR62" s="100">
        <v>2.8587580807386699</v>
      </c>
      <c r="CS62" s="100">
        <v>4771.8389883689879</v>
      </c>
      <c r="CT62" s="100">
        <v>0.96736105001783224</v>
      </c>
      <c r="CU62" s="100">
        <v>1614.7190646897657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5.2308708675317774</v>
      </c>
      <c r="G63" s="100">
        <v>4161.6808622082826</v>
      </c>
      <c r="H63" s="100">
        <v>5</v>
      </c>
      <c r="I63" s="100">
        <v>3978</v>
      </c>
      <c r="J63" s="100">
        <v>5</v>
      </c>
      <c r="K63" s="100">
        <v>3978</v>
      </c>
      <c r="L63" s="100">
        <v>4</v>
      </c>
      <c r="M63" s="100">
        <v>3182.4</v>
      </c>
      <c r="N63" s="100">
        <v>6</v>
      </c>
      <c r="O63" s="100">
        <v>4773.6000000000004</v>
      </c>
      <c r="P63" s="100">
        <v>6</v>
      </c>
      <c r="Q63" s="100">
        <v>4773.6000000000004</v>
      </c>
      <c r="R63" s="100">
        <v>4</v>
      </c>
      <c r="S63" s="100">
        <v>3182.4</v>
      </c>
      <c r="T63" s="100">
        <v>6</v>
      </c>
      <c r="U63" s="100">
        <v>4773.6000000000004</v>
      </c>
      <c r="V63" s="100">
        <v>3.9740110620298328</v>
      </c>
      <c r="W63" s="100">
        <v>3161.7232009509353</v>
      </c>
      <c r="X63" s="100">
        <v>7.2411609272703803</v>
      </c>
      <c r="Y63" s="100">
        <v>5761.0676337363147</v>
      </c>
      <c r="Z63" s="100">
        <v>2.6259280901585278</v>
      </c>
      <c r="AA63" s="100">
        <v>2089.1883885301249</v>
      </c>
      <c r="AB63" s="100">
        <v>4.1887682374029467</v>
      </c>
      <c r="AC63" s="100">
        <v>3332.5840096777843</v>
      </c>
      <c r="AD63" s="100">
        <v>2.5813884821723048</v>
      </c>
      <c r="AE63" s="100">
        <v>2053.7526764162858</v>
      </c>
      <c r="AF63" s="100">
        <v>2.6869145857071097</v>
      </c>
      <c r="AG63" s="100">
        <v>2137.7092443885767</v>
      </c>
      <c r="AH63" s="100">
        <v>4</v>
      </c>
      <c r="AI63" s="100">
        <v>3182.4</v>
      </c>
      <c r="AJ63" s="100">
        <v>4.9449938934090989</v>
      </c>
      <c r="AK63" s="100">
        <v>3934.2371415962793</v>
      </c>
      <c r="AL63" s="100">
        <v>2.104222091018991</v>
      </c>
      <c r="AM63" s="100">
        <v>1674.1190956147093</v>
      </c>
      <c r="AN63" s="100">
        <v>4</v>
      </c>
      <c r="AO63" s="100">
        <v>3182.4</v>
      </c>
      <c r="AP63" s="100">
        <v>6</v>
      </c>
      <c r="AQ63" s="100">
        <v>4773.6000000000004</v>
      </c>
      <c r="AR63" s="100">
        <v>4</v>
      </c>
      <c r="AS63" s="100">
        <v>3182.4</v>
      </c>
      <c r="AT63" s="100">
        <v>6</v>
      </c>
      <c r="AU63" s="100">
        <v>4773.6000000000004</v>
      </c>
      <c r="AV63" s="100">
        <v>4.0392008480879991</v>
      </c>
      <c r="AW63" s="100">
        <v>3213.588194738812</v>
      </c>
      <c r="AX63" s="100">
        <v>4.4109829569642152</v>
      </c>
      <c r="AY63" s="100">
        <v>3509.3780405607295</v>
      </c>
      <c r="AZ63" s="100">
        <v>4</v>
      </c>
      <c r="BA63" s="100">
        <v>3182.4</v>
      </c>
      <c r="BB63" s="100">
        <v>4.0222256885090921</v>
      </c>
      <c r="BC63" s="100">
        <v>3200.0827577778336</v>
      </c>
      <c r="BD63" s="100">
        <v>5.1865419210575698</v>
      </c>
      <c r="BE63" s="100">
        <v>4126.412752393403</v>
      </c>
      <c r="BF63" s="100">
        <v>4.4231191437769573</v>
      </c>
      <c r="BG63" s="100">
        <v>3519.0335907889471</v>
      </c>
      <c r="BH63" s="100">
        <v>4.7760500769471097</v>
      </c>
      <c r="BI63" s="100">
        <v>3799.8254412191204</v>
      </c>
      <c r="BJ63" s="100">
        <v>1.112577197550271</v>
      </c>
      <c r="BK63" s="100">
        <v>885.16641837099564</v>
      </c>
      <c r="BL63" s="100">
        <v>6.7292167671376264</v>
      </c>
      <c r="BM63" s="100">
        <v>5353.7648599346958</v>
      </c>
      <c r="BN63" s="100">
        <v>2.9547452760098332</v>
      </c>
      <c r="BO63" s="100">
        <v>2350.7953415934235</v>
      </c>
      <c r="BP63" s="100">
        <v>1.0043264780999495</v>
      </c>
      <c r="BQ63" s="100">
        <v>799.04214597631983</v>
      </c>
      <c r="BR63" s="100">
        <v>6.015397951179752</v>
      </c>
      <c r="BS63" s="100">
        <v>4785.8506099586111</v>
      </c>
      <c r="BT63" s="100">
        <v>2.5556132374979712</v>
      </c>
      <c r="BU63" s="100">
        <v>2033.2458917533859</v>
      </c>
      <c r="BV63" s="100">
        <v>4.1870807585935603</v>
      </c>
      <c r="BW63" s="100">
        <v>3331.2414515370365</v>
      </c>
      <c r="BX63" s="100">
        <v>3.0815420504857465</v>
      </c>
      <c r="BY63" s="100">
        <v>2451.6748553664602</v>
      </c>
      <c r="BZ63" s="100">
        <v>1.7559041485147135</v>
      </c>
      <c r="CA63" s="100">
        <v>1396.9973405583062</v>
      </c>
      <c r="CB63" s="100">
        <v>7</v>
      </c>
      <c r="CC63" s="100">
        <v>5569.2</v>
      </c>
      <c r="CD63" s="100">
        <v>4</v>
      </c>
      <c r="CE63" s="100">
        <v>3182.4</v>
      </c>
      <c r="CF63" s="100">
        <v>4</v>
      </c>
      <c r="CG63" s="100">
        <v>3182.4</v>
      </c>
      <c r="CH63" s="100">
        <v>4</v>
      </c>
      <c r="CI63" s="100">
        <v>3182.4</v>
      </c>
      <c r="CJ63" s="100">
        <v>6</v>
      </c>
      <c r="CK63" s="100">
        <v>4773.6000000000004</v>
      </c>
      <c r="CL63" s="100">
        <v>5.5016130137915411</v>
      </c>
      <c r="CM63" s="100">
        <v>4377.0833137725504</v>
      </c>
      <c r="CN63" s="100">
        <v>4.0321830700940158</v>
      </c>
      <c r="CO63" s="100">
        <v>3208.0048505667992</v>
      </c>
      <c r="CP63" s="100">
        <v>3.1237195752564237</v>
      </c>
      <c r="CQ63" s="100">
        <v>2485.2312940740107</v>
      </c>
      <c r="CR63" s="100">
        <v>0.99155961609020415</v>
      </c>
      <c r="CS63" s="100">
        <v>788.88483056136647</v>
      </c>
      <c r="CT63" s="100">
        <v>3.23361291938367</v>
      </c>
      <c r="CU63" s="100">
        <v>2572.6624386616481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5.2308708675317774</v>
      </c>
      <c r="G64" s="100">
        <v>5278.9948795130686</v>
      </c>
      <c r="H64" s="100">
        <v>6</v>
      </c>
      <c r="I64" s="100">
        <v>6055.1999999999989</v>
      </c>
      <c r="J64" s="100">
        <v>5</v>
      </c>
      <c r="K64" s="100">
        <v>5045.9999999999991</v>
      </c>
      <c r="L64" s="100">
        <v>4</v>
      </c>
      <c r="M64" s="100">
        <v>4036.7999999999993</v>
      </c>
      <c r="N64" s="100">
        <v>6</v>
      </c>
      <c r="O64" s="100">
        <v>6055.1999999999989</v>
      </c>
      <c r="P64" s="100">
        <v>6</v>
      </c>
      <c r="Q64" s="100">
        <v>6055.1999999999989</v>
      </c>
      <c r="R64" s="100">
        <v>4</v>
      </c>
      <c r="S64" s="100">
        <v>4036.7999999999993</v>
      </c>
      <c r="T64" s="100">
        <v>6</v>
      </c>
      <c r="U64" s="100">
        <v>6055.1999999999989</v>
      </c>
      <c r="V64" s="100">
        <v>3.406295196025571</v>
      </c>
      <c r="W64" s="100">
        <v>3437.6331118290054</v>
      </c>
      <c r="X64" s="100">
        <v>7.2170448345433424</v>
      </c>
      <c r="Y64" s="100">
        <v>7283.4416470211399</v>
      </c>
      <c r="Z64" s="100">
        <v>2.6259280901585278</v>
      </c>
      <c r="AA64" s="100">
        <v>2650.0866285879856</v>
      </c>
      <c r="AB64" s="100">
        <v>3.1887682374029467</v>
      </c>
      <c r="AC64" s="100">
        <v>3218.1049051870532</v>
      </c>
      <c r="AD64" s="100">
        <v>2.5581359109736437</v>
      </c>
      <c r="AE64" s="100">
        <v>2581.6707613546009</v>
      </c>
      <c r="AF64" s="100">
        <v>2.1495316685656873</v>
      </c>
      <c r="AG64" s="100">
        <v>2169.3073599164914</v>
      </c>
      <c r="AH64" s="100">
        <v>4</v>
      </c>
      <c r="AI64" s="100">
        <v>4036.7999999999993</v>
      </c>
      <c r="AJ64" s="100">
        <v>4.2036688263227138</v>
      </c>
      <c r="AK64" s="100">
        <v>4242.3425795248822</v>
      </c>
      <c r="AL64" s="100">
        <v>2.5250665092227891</v>
      </c>
      <c r="AM64" s="100">
        <v>2548.2971211076383</v>
      </c>
      <c r="AN64" s="100">
        <v>5</v>
      </c>
      <c r="AO64" s="100">
        <v>5045.9999999999991</v>
      </c>
      <c r="AP64" s="100">
        <v>6</v>
      </c>
      <c r="AQ64" s="100">
        <v>6055.1999999999989</v>
      </c>
      <c r="AR64" s="100">
        <v>4</v>
      </c>
      <c r="AS64" s="100">
        <v>4036.7999999999993</v>
      </c>
      <c r="AT64" s="100">
        <v>6</v>
      </c>
      <c r="AU64" s="100">
        <v>6055.1999999999989</v>
      </c>
      <c r="AV64" s="100">
        <v>3.0352807632791987</v>
      </c>
      <c r="AW64" s="100">
        <v>3063.2053463013667</v>
      </c>
      <c r="AX64" s="100">
        <v>4.4109829569642152</v>
      </c>
      <c r="AY64" s="100">
        <v>4451.564000168285</v>
      </c>
      <c r="AZ64" s="100">
        <v>4</v>
      </c>
      <c r="BA64" s="100">
        <v>4036.7999999999993</v>
      </c>
      <c r="BB64" s="100">
        <v>4.0222256885090921</v>
      </c>
      <c r="BC64" s="100">
        <v>4059.230164843375</v>
      </c>
      <c r="BD64" s="100">
        <v>6.020799083927769</v>
      </c>
      <c r="BE64" s="100">
        <v>6076.1904354999033</v>
      </c>
      <c r="BF64" s="100">
        <v>3.7162861266573346</v>
      </c>
      <c r="BG64" s="100">
        <v>3750.4759590225813</v>
      </c>
      <c r="BH64" s="100">
        <v>4.147000269300726</v>
      </c>
      <c r="BI64" s="100">
        <v>4185.1526717782917</v>
      </c>
      <c r="BJ64" s="100">
        <v>1.4834362634003613</v>
      </c>
      <c r="BK64" s="100">
        <v>1497.0838770236444</v>
      </c>
      <c r="BL64" s="100">
        <v>5.7679000861179661</v>
      </c>
      <c r="BM64" s="100">
        <v>5820.9647669102505</v>
      </c>
      <c r="BN64" s="100">
        <v>2.9547452760098332</v>
      </c>
      <c r="BO64" s="100">
        <v>2981.9289325491231</v>
      </c>
      <c r="BP64" s="100">
        <v>1.0043264780999495</v>
      </c>
      <c r="BQ64" s="100">
        <v>1013.5662816984689</v>
      </c>
      <c r="BR64" s="100">
        <v>7.0138581560617768</v>
      </c>
      <c r="BS64" s="100">
        <v>7078.3856510975438</v>
      </c>
      <c r="BT64" s="100">
        <v>2.5556132374979712</v>
      </c>
      <c r="BU64" s="100">
        <v>2579.124879282952</v>
      </c>
      <c r="BV64" s="100">
        <v>4.1870807585935603</v>
      </c>
      <c r="BW64" s="100">
        <v>4225.6019015726206</v>
      </c>
      <c r="BX64" s="100">
        <v>3.0815420504857465</v>
      </c>
      <c r="BY64" s="100">
        <v>3109.8922373502146</v>
      </c>
      <c r="BZ64" s="100">
        <v>2.1948801856433917</v>
      </c>
      <c r="CA64" s="100">
        <v>2215.0730833513107</v>
      </c>
      <c r="CB64" s="100">
        <v>6</v>
      </c>
      <c r="CC64" s="100">
        <v>6055.1999999999989</v>
      </c>
      <c r="CD64" s="100">
        <v>4</v>
      </c>
      <c r="CE64" s="100">
        <v>4036.7999999999993</v>
      </c>
      <c r="CF64" s="100">
        <v>4</v>
      </c>
      <c r="CG64" s="100">
        <v>4036.7999999999993</v>
      </c>
      <c r="CH64" s="100">
        <v>4</v>
      </c>
      <c r="CI64" s="100">
        <v>4036.7999999999993</v>
      </c>
      <c r="CJ64" s="100">
        <v>6</v>
      </c>
      <c r="CK64" s="100">
        <v>6055.1999999999989</v>
      </c>
      <c r="CL64" s="100">
        <v>4.7156682975356068</v>
      </c>
      <c r="CM64" s="100">
        <v>4759.0524458729333</v>
      </c>
      <c r="CN64" s="100">
        <v>4.0321830700940158</v>
      </c>
      <c r="CO64" s="100">
        <v>4069.2791543388798</v>
      </c>
      <c r="CP64" s="100">
        <v>3.1237195752564237</v>
      </c>
      <c r="CQ64" s="100">
        <v>3152.4577953487824</v>
      </c>
      <c r="CR64" s="100">
        <v>0.79324769287216335</v>
      </c>
      <c r="CS64" s="100">
        <v>800.54557164658706</v>
      </c>
      <c r="CT64" s="100">
        <v>3.23361291938367</v>
      </c>
      <c r="CU64" s="100">
        <v>3263.3621582419992</v>
      </c>
    </row>
    <row r="65" spans="2:99">
      <c r="C65" s="99" t="s">
        <v>231</v>
      </c>
      <c r="D65" s="100">
        <v>6</v>
      </c>
      <c r="E65" s="100">
        <v>6156</v>
      </c>
      <c r="F65" s="100">
        <v>5.2308708675317774</v>
      </c>
      <c r="G65" s="100">
        <v>5366.8735100876038</v>
      </c>
      <c r="H65" s="100">
        <v>5</v>
      </c>
      <c r="I65" s="100">
        <v>5130</v>
      </c>
      <c r="J65" s="100">
        <v>5</v>
      </c>
      <c r="K65" s="100">
        <v>5130</v>
      </c>
      <c r="L65" s="100">
        <v>4</v>
      </c>
      <c r="M65" s="100">
        <v>4104</v>
      </c>
      <c r="N65" s="100">
        <v>7</v>
      </c>
      <c r="O65" s="100">
        <v>7182</v>
      </c>
      <c r="P65" s="100">
        <v>6</v>
      </c>
      <c r="Q65" s="100">
        <v>6156</v>
      </c>
      <c r="R65" s="100">
        <v>4</v>
      </c>
      <c r="S65" s="100">
        <v>4104</v>
      </c>
      <c r="T65" s="100">
        <v>5</v>
      </c>
      <c r="U65" s="100">
        <v>5130</v>
      </c>
      <c r="V65" s="100">
        <v>3.9740110620298328</v>
      </c>
      <c r="W65" s="100">
        <v>4077.3353496426084</v>
      </c>
      <c r="X65" s="100">
        <v>7.2411609272703803</v>
      </c>
      <c r="Y65" s="100">
        <v>7429.4311113794101</v>
      </c>
      <c r="Z65" s="100">
        <v>2.6259280901585278</v>
      </c>
      <c r="AA65" s="100">
        <v>2694.2022205026497</v>
      </c>
      <c r="AB65" s="100">
        <v>4.2157351284605102</v>
      </c>
      <c r="AC65" s="100">
        <v>4325.3442418004834</v>
      </c>
      <c r="AD65" s="100">
        <v>2.5813884821723048</v>
      </c>
      <c r="AE65" s="100">
        <v>2648.5045827087847</v>
      </c>
      <c r="AF65" s="100">
        <v>2.6869145857071097</v>
      </c>
      <c r="AG65" s="100">
        <v>2756.7743649354948</v>
      </c>
      <c r="AH65" s="100">
        <v>3</v>
      </c>
      <c r="AI65" s="100">
        <v>3078</v>
      </c>
      <c r="AJ65" s="100">
        <v>4.1373963608706088</v>
      </c>
      <c r="AK65" s="100">
        <v>4244.9686662532449</v>
      </c>
      <c r="AL65" s="100">
        <v>2.104222091018991</v>
      </c>
      <c r="AM65" s="100">
        <v>2158.9318653854848</v>
      </c>
      <c r="AN65" s="100">
        <v>5</v>
      </c>
      <c r="AO65" s="100">
        <v>5130</v>
      </c>
      <c r="AP65" s="100">
        <v>6</v>
      </c>
      <c r="AQ65" s="100">
        <v>6156</v>
      </c>
      <c r="AR65" s="100">
        <v>4</v>
      </c>
      <c r="AS65" s="100">
        <v>4104</v>
      </c>
      <c r="AT65" s="100">
        <v>6</v>
      </c>
      <c r="AU65" s="100">
        <v>6156</v>
      </c>
      <c r="AV65" s="100">
        <v>4.0392008480879991</v>
      </c>
      <c r="AW65" s="100">
        <v>4144.2200701382872</v>
      </c>
      <c r="AX65" s="100">
        <v>3.5287863655713729</v>
      </c>
      <c r="AY65" s="100">
        <v>3620.5348110762288</v>
      </c>
      <c r="AZ65" s="100">
        <v>4</v>
      </c>
      <c r="BA65" s="100">
        <v>4104</v>
      </c>
      <c r="BB65" s="100">
        <v>4.0222256885090921</v>
      </c>
      <c r="BC65" s="100">
        <v>4126.8035564103284</v>
      </c>
      <c r="BD65" s="100">
        <v>6.020799083927769</v>
      </c>
      <c r="BE65" s="100">
        <v>6177.3398601098907</v>
      </c>
      <c r="BF65" s="100">
        <v>3.7365217978861374</v>
      </c>
      <c r="BG65" s="100">
        <v>3833.6713646311769</v>
      </c>
      <c r="BH65" s="100">
        <v>4.1183309290374632</v>
      </c>
      <c r="BI65" s="100">
        <v>4225.4075331924369</v>
      </c>
      <c r="BJ65" s="100">
        <v>1.4834362634003613</v>
      </c>
      <c r="BK65" s="100">
        <v>1522.0056062487706</v>
      </c>
      <c r="BL65" s="100">
        <v>5.7679000861179661</v>
      </c>
      <c r="BM65" s="100">
        <v>5917.8654883570334</v>
      </c>
      <c r="BN65" s="100">
        <v>2.9497703761939555</v>
      </c>
      <c r="BO65" s="100">
        <v>3026.4644059749985</v>
      </c>
      <c r="BP65" s="100">
        <v>1.0043264780999495</v>
      </c>
      <c r="BQ65" s="100">
        <v>1030.4389665305482</v>
      </c>
      <c r="BR65" s="100">
        <v>7.016937746297728</v>
      </c>
      <c r="BS65" s="100">
        <v>7199.3781277014687</v>
      </c>
      <c r="BT65" s="100">
        <v>2.5556132374979712</v>
      </c>
      <c r="BU65" s="100">
        <v>2622.0591816729184</v>
      </c>
      <c r="BV65" s="100">
        <v>4.1870807585935603</v>
      </c>
      <c r="BW65" s="100">
        <v>4295.9448583169933</v>
      </c>
      <c r="BX65" s="100">
        <v>3.1062427265344565</v>
      </c>
      <c r="BY65" s="100">
        <v>3187.0050374243524</v>
      </c>
      <c r="BZ65" s="100">
        <v>2.1948801856433917</v>
      </c>
      <c r="CA65" s="100">
        <v>2251.9470704701198</v>
      </c>
      <c r="CB65" s="100">
        <v>7</v>
      </c>
      <c r="CC65" s="100">
        <v>7182</v>
      </c>
      <c r="CD65" s="100">
        <v>4</v>
      </c>
      <c r="CE65" s="100">
        <v>4104</v>
      </c>
      <c r="CF65" s="100">
        <v>4</v>
      </c>
      <c r="CG65" s="100">
        <v>4104</v>
      </c>
      <c r="CH65" s="100">
        <v>4</v>
      </c>
      <c r="CI65" s="100">
        <v>4104</v>
      </c>
      <c r="CJ65" s="100">
        <v>6</v>
      </c>
      <c r="CK65" s="100">
        <v>6156</v>
      </c>
      <c r="CL65" s="100">
        <v>4.7156682975356068</v>
      </c>
      <c r="CM65" s="100">
        <v>4838.2756732715325</v>
      </c>
      <c r="CN65" s="100">
        <v>4.0321830700940158</v>
      </c>
      <c r="CO65" s="100">
        <v>4137.0198299164604</v>
      </c>
      <c r="CP65" s="100">
        <v>3.1237195752564237</v>
      </c>
      <c r="CQ65" s="100">
        <v>3204.9362842130909</v>
      </c>
      <c r="CR65" s="100">
        <v>0.79324769287216335</v>
      </c>
      <c r="CS65" s="100">
        <v>813.87213288683961</v>
      </c>
      <c r="CT65" s="100">
        <v>2.5868903355069364</v>
      </c>
      <c r="CU65" s="100">
        <v>2654.1494842301167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5.2308708675317774</v>
      </c>
      <c r="G66" s="100">
        <v>6226.8286807098275</v>
      </c>
      <c r="H66" s="100">
        <v>6</v>
      </c>
      <c r="I66" s="100">
        <v>7142.4</v>
      </c>
      <c r="J66" s="100">
        <v>4</v>
      </c>
      <c r="K66" s="100">
        <v>4761.5999999999995</v>
      </c>
      <c r="L66" s="100">
        <v>4</v>
      </c>
      <c r="M66" s="100">
        <v>4761.5999999999995</v>
      </c>
      <c r="N66" s="100">
        <v>6</v>
      </c>
      <c r="O66" s="100">
        <v>7142.4</v>
      </c>
      <c r="P66" s="100">
        <v>5</v>
      </c>
      <c r="Q66" s="100">
        <v>5951.9999999999991</v>
      </c>
      <c r="R66" s="100">
        <v>4</v>
      </c>
      <c r="S66" s="100">
        <v>4761.5999999999995</v>
      </c>
      <c r="T66" s="100">
        <v>5</v>
      </c>
      <c r="U66" s="100">
        <v>5951.9999999999991</v>
      </c>
      <c r="V66" s="100">
        <v>3.406295196025571</v>
      </c>
      <c r="W66" s="100">
        <v>4054.8538013488392</v>
      </c>
      <c r="X66" s="100">
        <v>6.2170448345433424</v>
      </c>
      <c r="Y66" s="100">
        <v>7400.7701710403944</v>
      </c>
      <c r="Z66" s="100">
        <v>2.1882734084654398</v>
      </c>
      <c r="AA66" s="100">
        <v>2604.9206654372592</v>
      </c>
      <c r="AB66" s="100">
        <v>3.1887682374029467</v>
      </c>
      <c r="AC66" s="100">
        <v>3795.9097098044672</v>
      </c>
      <c r="AD66" s="100">
        <v>2.5581359109736437</v>
      </c>
      <c r="AE66" s="100">
        <v>3045.204988423025</v>
      </c>
      <c r="AF66" s="100">
        <v>2.1495316685656873</v>
      </c>
      <c r="AG66" s="100">
        <v>2558.8024982605939</v>
      </c>
      <c r="AH66" s="100">
        <v>3</v>
      </c>
      <c r="AI66" s="100">
        <v>3571.2</v>
      </c>
      <c r="AJ66" s="100">
        <v>4.1705325935966613</v>
      </c>
      <c r="AK66" s="100">
        <v>4964.6019994174649</v>
      </c>
      <c r="AL66" s="100">
        <v>2.5250665092227891</v>
      </c>
      <c r="AM66" s="100">
        <v>3005.8391725788078</v>
      </c>
      <c r="AN66" s="100">
        <v>5</v>
      </c>
      <c r="AO66" s="100">
        <v>5951.9999999999991</v>
      </c>
      <c r="AP66" s="100">
        <v>6</v>
      </c>
      <c r="AQ66" s="100">
        <v>7142.4</v>
      </c>
      <c r="AR66" s="100">
        <v>4</v>
      </c>
      <c r="AS66" s="100">
        <v>4761.5999999999995</v>
      </c>
      <c r="AT66" s="100">
        <v>6</v>
      </c>
      <c r="AU66" s="100">
        <v>7142.4</v>
      </c>
      <c r="AV66" s="100">
        <v>4.0313606784703993</v>
      </c>
      <c r="AW66" s="100">
        <v>4798.9317516511628</v>
      </c>
      <c r="AX66" s="100">
        <v>3.5287863655713729</v>
      </c>
      <c r="AY66" s="100">
        <v>4200.6672895761621</v>
      </c>
      <c r="AZ66" s="100">
        <v>4</v>
      </c>
      <c r="BA66" s="100">
        <v>4761.5999999999995</v>
      </c>
      <c r="BB66" s="100">
        <v>4.0259299699272741</v>
      </c>
      <c r="BC66" s="100">
        <v>4792.4670362014267</v>
      </c>
      <c r="BD66" s="100">
        <v>6.0434239519073154</v>
      </c>
      <c r="BE66" s="100">
        <v>7194.0918723504674</v>
      </c>
      <c r="BF66" s="100">
        <v>4.4231191437769573</v>
      </c>
      <c r="BG66" s="100">
        <v>5265.2810287520897</v>
      </c>
      <c r="BH66" s="100">
        <v>4.7760500769471097</v>
      </c>
      <c r="BI66" s="100">
        <v>5685.410011597839</v>
      </c>
      <c r="BJ66" s="100">
        <v>1.4834362634003613</v>
      </c>
      <c r="BK66" s="100">
        <v>1765.8825279517898</v>
      </c>
      <c r="BL66" s="100">
        <v>6.7292167671376264</v>
      </c>
      <c r="BM66" s="100">
        <v>8010.45963960063</v>
      </c>
      <c r="BN66" s="100">
        <v>2.9547452760098332</v>
      </c>
      <c r="BO66" s="100">
        <v>3517.3287765621048</v>
      </c>
      <c r="BP66" s="100">
        <v>1.0043264780999495</v>
      </c>
      <c r="BQ66" s="100">
        <v>1195.5502395301796</v>
      </c>
      <c r="BR66" s="100">
        <v>7.0138581560617768</v>
      </c>
      <c r="BS66" s="100">
        <v>8349.2967489759376</v>
      </c>
      <c r="BT66" s="100">
        <v>2.5556132374979712</v>
      </c>
      <c r="BU66" s="100">
        <v>3042.2019979175848</v>
      </c>
      <c r="BV66" s="100">
        <v>3.2327017841690449</v>
      </c>
      <c r="BW66" s="100">
        <v>3848.2082038748304</v>
      </c>
      <c r="BX66" s="100">
        <v>3.1062427265344565</v>
      </c>
      <c r="BY66" s="100">
        <v>3697.6713416666166</v>
      </c>
      <c r="BZ66" s="100">
        <v>2.1948801856433917</v>
      </c>
      <c r="CA66" s="100">
        <v>2612.7853729898934</v>
      </c>
      <c r="CB66" s="100">
        <v>7</v>
      </c>
      <c r="CC66" s="100">
        <v>8332.7999999999993</v>
      </c>
      <c r="CD66" s="100">
        <v>4</v>
      </c>
      <c r="CE66" s="100">
        <v>4761.5999999999995</v>
      </c>
      <c r="CF66" s="100">
        <v>4</v>
      </c>
      <c r="CG66" s="100">
        <v>4761.5999999999995</v>
      </c>
      <c r="CH66" s="100">
        <v>3</v>
      </c>
      <c r="CI66" s="100">
        <v>3571.2</v>
      </c>
      <c r="CJ66" s="100">
        <v>6</v>
      </c>
      <c r="CK66" s="100">
        <v>7142.4</v>
      </c>
      <c r="CL66" s="100">
        <v>5.5016130137915411</v>
      </c>
      <c r="CM66" s="100">
        <v>6549.1201316174502</v>
      </c>
      <c r="CN66" s="100">
        <v>4.0321830700940158</v>
      </c>
      <c r="CO66" s="100">
        <v>4799.910726639916</v>
      </c>
      <c r="CP66" s="100">
        <v>3.1237195752564237</v>
      </c>
      <c r="CQ66" s="100">
        <v>3718.4757823852465</v>
      </c>
      <c r="CR66" s="100">
        <v>0.79324769287216335</v>
      </c>
      <c r="CS66" s="100">
        <v>944.28205359502317</v>
      </c>
      <c r="CT66" s="100">
        <v>2.5868903355069364</v>
      </c>
      <c r="CU66" s="100">
        <v>3079.4342553874567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5.2308708675317774</v>
      </c>
      <c r="G67" s="100">
        <v>5875.3141584116929</v>
      </c>
      <c r="H67" s="100">
        <v>6</v>
      </c>
      <c r="I67" s="100">
        <v>6739.2000000000007</v>
      </c>
      <c r="J67" s="100">
        <v>4</v>
      </c>
      <c r="K67" s="100">
        <v>4492.8</v>
      </c>
      <c r="L67" s="100">
        <v>4</v>
      </c>
      <c r="M67" s="100">
        <v>4492.8</v>
      </c>
      <c r="N67" s="100">
        <v>7</v>
      </c>
      <c r="O67" s="100">
        <v>7862.4000000000005</v>
      </c>
      <c r="P67" s="100">
        <v>6</v>
      </c>
      <c r="Q67" s="100">
        <v>6739.2000000000007</v>
      </c>
      <c r="R67" s="100">
        <v>4</v>
      </c>
      <c r="S67" s="100">
        <v>4492.8</v>
      </c>
      <c r="T67" s="100">
        <v>5</v>
      </c>
      <c r="U67" s="100">
        <v>5616</v>
      </c>
      <c r="V67" s="100">
        <v>3.9740110620298328</v>
      </c>
      <c r="W67" s="100">
        <v>4463.6092248719087</v>
      </c>
      <c r="X67" s="100">
        <v>6.2411609272703803</v>
      </c>
      <c r="Y67" s="100">
        <v>7010.0719535100916</v>
      </c>
      <c r="Z67" s="100">
        <v>2.6259280901585278</v>
      </c>
      <c r="AA67" s="100">
        <v>2949.4424308660587</v>
      </c>
      <c r="AB67" s="100">
        <v>3.1887682374029467</v>
      </c>
      <c r="AC67" s="100">
        <v>3581.62448425099</v>
      </c>
      <c r="AD67" s="100">
        <v>2.5813884821723048</v>
      </c>
      <c r="AE67" s="100">
        <v>2899.4155431759327</v>
      </c>
      <c r="AF67" s="100">
        <v>2.6869145857071097</v>
      </c>
      <c r="AG67" s="100">
        <v>3017.9424626662258</v>
      </c>
      <c r="AH67" s="100">
        <v>4</v>
      </c>
      <c r="AI67" s="100">
        <v>4492.8</v>
      </c>
      <c r="AJ67" s="100">
        <v>4.2036688263227138</v>
      </c>
      <c r="AK67" s="100">
        <v>4721.5608257256727</v>
      </c>
      <c r="AL67" s="100">
        <v>2.104222091018991</v>
      </c>
      <c r="AM67" s="100">
        <v>2363.4622526325306</v>
      </c>
      <c r="AN67" s="100">
        <v>5</v>
      </c>
      <c r="AO67" s="100">
        <v>5616</v>
      </c>
      <c r="AP67" s="100">
        <v>6</v>
      </c>
      <c r="AQ67" s="100">
        <v>6739.2000000000007</v>
      </c>
      <c r="AR67" s="100">
        <v>4</v>
      </c>
      <c r="AS67" s="100">
        <v>4492.8</v>
      </c>
      <c r="AT67" s="100">
        <v>6</v>
      </c>
      <c r="AU67" s="100">
        <v>6739.2000000000007</v>
      </c>
      <c r="AV67" s="100">
        <v>4.0352807632791992</v>
      </c>
      <c r="AW67" s="100">
        <v>4532.4273533151963</v>
      </c>
      <c r="AX67" s="100">
        <v>4.4109829569642152</v>
      </c>
      <c r="AY67" s="100">
        <v>4954.4160572622068</v>
      </c>
      <c r="AZ67" s="100">
        <v>4</v>
      </c>
      <c r="BA67" s="100">
        <v>4492.8</v>
      </c>
      <c r="BB67" s="100">
        <v>4.0222256885090921</v>
      </c>
      <c r="BC67" s="100">
        <v>4517.7638933334129</v>
      </c>
      <c r="BD67" s="100">
        <v>5.2091667890371172</v>
      </c>
      <c r="BE67" s="100">
        <v>5850.9361374464906</v>
      </c>
      <c r="BF67" s="100">
        <v>4.44335481500576</v>
      </c>
      <c r="BG67" s="100">
        <v>4990.7761282144702</v>
      </c>
      <c r="BH67" s="100">
        <v>4.7760500769471097</v>
      </c>
      <c r="BI67" s="100">
        <v>5364.459446426994</v>
      </c>
      <c r="BJ67" s="100">
        <v>1.4834362634003613</v>
      </c>
      <c r="BK67" s="100">
        <v>1666.1956110512858</v>
      </c>
      <c r="BL67" s="100">
        <v>5.7679000861179661</v>
      </c>
      <c r="BM67" s="100">
        <v>6478.5053767276995</v>
      </c>
      <c r="BN67" s="100">
        <v>2.9547452760098332</v>
      </c>
      <c r="BO67" s="100">
        <v>3318.7698940142445</v>
      </c>
      <c r="BP67" s="100">
        <v>0.80346118247995946</v>
      </c>
      <c r="BQ67" s="100">
        <v>902.44760016149053</v>
      </c>
      <c r="BR67" s="100">
        <v>7.015397951179752</v>
      </c>
      <c r="BS67" s="100">
        <v>7879.6949787650974</v>
      </c>
      <c r="BT67" s="100">
        <v>2.5556132374979712</v>
      </c>
      <c r="BU67" s="100">
        <v>2870.4647883577213</v>
      </c>
      <c r="BV67" s="100">
        <v>3.2788973917809825</v>
      </c>
      <c r="BW67" s="100">
        <v>3682.8575504483997</v>
      </c>
      <c r="BX67" s="100">
        <v>3.1062427265344565</v>
      </c>
      <c r="BY67" s="100">
        <v>3488.9318304435019</v>
      </c>
      <c r="BZ67" s="100">
        <v>2.1948801856433917</v>
      </c>
      <c r="CA67" s="100">
        <v>2465.2894245146576</v>
      </c>
      <c r="CB67" s="100">
        <v>6</v>
      </c>
      <c r="CC67" s="100">
        <v>6739.2000000000007</v>
      </c>
      <c r="CD67" s="100">
        <v>4</v>
      </c>
      <c r="CE67" s="100">
        <v>4492.8</v>
      </c>
      <c r="CF67" s="100">
        <v>4</v>
      </c>
      <c r="CG67" s="100">
        <v>4492.8</v>
      </c>
      <c r="CH67" s="100">
        <v>3</v>
      </c>
      <c r="CI67" s="100">
        <v>3369.6000000000004</v>
      </c>
      <c r="CJ67" s="100">
        <v>7</v>
      </c>
      <c r="CK67" s="100">
        <v>7862.4000000000005</v>
      </c>
      <c r="CL67" s="100">
        <v>4.7156682975356068</v>
      </c>
      <c r="CM67" s="100">
        <v>5296.6386317919942</v>
      </c>
      <c r="CN67" s="100">
        <v>4.7042135817763517</v>
      </c>
      <c r="CO67" s="100">
        <v>5283.7726950511988</v>
      </c>
      <c r="CP67" s="100">
        <v>3.1237195752564237</v>
      </c>
      <c r="CQ67" s="100">
        <v>3508.5618269280153</v>
      </c>
      <c r="CR67" s="100">
        <v>0.79324769287216335</v>
      </c>
      <c r="CS67" s="100">
        <v>890.9758086340139</v>
      </c>
      <c r="CT67" s="100">
        <v>3.23361291938367</v>
      </c>
      <c r="CU67" s="100">
        <v>3631.9940310517381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5.2308708675317774</v>
      </c>
      <c r="G68" s="100">
        <v>5404.5357803338329</v>
      </c>
      <c r="H68" s="100">
        <v>6</v>
      </c>
      <c r="I68" s="100">
        <v>6199.2000000000007</v>
      </c>
      <c r="J68" s="100">
        <v>5</v>
      </c>
      <c r="K68" s="100">
        <v>5166</v>
      </c>
      <c r="L68" s="100">
        <v>4</v>
      </c>
      <c r="M68" s="100">
        <v>4132.8</v>
      </c>
      <c r="N68" s="100">
        <v>6</v>
      </c>
      <c r="O68" s="100">
        <v>6199.2000000000007</v>
      </c>
      <c r="P68" s="100">
        <v>5</v>
      </c>
      <c r="Q68" s="100">
        <v>5166</v>
      </c>
      <c r="R68" s="100">
        <v>4</v>
      </c>
      <c r="S68" s="100">
        <v>4132.8</v>
      </c>
      <c r="T68" s="100">
        <v>5</v>
      </c>
      <c r="U68" s="100">
        <v>5166</v>
      </c>
      <c r="V68" s="100">
        <v>3.9740110620298328</v>
      </c>
      <c r="W68" s="100">
        <v>4105.9482292892235</v>
      </c>
      <c r="X68" s="100">
        <v>6.2411609272703803</v>
      </c>
      <c r="Y68" s="100">
        <v>6448.3674700557576</v>
      </c>
      <c r="Z68" s="100">
        <v>2.6259280901585278</v>
      </c>
      <c r="AA68" s="100">
        <v>2713.108902751791</v>
      </c>
      <c r="AB68" s="100">
        <v>4.2157351284605102</v>
      </c>
      <c r="AC68" s="100">
        <v>4355.6975347253992</v>
      </c>
      <c r="AD68" s="100">
        <v>2.5581359109736437</v>
      </c>
      <c r="AE68" s="100">
        <v>2643.0660232179689</v>
      </c>
      <c r="AF68" s="100">
        <v>2.6869145857071097</v>
      </c>
      <c r="AG68" s="100">
        <v>2776.120149952586</v>
      </c>
      <c r="AH68" s="100">
        <v>4</v>
      </c>
      <c r="AI68" s="100">
        <v>4132.8</v>
      </c>
      <c r="AJ68" s="100">
        <v>4.2036688263227138</v>
      </c>
      <c r="AK68" s="100">
        <v>4343.2306313566278</v>
      </c>
      <c r="AL68" s="100">
        <v>2.104222091018991</v>
      </c>
      <c r="AM68" s="100">
        <v>2174.0822644408217</v>
      </c>
      <c r="AN68" s="100">
        <v>5</v>
      </c>
      <c r="AO68" s="100">
        <v>5166</v>
      </c>
      <c r="AP68" s="100">
        <v>6</v>
      </c>
      <c r="AQ68" s="100">
        <v>6199.2000000000007</v>
      </c>
      <c r="AR68" s="100">
        <v>4</v>
      </c>
      <c r="AS68" s="100">
        <v>4132.8</v>
      </c>
      <c r="AT68" s="100">
        <v>6</v>
      </c>
      <c r="AU68" s="100">
        <v>6199.2000000000007</v>
      </c>
      <c r="AV68" s="100">
        <v>4.0313606784703993</v>
      </c>
      <c r="AW68" s="100">
        <v>4165.2018529956167</v>
      </c>
      <c r="AX68" s="100">
        <v>4.4109829569642152</v>
      </c>
      <c r="AY68" s="100">
        <v>4557.4275911354271</v>
      </c>
      <c r="AZ68" s="100">
        <v>4</v>
      </c>
      <c r="BA68" s="100">
        <v>4132.8</v>
      </c>
      <c r="BB68" s="100">
        <v>4.0222256885090921</v>
      </c>
      <c r="BC68" s="100">
        <v>4155.7635813675943</v>
      </c>
      <c r="BD68" s="100">
        <v>6.020799083927769</v>
      </c>
      <c r="BE68" s="100">
        <v>6220.6896135141715</v>
      </c>
      <c r="BF68" s="100">
        <v>4.4231191437769573</v>
      </c>
      <c r="BG68" s="100">
        <v>4569.9666993503524</v>
      </c>
      <c r="BH68" s="100">
        <v>4.7760500769471097</v>
      </c>
      <c r="BI68" s="100">
        <v>4934.6149395017537</v>
      </c>
      <c r="BJ68" s="100">
        <v>1.4834362634003613</v>
      </c>
      <c r="BK68" s="100">
        <v>1532.6863473452534</v>
      </c>
      <c r="BL68" s="100">
        <v>5.7679000861179661</v>
      </c>
      <c r="BM68" s="100">
        <v>5959.3943689770831</v>
      </c>
      <c r="BN68" s="100">
        <v>2.9447954763780784</v>
      </c>
      <c r="BO68" s="100">
        <v>3042.5626861938308</v>
      </c>
      <c r="BP68" s="100">
        <v>1.0043264780999495</v>
      </c>
      <c r="BQ68" s="100">
        <v>1037.6701171728678</v>
      </c>
      <c r="BR68" s="100">
        <v>7.015397951179752</v>
      </c>
      <c r="BS68" s="100">
        <v>7248.3091631589205</v>
      </c>
      <c r="BT68" s="100">
        <v>2.5556132374979712</v>
      </c>
      <c r="BU68" s="100">
        <v>2640.4595969829038</v>
      </c>
      <c r="BV68" s="100">
        <v>3.2327017841690449</v>
      </c>
      <c r="BW68" s="100">
        <v>3340.0274834034572</v>
      </c>
      <c r="BX68" s="100">
        <v>3.1062427265344565</v>
      </c>
      <c r="BY68" s="100">
        <v>3209.3699850554008</v>
      </c>
      <c r="BZ68" s="100">
        <v>2.1948801856433917</v>
      </c>
      <c r="CA68" s="100">
        <v>2267.7502078067523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4</v>
      </c>
      <c r="CG68" s="100">
        <v>4132.8</v>
      </c>
      <c r="CH68" s="100">
        <v>4</v>
      </c>
      <c r="CI68" s="100">
        <v>4132.8</v>
      </c>
      <c r="CJ68" s="100">
        <v>7</v>
      </c>
      <c r="CK68" s="100">
        <v>7232.4000000000005</v>
      </c>
      <c r="CL68" s="100">
        <v>5.5016130137915411</v>
      </c>
      <c r="CM68" s="100">
        <v>5684.2665658494207</v>
      </c>
      <c r="CN68" s="100">
        <v>4.0321830700940158</v>
      </c>
      <c r="CO68" s="100">
        <v>4166.051548021137</v>
      </c>
      <c r="CP68" s="100">
        <v>2.3427896814423179</v>
      </c>
      <c r="CQ68" s="100">
        <v>2420.5702988662028</v>
      </c>
      <c r="CR68" s="100">
        <v>0.79324769287216335</v>
      </c>
      <c r="CS68" s="100">
        <v>819.58351627551917</v>
      </c>
      <c r="CT68" s="100">
        <v>2.5868903355069364</v>
      </c>
      <c r="CU68" s="100">
        <v>2672.7750946457668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5.2308708675317774</v>
      </c>
      <c r="G69" s="100">
        <v>3967.0924659360999</v>
      </c>
      <c r="H69" s="100">
        <v>6</v>
      </c>
      <c r="I69" s="100">
        <v>4550.3999999999996</v>
      </c>
      <c r="J69" s="100">
        <v>4</v>
      </c>
      <c r="K69" s="100">
        <v>3033.6</v>
      </c>
      <c r="L69" s="100">
        <v>4</v>
      </c>
      <c r="M69" s="100">
        <v>3033.6</v>
      </c>
      <c r="N69" s="100">
        <v>7</v>
      </c>
      <c r="O69" s="100">
        <v>5308.8</v>
      </c>
      <c r="P69" s="100">
        <v>5</v>
      </c>
      <c r="Q69" s="100">
        <v>3792</v>
      </c>
      <c r="R69" s="100">
        <v>4</v>
      </c>
      <c r="S69" s="100">
        <v>3033.6</v>
      </c>
      <c r="T69" s="100">
        <v>6</v>
      </c>
      <c r="U69" s="100">
        <v>4550.3999999999996</v>
      </c>
      <c r="V69" s="100">
        <v>3.9740110620298328</v>
      </c>
      <c r="W69" s="100">
        <v>3013.8899894434253</v>
      </c>
      <c r="X69" s="100">
        <v>7.2411609272703803</v>
      </c>
      <c r="Y69" s="100">
        <v>5491.6964472418558</v>
      </c>
      <c r="Z69" s="100">
        <v>2.6259280901585278</v>
      </c>
      <c r="AA69" s="100">
        <v>1991.5038635762273</v>
      </c>
      <c r="AB69" s="100">
        <v>4.1887682374029467</v>
      </c>
      <c r="AC69" s="100">
        <v>3176.7618312463946</v>
      </c>
      <c r="AD69" s="100">
        <v>2.5813884821723048</v>
      </c>
      <c r="AE69" s="100">
        <v>1957.7250248794758</v>
      </c>
      <c r="AF69" s="100">
        <v>2.6869145857071097</v>
      </c>
      <c r="AG69" s="100">
        <v>2037.756021800272</v>
      </c>
      <c r="AH69" s="100">
        <v>4</v>
      </c>
      <c r="AI69" s="100">
        <v>3033.6</v>
      </c>
      <c r="AJ69" s="100">
        <v>4.2036688263227138</v>
      </c>
      <c r="AK69" s="100">
        <v>3188.0624378831462</v>
      </c>
      <c r="AL69" s="100">
        <v>2.5250665092227891</v>
      </c>
      <c r="AM69" s="100">
        <v>1915.0104405945631</v>
      </c>
      <c r="AN69" s="100">
        <v>5</v>
      </c>
      <c r="AO69" s="100">
        <v>3792</v>
      </c>
      <c r="AP69" s="100">
        <v>6</v>
      </c>
      <c r="AQ69" s="100">
        <v>4550.3999999999996</v>
      </c>
      <c r="AR69" s="100">
        <v>4</v>
      </c>
      <c r="AS69" s="100">
        <v>3033.6</v>
      </c>
      <c r="AT69" s="100">
        <v>7</v>
      </c>
      <c r="AU69" s="100">
        <v>5308.8</v>
      </c>
      <c r="AV69" s="100">
        <v>3.0352807632791987</v>
      </c>
      <c r="AW69" s="100">
        <v>2301.9569308709442</v>
      </c>
      <c r="AX69" s="100">
        <v>4.4109829569642152</v>
      </c>
      <c r="AY69" s="100">
        <v>3345.2894745616609</v>
      </c>
      <c r="AZ69" s="100">
        <v>4</v>
      </c>
      <c r="BA69" s="100">
        <v>3033.6</v>
      </c>
      <c r="BB69" s="100">
        <v>4.0222256885090921</v>
      </c>
      <c r="BC69" s="100">
        <v>3050.4559621652952</v>
      </c>
      <c r="BD69" s="100">
        <v>5.1865419210575698</v>
      </c>
      <c r="BE69" s="100">
        <v>3933.473392930061</v>
      </c>
      <c r="BF69" s="100">
        <v>3.7365217978861374</v>
      </c>
      <c r="BG69" s="100">
        <v>2833.7781315168463</v>
      </c>
      <c r="BH69" s="100">
        <v>4.1183309290374632</v>
      </c>
      <c r="BI69" s="100">
        <v>3123.3421765820121</v>
      </c>
      <c r="BJ69" s="100">
        <v>1.4834362634003613</v>
      </c>
      <c r="BK69" s="100">
        <v>1125.038062162834</v>
      </c>
      <c r="BL69" s="100">
        <v>5.7679000861179661</v>
      </c>
      <c r="BM69" s="100">
        <v>4374.375425311865</v>
      </c>
      <c r="BN69" s="100">
        <v>2.9547452760098332</v>
      </c>
      <c r="BO69" s="100">
        <v>2240.8788173258572</v>
      </c>
      <c r="BP69" s="100">
        <v>1.0043264780999495</v>
      </c>
      <c r="BQ69" s="100">
        <v>761.68120099100167</v>
      </c>
      <c r="BR69" s="100">
        <v>6.015397951179752</v>
      </c>
      <c r="BS69" s="100">
        <v>4562.0778061747242</v>
      </c>
      <c r="BT69" s="100">
        <v>2.5556132374979712</v>
      </c>
      <c r="BU69" s="100">
        <v>1938.1770793184612</v>
      </c>
      <c r="BV69" s="100">
        <v>4.233276366205498</v>
      </c>
      <c r="BW69" s="100">
        <v>3210.5167961302495</v>
      </c>
      <c r="BX69" s="100">
        <v>3.1062427265344565</v>
      </c>
      <c r="BY69" s="100">
        <v>2355.774483803732</v>
      </c>
      <c r="BZ69" s="100">
        <v>2.1948801856433917</v>
      </c>
      <c r="CA69" s="100">
        <v>1664.5971327919483</v>
      </c>
      <c r="CB69" s="100">
        <v>7</v>
      </c>
      <c r="CC69" s="100">
        <v>5308.8</v>
      </c>
      <c r="CD69" s="100">
        <v>4</v>
      </c>
      <c r="CE69" s="100">
        <v>3033.6</v>
      </c>
      <c r="CF69" s="100">
        <v>4</v>
      </c>
      <c r="CG69" s="100">
        <v>3033.6</v>
      </c>
      <c r="CH69" s="100">
        <v>4</v>
      </c>
      <c r="CI69" s="100">
        <v>3033.6</v>
      </c>
      <c r="CJ69" s="100">
        <v>6</v>
      </c>
      <c r="CK69" s="100">
        <v>4550.3999999999996</v>
      </c>
      <c r="CL69" s="100">
        <v>5.5016130137915411</v>
      </c>
      <c r="CM69" s="100">
        <v>4172.4233096595044</v>
      </c>
      <c r="CN69" s="100">
        <v>4.7042135817763517</v>
      </c>
      <c r="CO69" s="100">
        <v>3567.6755804191848</v>
      </c>
      <c r="CP69" s="100">
        <v>3.1237195752564237</v>
      </c>
      <c r="CQ69" s="100">
        <v>2369.0289258744715</v>
      </c>
      <c r="CR69" s="100">
        <v>0.99155961609020415</v>
      </c>
      <c r="CS69" s="100">
        <v>751.99881284281082</v>
      </c>
      <c r="CT69" s="100">
        <v>2.5868903355069364</v>
      </c>
      <c r="CU69" s="100">
        <v>1961.8976304484604</v>
      </c>
    </row>
    <row r="70" spans="2:99">
      <c r="C70" s="99" t="s">
        <v>236</v>
      </c>
      <c r="D70" s="100">
        <v>6</v>
      </c>
      <c r="E70" s="100">
        <v>3211.2</v>
      </c>
      <c r="F70" s="100">
        <v>6.1026826787870743</v>
      </c>
      <c r="G70" s="100">
        <v>3266.1557696868417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5</v>
      </c>
      <c r="M70" s="100">
        <v>2675.9999999999995</v>
      </c>
      <c r="N70" s="100">
        <v>7</v>
      </c>
      <c r="O70" s="100">
        <v>3746.3999999999996</v>
      </c>
      <c r="P70" s="100">
        <v>5</v>
      </c>
      <c r="Q70" s="100">
        <v>2675.9999999999995</v>
      </c>
      <c r="R70" s="100">
        <v>4</v>
      </c>
      <c r="S70" s="100">
        <v>2140.7999999999997</v>
      </c>
      <c r="T70" s="100">
        <v>6</v>
      </c>
      <c r="U70" s="100">
        <v>3211.2</v>
      </c>
      <c r="V70" s="100">
        <v>3.406295196025571</v>
      </c>
      <c r="W70" s="100">
        <v>1823.0491889128853</v>
      </c>
      <c r="X70" s="100">
        <v>6.2411609272703803</v>
      </c>
      <c r="Y70" s="100">
        <v>3340.269328275107</v>
      </c>
      <c r="Z70" s="100">
        <v>2.6259280901585278</v>
      </c>
      <c r="AA70" s="100">
        <v>1405.396713852844</v>
      </c>
      <c r="AB70" s="100">
        <v>4.1887682374029467</v>
      </c>
      <c r="AC70" s="100">
        <v>2241.8287606580566</v>
      </c>
      <c r="AD70" s="100">
        <v>2.5581359109736437</v>
      </c>
      <c r="AE70" s="100">
        <v>1369.1143395530939</v>
      </c>
      <c r="AF70" s="100">
        <v>2.6869145857071097</v>
      </c>
      <c r="AG70" s="100">
        <v>1438.036686270445</v>
      </c>
      <c r="AH70" s="100">
        <v>3</v>
      </c>
      <c r="AI70" s="100">
        <v>1605.6</v>
      </c>
      <c r="AJ70" s="100">
        <v>4.2036688263227138</v>
      </c>
      <c r="AK70" s="100">
        <v>2249.803555847916</v>
      </c>
      <c r="AL70" s="100">
        <v>2.104222091018991</v>
      </c>
      <c r="AM70" s="100">
        <v>1126.1796631133639</v>
      </c>
      <c r="AN70" s="100">
        <v>4</v>
      </c>
      <c r="AO70" s="100">
        <v>2140.7999999999997</v>
      </c>
      <c r="AP70" s="100">
        <v>6</v>
      </c>
      <c r="AQ70" s="100">
        <v>3211.2</v>
      </c>
      <c r="AR70" s="100">
        <v>4</v>
      </c>
      <c r="AS70" s="100">
        <v>2140.7999999999997</v>
      </c>
      <c r="AT70" s="100">
        <v>6</v>
      </c>
      <c r="AU70" s="100">
        <v>3211.2</v>
      </c>
      <c r="AV70" s="100">
        <v>4.0392008480879991</v>
      </c>
      <c r="AW70" s="100">
        <v>2161.780293896697</v>
      </c>
      <c r="AX70" s="100">
        <v>4.4109829569642152</v>
      </c>
      <c r="AY70" s="100">
        <v>2360.7580785672476</v>
      </c>
      <c r="AZ70" s="100">
        <v>4</v>
      </c>
      <c r="BA70" s="100">
        <v>2140.7999999999997</v>
      </c>
      <c r="BB70" s="100">
        <v>4.0259299699272741</v>
      </c>
      <c r="BC70" s="100">
        <v>2154.6777199050766</v>
      </c>
      <c r="BD70" s="100">
        <v>6.0434239519073154</v>
      </c>
      <c r="BE70" s="100">
        <v>3234.440499060795</v>
      </c>
      <c r="BF70" s="100">
        <v>4.4231191437769573</v>
      </c>
      <c r="BG70" s="100">
        <v>2367.2533657494273</v>
      </c>
      <c r="BH70" s="100">
        <v>4.7760500769471097</v>
      </c>
      <c r="BI70" s="100">
        <v>2556.1420011820928</v>
      </c>
      <c r="BJ70" s="100">
        <v>1.4834362634003613</v>
      </c>
      <c r="BK70" s="100">
        <v>793.9350881718733</v>
      </c>
      <c r="BL70" s="100">
        <v>5.7679000861179661</v>
      </c>
      <c r="BM70" s="100">
        <v>3086.980126090335</v>
      </c>
      <c r="BN70" s="100">
        <v>2.9547452760098332</v>
      </c>
      <c r="BO70" s="100">
        <v>1581.3796717204625</v>
      </c>
      <c r="BP70" s="100">
        <v>0.80346118247995946</v>
      </c>
      <c r="BQ70" s="100">
        <v>430.01242486327425</v>
      </c>
      <c r="BR70" s="100">
        <v>6.015397951179752</v>
      </c>
      <c r="BS70" s="100">
        <v>3219.4409834714029</v>
      </c>
      <c r="BT70" s="100">
        <v>2.5556132374979712</v>
      </c>
      <c r="BU70" s="100">
        <v>1367.7642047089141</v>
      </c>
      <c r="BV70" s="100">
        <v>4.1870807585935603</v>
      </c>
      <c r="BW70" s="100">
        <v>2240.9256219992731</v>
      </c>
      <c r="BX70" s="100">
        <v>3.1062427265344565</v>
      </c>
      <c r="BY70" s="100">
        <v>1662.4611072412408</v>
      </c>
      <c r="BZ70" s="100">
        <v>2.1948801856433917</v>
      </c>
      <c r="CA70" s="100">
        <v>1174.699875356343</v>
      </c>
      <c r="CB70" s="100">
        <v>7</v>
      </c>
      <c r="CC70" s="100">
        <v>3746.3999999999996</v>
      </c>
      <c r="CD70" s="100">
        <v>4</v>
      </c>
      <c r="CE70" s="100">
        <v>2140.7999999999997</v>
      </c>
      <c r="CF70" s="100">
        <v>4</v>
      </c>
      <c r="CG70" s="100">
        <v>2140.7999999999997</v>
      </c>
      <c r="CH70" s="100">
        <v>4</v>
      </c>
      <c r="CI70" s="100">
        <v>2140.7999999999997</v>
      </c>
      <c r="CJ70" s="100">
        <v>7</v>
      </c>
      <c r="CK70" s="100">
        <v>3746.3999999999996</v>
      </c>
      <c r="CL70" s="100">
        <v>4.7156682975356068</v>
      </c>
      <c r="CM70" s="100">
        <v>2523.8256728410565</v>
      </c>
      <c r="CN70" s="100">
        <v>4.0321830700940158</v>
      </c>
      <c r="CO70" s="100">
        <v>2158.0243791143171</v>
      </c>
      <c r="CP70" s="100">
        <v>3.1237195752564237</v>
      </c>
      <c r="CQ70" s="100">
        <v>1671.8147166772378</v>
      </c>
      <c r="CR70" s="100">
        <v>0.79324769287216335</v>
      </c>
      <c r="CS70" s="100">
        <v>424.54616522518177</v>
      </c>
      <c r="CT70" s="100">
        <v>3.23361291938367</v>
      </c>
      <c r="CU70" s="100">
        <v>1730.6296344541399</v>
      </c>
    </row>
    <row r="71" spans="2:99">
      <c r="B71" s="99" t="s">
        <v>130</v>
      </c>
      <c r="C71" s="99" t="s">
        <v>237</v>
      </c>
      <c r="D71" s="100">
        <v>5.4727349965530658</v>
      </c>
      <c r="E71" s="100">
        <v>3086.622538055929</v>
      </c>
      <c r="F71" s="100">
        <v>3.5268629599220507</v>
      </c>
      <c r="G71" s="100">
        <v>1989.1507093960365</v>
      </c>
      <c r="H71" s="100">
        <v>4.1554386526723768</v>
      </c>
      <c r="I71" s="100">
        <v>2343.6674001072206</v>
      </c>
      <c r="J71" s="100">
        <v>3.3697869690809386</v>
      </c>
      <c r="K71" s="100">
        <v>1900.5598505616495</v>
      </c>
      <c r="L71" s="100">
        <v>2.4351860369273428</v>
      </c>
      <c r="M71" s="100">
        <v>1373.4449248270214</v>
      </c>
      <c r="N71" s="100">
        <v>5</v>
      </c>
      <c r="O71" s="100">
        <v>2820</v>
      </c>
      <c r="P71" s="100">
        <v>5</v>
      </c>
      <c r="Q71" s="100">
        <v>2820</v>
      </c>
      <c r="R71" s="100">
        <v>4</v>
      </c>
      <c r="S71" s="100">
        <v>2256</v>
      </c>
      <c r="T71" s="100">
        <v>4</v>
      </c>
      <c r="U71" s="100">
        <v>2256</v>
      </c>
      <c r="V71" s="100">
        <v>3</v>
      </c>
      <c r="W71" s="100">
        <v>1692</v>
      </c>
      <c r="X71" s="100">
        <v>6</v>
      </c>
      <c r="Y71" s="100">
        <v>3384</v>
      </c>
      <c r="Z71" s="100">
        <v>4</v>
      </c>
      <c r="AA71" s="100">
        <v>2256</v>
      </c>
      <c r="AB71" s="100">
        <v>5</v>
      </c>
      <c r="AC71" s="100">
        <v>2820</v>
      </c>
      <c r="AD71" s="100">
        <v>4</v>
      </c>
      <c r="AE71" s="100">
        <v>2256</v>
      </c>
      <c r="AF71" s="100">
        <v>5.2921094246852958</v>
      </c>
      <c r="AG71" s="100">
        <v>2984.7497155225069</v>
      </c>
      <c r="AH71" s="100">
        <v>4.0699133200965125</v>
      </c>
      <c r="AI71" s="100">
        <v>2295.4311125344329</v>
      </c>
      <c r="AJ71" s="100">
        <v>1.1492124922363243</v>
      </c>
      <c r="AK71" s="100">
        <v>648.15584562128686</v>
      </c>
      <c r="AL71" s="100">
        <v>1.488508984529924</v>
      </c>
      <c r="AM71" s="100">
        <v>839.5190672748771</v>
      </c>
      <c r="AN71" s="100">
        <v>1.3366467976530159</v>
      </c>
      <c r="AO71" s="100">
        <v>753.86879387630097</v>
      </c>
      <c r="AP71" s="100">
        <v>3.7337708895238757</v>
      </c>
      <c r="AQ71" s="100">
        <v>2105.8467816914658</v>
      </c>
      <c r="AR71" s="100">
        <v>1.1324895167051938</v>
      </c>
      <c r="AS71" s="100">
        <v>638.72408742172934</v>
      </c>
      <c r="AT71" s="100">
        <v>5</v>
      </c>
      <c r="AU71" s="100">
        <v>2820</v>
      </c>
      <c r="AV71" s="100">
        <v>5</v>
      </c>
      <c r="AW71" s="100">
        <v>2820</v>
      </c>
      <c r="AX71" s="100">
        <v>4</v>
      </c>
      <c r="AY71" s="100">
        <v>2256</v>
      </c>
      <c r="AZ71" s="100">
        <v>5</v>
      </c>
      <c r="BA71" s="100">
        <v>2820</v>
      </c>
      <c r="BB71" s="100">
        <v>6.2090867212709364</v>
      </c>
      <c r="BC71" s="100">
        <v>3501.924910796808</v>
      </c>
      <c r="BD71" s="100">
        <v>1.7998088019047818</v>
      </c>
      <c r="BE71" s="100">
        <v>1015.0921642742969</v>
      </c>
      <c r="BF71" s="100">
        <v>5</v>
      </c>
      <c r="BG71" s="100">
        <v>2820</v>
      </c>
      <c r="BH71" s="100">
        <v>6</v>
      </c>
      <c r="BI71" s="100">
        <v>3384</v>
      </c>
      <c r="BJ71" s="100">
        <v>4.3197835559514282</v>
      </c>
      <c r="BK71" s="100">
        <v>2436.3579255566056</v>
      </c>
      <c r="BL71" s="100">
        <v>2.5268716766777124</v>
      </c>
      <c r="BM71" s="100">
        <v>1425.1556256462297</v>
      </c>
      <c r="BN71" s="100">
        <v>5.4270826687641547</v>
      </c>
      <c r="BO71" s="100">
        <v>3060.8746251829834</v>
      </c>
      <c r="BP71" s="100">
        <v>4.3508030868349419</v>
      </c>
      <c r="BQ71" s="100">
        <v>2453.8529409749071</v>
      </c>
      <c r="BR71" s="100">
        <v>3</v>
      </c>
      <c r="BS71" s="100">
        <v>1692</v>
      </c>
      <c r="BT71" s="100">
        <v>5</v>
      </c>
      <c r="BU71" s="100">
        <v>2820</v>
      </c>
      <c r="BV71" s="100">
        <v>4.4103022895982926</v>
      </c>
      <c r="BW71" s="100">
        <v>2487.4104913334372</v>
      </c>
      <c r="BX71" s="100">
        <v>3.4401197176131562</v>
      </c>
      <c r="BY71" s="100">
        <v>1940.22752073382</v>
      </c>
      <c r="BZ71" s="100">
        <v>4</v>
      </c>
      <c r="CA71" s="100">
        <v>2256</v>
      </c>
      <c r="CB71" s="100">
        <v>3.8658554235589047</v>
      </c>
      <c r="CC71" s="100">
        <v>2180.3424588872222</v>
      </c>
      <c r="CD71" s="100">
        <v>3</v>
      </c>
      <c r="CE71" s="100">
        <v>1692</v>
      </c>
      <c r="CF71" s="100">
        <v>4</v>
      </c>
      <c r="CG71" s="100">
        <v>2256</v>
      </c>
      <c r="CH71" s="100">
        <v>6</v>
      </c>
      <c r="CI71" s="100">
        <v>3384</v>
      </c>
      <c r="CJ71" s="100">
        <v>5</v>
      </c>
      <c r="CK71" s="100">
        <v>2820</v>
      </c>
      <c r="CL71" s="100">
        <v>4</v>
      </c>
      <c r="CM71" s="100">
        <v>2256</v>
      </c>
      <c r="CN71" s="100">
        <v>4.6415145873222281</v>
      </c>
      <c r="CO71" s="100">
        <v>2617.8142272497366</v>
      </c>
      <c r="CP71" s="100">
        <v>4.0835688302504316</v>
      </c>
      <c r="CQ71" s="100">
        <v>2303.1328202612435</v>
      </c>
      <c r="CR71" s="100">
        <v>4.2513222506596584</v>
      </c>
      <c r="CS71" s="100">
        <v>2397.7457493720472</v>
      </c>
      <c r="CT71" s="100">
        <v>4.0980452604591644</v>
      </c>
      <c r="CU71" s="100">
        <v>2311.2975268989685</v>
      </c>
    </row>
    <row r="72" spans="2:99">
      <c r="C72" s="99" t="s">
        <v>238</v>
      </c>
      <c r="D72" s="100">
        <v>5.4727349965530658</v>
      </c>
      <c r="E72" s="100">
        <v>407.17148374354804</v>
      </c>
      <c r="F72" s="100">
        <v>3.5268629599220507</v>
      </c>
      <c r="G72" s="100">
        <v>262.39860421820055</v>
      </c>
      <c r="H72" s="100">
        <v>4.8480117614511071</v>
      </c>
      <c r="I72" s="100">
        <v>360.69207505196232</v>
      </c>
      <c r="J72" s="100">
        <v>4.0377711084326915</v>
      </c>
      <c r="K72" s="100">
        <v>300.41017046739222</v>
      </c>
      <c r="L72" s="100">
        <v>2.4351860369273428</v>
      </c>
      <c r="M72" s="100">
        <v>181.17784114739428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5</v>
      </c>
      <c r="S72" s="100">
        <v>371.99999999999994</v>
      </c>
      <c r="T72" s="100">
        <v>5</v>
      </c>
      <c r="U72" s="100">
        <v>371.99999999999994</v>
      </c>
      <c r="V72" s="100">
        <v>3</v>
      </c>
      <c r="W72" s="100">
        <v>223.2</v>
      </c>
      <c r="X72" s="100">
        <v>6</v>
      </c>
      <c r="Y72" s="100">
        <v>446.4</v>
      </c>
      <c r="Z72" s="100">
        <v>4</v>
      </c>
      <c r="AA72" s="100">
        <v>297.59999999999997</v>
      </c>
      <c r="AB72" s="100">
        <v>6</v>
      </c>
      <c r="AC72" s="100">
        <v>446.4</v>
      </c>
      <c r="AD72" s="100">
        <v>4</v>
      </c>
      <c r="AE72" s="100">
        <v>297.59999999999997</v>
      </c>
      <c r="AF72" s="100">
        <v>5.3407943287995119</v>
      </c>
      <c r="AG72" s="100">
        <v>397.35509806268362</v>
      </c>
      <c r="AH72" s="100">
        <v>4.824629036859954</v>
      </c>
      <c r="AI72" s="100">
        <v>358.95240034238054</v>
      </c>
      <c r="AJ72" s="100">
        <v>1.4010250210418254</v>
      </c>
      <c r="AK72" s="100">
        <v>104.2362615655118</v>
      </c>
      <c r="AL72" s="100">
        <v>1.4998669013385777</v>
      </c>
      <c r="AM72" s="100">
        <v>111.59009745959017</v>
      </c>
      <c r="AN72" s="100">
        <v>1.3366467976530159</v>
      </c>
      <c r="AO72" s="100">
        <v>99.446521745384374</v>
      </c>
      <c r="AP72" s="100">
        <v>3.7615661828437599</v>
      </c>
      <c r="AQ72" s="100">
        <v>279.86052400357568</v>
      </c>
      <c r="AR72" s="100">
        <v>1.4156118958814923</v>
      </c>
      <c r="AS72" s="100">
        <v>105.32152505358302</v>
      </c>
      <c r="AT72" s="100">
        <v>5</v>
      </c>
      <c r="AU72" s="100">
        <v>371.99999999999994</v>
      </c>
      <c r="AV72" s="100">
        <v>5</v>
      </c>
      <c r="AW72" s="100">
        <v>371.99999999999994</v>
      </c>
      <c r="AX72" s="100">
        <v>4</v>
      </c>
      <c r="AY72" s="100">
        <v>297.59999999999997</v>
      </c>
      <c r="AZ72" s="100">
        <v>5</v>
      </c>
      <c r="BA72" s="100">
        <v>371.99999999999994</v>
      </c>
      <c r="BB72" s="100">
        <v>5.2090867212709364</v>
      </c>
      <c r="BC72" s="100">
        <v>387.55605206255763</v>
      </c>
      <c r="BD72" s="100">
        <v>1.7998088019047818</v>
      </c>
      <c r="BE72" s="100">
        <v>133.90577486171574</v>
      </c>
      <c r="BF72" s="100">
        <v>5</v>
      </c>
      <c r="BG72" s="100">
        <v>371.99999999999994</v>
      </c>
      <c r="BH72" s="100">
        <v>6</v>
      </c>
      <c r="BI72" s="100">
        <v>446.4</v>
      </c>
      <c r="BJ72" s="100">
        <v>4.2842520497346035</v>
      </c>
      <c r="BK72" s="100">
        <v>318.74835250025444</v>
      </c>
      <c r="BL72" s="100">
        <v>2.1658900085808965</v>
      </c>
      <c r="BM72" s="100">
        <v>161.14221663841869</v>
      </c>
      <c r="BN72" s="100">
        <v>6.4270826687641547</v>
      </c>
      <c r="BO72" s="100">
        <v>478.17495055605303</v>
      </c>
      <c r="BP72" s="100">
        <v>3.6256692390291181</v>
      </c>
      <c r="BQ72" s="100">
        <v>269.74979138376636</v>
      </c>
      <c r="BR72" s="100">
        <v>4</v>
      </c>
      <c r="BS72" s="100">
        <v>297.59999999999997</v>
      </c>
      <c r="BT72" s="100">
        <v>4</v>
      </c>
      <c r="BU72" s="100">
        <v>297.59999999999997</v>
      </c>
      <c r="BV72" s="100">
        <v>4.4396095959981707</v>
      </c>
      <c r="BW72" s="100">
        <v>330.30695394226387</v>
      </c>
      <c r="BX72" s="100">
        <v>3.4401197176131562</v>
      </c>
      <c r="BY72" s="100">
        <v>255.94490699041879</v>
      </c>
      <c r="BZ72" s="100">
        <v>4</v>
      </c>
      <c r="CA72" s="100">
        <v>297.59999999999997</v>
      </c>
      <c r="CB72" s="100">
        <v>4.8323192794486305</v>
      </c>
      <c r="CC72" s="100">
        <v>359.52455439097804</v>
      </c>
      <c r="CD72" s="100">
        <v>3</v>
      </c>
      <c r="CE72" s="100">
        <v>223.2</v>
      </c>
      <c r="CF72" s="100">
        <v>5</v>
      </c>
      <c r="CG72" s="100">
        <v>371.99999999999994</v>
      </c>
      <c r="CH72" s="100">
        <v>5</v>
      </c>
      <c r="CI72" s="100">
        <v>371.99999999999994</v>
      </c>
      <c r="CJ72" s="100">
        <v>5</v>
      </c>
      <c r="CK72" s="100">
        <v>371.99999999999994</v>
      </c>
      <c r="CL72" s="100">
        <v>4</v>
      </c>
      <c r="CM72" s="100">
        <v>297.59999999999997</v>
      </c>
      <c r="CN72" s="100">
        <v>4.7402091392179555</v>
      </c>
      <c r="CO72" s="100">
        <v>352.67155995781587</v>
      </c>
      <c r="CP72" s="100">
        <v>4.0835688302504316</v>
      </c>
      <c r="CQ72" s="100">
        <v>303.81752097063207</v>
      </c>
      <c r="CR72" s="100">
        <v>4.2513222506596584</v>
      </c>
      <c r="CS72" s="100">
        <v>316.29837544907855</v>
      </c>
      <c r="CT72" s="100">
        <v>4.4710747144384184</v>
      </c>
      <c r="CU72" s="100">
        <v>332.64795875421828</v>
      </c>
    </row>
    <row r="73" spans="2:99">
      <c r="C73" s="99" t="s">
        <v>239</v>
      </c>
      <c r="D73" s="100">
        <v>5.4727349965530658</v>
      </c>
      <c r="E73" s="100">
        <v>3060.3534100724742</v>
      </c>
      <c r="F73" s="100">
        <v>4.4085786999025629</v>
      </c>
      <c r="G73" s="100">
        <v>2465.277208985513</v>
      </c>
      <c r="H73" s="100">
        <v>4.1554386526723768</v>
      </c>
      <c r="I73" s="100">
        <v>2323.7212945743927</v>
      </c>
      <c r="J73" s="100">
        <v>3.9780385637883353</v>
      </c>
      <c r="K73" s="100">
        <v>2224.5191648704367</v>
      </c>
      <c r="L73" s="100">
        <v>2.4351860369273428</v>
      </c>
      <c r="M73" s="100">
        <v>1361.7560318497699</v>
      </c>
      <c r="N73" s="100">
        <v>5</v>
      </c>
      <c r="O73" s="100">
        <v>2795.9999999999995</v>
      </c>
      <c r="P73" s="100">
        <v>5</v>
      </c>
      <c r="Q73" s="100">
        <v>2795.9999999999995</v>
      </c>
      <c r="R73" s="100">
        <v>5</v>
      </c>
      <c r="S73" s="100">
        <v>2795.9999999999995</v>
      </c>
      <c r="T73" s="100">
        <v>5</v>
      </c>
      <c r="U73" s="100">
        <v>2795.9999999999995</v>
      </c>
      <c r="V73" s="100">
        <v>3</v>
      </c>
      <c r="W73" s="100">
        <v>1677.6</v>
      </c>
      <c r="X73" s="100">
        <v>6</v>
      </c>
      <c r="Y73" s="100">
        <v>3355.2</v>
      </c>
      <c r="Z73" s="100">
        <v>4</v>
      </c>
      <c r="AA73" s="100">
        <v>2236.7999999999997</v>
      </c>
      <c r="AB73" s="100">
        <v>5</v>
      </c>
      <c r="AC73" s="100">
        <v>2795.9999999999995</v>
      </c>
      <c r="AD73" s="100">
        <v>4</v>
      </c>
      <c r="AE73" s="100">
        <v>2236.7999999999997</v>
      </c>
      <c r="AF73" s="100">
        <v>5.3407943287995119</v>
      </c>
      <c r="AG73" s="100">
        <v>2986.5721886646866</v>
      </c>
      <c r="AH73" s="100">
        <v>4.0699133200965125</v>
      </c>
      <c r="AI73" s="100">
        <v>2275.8955285979696</v>
      </c>
      <c r="AJ73" s="100">
        <v>1.1382923093890689</v>
      </c>
      <c r="AK73" s="100">
        <v>636.53305941036729</v>
      </c>
      <c r="AL73" s="100">
        <v>1.488508984529924</v>
      </c>
      <c r="AM73" s="100">
        <v>832.3742241491334</v>
      </c>
      <c r="AN73" s="100">
        <v>1.0693174381224126</v>
      </c>
      <c r="AO73" s="100">
        <v>597.96231139805309</v>
      </c>
      <c r="AP73" s="100">
        <v>3.7476685361838178</v>
      </c>
      <c r="AQ73" s="100">
        <v>2095.6962454339905</v>
      </c>
      <c r="AR73" s="100">
        <v>1.4156118958814923</v>
      </c>
      <c r="AS73" s="100">
        <v>791.6101721769304</v>
      </c>
      <c r="AT73" s="100">
        <v>5</v>
      </c>
      <c r="AU73" s="100">
        <v>2795.9999999999995</v>
      </c>
      <c r="AV73" s="100">
        <v>5</v>
      </c>
      <c r="AW73" s="100">
        <v>2795.9999999999995</v>
      </c>
      <c r="AX73" s="100">
        <v>4</v>
      </c>
      <c r="AY73" s="100">
        <v>2236.7999999999997</v>
      </c>
      <c r="AZ73" s="100">
        <v>6</v>
      </c>
      <c r="BA73" s="100">
        <v>3355.2</v>
      </c>
      <c r="BB73" s="100">
        <v>5.2090867212709364</v>
      </c>
      <c r="BC73" s="100">
        <v>2912.9212945347072</v>
      </c>
      <c r="BD73" s="100">
        <v>2.1597705622857384</v>
      </c>
      <c r="BE73" s="100">
        <v>1207.7436984301848</v>
      </c>
      <c r="BF73" s="100">
        <v>5</v>
      </c>
      <c r="BG73" s="100">
        <v>2795.9999999999995</v>
      </c>
      <c r="BH73" s="100">
        <v>6</v>
      </c>
      <c r="BI73" s="100">
        <v>3355.2</v>
      </c>
      <c r="BJ73" s="100">
        <v>5.3197835559514282</v>
      </c>
      <c r="BK73" s="100">
        <v>2974.8229644880385</v>
      </c>
      <c r="BL73" s="100">
        <v>2.1658900085808965</v>
      </c>
      <c r="BM73" s="100">
        <v>1211.1656927984372</v>
      </c>
      <c r="BN73" s="100">
        <v>5</v>
      </c>
      <c r="BO73" s="100">
        <v>2795.9999999999995</v>
      </c>
      <c r="BP73" s="100">
        <v>4.3508030868349419</v>
      </c>
      <c r="BQ73" s="100">
        <v>2432.9690861580993</v>
      </c>
      <c r="BR73" s="100">
        <v>4</v>
      </c>
      <c r="BS73" s="100">
        <v>2236.7999999999997</v>
      </c>
      <c r="BT73" s="100">
        <v>5</v>
      </c>
      <c r="BU73" s="100">
        <v>2795.9999999999995</v>
      </c>
      <c r="BV73" s="100">
        <v>5.4396095959981707</v>
      </c>
      <c r="BW73" s="100">
        <v>3041.8296860821765</v>
      </c>
      <c r="BX73" s="100">
        <v>3.4401197176131562</v>
      </c>
      <c r="BY73" s="100">
        <v>1923.7149460892767</v>
      </c>
      <c r="BZ73" s="100">
        <v>4</v>
      </c>
      <c r="CA73" s="100">
        <v>2236.7999999999997</v>
      </c>
      <c r="CB73" s="100">
        <v>4.8323192794486305</v>
      </c>
      <c r="CC73" s="100">
        <v>2702.2329410676739</v>
      </c>
      <c r="CD73" s="100">
        <v>3</v>
      </c>
      <c r="CE73" s="100">
        <v>1677.6</v>
      </c>
      <c r="CF73" s="100">
        <v>4</v>
      </c>
      <c r="CG73" s="100">
        <v>2236.7999999999997</v>
      </c>
      <c r="CH73" s="100">
        <v>6</v>
      </c>
      <c r="CI73" s="100">
        <v>3355.2</v>
      </c>
      <c r="CJ73" s="100">
        <v>4</v>
      </c>
      <c r="CK73" s="100">
        <v>2236.7999999999997</v>
      </c>
      <c r="CL73" s="100">
        <v>3</v>
      </c>
      <c r="CM73" s="100">
        <v>1677.6</v>
      </c>
      <c r="CN73" s="100">
        <v>5.7402091392179555</v>
      </c>
      <c r="CO73" s="100">
        <v>3209.9249506506803</v>
      </c>
      <c r="CP73" s="100">
        <v>4.0835688302504316</v>
      </c>
      <c r="CQ73" s="100">
        <v>2283.5316898760411</v>
      </c>
      <c r="CR73" s="100">
        <v>4.2513222506596584</v>
      </c>
      <c r="CS73" s="100">
        <v>2377.3394025688808</v>
      </c>
      <c r="CT73" s="100">
        <v>4.0980452604591644</v>
      </c>
      <c r="CU73" s="100">
        <v>2291.6269096487645</v>
      </c>
    </row>
    <row r="74" spans="2:99">
      <c r="C74" s="99" t="s">
        <v>240</v>
      </c>
      <c r="D74" s="100">
        <v>4.560612497127555</v>
      </c>
      <c r="E74" s="100">
        <v>1838.8389588418302</v>
      </c>
      <c r="F74" s="100">
        <v>3.5268629599220507</v>
      </c>
      <c r="G74" s="100">
        <v>1422.0311454405708</v>
      </c>
      <c r="H74" s="100">
        <v>4.1554386526723768</v>
      </c>
      <c r="I74" s="100">
        <v>1675.4728647575023</v>
      </c>
      <c r="J74" s="100">
        <v>3.3697869690809386</v>
      </c>
      <c r="K74" s="100">
        <v>1358.6981059334344</v>
      </c>
      <c r="L74" s="100">
        <v>2.4351860369273428</v>
      </c>
      <c r="M74" s="100">
        <v>981.86701008910461</v>
      </c>
      <c r="N74" s="100">
        <v>6</v>
      </c>
      <c r="O74" s="100">
        <v>2419.1999999999998</v>
      </c>
      <c r="P74" s="100">
        <v>5</v>
      </c>
      <c r="Q74" s="100">
        <v>2016</v>
      </c>
      <c r="R74" s="100">
        <v>5</v>
      </c>
      <c r="S74" s="100">
        <v>2016</v>
      </c>
      <c r="T74" s="100">
        <v>4</v>
      </c>
      <c r="U74" s="100">
        <v>1612.8</v>
      </c>
      <c r="V74" s="100">
        <v>3</v>
      </c>
      <c r="W74" s="100">
        <v>1209.5999999999999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4</v>
      </c>
      <c r="AE74" s="100">
        <v>1612.8</v>
      </c>
      <c r="AF74" s="100">
        <v>4.3407943287995119</v>
      </c>
      <c r="AG74" s="100">
        <v>1750.2082733719631</v>
      </c>
      <c r="AH74" s="100">
        <v>4.0699133200965125</v>
      </c>
      <c r="AI74" s="100">
        <v>1640.9890506629138</v>
      </c>
      <c r="AJ74" s="100">
        <v>1.411945203889081</v>
      </c>
      <c r="AK74" s="100">
        <v>569.29630620807745</v>
      </c>
      <c r="AL74" s="100">
        <v>1.2033008961134581</v>
      </c>
      <c r="AM74" s="100">
        <v>485.17092131294629</v>
      </c>
      <c r="AN74" s="100">
        <v>1.3366467976530159</v>
      </c>
      <c r="AO74" s="100">
        <v>538.93598881369599</v>
      </c>
      <c r="AP74" s="100">
        <v>3.7615661828437599</v>
      </c>
      <c r="AQ74" s="100">
        <v>1516.6634849226039</v>
      </c>
      <c r="AR74" s="100">
        <v>1.1324895167051938</v>
      </c>
      <c r="AS74" s="100">
        <v>456.61977313553416</v>
      </c>
      <c r="AT74" s="100">
        <v>4</v>
      </c>
      <c r="AU74" s="100">
        <v>1612.8</v>
      </c>
      <c r="AV74" s="100">
        <v>5</v>
      </c>
      <c r="AW74" s="100">
        <v>2016</v>
      </c>
      <c r="AX74" s="100">
        <v>4</v>
      </c>
      <c r="AY74" s="100">
        <v>1612.8</v>
      </c>
      <c r="AZ74" s="100">
        <v>5</v>
      </c>
      <c r="BA74" s="100">
        <v>2016</v>
      </c>
      <c r="BB74" s="100">
        <v>5.2323185791899292</v>
      </c>
      <c r="BC74" s="100">
        <v>2109.6708511293796</v>
      </c>
      <c r="BD74" s="100">
        <v>1.7998088019047818</v>
      </c>
      <c r="BE74" s="100">
        <v>725.68290892800803</v>
      </c>
      <c r="BF74" s="100">
        <v>5</v>
      </c>
      <c r="BG74" s="100">
        <v>2016</v>
      </c>
      <c r="BH74" s="100">
        <v>6</v>
      </c>
      <c r="BI74" s="100">
        <v>2419.1999999999998</v>
      </c>
      <c r="BJ74" s="100">
        <v>4.3197835559514282</v>
      </c>
      <c r="BK74" s="100">
        <v>1741.7367297596159</v>
      </c>
      <c r="BL74" s="100">
        <v>2.1658900085808965</v>
      </c>
      <c r="BM74" s="100">
        <v>873.28685145981751</v>
      </c>
      <c r="BN74" s="100">
        <v>5.4270826687641547</v>
      </c>
      <c r="BO74" s="100">
        <v>2188.1997320457072</v>
      </c>
      <c r="BP74" s="100">
        <v>3.6256692390291181</v>
      </c>
      <c r="BQ74" s="100">
        <v>1461.8698371765404</v>
      </c>
      <c r="BR74" s="100">
        <v>4</v>
      </c>
      <c r="BS74" s="100">
        <v>1612.8</v>
      </c>
      <c r="BT74" s="100">
        <v>5</v>
      </c>
      <c r="BU74" s="100">
        <v>2016</v>
      </c>
      <c r="BV74" s="100">
        <v>4.4396095959981707</v>
      </c>
      <c r="BW74" s="100">
        <v>1790.0505891064624</v>
      </c>
      <c r="BX74" s="100">
        <v>3.4401197176131562</v>
      </c>
      <c r="BY74" s="100">
        <v>1387.0562701416245</v>
      </c>
      <c r="BZ74" s="100">
        <v>4</v>
      </c>
      <c r="CA74" s="100">
        <v>1612.8</v>
      </c>
      <c r="CB74" s="100">
        <v>4.8323192794486305</v>
      </c>
      <c r="CC74" s="100">
        <v>1948.3911334736877</v>
      </c>
      <c r="CD74" s="100">
        <v>3</v>
      </c>
      <c r="CE74" s="100">
        <v>1209.5999999999999</v>
      </c>
      <c r="CF74" s="100">
        <v>4</v>
      </c>
      <c r="CG74" s="100">
        <v>1612.8</v>
      </c>
      <c r="CH74" s="100">
        <v>5</v>
      </c>
      <c r="CI74" s="100">
        <v>2016</v>
      </c>
      <c r="CJ74" s="100">
        <v>4</v>
      </c>
      <c r="CK74" s="100">
        <v>1612.8</v>
      </c>
      <c r="CL74" s="100">
        <v>4</v>
      </c>
      <c r="CM74" s="100">
        <v>1612.8</v>
      </c>
      <c r="CN74" s="100">
        <v>4.6908618632700918</v>
      </c>
      <c r="CO74" s="100">
        <v>1891.355503270501</v>
      </c>
      <c r="CP74" s="100">
        <v>4.0835688302504316</v>
      </c>
      <c r="CQ74" s="100">
        <v>1646.494952356974</v>
      </c>
      <c r="CR74" s="100">
        <v>3.4010578005277265</v>
      </c>
      <c r="CS74" s="100">
        <v>1371.3065051727792</v>
      </c>
      <c r="CT74" s="100">
        <v>4.0738911236204158</v>
      </c>
      <c r="CU74" s="100">
        <v>1642.5929010437517</v>
      </c>
    </row>
    <row r="75" spans="2:99">
      <c r="C75" s="99" t="s">
        <v>241</v>
      </c>
      <c r="D75" s="100">
        <v>4.560612497127555</v>
      </c>
      <c r="E75" s="100">
        <v>2933.385958152443</v>
      </c>
      <c r="F75" s="100">
        <v>3.5268629599220507</v>
      </c>
      <c r="G75" s="100">
        <v>2268.4782558218626</v>
      </c>
      <c r="H75" s="100">
        <v>3.4628655438936473</v>
      </c>
      <c r="I75" s="100">
        <v>2227.3151178323938</v>
      </c>
      <c r="J75" s="100">
        <v>3.3996532414031169</v>
      </c>
      <c r="K75" s="100">
        <v>2186.6569648704844</v>
      </c>
      <c r="L75" s="100">
        <v>2.4351860369273428</v>
      </c>
      <c r="M75" s="100">
        <v>1566.3116589516667</v>
      </c>
      <c r="N75" s="100">
        <v>5</v>
      </c>
      <c r="O75" s="100">
        <v>3215.9999999999995</v>
      </c>
      <c r="P75" s="100">
        <v>5</v>
      </c>
      <c r="Q75" s="100">
        <v>3215.9999999999995</v>
      </c>
      <c r="R75" s="100">
        <v>5</v>
      </c>
      <c r="S75" s="100">
        <v>3215.9999999999995</v>
      </c>
      <c r="T75" s="100">
        <v>4</v>
      </c>
      <c r="U75" s="100">
        <v>2572.7999999999997</v>
      </c>
      <c r="V75" s="100">
        <v>3</v>
      </c>
      <c r="W75" s="100">
        <v>1929.6</v>
      </c>
      <c r="X75" s="100">
        <v>6</v>
      </c>
      <c r="Y75" s="100">
        <v>3859.2</v>
      </c>
      <c r="Z75" s="100">
        <v>4</v>
      </c>
      <c r="AA75" s="100">
        <v>2572.7999999999997</v>
      </c>
      <c r="AB75" s="100">
        <v>5</v>
      </c>
      <c r="AC75" s="100">
        <v>3215.9999999999995</v>
      </c>
      <c r="AD75" s="100">
        <v>4</v>
      </c>
      <c r="AE75" s="100">
        <v>2572.7999999999997</v>
      </c>
      <c r="AF75" s="100">
        <v>5.3164518767424038</v>
      </c>
      <c r="AG75" s="100">
        <v>3419.5418471207136</v>
      </c>
      <c r="AH75" s="100">
        <v>4.0699133200965125</v>
      </c>
      <c r="AI75" s="100">
        <v>2617.7682474860767</v>
      </c>
      <c r="AJ75" s="100">
        <v>1.411945203889081</v>
      </c>
      <c r="AK75" s="100">
        <v>908.16315514145674</v>
      </c>
      <c r="AL75" s="100">
        <v>1.208979854517785</v>
      </c>
      <c r="AM75" s="100">
        <v>777.61584242583922</v>
      </c>
      <c r="AN75" s="100">
        <v>1.3366467976530159</v>
      </c>
      <c r="AO75" s="100">
        <v>859.73122025041971</v>
      </c>
      <c r="AP75" s="100">
        <v>3.7476685361838178</v>
      </c>
      <c r="AQ75" s="100">
        <v>2410.5004024734312</v>
      </c>
      <c r="AR75" s="100">
        <v>1.1324895167051938</v>
      </c>
      <c r="AS75" s="100">
        <v>728.41725714478059</v>
      </c>
      <c r="AT75" s="100">
        <v>4</v>
      </c>
      <c r="AU75" s="100">
        <v>2572.7999999999997</v>
      </c>
      <c r="AV75" s="100">
        <v>5</v>
      </c>
      <c r="AW75" s="100">
        <v>3215.9999999999995</v>
      </c>
      <c r="AX75" s="100">
        <v>3</v>
      </c>
      <c r="AY75" s="100">
        <v>1929.6</v>
      </c>
      <c r="AZ75" s="100">
        <v>6</v>
      </c>
      <c r="BA75" s="100">
        <v>3859.2</v>
      </c>
      <c r="BB75" s="100">
        <v>5.2323185791899292</v>
      </c>
      <c r="BC75" s="100">
        <v>3365.4273101349622</v>
      </c>
      <c r="BD75" s="100">
        <v>2.1597705622857384</v>
      </c>
      <c r="BE75" s="100">
        <v>1389.1644256621869</v>
      </c>
      <c r="BF75" s="100">
        <v>5</v>
      </c>
      <c r="BG75" s="100">
        <v>3215.9999999999995</v>
      </c>
      <c r="BH75" s="100">
        <v>6</v>
      </c>
      <c r="BI75" s="100">
        <v>3859.2</v>
      </c>
      <c r="BJ75" s="100">
        <v>4.2842520497346035</v>
      </c>
      <c r="BK75" s="100">
        <v>2755.6309183892968</v>
      </c>
      <c r="BL75" s="100">
        <v>2.1658900085808965</v>
      </c>
      <c r="BM75" s="100">
        <v>1393.1004535192326</v>
      </c>
      <c r="BN75" s="100">
        <v>5.3914924463671419</v>
      </c>
      <c r="BO75" s="100">
        <v>3467.8079415033453</v>
      </c>
      <c r="BP75" s="100">
        <v>3.6256692390291181</v>
      </c>
      <c r="BQ75" s="100">
        <v>2332.0304545435283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4.4689169023980488</v>
      </c>
      <c r="BW75" s="100">
        <v>2874.4073516224248</v>
      </c>
      <c r="BX75" s="100">
        <v>3.4401197176131562</v>
      </c>
      <c r="BY75" s="100">
        <v>2212.6850023687816</v>
      </c>
      <c r="BZ75" s="100">
        <v>4</v>
      </c>
      <c r="CA75" s="100">
        <v>2572.7999999999997</v>
      </c>
      <c r="CB75" s="100">
        <v>4.8323192794486305</v>
      </c>
      <c r="CC75" s="100">
        <v>3108.1477605413588</v>
      </c>
      <c r="CD75" s="100">
        <v>4</v>
      </c>
      <c r="CE75" s="100">
        <v>2572.7999999999997</v>
      </c>
      <c r="CF75" s="100">
        <v>4</v>
      </c>
      <c r="CG75" s="100">
        <v>2572.7999999999997</v>
      </c>
      <c r="CH75" s="100">
        <v>6</v>
      </c>
      <c r="CI75" s="100">
        <v>3859.2</v>
      </c>
      <c r="CJ75" s="100">
        <v>4</v>
      </c>
      <c r="CK75" s="100">
        <v>2572.7999999999997</v>
      </c>
      <c r="CL75" s="100">
        <v>4</v>
      </c>
      <c r="CM75" s="100">
        <v>2572.7999999999997</v>
      </c>
      <c r="CN75" s="100">
        <v>5.6415145873222281</v>
      </c>
      <c r="CO75" s="100">
        <v>3628.6221825656567</v>
      </c>
      <c r="CP75" s="100">
        <v>4.0835688302504316</v>
      </c>
      <c r="CQ75" s="100">
        <v>2626.5514716170774</v>
      </c>
      <c r="CR75" s="100">
        <v>4.2513222506596584</v>
      </c>
      <c r="CS75" s="100">
        <v>2734.4504716242918</v>
      </c>
      <c r="CT75" s="100">
        <v>4.0980452604591644</v>
      </c>
      <c r="CU75" s="100">
        <v>2635.8627115273343</v>
      </c>
    </row>
    <row r="76" spans="2:99">
      <c r="C76" s="99" t="s">
        <v>242</v>
      </c>
      <c r="D76" s="100">
        <v>5.4727349965530658</v>
      </c>
      <c r="E76" s="100">
        <v>4262.1660153155271</v>
      </c>
      <c r="F76" s="100">
        <v>3.5268629599220507</v>
      </c>
      <c r="G76" s="100">
        <v>2746.7208731872929</v>
      </c>
      <c r="H76" s="100">
        <v>4.1554386526723768</v>
      </c>
      <c r="I76" s="100">
        <v>3236.2556227012469</v>
      </c>
      <c r="J76" s="100">
        <v>3.9780385637883353</v>
      </c>
      <c r="K76" s="100">
        <v>3098.0964334783553</v>
      </c>
      <c r="L76" s="100">
        <v>2.4351860369273428</v>
      </c>
      <c r="M76" s="100">
        <v>1896.5228855590144</v>
      </c>
      <c r="N76" s="100">
        <v>5</v>
      </c>
      <c r="O76" s="100">
        <v>3894</v>
      </c>
      <c r="P76" s="100">
        <v>5</v>
      </c>
      <c r="Q76" s="100">
        <v>3894</v>
      </c>
      <c r="R76" s="100">
        <v>5</v>
      </c>
      <c r="S76" s="100">
        <v>3894</v>
      </c>
      <c r="T76" s="100">
        <v>4</v>
      </c>
      <c r="U76" s="100">
        <v>3115.2</v>
      </c>
      <c r="V76" s="100">
        <v>3</v>
      </c>
      <c r="W76" s="100">
        <v>2336.3999999999996</v>
      </c>
      <c r="X76" s="100">
        <v>6</v>
      </c>
      <c r="Y76" s="100">
        <v>4672.7999999999993</v>
      </c>
      <c r="Z76" s="100">
        <v>4</v>
      </c>
      <c r="AA76" s="100">
        <v>3115.2</v>
      </c>
      <c r="AB76" s="100">
        <v>5</v>
      </c>
      <c r="AC76" s="100">
        <v>3894</v>
      </c>
      <c r="AD76" s="100">
        <v>4</v>
      </c>
      <c r="AE76" s="100">
        <v>3115.2</v>
      </c>
      <c r="AF76" s="100">
        <v>5.3164518767424038</v>
      </c>
      <c r="AG76" s="100">
        <v>4140.4527216069837</v>
      </c>
      <c r="AH76" s="100">
        <v>4.0402798464685823</v>
      </c>
      <c r="AI76" s="100">
        <v>3146.5699444297315</v>
      </c>
      <c r="AJ76" s="100">
        <v>1.4010250210418254</v>
      </c>
      <c r="AK76" s="100">
        <v>1091.1182863873735</v>
      </c>
      <c r="AL76" s="100">
        <v>1.208979854517785</v>
      </c>
      <c r="AM76" s="100">
        <v>941.55351069845085</v>
      </c>
      <c r="AN76" s="100">
        <v>1.0693174381224126</v>
      </c>
      <c r="AO76" s="100">
        <v>832.78442080973491</v>
      </c>
      <c r="AP76" s="100">
        <v>3.7615661828437599</v>
      </c>
      <c r="AQ76" s="100">
        <v>2929.5077431987202</v>
      </c>
      <c r="AR76" s="100">
        <v>1.1324895167051938</v>
      </c>
      <c r="AS76" s="100">
        <v>881.98283561000494</v>
      </c>
      <c r="AT76" s="100">
        <v>5</v>
      </c>
      <c r="AU76" s="100">
        <v>3894</v>
      </c>
      <c r="AV76" s="100">
        <v>5</v>
      </c>
      <c r="AW76" s="100">
        <v>3894</v>
      </c>
      <c r="AX76" s="100">
        <v>3</v>
      </c>
      <c r="AY76" s="100">
        <v>2336.3999999999996</v>
      </c>
      <c r="AZ76" s="100">
        <v>5</v>
      </c>
      <c r="BA76" s="100">
        <v>3894</v>
      </c>
      <c r="BB76" s="100">
        <v>5.2323185791899292</v>
      </c>
      <c r="BC76" s="100">
        <v>4074.9297094731164</v>
      </c>
      <c r="BD76" s="100">
        <v>1.7998088019047818</v>
      </c>
      <c r="BE76" s="100">
        <v>1401.6910949234439</v>
      </c>
      <c r="BF76" s="100">
        <v>5</v>
      </c>
      <c r="BG76" s="100">
        <v>3894</v>
      </c>
      <c r="BH76" s="100">
        <v>6</v>
      </c>
      <c r="BI76" s="100">
        <v>4672.7999999999993</v>
      </c>
      <c r="BJ76" s="100">
        <v>4.3197835559514282</v>
      </c>
      <c r="BK76" s="100">
        <v>3364.2474333749719</v>
      </c>
      <c r="BL76" s="100">
        <v>2.1658900085808965</v>
      </c>
      <c r="BM76" s="100">
        <v>1686.7951386828022</v>
      </c>
      <c r="BN76" s="100">
        <v>6</v>
      </c>
      <c r="BO76" s="100">
        <v>4672.7999999999993</v>
      </c>
      <c r="BP76" s="100">
        <v>4.3508030868349419</v>
      </c>
      <c r="BQ76" s="100">
        <v>3388.4054440270525</v>
      </c>
      <c r="BR76" s="100">
        <v>3</v>
      </c>
      <c r="BS76" s="100">
        <v>2336.3999999999996</v>
      </c>
      <c r="BT76" s="100">
        <v>4</v>
      </c>
      <c r="BU76" s="100">
        <v>3115.2</v>
      </c>
      <c r="BV76" s="100">
        <v>4.4396095959981707</v>
      </c>
      <c r="BW76" s="100">
        <v>3457.5679533633752</v>
      </c>
      <c r="BX76" s="100">
        <v>3.4401197176131562</v>
      </c>
      <c r="BY76" s="100">
        <v>2679.1652360771259</v>
      </c>
      <c r="BZ76" s="100">
        <v>4</v>
      </c>
      <c r="CA76" s="100">
        <v>3115.2</v>
      </c>
      <c r="CB76" s="100">
        <v>4.8323192794486305</v>
      </c>
      <c r="CC76" s="100">
        <v>3763.4102548345932</v>
      </c>
      <c r="CD76" s="100">
        <v>4</v>
      </c>
      <c r="CE76" s="100">
        <v>3115.2</v>
      </c>
      <c r="CF76" s="100">
        <v>4</v>
      </c>
      <c r="CG76" s="100">
        <v>3115.2</v>
      </c>
      <c r="CH76" s="100">
        <v>6</v>
      </c>
      <c r="CI76" s="100">
        <v>4672.7999999999993</v>
      </c>
      <c r="CJ76" s="100">
        <v>5</v>
      </c>
      <c r="CK76" s="100">
        <v>3894</v>
      </c>
      <c r="CL76" s="100">
        <v>4</v>
      </c>
      <c r="CM76" s="100">
        <v>3115.2</v>
      </c>
      <c r="CN76" s="100">
        <v>5.7402091392179555</v>
      </c>
      <c r="CO76" s="100">
        <v>4470.4748776229435</v>
      </c>
      <c r="CP76" s="100">
        <v>3.4029740252086929</v>
      </c>
      <c r="CQ76" s="100">
        <v>2650.2361708325298</v>
      </c>
      <c r="CR76" s="100">
        <v>4.2513222506596584</v>
      </c>
      <c r="CS76" s="100">
        <v>3310.9297688137417</v>
      </c>
      <c r="CT76" s="100">
        <v>4.0980452604591644</v>
      </c>
      <c r="CU76" s="100">
        <v>3191.5576488455972</v>
      </c>
    </row>
    <row r="77" spans="2:99">
      <c r="C77" s="99" t="s">
        <v>243</v>
      </c>
      <c r="D77" s="100">
        <v>5.4727349965530658</v>
      </c>
      <c r="E77" s="100">
        <v>1523.6094230403735</v>
      </c>
      <c r="F77" s="100">
        <v>3.5268629599220507</v>
      </c>
      <c r="G77" s="100">
        <v>981.87864804229878</v>
      </c>
      <c r="H77" s="100">
        <v>4.1554386526723768</v>
      </c>
      <c r="I77" s="100">
        <v>1156.8741209039897</v>
      </c>
      <c r="J77" s="100">
        <v>3.3697869690809386</v>
      </c>
      <c r="K77" s="100">
        <v>938.14869219213324</v>
      </c>
      <c r="L77" s="100">
        <v>2.4351860369273428</v>
      </c>
      <c r="M77" s="100">
        <v>677.95579268057213</v>
      </c>
      <c r="N77" s="100">
        <v>5</v>
      </c>
      <c r="O77" s="100">
        <v>1392</v>
      </c>
      <c r="P77" s="100">
        <v>6</v>
      </c>
      <c r="Q77" s="100">
        <v>1670.3999999999999</v>
      </c>
      <c r="R77" s="100">
        <v>5</v>
      </c>
      <c r="S77" s="100">
        <v>1392</v>
      </c>
      <c r="T77" s="100">
        <v>4</v>
      </c>
      <c r="U77" s="100">
        <v>1113.5999999999999</v>
      </c>
      <c r="V77" s="100">
        <v>3</v>
      </c>
      <c r="W77" s="100">
        <v>835.19999999999993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5</v>
      </c>
      <c r="AC77" s="100">
        <v>1392</v>
      </c>
      <c r="AD77" s="100">
        <v>4</v>
      </c>
      <c r="AE77" s="100">
        <v>1113.5999999999999</v>
      </c>
      <c r="AF77" s="100">
        <v>4.3164518767424038</v>
      </c>
      <c r="AG77" s="100">
        <v>1201.7002024850851</v>
      </c>
      <c r="AH77" s="100">
        <v>4.0699133200965125</v>
      </c>
      <c r="AI77" s="100">
        <v>1133.0638683148691</v>
      </c>
      <c r="AJ77" s="100">
        <v>1.4010250210418254</v>
      </c>
      <c r="AK77" s="100">
        <v>390.04536585804414</v>
      </c>
      <c r="AL77" s="100">
        <v>1.2033008961134581</v>
      </c>
      <c r="AM77" s="100">
        <v>334.99896947798669</v>
      </c>
      <c r="AN77" s="100">
        <v>1.0693174381224126</v>
      </c>
      <c r="AO77" s="100">
        <v>297.69797477327967</v>
      </c>
      <c r="AP77" s="100">
        <v>3.7337708895238757</v>
      </c>
      <c r="AQ77" s="100">
        <v>1039.4818156434469</v>
      </c>
      <c r="AR77" s="100">
        <v>1.4156118958814923</v>
      </c>
      <c r="AS77" s="100">
        <v>394.1063518134074</v>
      </c>
      <c r="AT77" s="100">
        <v>4</v>
      </c>
      <c r="AU77" s="100">
        <v>1113.5999999999999</v>
      </c>
      <c r="AV77" s="100">
        <v>6</v>
      </c>
      <c r="AW77" s="100">
        <v>1670.3999999999999</v>
      </c>
      <c r="AX77" s="100">
        <v>3</v>
      </c>
      <c r="AY77" s="100">
        <v>835.19999999999993</v>
      </c>
      <c r="AZ77" s="100">
        <v>6</v>
      </c>
      <c r="BA77" s="100">
        <v>1670.3999999999999</v>
      </c>
      <c r="BB77" s="100">
        <v>5.2555504371089228</v>
      </c>
      <c r="BC77" s="100">
        <v>1463.1452416911241</v>
      </c>
      <c r="BD77" s="100">
        <v>2.1597705622857384</v>
      </c>
      <c r="BE77" s="100">
        <v>601.28012454034956</v>
      </c>
      <c r="BF77" s="100">
        <v>5</v>
      </c>
      <c r="BG77" s="100">
        <v>1392</v>
      </c>
      <c r="BH77" s="100">
        <v>6</v>
      </c>
      <c r="BI77" s="100">
        <v>1670.3999999999999</v>
      </c>
      <c r="BJ77" s="100">
        <v>4.3197835559514282</v>
      </c>
      <c r="BK77" s="100">
        <v>1202.6277419768776</v>
      </c>
      <c r="BL77" s="100">
        <v>2.5268716766777124</v>
      </c>
      <c r="BM77" s="100">
        <v>703.48107478707504</v>
      </c>
      <c r="BN77" s="100">
        <v>6</v>
      </c>
      <c r="BO77" s="100">
        <v>1670.3999999999999</v>
      </c>
      <c r="BP77" s="100">
        <v>3.6256692390291181</v>
      </c>
      <c r="BQ77" s="100">
        <v>1009.3863161457064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4.4689169023980488</v>
      </c>
      <c r="BW77" s="100">
        <v>1244.1464656276166</v>
      </c>
      <c r="BX77" s="100">
        <v>3.4401197176131562</v>
      </c>
      <c r="BY77" s="100">
        <v>957.72932938350255</v>
      </c>
      <c r="BZ77" s="100">
        <v>4</v>
      </c>
      <c r="CA77" s="100">
        <v>1113.5999999999999</v>
      </c>
      <c r="CB77" s="100">
        <v>4.8323192794486305</v>
      </c>
      <c r="CC77" s="100">
        <v>1345.3176873984987</v>
      </c>
      <c r="CD77" s="100">
        <v>4</v>
      </c>
      <c r="CE77" s="100">
        <v>1113.5999999999999</v>
      </c>
      <c r="CF77" s="100">
        <v>4</v>
      </c>
      <c r="CG77" s="100">
        <v>1113.5999999999999</v>
      </c>
      <c r="CH77" s="100">
        <v>5</v>
      </c>
      <c r="CI77" s="100">
        <v>1392</v>
      </c>
      <c r="CJ77" s="100">
        <v>5</v>
      </c>
      <c r="CK77" s="100">
        <v>1392</v>
      </c>
      <c r="CL77" s="100">
        <v>4</v>
      </c>
      <c r="CM77" s="100">
        <v>1113.5999999999999</v>
      </c>
      <c r="CN77" s="100">
        <v>4.6908618632700918</v>
      </c>
      <c r="CO77" s="100">
        <v>1305.9359427343934</v>
      </c>
      <c r="CP77" s="100">
        <v>3.4029740252086929</v>
      </c>
      <c r="CQ77" s="100">
        <v>947.38796861809999</v>
      </c>
      <c r="CR77" s="100">
        <v>4.2513222506596584</v>
      </c>
      <c r="CS77" s="100">
        <v>1183.5681145836488</v>
      </c>
      <c r="CT77" s="100">
        <v>4.7609243565034021</v>
      </c>
      <c r="CU77" s="100">
        <v>1325.441340850547</v>
      </c>
    </row>
    <row r="78" spans="2:99">
      <c r="C78" s="99" t="s">
        <v>244</v>
      </c>
      <c r="D78" s="100">
        <v>4.560612497127555</v>
      </c>
      <c r="E78" s="100">
        <v>2517.4580984144104</v>
      </c>
      <c r="F78" s="100">
        <v>4.4085786999025629</v>
      </c>
      <c r="G78" s="100">
        <v>2433.5354423462149</v>
      </c>
      <c r="H78" s="100">
        <v>4.1554386526723768</v>
      </c>
      <c r="I78" s="100">
        <v>2293.802136275152</v>
      </c>
      <c r="J78" s="100">
        <v>3.3399206967587607</v>
      </c>
      <c r="K78" s="100">
        <v>1843.6362246108358</v>
      </c>
      <c r="L78" s="100">
        <v>2.4351860369273428</v>
      </c>
      <c r="M78" s="100">
        <v>1344.2226923838932</v>
      </c>
      <c r="N78" s="100">
        <v>5</v>
      </c>
      <c r="O78" s="100">
        <v>2760</v>
      </c>
      <c r="P78" s="100">
        <v>5</v>
      </c>
      <c r="Q78" s="100">
        <v>2760</v>
      </c>
      <c r="R78" s="100">
        <v>5</v>
      </c>
      <c r="S78" s="100">
        <v>2760</v>
      </c>
      <c r="T78" s="100">
        <v>4</v>
      </c>
      <c r="U78" s="100">
        <v>2208</v>
      </c>
      <c r="V78" s="100">
        <v>3</v>
      </c>
      <c r="W78" s="100">
        <v>1656</v>
      </c>
      <c r="X78" s="100">
        <v>6</v>
      </c>
      <c r="Y78" s="100">
        <v>3312</v>
      </c>
      <c r="Z78" s="100">
        <v>4</v>
      </c>
      <c r="AA78" s="100">
        <v>2208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4.3164518767424038</v>
      </c>
      <c r="AG78" s="100">
        <v>2382.681435961807</v>
      </c>
      <c r="AH78" s="100">
        <v>4.0402798464685823</v>
      </c>
      <c r="AI78" s="100">
        <v>2230.2344752506574</v>
      </c>
      <c r="AJ78" s="100">
        <v>1.4010250210418254</v>
      </c>
      <c r="AK78" s="100">
        <v>773.36581161508764</v>
      </c>
      <c r="AL78" s="100">
        <v>1.488508984529924</v>
      </c>
      <c r="AM78" s="100">
        <v>821.65695946051801</v>
      </c>
      <c r="AN78" s="100">
        <v>1.0693174381224126</v>
      </c>
      <c r="AO78" s="100">
        <v>590.26322584357183</v>
      </c>
      <c r="AP78" s="100">
        <v>3.7476685361838178</v>
      </c>
      <c r="AQ78" s="100">
        <v>2068.7130319734674</v>
      </c>
      <c r="AR78" s="100">
        <v>1.1324895167051938</v>
      </c>
      <c r="AS78" s="100">
        <v>625.13421322126703</v>
      </c>
      <c r="AT78" s="100">
        <v>4</v>
      </c>
      <c r="AU78" s="100">
        <v>2208</v>
      </c>
      <c r="AV78" s="100">
        <v>5</v>
      </c>
      <c r="AW78" s="100">
        <v>2760</v>
      </c>
      <c r="AX78" s="100">
        <v>4</v>
      </c>
      <c r="AY78" s="100">
        <v>2208</v>
      </c>
      <c r="AZ78" s="100">
        <v>5</v>
      </c>
      <c r="BA78" s="100">
        <v>2760</v>
      </c>
      <c r="BB78" s="100">
        <v>6.2323185791899292</v>
      </c>
      <c r="BC78" s="100">
        <v>3440.2398557128408</v>
      </c>
      <c r="BD78" s="100">
        <v>2.1597705622857384</v>
      </c>
      <c r="BE78" s="100">
        <v>1192.1933503817277</v>
      </c>
      <c r="BF78" s="100">
        <v>5</v>
      </c>
      <c r="BG78" s="100">
        <v>2760</v>
      </c>
      <c r="BH78" s="100">
        <v>6</v>
      </c>
      <c r="BI78" s="100">
        <v>3312</v>
      </c>
      <c r="BJ78" s="100">
        <v>5.3553150621682537</v>
      </c>
      <c r="BK78" s="100">
        <v>2956.1339143168761</v>
      </c>
      <c r="BL78" s="100">
        <v>2.1658900085808965</v>
      </c>
      <c r="BM78" s="100">
        <v>1195.5712847366549</v>
      </c>
      <c r="BN78" s="100">
        <v>6</v>
      </c>
      <c r="BO78" s="100">
        <v>3312</v>
      </c>
      <c r="BP78" s="100">
        <v>4.3508030868349419</v>
      </c>
      <c r="BQ78" s="100">
        <v>2401.6433039328881</v>
      </c>
      <c r="BR78" s="100">
        <v>4</v>
      </c>
      <c r="BS78" s="100">
        <v>2208</v>
      </c>
      <c r="BT78" s="100">
        <v>4</v>
      </c>
      <c r="BU78" s="100">
        <v>2208</v>
      </c>
      <c r="BV78" s="100">
        <v>4.4689169023980488</v>
      </c>
      <c r="BW78" s="100">
        <v>2466.8421301237231</v>
      </c>
      <c r="BX78" s="100">
        <v>3.4401197176131562</v>
      </c>
      <c r="BY78" s="100">
        <v>1898.9460841224623</v>
      </c>
      <c r="BZ78" s="100">
        <v>4</v>
      </c>
      <c r="CA78" s="100">
        <v>2208</v>
      </c>
      <c r="CB78" s="100">
        <v>4.8323192794486305</v>
      </c>
      <c r="CC78" s="100">
        <v>2667.4402422556441</v>
      </c>
      <c r="CD78" s="100">
        <v>3</v>
      </c>
      <c r="CE78" s="100">
        <v>1656</v>
      </c>
      <c r="CF78" s="100">
        <v>4</v>
      </c>
      <c r="CG78" s="100">
        <v>2208</v>
      </c>
      <c r="CH78" s="100">
        <v>5</v>
      </c>
      <c r="CI78" s="100">
        <v>2760</v>
      </c>
      <c r="CJ78" s="100">
        <v>5</v>
      </c>
      <c r="CK78" s="100">
        <v>2760</v>
      </c>
      <c r="CL78" s="100">
        <v>4</v>
      </c>
      <c r="CM78" s="100">
        <v>2208</v>
      </c>
      <c r="CN78" s="100">
        <v>5.5921673113743644</v>
      </c>
      <c r="CO78" s="100">
        <v>3086.8763558786491</v>
      </c>
      <c r="CP78" s="100">
        <v>4.0835688302504316</v>
      </c>
      <c r="CQ78" s="100">
        <v>2254.1299942982382</v>
      </c>
      <c r="CR78" s="100">
        <v>4.2513222506596584</v>
      </c>
      <c r="CS78" s="100">
        <v>2346.7298823641313</v>
      </c>
      <c r="CT78" s="100">
        <v>4.7126160828259041</v>
      </c>
      <c r="CU78" s="100">
        <v>2601.3640777198989</v>
      </c>
    </row>
    <row r="79" spans="2:99">
      <c r="C79" s="99" t="s">
        <v>245</v>
      </c>
      <c r="D79" s="100">
        <v>4.560612497127555</v>
      </c>
      <c r="E79" s="100">
        <v>3453.2957828249841</v>
      </c>
      <c r="F79" s="100">
        <v>3.5268629599220507</v>
      </c>
      <c r="G79" s="100">
        <v>2670.5406332529765</v>
      </c>
      <c r="H79" s="100">
        <v>4.1554386526723768</v>
      </c>
      <c r="I79" s="100">
        <v>3146.4981478035234</v>
      </c>
      <c r="J79" s="100">
        <v>3.9780385637883353</v>
      </c>
      <c r="K79" s="100">
        <v>3012.1708005005271</v>
      </c>
      <c r="L79" s="100">
        <v>2.4351860369273428</v>
      </c>
      <c r="M79" s="100">
        <v>1843.9228671613839</v>
      </c>
      <c r="N79" s="100">
        <v>5</v>
      </c>
      <c r="O79" s="100">
        <v>3785.9999999999995</v>
      </c>
      <c r="P79" s="100">
        <v>6</v>
      </c>
      <c r="Q79" s="100">
        <v>4543.2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3</v>
      </c>
      <c r="W79" s="100">
        <v>2271.6</v>
      </c>
      <c r="X79" s="100">
        <v>5</v>
      </c>
      <c r="Y79" s="100">
        <v>3785.9999999999995</v>
      </c>
      <c r="Z79" s="100">
        <v>4</v>
      </c>
      <c r="AA79" s="100">
        <v>3028.7999999999997</v>
      </c>
      <c r="AB79" s="100">
        <v>5</v>
      </c>
      <c r="AC79" s="100">
        <v>3785.9999999999995</v>
      </c>
      <c r="AD79" s="100">
        <v>4</v>
      </c>
      <c r="AE79" s="100">
        <v>3028.7999999999997</v>
      </c>
      <c r="AF79" s="100">
        <v>5.3164518767424038</v>
      </c>
      <c r="AG79" s="100">
        <v>4025.6173610693477</v>
      </c>
      <c r="AH79" s="100">
        <v>4.7949955632320247</v>
      </c>
      <c r="AI79" s="100">
        <v>3630.7706404792889</v>
      </c>
      <c r="AJ79" s="100">
        <v>1.1382923093890689</v>
      </c>
      <c r="AK79" s="100">
        <v>861.91493666940289</v>
      </c>
      <c r="AL79" s="100">
        <v>1.2033008961134581</v>
      </c>
      <c r="AM79" s="100">
        <v>911.13943853711044</v>
      </c>
      <c r="AN79" s="100">
        <v>1.3366467976530159</v>
      </c>
      <c r="AO79" s="100">
        <v>1012.1089551828635</v>
      </c>
      <c r="AP79" s="100">
        <v>3.7476685361838178</v>
      </c>
      <c r="AQ79" s="100">
        <v>2837.7346155983864</v>
      </c>
      <c r="AR79" s="100">
        <v>1.1324895167051938</v>
      </c>
      <c r="AS79" s="100">
        <v>857.52106204917266</v>
      </c>
      <c r="AT79" s="100">
        <v>4</v>
      </c>
      <c r="AU79" s="100">
        <v>3028.7999999999997</v>
      </c>
      <c r="AV79" s="100">
        <v>5</v>
      </c>
      <c r="AW79" s="100">
        <v>3785.9999999999995</v>
      </c>
      <c r="AX79" s="100">
        <v>3</v>
      </c>
      <c r="AY79" s="100">
        <v>2271.6</v>
      </c>
      <c r="AZ79" s="100">
        <v>5</v>
      </c>
      <c r="BA79" s="100">
        <v>3785.9999999999995</v>
      </c>
      <c r="BB79" s="100">
        <v>5.2323185791899292</v>
      </c>
      <c r="BC79" s="100">
        <v>3961.9116281626139</v>
      </c>
      <c r="BD79" s="100">
        <v>1.7998088019047818</v>
      </c>
      <c r="BE79" s="100">
        <v>1362.8152248023007</v>
      </c>
      <c r="BF79" s="100">
        <v>5</v>
      </c>
      <c r="BG79" s="100">
        <v>3785.9999999999995</v>
      </c>
      <c r="BH79" s="100">
        <v>7</v>
      </c>
      <c r="BI79" s="100">
        <v>5300.4</v>
      </c>
      <c r="BJ79" s="100">
        <v>4.3553150621682537</v>
      </c>
      <c r="BK79" s="100">
        <v>3297.8445650738013</v>
      </c>
      <c r="BL79" s="100">
        <v>2.1658900085808965</v>
      </c>
      <c r="BM79" s="100">
        <v>1640.0119144974547</v>
      </c>
      <c r="BN79" s="100">
        <v>6</v>
      </c>
      <c r="BO79" s="100">
        <v>4543.2</v>
      </c>
      <c r="BP79" s="100">
        <v>4.3508030868349419</v>
      </c>
      <c r="BQ79" s="100">
        <v>3294.4280973514178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4.3809949831984145</v>
      </c>
      <c r="BW79" s="100">
        <v>3317.2894012778393</v>
      </c>
      <c r="BX79" s="100">
        <v>3.4401197176131562</v>
      </c>
      <c r="BY79" s="100">
        <v>2604.8586501766817</v>
      </c>
      <c r="BZ79" s="100">
        <v>4</v>
      </c>
      <c r="CA79" s="100">
        <v>3028.7999999999997</v>
      </c>
      <c r="CB79" s="100">
        <v>4.8323192794486305</v>
      </c>
      <c r="CC79" s="100">
        <v>3659.0321583985028</v>
      </c>
      <c r="CD79" s="100">
        <v>3</v>
      </c>
      <c r="CE79" s="100">
        <v>2271.6</v>
      </c>
      <c r="CF79" s="100">
        <v>4</v>
      </c>
      <c r="CG79" s="100">
        <v>3028.7999999999997</v>
      </c>
      <c r="CH79" s="100">
        <v>5</v>
      </c>
      <c r="CI79" s="100">
        <v>3785.9999999999995</v>
      </c>
      <c r="CJ79" s="100">
        <v>5</v>
      </c>
      <c r="CK79" s="100">
        <v>3785.9999999999995</v>
      </c>
      <c r="CL79" s="100">
        <v>4</v>
      </c>
      <c r="CM79" s="100">
        <v>3028.7999999999997</v>
      </c>
      <c r="CN79" s="100">
        <v>5.6908618632700918</v>
      </c>
      <c r="CO79" s="100">
        <v>4309.1206028681136</v>
      </c>
      <c r="CP79" s="100">
        <v>4.0835688302504316</v>
      </c>
      <c r="CQ79" s="100">
        <v>3092.0783182656264</v>
      </c>
      <c r="CR79" s="100">
        <v>4.2513222506596584</v>
      </c>
      <c r="CS79" s="100">
        <v>3219.1012081994932</v>
      </c>
      <c r="CT79" s="100">
        <v>3.8323497552329302</v>
      </c>
      <c r="CU79" s="100">
        <v>2901.8552346623746</v>
      </c>
    </row>
    <row r="80" spans="2:99">
      <c r="C80" s="99" t="s">
        <v>246</v>
      </c>
      <c r="D80" s="100">
        <v>5.4727349965530658</v>
      </c>
      <c r="E80" s="100">
        <v>4406.6462192245281</v>
      </c>
      <c r="F80" s="100">
        <v>3.5268629599220507</v>
      </c>
      <c r="G80" s="100">
        <v>2839.8300553292352</v>
      </c>
      <c r="H80" s="100">
        <v>4.1554386526723768</v>
      </c>
      <c r="I80" s="100">
        <v>3345.9592031317975</v>
      </c>
      <c r="J80" s="100">
        <v>3.3996532414031169</v>
      </c>
      <c r="K80" s="100">
        <v>2737.4007899777894</v>
      </c>
      <c r="L80" s="100">
        <v>2.4351860369273428</v>
      </c>
      <c r="M80" s="100">
        <v>1960.8117969338962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5</v>
      </c>
      <c r="S80" s="100">
        <v>4025.9999999999995</v>
      </c>
      <c r="T80" s="100">
        <v>4</v>
      </c>
      <c r="U80" s="100">
        <v>3220.7999999999997</v>
      </c>
      <c r="V80" s="100">
        <v>3</v>
      </c>
      <c r="W80" s="100">
        <v>2415.6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5</v>
      </c>
      <c r="AC80" s="100">
        <v>4025.9999999999995</v>
      </c>
      <c r="AD80" s="100">
        <v>4</v>
      </c>
      <c r="AE80" s="100">
        <v>3220.7999999999997</v>
      </c>
      <c r="AF80" s="100">
        <v>5.3407943287995119</v>
      </c>
      <c r="AG80" s="100">
        <v>4300.4075935493665</v>
      </c>
      <c r="AH80" s="100">
        <v>4.0699133200965125</v>
      </c>
      <c r="AI80" s="100">
        <v>3277.0942053417116</v>
      </c>
      <c r="AJ80" s="100">
        <v>1.411945203889081</v>
      </c>
      <c r="AK80" s="100">
        <v>1136.8982781714878</v>
      </c>
      <c r="AL80" s="100">
        <v>1.208979854517785</v>
      </c>
      <c r="AM80" s="100">
        <v>973.4705788577204</v>
      </c>
      <c r="AN80" s="100">
        <v>1.3366467976530159</v>
      </c>
      <c r="AO80" s="100">
        <v>1076.2680014702082</v>
      </c>
      <c r="AP80" s="100">
        <v>3.7476685361838178</v>
      </c>
      <c r="AQ80" s="100">
        <v>3017.62270533521</v>
      </c>
      <c r="AR80" s="100">
        <v>1.1324895167051938</v>
      </c>
      <c r="AS80" s="100">
        <v>911.88055885102199</v>
      </c>
      <c r="AT80" s="100">
        <v>4</v>
      </c>
      <c r="AU80" s="100">
        <v>3220.7999999999997</v>
      </c>
      <c r="AV80" s="100">
        <v>5</v>
      </c>
      <c r="AW80" s="100">
        <v>4025.9999999999995</v>
      </c>
      <c r="AX80" s="100">
        <v>3</v>
      </c>
      <c r="AY80" s="100">
        <v>2415.6</v>
      </c>
      <c r="AZ80" s="100">
        <v>5</v>
      </c>
      <c r="BA80" s="100">
        <v>4025.9999999999995</v>
      </c>
      <c r="BB80" s="100">
        <v>5.2090867212709364</v>
      </c>
      <c r="BC80" s="100">
        <v>4194.3566279673578</v>
      </c>
      <c r="BD80" s="100">
        <v>2.1597705622857384</v>
      </c>
      <c r="BE80" s="100">
        <v>1739.0472567524764</v>
      </c>
      <c r="BF80" s="100">
        <v>5</v>
      </c>
      <c r="BG80" s="100">
        <v>4025.9999999999995</v>
      </c>
      <c r="BH80" s="100">
        <v>6</v>
      </c>
      <c r="BI80" s="100">
        <v>4831.2</v>
      </c>
      <c r="BJ80" s="100">
        <v>4.3197835559514282</v>
      </c>
      <c r="BK80" s="100">
        <v>3478.2897192520895</v>
      </c>
      <c r="BL80" s="100">
        <v>2.1658900085808965</v>
      </c>
      <c r="BM80" s="100">
        <v>1743.9746349093377</v>
      </c>
      <c r="BN80" s="100">
        <v>5.3914924463671419</v>
      </c>
      <c r="BO80" s="100">
        <v>4341.2297178148219</v>
      </c>
      <c r="BP80" s="100">
        <v>3.6256692390291181</v>
      </c>
      <c r="BQ80" s="100">
        <v>2919.3888712662456</v>
      </c>
      <c r="BR80" s="100">
        <v>4</v>
      </c>
      <c r="BS80" s="100">
        <v>3220.7999999999997</v>
      </c>
      <c r="BT80" s="100">
        <v>5</v>
      </c>
      <c r="BU80" s="100">
        <v>4025.9999999999995</v>
      </c>
      <c r="BV80" s="100">
        <v>4.4689169023980488</v>
      </c>
      <c r="BW80" s="100">
        <v>3598.3718898109087</v>
      </c>
      <c r="BX80" s="100">
        <v>3.4401197176131562</v>
      </c>
      <c r="BY80" s="100">
        <v>2769.9843966221133</v>
      </c>
      <c r="BZ80" s="100">
        <v>4</v>
      </c>
      <c r="CA80" s="100">
        <v>3220.7999999999997</v>
      </c>
      <c r="CB80" s="100">
        <v>4.8323192794486305</v>
      </c>
      <c r="CC80" s="100">
        <v>3890.9834838120369</v>
      </c>
      <c r="CD80" s="100">
        <v>3</v>
      </c>
      <c r="CE80" s="100">
        <v>2415.6</v>
      </c>
      <c r="CF80" s="100">
        <v>4</v>
      </c>
      <c r="CG80" s="100">
        <v>3220.7999999999997</v>
      </c>
      <c r="CH80" s="100">
        <v>5</v>
      </c>
      <c r="CI80" s="100">
        <v>4025.9999999999995</v>
      </c>
      <c r="CJ80" s="100">
        <v>5</v>
      </c>
      <c r="CK80" s="100">
        <v>4025.9999999999995</v>
      </c>
      <c r="CL80" s="100">
        <v>3</v>
      </c>
      <c r="CM80" s="100">
        <v>2415.6</v>
      </c>
      <c r="CN80" s="100">
        <v>5.6908618632700918</v>
      </c>
      <c r="CO80" s="100">
        <v>4582.2819723050779</v>
      </c>
      <c r="CP80" s="100">
        <v>4.0835688302504316</v>
      </c>
      <c r="CQ80" s="100">
        <v>3288.0896221176472</v>
      </c>
      <c r="CR80" s="100">
        <v>4.2513222506596584</v>
      </c>
      <c r="CS80" s="100">
        <v>3423.1646762311566</v>
      </c>
      <c r="CT80" s="100">
        <v>4.0738911236204158</v>
      </c>
      <c r="CU80" s="100">
        <v>3280.2971327391588</v>
      </c>
    </row>
    <row r="81" spans="2:99">
      <c r="C81" s="99" t="s">
        <v>247</v>
      </c>
      <c r="D81" s="100">
        <v>5.4727349965530658</v>
      </c>
      <c r="E81" s="100">
        <v>4124.2530934023907</v>
      </c>
      <c r="F81" s="100">
        <v>3.5268629599220507</v>
      </c>
      <c r="G81" s="100">
        <v>2657.8439265972575</v>
      </c>
      <c r="H81" s="100">
        <v>4.1554386526723768</v>
      </c>
      <c r="I81" s="100">
        <v>3131.5385686539034</v>
      </c>
      <c r="J81" s="100">
        <v>3.3697869690809386</v>
      </c>
      <c r="K81" s="100">
        <v>2539.4714598993955</v>
      </c>
      <c r="L81" s="100">
        <v>2.4351860369273428</v>
      </c>
      <c r="M81" s="100">
        <v>1835.1561974284457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4</v>
      </c>
      <c r="S81" s="100">
        <v>3014.4</v>
      </c>
      <c r="T81" s="100">
        <v>4</v>
      </c>
      <c r="U81" s="100">
        <v>3014.4</v>
      </c>
      <c r="V81" s="100">
        <v>3</v>
      </c>
      <c r="W81" s="100">
        <v>2260.8000000000002</v>
      </c>
      <c r="X81" s="100">
        <v>6</v>
      </c>
      <c r="Y81" s="100">
        <v>4521.6000000000004</v>
      </c>
      <c r="Z81" s="100">
        <v>4</v>
      </c>
      <c r="AA81" s="100">
        <v>3014.4</v>
      </c>
      <c r="AB81" s="100">
        <v>5</v>
      </c>
      <c r="AC81" s="100">
        <v>3768</v>
      </c>
      <c r="AD81" s="100">
        <v>4</v>
      </c>
      <c r="AE81" s="100">
        <v>3014.4</v>
      </c>
      <c r="AF81" s="100">
        <v>5.3164518767424038</v>
      </c>
      <c r="AG81" s="100">
        <v>4006.4781343130758</v>
      </c>
      <c r="AH81" s="100">
        <v>4.0699133200965125</v>
      </c>
      <c r="AI81" s="100">
        <v>3067.086678024732</v>
      </c>
      <c r="AJ81" s="100">
        <v>1.411945203889081</v>
      </c>
      <c r="AK81" s="100">
        <v>1064.0419056508115</v>
      </c>
      <c r="AL81" s="100">
        <v>1.2146588129221119</v>
      </c>
      <c r="AM81" s="100">
        <v>915.3668814181035</v>
      </c>
      <c r="AN81" s="100">
        <v>1.3366467976530159</v>
      </c>
      <c r="AO81" s="100">
        <v>1007.2970267113128</v>
      </c>
      <c r="AP81" s="100">
        <v>3.7476685361838178</v>
      </c>
      <c r="AQ81" s="100">
        <v>2824.2430088681253</v>
      </c>
      <c r="AR81" s="100">
        <v>1.1324895167051938</v>
      </c>
      <c r="AS81" s="100">
        <v>853.44409978903411</v>
      </c>
      <c r="AT81" s="100">
        <v>4</v>
      </c>
      <c r="AU81" s="100">
        <v>3014.4</v>
      </c>
      <c r="AV81" s="100">
        <v>5</v>
      </c>
      <c r="AW81" s="100">
        <v>3768</v>
      </c>
      <c r="AX81" s="100">
        <v>3</v>
      </c>
      <c r="AY81" s="100">
        <v>2260.8000000000002</v>
      </c>
      <c r="AZ81" s="100">
        <v>5</v>
      </c>
      <c r="BA81" s="100">
        <v>3768</v>
      </c>
      <c r="BB81" s="100">
        <v>5.2090867212709364</v>
      </c>
      <c r="BC81" s="100">
        <v>3925.5677531497777</v>
      </c>
      <c r="BD81" s="100">
        <v>2.1597705622857384</v>
      </c>
      <c r="BE81" s="100">
        <v>1627.6030957385326</v>
      </c>
      <c r="BF81" s="100">
        <v>5</v>
      </c>
      <c r="BG81" s="100">
        <v>3768</v>
      </c>
      <c r="BH81" s="100">
        <v>6</v>
      </c>
      <c r="BI81" s="100">
        <v>4521.6000000000004</v>
      </c>
      <c r="BJ81" s="100">
        <v>5.2842520497346035</v>
      </c>
      <c r="BK81" s="100">
        <v>3982.2123446799974</v>
      </c>
      <c r="BL81" s="100">
        <v>2.1658900085808965</v>
      </c>
      <c r="BM81" s="100">
        <v>1632.2147104665637</v>
      </c>
      <c r="BN81" s="100">
        <v>5.3914924463671419</v>
      </c>
      <c r="BO81" s="100">
        <v>4063.0287075822785</v>
      </c>
      <c r="BP81" s="100">
        <v>4.3508030868349419</v>
      </c>
      <c r="BQ81" s="100">
        <v>3278.7652062388124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4.4103022895982926</v>
      </c>
      <c r="BW81" s="100">
        <v>3323.6038054412734</v>
      </c>
      <c r="BX81" s="100">
        <v>3.4401197176131562</v>
      </c>
      <c r="BY81" s="100">
        <v>2592.4742191932746</v>
      </c>
      <c r="BZ81" s="100">
        <v>4</v>
      </c>
      <c r="CA81" s="100">
        <v>3014.4</v>
      </c>
      <c r="CB81" s="100">
        <v>4.8323192794486305</v>
      </c>
      <c r="CC81" s="100">
        <v>3641.6358089924879</v>
      </c>
      <c r="CD81" s="100">
        <v>3</v>
      </c>
      <c r="CE81" s="100">
        <v>2260.8000000000002</v>
      </c>
      <c r="CF81" s="100">
        <v>4</v>
      </c>
      <c r="CG81" s="100">
        <v>3014.4</v>
      </c>
      <c r="CH81" s="100">
        <v>5</v>
      </c>
      <c r="CI81" s="100">
        <v>3768</v>
      </c>
      <c r="CJ81" s="100">
        <v>5</v>
      </c>
      <c r="CK81" s="100">
        <v>3768</v>
      </c>
      <c r="CL81" s="100">
        <v>4</v>
      </c>
      <c r="CM81" s="100">
        <v>3014.4</v>
      </c>
      <c r="CN81" s="100">
        <v>5.7402091392179555</v>
      </c>
      <c r="CO81" s="100">
        <v>4325.8216073146514</v>
      </c>
      <c r="CP81" s="100">
        <v>3.4029740252086929</v>
      </c>
      <c r="CQ81" s="100">
        <v>2564.4812253972709</v>
      </c>
      <c r="CR81" s="100">
        <v>3.4010578005277265</v>
      </c>
      <c r="CS81" s="100">
        <v>2563.0371584776949</v>
      </c>
      <c r="CT81" s="100">
        <v>4.7367702196646526</v>
      </c>
      <c r="CU81" s="100">
        <v>3569.6300375392825</v>
      </c>
    </row>
    <row r="82" spans="2:99">
      <c r="C82" s="99" t="s">
        <v>248</v>
      </c>
      <c r="D82" s="100">
        <v>5.4727349965530658</v>
      </c>
      <c r="E82" s="100">
        <v>2784.5275662461995</v>
      </c>
      <c r="F82" s="100">
        <v>3.5268629599220507</v>
      </c>
      <c r="G82" s="100">
        <v>1794.4678740083391</v>
      </c>
      <c r="H82" s="100">
        <v>3.4628655438936473</v>
      </c>
      <c r="I82" s="100">
        <v>1761.9059887330875</v>
      </c>
      <c r="J82" s="100">
        <v>3.3996532414031169</v>
      </c>
      <c r="K82" s="100">
        <v>1729.7435692259055</v>
      </c>
      <c r="L82" s="100">
        <v>2.4351860369273428</v>
      </c>
      <c r="M82" s="100">
        <v>1239.0226555886318</v>
      </c>
      <c r="N82" s="100">
        <v>5</v>
      </c>
      <c r="O82" s="100">
        <v>2543.9999999999995</v>
      </c>
      <c r="P82" s="100">
        <v>5</v>
      </c>
      <c r="Q82" s="100">
        <v>2543.9999999999995</v>
      </c>
      <c r="R82" s="100">
        <v>5</v>
      </c>
      <c r="S82" s="100">
        <v>2543.9999999999995</v>
      </c>
      <c r="T82" s="100">
        <v>4</v>
      </c>
      <c r="U82" s="100">
        <v>2035.1999999999996</v>
      </c>
      <c r="V82" s="100">
        <v>3</v>
      </c>
      <c r="W82" s="100">
        <v>1526.3999999999996</v>
      </c>
      <c r="X82" s="100">
        <v>6</v>
      </c>
      <c r="Y82" s="100">
        <v>3052.7999999999993</v>
      </c>
      <c r="Z82" s="100">
        <v>4</v>
      </c>
      <c r="AA82" s="100">
        <v>2035.1999999999996</v>
      </c>
      <c r="AB82" s="100">
        <v>5</v>
      </c>
      <c r="AC82" s="100">
        <v>2543.9999999999995</v>
      </c>
      <c r="AD82" s="100">
        <v>4</v>
      </c>
      <c r="AE82" s="100">
        <v>2035.1999999999996</v>
      </c>
      <c r="AF82" s="100">
        <v>4.2921094246852958</v>
      </c>
      <c r="AG82" s="100">
        <v>2183.825275279878</v>
      </c>
      <c r="AH82" s="100">
        <v>4.0699133200965125</v>
      </c>
      <c r="AI82" s="100">
        <v>2070.7718972651051</v>
      </c>
      <c r="AJ82" s="100">
        <v>1.411945203889081</v>
      </c>
      <c r="AK82" s="100">
        <v>718.39771973876429</v>
      </c>
      <c r="AL82" s="100">
        <v>1.4941879429342508</v>
      </c>
      <c r="AM82" s="100">
        <v>760.24282536494673</v>
      </c>
      <c r="AN82" s="100">
        <v>1.0693174381224126</v>
      </c>
      <c r="AO82" s="100">
        <v>544.06871251668349</v>
      </c>
      <c r="AP82" s="100">
        <v>3.7337708895238757</v>
      </c>
      <c r="AQ82" s="100">
        <v>1899.7426285897475</v>
      </c>
      <c r="AR82" s="100">
        <v>1.1324895167051938</v>
      </c>
      <c r="AS82" s="100">
        <v>576.21066609960246</v>
      </c>
      <c r="AT82" s="100">
        <v>5</v>
      </c>
      <c r="AU82" s="100">
        <v>2543.9999999999995</v>
      </c>
      <c r="AV82" s="100">
        <v>5</v>
      </c>
      <c r="AW82" s="100">
        <v>2543.9999999999995</v>
      </c>
      <c r="AX82" s="100">
        <v>3</v>
      </c>
      <c r="AY82" s="100">
        <v>1526.3999999999996</v>
      </c>
      <c r="AZ82" s="100">
        <v>5</v>
      </c>
      <c r="BA82" s="100">
        <v>2543.9999999999995</v>
      </c>
      <c r="BB82" s="100">
        <v>6.2323185791899292</v>
      </c>
      <c r="BC82" s="100">
        <v>3171.0036930918354</v>
      </c>
      <c r="BD82" s="100">
        <v>1.7998088019047818</v>
      </c>
      <c r="BE82" s="100">
        <v>915.74271840915276</v>
      </c>
      <c r="BF82" s="100">
        <v>5</v>
      </c>
      <c r="BG82" s="100">
        <v>2543.9999999999995</v>
      </c>
      <c r="BH82" s="100">
        <v>5</v>
      </c>
      <c r="BI82" s="100">
        <v>2543.9999999999995</v>
      </c>
      <c r="BJ82" s="100">
        <v>4.3553150621682537</v>
      </c>
      <c r="BK82" s="100">
        <v>2215.9843036312072</v>
      </c>
      <c r="BL82" s="100">
        <v>2.1658900085808965</v>
      </c>
      <c r="BM82" s="100">
        <v>1102.00483636596</v>
      </c>
      <c r="BN82" s="100">
        <v>5</v>
      </c>
      <c r="BO82" s="100">
        <v>2543.9999999999995</v>
      </c>
      <c r="BP82" s="100">
        <v>3.6256692390291181</v>
      </c>
      <c r="BQ82" s="100">
        <v>1844.7405088180149</v>
      </c>
      <c r="BR82" s="100">
        <v>4</v>
      </c>
      <c r="BS82" s="100">
        <v>2035.1999999999996</v>
      </c>
      <c r="BT82" s="100">
        <v>4</v>
      </c>
      <c r="BU82" s="100">
        <v>2035.1999999999996</v>
      </c>
      <c r="BV82" s="100">
        <v>4.4396095959981707</v>
      </c>
      <c r="BW82" s="100">
        <v>2258.8733624438687</v>
      </c>
      <c r="BX82" s="100">
        <v>3.4401197176131562</v>
      </c>
      <c r="BY82" s="100">
        <v>1750.3329123215735</v>
      </c>
      <c r="BZ82" s="100">
        <v>4</v>
      </c>
      <c r="CA82" s="100">
        <v>2035.1999999999996</v>
      </c>
      <c r="CB82" s="100">
        <v>4.8323192794486305</v>
      </c>
      <c r="CC82" s="100">
        <v>2458.6840493834625</v>
      </c>
      <c r="CD82" s="100">
        <v>4</v>
      </c>
      <c r="CE82" s="100">
        <v>2035.1999999999996</v>
      </c>
      <c r="CF82" s="100">
        <v>4</v>
      </c>
      <c r="CG82" s="100">
        <v>2035.1999999999996</v>
      </c>
      <c r="CH82" s="100">
        <v>6</v>
      </c>
      <c r="CI82" s="100">
        <v>3052.7999999999993</v>
      </c>
      <c r="CJ82" s="100">
        <v>4</v>
      </c>
      <c r="CK82" s="100">
        <v>2035.1999999999996</v>
      </c>
      <c r="CL82" s="100">
        <v>3</v>
      </c>
      <c r="CM82" s="100">
        <v>1526.3999999999996</v>
      </c>
      <c r="CN82" s="100">
        <v>5.6415145873222281</v>
      </c>
      <c r="CO82" s="100">
        <v>2870.4026220295491</v>
      </c>
      <c r="CP82" s="100">
        <v>3.4029740252086929</v>
      </c>
      <c r="CQ82" s="100">
        <v>1731.4331840261825</v>
      </c>
      <c r="CR82" s="100">
        <v>3.4010578005277265</v>
      </c>
      <c r="CS82" s="100">
        <v>1730.458208908507</v>
      </c>
      <c r="CT82" s="100">
        <v>4.0980452604591644</v>
      </c>
      <c r="CU82" s="100">
        <v>2085.0854285216224</v>
      </c>
    </row>
    <row r="83" spans="2:99">
      <c r="C83" s="99" t="s">
        <v>249</v>
      </c>
      <c r="D83" s="100">
        <v>5.4727349965530658</v>
      </c>
      <c r="E83" s="100">
        <v>4708.741191034258</v>
      </c>
      <c r="F83" s="100">
        <v>3.5268629599220507</v>
      </c>
      <c r="G83" s="100">
        <v>3034.5128907169324</v>
      </c>
      <c r="H83" s="100">
        <v>4.1554386526723768</v>
      </c>
      <c r="I83" s="100">
        <v>3575.3394167593128</v>
      </c>
      <c r="J83" s="100">
        <v>3.3697869690809386</v>
      </c>
      <c r="K83" s="100">
        <v>2899.3647081972395</v>
      </c>
      <c r="L83" s="100">
        <v>1.8263895276955071</v>
      </c>
      <c r="M83" s="100">
        <v>1571.4255496292142</v>
      </c>
      <c r="N83" s="100">
        <v>5</v>
      </c>
      <c r="O83" s="100">
        <v>4302</v>
      </c>
      <c r="P83" s="100">
        <v>5</v>
      </c>
      <c r="Q83" s="100">
        <v>4302</v>
      </c>
      <c r="R83" s="100">
        <v>4</v>
      </c>
      <c r="S83" s="100">
        <v>3441.6</v>
      </c>
      <c r="T83" s="100">
        <v>4</v>
      </c>
      <c r="U83" s="100">
        <v>3441.6</v>
      </c>
      <c r="V83" s="100">
        <v>3</v>
      </c>
      <c r="W83" s="100">
        <v>2581.1999999999998</v>
      </c>
      <c r="X83" s="100">
        <v>5</v>
      </c>
      <c r="Y83" s="100">
        <v>4302</v>
      </c>
      <c r="Z83" s="100">
        <v>4</v>
      </c>
      <c r="AA83" s="100">
        <v>3441.6</v>
      </c>
      <c r="AB83" s="100">
        <v>5</v>
      </c>
      <c r="AC83" s="100">
        <v>4302</v>
      </c>
      <c r="AD83" s="100">
        <v>4</v>
      </c>
      <c r="AE83" s="100">
        <v>3441.6</v>
      </c>
      <c r="AF83" s="100">
        <v>5.2921094246852958</v>
      </c>
      <c r="AG83" s="100">
        <v>4553.330948999228</v>
      </c>
      <c r="AH83" s="100">
        <v>4.0402798464685823</v>
      </c>
      <c r="AI83" s="100">
        <v>3476.2567799015683</v>
      </c>
      <c r="AJ83" s="100">
        <v>1.39010483819457</v>
      </c>
      <c r="AK83" s="100">
        <v>1196.0462027826079</v>
      </c>
      <c r="AL83" s="100">
        <v>1.2033008961134581</v>
      </c>
      <c r="AM83" s="100">
        <v>1035.3200910160194</v>
      </c>
      <c r="AN83" s="100">
        <v>1.0693174381224126</v>
      </c>
      <c r="AO83" s="100">
        <v>920.04072376052386</v>
      </c>
      <c r="AP83" s="100">
        <v>3.7476685361838178</v>
      </c>
      <c r="AQ83" s="100">
        <v>3224.4940085325566</v>
      </c>
      <c r="AR83" s="100">
        <v>1.1324895167051938</v>
      </c>
      <c r="AS83" s="100">
        <v>974.39398017314875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3</v>
      </c>
      <c r="AY83" s="100">
        <v>2581.1999999999998</v>
      </c>
      <c r="AZ83" s="100">
        <v>5</v>
      </c>
      <c r="BA83" s="100">
        <v>4302</v>
      </c>
      <c r="BB83" s="100">
        <v>5.2090867212709364</v>
      </c>
      <c r="BC83" s="100">
        <v>4481.8982149815138</v>
      </c>
      <c r="BD83" s="100">
        <v>2.1597705622857384</v>
      </c>
      <c r="BE83" s="100">
        <v>1858.2665917906493</v>
      </c>
      <c r="BF83" s="100">
        <v>4</v>
      </c>
      <c r="BG83" s="100">
        <v>3441.6</v>
      </c>
      <c r="BH83" s="100">
        <v>6</v>
      </c>
      <c r="BI83" s="100">
        <v>5162.3999999999996</v>
      </c>
      <c r="BJ83" s="100">
        <v>4.3553150621682537</v>
      </c>
      <c r="BK83" s="100">
        <v>3747.3130794895656</v>
      </c>
      <c r="BL83" s="100">
        <v>2.1658900085808965</v>
      </c>
      <c r="BM83" s="100">
        <v>1863.5317633830034</v>
      </c>
      <c r="BN83" s="100">
        <v>5.3914924463671419</v>
      </c>
      <c r="BO83" s="100">
        <v>4638.8401008542887</v>
      </c>
      <c r="BP83" s="100">
        <v>4.3508030868349419</v>
      </c>
      <c r="BQ83" s="100">
        <v>3743.4309759127841</v>
      </c>
      <c r="BR83" s="100">
        <v>3</v>
      </c>
      <c r="BS83" s="100">
        <v>2581.1999999999998</v>
      </c>
      <c r="BT83" s="100">
        <v>4</v>
      </c>
      <c r="BU83" s="100">
        <v>3441.6</v>
      </c>
      <c r="BV83" s="100">
        <v>5.4396095959981707</v>
      </c>
      <c r="BW83" s="100">
        <v>4680.2400963968257</v>
      </c>
      <c r="BX83" s="100">
        <v>3.4401197176131562</v>
      </c>
      <c r="BY83" s="100">
        <v>2959.8790050343596</v>
      </c>
      <c r="BZ83" s="100">
        <v>4</v>
      </c>
      <c r="CA83" s="100">
        <v>3441.6</v>
      </c>
      <c r="CB83" s="100">
        <v>4.8323192794486305</v>
      </c>
      <c r="CC83" s="100">
        <v>4157.7275080376012</v>
      </c>
      <c r="CD83" s="100">
        <v>3</v>
      </c>
      <c r="CE83" s="100">
        <v>2581.1999999999998</v>
      </c>
      <c r="CF83" s="100">
        <v>4</v>
      </c>
      <c r="CG83" s="100">
        <v>3441.6</v>
      </c>
      <c r="CH83" s="100">
        <v>6</v>
      </c>
      <c r="CI83" s="100">
        <v>5162.3999999999996</v>
      </c>
      <c r="CJ83" s="100">
        <v>5</v>
      </c>
      <c r="CK83" s="100">
        <v>4302</v>
      </c>
      <c r="CL83" s="100">
        <v>4</v>
      </c>
      <c r="CM83" s="100">
        <v>3441.6</v>
      </c>
      <c r="CN83" s="100">
        <v>5.5921673113743644</v>
      </c>
      <c r="CO83" s="100">
        <v>4811.5007547065034</v>
      </c>
      <c r="CP83" s="100">
        <v>4.0835688302504316</v>
      </c>
      <c r="CQ83" s="100">
        <v>3513.5026215474713</v>
      </c>
      <c r="CR83" s="100">
        <v>3.4010578005277265</v>
      </c>
      <c r="CS83" s="100">
        <v>2926.270131574056</v>
      </c>
      <c r="CT83" s="100">
        <v>4.0980452604591644</v>
      </c>
      <c r="CU83" s="100">
        <v>3525.9581420990648</v>
      </c>
    </row>
    <row r="84" spans="2:99">
      <c r="C84" s="99" t="s">
        <v>250</v>
      </c>
      <c r="D84" s="100">
        <v>5.4727349965530658</v>
      </c>
      <c r="E84" s="100">
        <v>4275.3005793072543</v>
      </c>
      <c r="F84" s="100">
        <v>3.5268629599220507</v>
      </c>
      <c r="G84" s="100">
        <v>2755.1853442911056</v>
      </c>
      <c r="H84" s="100">
        <v>3.4628655438936473</v>
      </c>
      <c r="I84" s="100">
        <v>2705.1905628897171</v>
      </c>
      <c r="J84" s="100">
        <v>4.0079048361105132</v>
      </c>
      <c r="K84" s="100">
        <v>3130.9752579695328</v>
      </c>
      <c r="L84" s="100">
        <v>2.4351860369273428</v>
      </c>
      <c r="M84" s="100">
        <v>1902.36733204764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3</v>
      </c>
      <c r="W84" s="100">
        <v>2343.6</v>
      </c>
      <c r="X84" s="100">
        <v>6</v>
      </c>
      <c r="Y84" s="100">
        <v>4687.2</v>
      </c>
      <c r="Z84" s="100">
        <v>4</v>
      </c>
      <c r="AA84" s="100">
        <v>3124.7999999999997</v>
      </c>
      <c r="AB84" s="100">
        <v>5</v>
      </c>
      <c r="AC84" s="100">
        <v>3905.9999999999995</v>
      </c>
      <c r="AD84" s="100">
        <v>4</v>
      </c>
      <c r="AE84" s="100">
        <v>3124.7999999999997</v>
      </c>
      <c r="AF84" s="100">
        <v>5.2921094246852958</v>
      </c>
      <c r="AG84" s="100">
        <v>4134.1958825641523</v>
      </c>
      <c r="AH84" s="100">
        <v>4.0402798464685823</v>
      </c>
      <c r="AI84" s="100">
        <v>3156.2666160612562</v>
      </c>
      <c r="AJ84" s="100">
        <v>1.411945203889081</v>
      </c>
      <c r="AK84" s="100">
        <v>1103.01159327815</v>
      </c>
      <c r="AL84" s="100">
        <v>1.4941879429342508</v>
      </c>
      <c r="AM84" s="100">
        <v>1167.2596210202366</v>
      </c>
      <c r="AN84" s="100">
        <v>1.0693174381224126</v>
      </c>
      <c r="AO84" s="100">
        <v>835.35078266122866</v>
      </c>
      <c r="AP84" s="100">
        <v>4.4638478914367203</v>
      </c>
      <c r="AQ84" s="100">
        <v>3487.1579727903654</v>
      </c>
      <c r="AR84" s="100">
        <v>1.4156118958814923</v>
      </c>
      <c r="AS84" s="100">
        <v>1105.8760130626217</v>
      </c>
      <c r="AT84" s="100">
        <v>4</v>
      </c>
      <c r="AU84" s="100">
        <v>3124.7999999999997</v>
      </c>
      <c r="AV84" s="100">
        <v>5</v>
      </c>
      <c r="AW84" s="100">
        <v>3905.9999999999995</v>
      </c>
      <c r="AX84" s="100">
        <v>3</v>
      </c>
      <c r="AY84" s="100">
        <v>2343.6</v>
      </c>
      <c r="AZ84" s="100">
        <v>6</v>
      </c>
      <c r="BA84" s="100">
        <v>4687.2</v>
      </c>
      <c r="BB84" s="100">
        <v>5.2323185791899292</v>
      </c>
      <c r="BC84" s="100">
        <v>4087.4872740631722</v>
      </c>
      <c r="BD84" s="100">
        <v>1.7998088019047818</v>
      </c>
      <c r="BE84" s="100">
        <v>1406.0106360480154</v>
      </c>
      <c r="BF84" s="100">
        <v>5</v>
      </c>
      <c r="BG84" s="100">
        <v>3905.9999999999995</v>
      </c>
      <c r="BH84" s="100">
        <v>7</v>
      </c>
      <c r="BI84" s="100">
        <v>5468.4</v>
      </c>
      <c r="BJ84" s="100">
        <v>4.3553150621682537</v>
      </c>
      <c r="BK84" s="100">
        <v>3402.3721265658396</v>
      </c>
      <c r="BL84" s="100">
        <v>2.1658900085808965</v>
      </c>
      <c r="BM84" s="100">
        <v>1691.9932747033963</v>
      </c>
      <c r="BN84" s="100">
        <v>6.3914924463671419</v>
      </c>
      <c r="BO84" s="100">
        <v>4993.0338991020108</v>
      </c>
      <c r="BP84" s="100">
        <v>3.6256692390291181</v>
      </c>
      <c r="BQ84" s="100">
        <v>2832.3728095295469</v>
      </c>
      <c r="BR84" s="100">
        <v>3</v>
      </c>
      <c r="BS84" s="100">
        <v>2343.6</v>
      </c>
      <c r="BT84" s="100">
        <v>5</v>
      </c>
      <c r="BU84" s="100">
        <v>3905.9999999999995</v>
      </c>
      <c r="BV84" s="100">
        <v>4.3809949831984145</v>
      </c>
      <c r="BW84" s="100">
        <v>3422.4332808746012</v>
      </c>
      <c r="BX84" s="100">
        <v>3.4401197176131562</v>
      </c>
      <c r="BY84" s="100">
        <v>2687.4215233993973</v>
      </c>
      <c r="BZ84" s="100">
        <v>4</v>
      </c>
      <c r="CA84" s="100">
        <v>3124.7999999999997</v>
      </c>
      <c r="CB84" s="100">
        <v>4.8323192794486305</v>
      </c>
      <c r="CC84" s="100">
        <v>3775.0078211052696</v>
      </c>
      <c r="CD84" s="100">
        <v>3</v>
      </c>
      <c r="CE84" s="100">
        <v>2343.6</v>
      </c>
      <c r="CF84" s="100">
        <v>4</v>
      </c>
      <c r="CG84" s="100">
        <v>3124.7999999999997</v>
      </c>
      <c r="CH84" s="100">
        <v>5</v>
      </c>
      <c r="CI84" s="100">
        <v>3905.9999999999995</v>
      </c>
      <c r="CJ84" s="100">
        <v>4</v>
      </c>
      <c r="CK84" s="100">
        <v>3124.7999999999997</v>
      </c>
      <c r="CL84" s="100">
        <v>4</v>
      </c>
      <c r="CM84" s="100">
        <v>3124.7999999999997</v>
      </c>
      <c r="CN84" s="100">
        <v>5.6415145873222281</v>
      </c>
      <c r="CO84" s="100">
        <v>4407.1511956161239</v>
      </c>
      <c r="CP84" s="100">
        <v>3.4029740252086929</v>
      </c>
      <c r="CQ84" s="100">
        <v>2658.4033084930306</v>
      </c>
      <c r="CR84" s="100">
        <v>3.4010578005277265</v>
      </c>
      <c r="CS84" s="100">
        <v>2656.9063537722595</v>
      </c>
      <c r="CT84" s="100">
        <v>4.0980452604591644</v>
      </c>
      <c r="CU84" s="100">
        <v>3201.392957470699</v>
      </c>
    </row>
    <row r="85" spans="2:99">
      <c r="C85" s="99" t="s">
        <v>251</v>
      </c>
      <c r="D85" s="100">
        <v>5.4727349965530658</v>
      </c>
      <c r="E85" s="100">
        <v>820.9102494829599</v>
      </c>
      <c r="F85" s="100">
        <v>3.5268629599220507</v>
      </c>
      <c r="G85" s="100">
        <v>529.02944398830755</v>
      </c>
      <c r="H85" s="100">
        <v>4.1554386526723768</v>
      </c>
      <c r="I85" s="100">
        <v>623.31579790085652</v>
      </c>
      <c r="J85" s="100">
        <v>4.0079048361105132</v>
      </c>
      <c r="K85" s="100">
        <v>601.18572541657693</v>
      </c>
      <c r="L85" s="100">
        <v>2.4351860369273428</v>
      </c>
      <c r="M85" s="100">
        <v>365.27790553910143</v>
      </c>
      <c r="N85" s="100">
        <v>6</v>
      </c>
      <c r="O85" s="100">
        <v>900</v>
      </c>
      <c r="P85" s="100">
        <v>6</v>
      </c>
      <c r="Q85" s="100">
        <v>900</v>
      </c>
      <c r="R85" s="100">
        <v>5</v>
      </c>
      <c r="S85" s="100">
        <v>750</v>
      </c>
      <c r="T85" s="100">
        <v>4</v>
      </c>
      <c r="U85" s="100">
        <v>600</v>
      </c>
      <c r="V85" s="100">
        <v>3</v>
      </c>
      <c r="W85" s="100">
        <v>450</v>
      </c>
      <c r="X85" s="100">
        <v>5</v>
      </c>
      <c r="Y85" s="100">
        <v>750</v>
      </c>
      <c r="Z85" s="100">
        <v>4</v>
      </c>
      <c r="AA85" s="100">
        <v>600</v>
      </c>
      <c r="AB85" s="100">
        <v>5</v>
      </c>
      <c r="AC85" s="100">
        <v>750</v>
      </c>
      <c r="AD85" s="100">
        <v>4</v>
      </c>
      <c r="AE85" s="100">
        <v>600</v>
      </c>
      <c r="AF85" s="100">
        <v>5.2921094246852958</v>
      </c>
      <c r="AG85" s="100">
        <v>793.81641370279442</v>
      </c>
      <c r="AH85" s="100">
        <v>4.0699133200965125</v>
      </c>
      <c r="AI85" s="100">
        <v>610.48699801447685</v>
      </c>
      <c r="AJ85" s="100">
        <v>1.4010250210418254</v>
      </c>
      <c r="AK85" s="100">
        <v>210.15375315627381</v>
      </c>
      <c r="AL85" s="100">
        <v>1.208979854517785</v>
      </c>
      <c r="AM85" s="100">
        <v>181.34697817766775</v>
      </c>
      <c r="AN85" s="100">
        <v>1.0693174381224126</v>
      </c>
      <c r="AO85" s="100">
        <v>160.39761571836189</v>
      </c>
      <c r="AP85" s="100">
        <v>3.7476685361838178</v>
      </c>
      <c r="AQ85" s="100">
        <v>562.15028042757262</v>
      </c>
      <c r="AR85" s="100">
        <v>1.1324895167051938</v>
      </c>
      <c r="AS85" s="100">
        <v>169.87342750577906</v>
      </c>
      <c r="AT85" s="100">
        <v>5</v>
      </c>
      <c r="AU85" s="100">
        <v>750</v>
      </c>
      <c r="AV85" s="100">
        <v>5</v>
      </c>
      <c r="AW85" s="100">
        <v>750</v>
      </c>
      <c r="AX85" s="100">
        <v>4</v>
      </c>
      <c r="AY85" s="100">
        <v>600</v>
      </c>
      <c r="AZ85" s="100">
        <v>6</v>
      </c>
      <c r="BA85" s="100">
        <v>900</v>
      </c>
      <c r="BB85" s="100">
        <v>6.2323185791899292</v>
      </c>
      <c r="BC85" s="100">
        <v>934.84778687848939</v>
      </c>
      <c r="BD85" s="100">
        <v>2.1597705622857384</v>
      </c>
      <c r="BE85" s="100">
        <v>323.96558434286078</v>
      </c>
      <c r="BF85" s="100">
        <v>5</v>
      </c>
      <c r="BG85" s="100">
        <v>750</v>
      </c>
      <c r="BH85" s="100">
        <v>6</v>
      </c>
      <c r="BI85" s="100">
        <v>900</v>
      </c>
      <c r="BJ85" s="100">
        <v>4.3553150621682537</v>
      </c>
      <c r="BK85" s="100">
        <v>653.29725932523809</v>
      </c>
      <c r="BL85" s="100">
        <v>2.1658900085808965</v>
      </c>
      <c r="BM85" s="100">
        <v>324.88350128713449</v>
      </c>
      <c r="BN85" s="100">
        <v>6.4270826687641547</v>
      </c>
      <c r="BO85" s="100">
        <v>964.06240031462323</v>
      </c>
      <c r="BP85" s="100">
        <v>4.3508030868349419</v>
      </c>
      <c r="BQ85" s="100">
        <v>652.62046302524129</v>
      </c>
      <c r="BR85" s="100">
        <v>4</v>
      </c>
      <c r="BS85" s="100">
        <v>600</v>
      </c>
      <c r="BT85" s="100">
        <v>5</v>
      </c>
      <c r="BU85" s="100">
        <v>750</v>
      </c>
      <c r="BV85" s="100">
        <v>4.4396095959981707</v>
      </c>
      <c r="BW85" s="100">
        <v>665.9414393997256</v>
      </c>
      <c r="BX85" s="100">
        <v>3.4401197176131562</v>
      </c>
      <c r="BY85" s="100">
        <v>516.01795764197345</v>
      </c>
      <c r="BZ85" s="100">
        <v>4</v>
      </c>
      <c r="CA85" s="100">
        <v>600</v>
      </c>
      <c r="CB85" s="100">
        <v>4.8323192794486305</v>
      </c>
      <c r="CC85" s="100">
        <v>724.84789191729453</v>
      </c>
      <c r="CD85" s="100">
        <v>3</v>
      </c>
      <c r="CE85" s="100">
        <v>450</v>
      </c>
      <c r="CF85" s="100">
        <v>4</v>
      </c>
      <c r="CG85" s="100">
        <v>600</v>
      </c>
      <c r="CH85" s="100">
        <v>6</v>
      </c>
      <c r="CI85" s="100">
        <v>900</v>
      </c>
      <c r="CJ85" s="100">
        <v>5</v>
      </c>
      <c r="CK85" s="100">
        <v>750</v>
      </c>
      <c r="CL85" s="100">
        <v>3</v>
      </c>
      <c r="CM85" s="100">
        <v>450</v>
      </c>
      <c r="CN85" s="100">
        <v>5.6415145873222281</v>
      </c>
      <c r="CO85" s="100">
        <v>846.22718809833418</v>
      </c>
      <c r="CP85" s="100">
        <v>4.0835688302504316</v>
      </c>
      <c r="CQ85" s="100">
        <v>612.53532453756475</v>
      </c>
      <c r="CR85" s="100">
        <v>3.4010578005277265</v>
      </c>
      <c r="CS85" s="100">
        <v>510.15867007915898</v>
      </c>
      <c r="CT85" s="100">
        <v>4.7126160828259041</v>
      </c>
      <c r="CU85" s="100">
        <v>706.89241242388562</v>
      </c>
    </row>
    <row r="86" spans="2:99">
      <c r="C86" s="99" t="s">
        <v>252</v>
      </c>
      <c r="D86" s="100">
        <v>5.4727349965530658</v>
      </c>
      <c r="E86" s="100">
        <v>2955.2768981386557</v>
      </c>
      <c r="F86" s="100">
        <v>3.5268629599220507</v>
      </c>
      <c r="G86" s="100">
        <v>1904.5059983579074</v>
      </c>
      <c r="H86" s="100">
        <v>4.1554386526723768</v>
      </c>
      <c r="I86" s="100">
        <v>2243.9368724430833</v>
      </c>
      <c r="J86" s="100">
        <v>3.3399206967587607</v>
      </c>
      <c r="K86" s="100">
        <v>1803.5571762497307</v>
      </c>
      <c r="L86" s="100">
        <v>2.4351860369273428</v>
      </c>
      <c r="M86" s="100">
        <v>1315.000459940765</v>
      </c>
      <c r="N86" s="100">
        <v>5</v>
      </c>
      <c r="O86" s="100">
        <v>2700</v>
      </c>
      <c r="P86" s="100">
        <v>6</v>
      </c>
      <c r="Q86" s="100">
        <v>3240</v>
      </c>
      <c r="R86" s="100">
        <v>5</v>
      </c>
      <c r="S86" s="100">
        <v>2700</v>
      </c>
      <c r="T86" s="100">
        <v>4</v>
      </c>
      <c r="U86" s="100">
        <v>2160</v>
      </c>
      <c r="V86" s="100">
        <v>3</v>
      </c>
      <c r="W86" s="100">
        <v>1620</v>
      </c>
      <c r="X86" s="100">
        <v>5</v>
      </c>
      <c r="Y86" s="100">
        <v>2700</v>
      </c>
      <c r="Z86" s="100">
        <v>4</v>
      </c>
      <c r="AA86" s="100">
        <v>2160</v>
      </c>
      <c r="AB86" s="100">
        <v>5</v>
      </c>
      <c r="AC86" s="100">
        <v>2700</v>
      </c>
      <c r="AD86" s="100">
        <v>4</v>
      </c>
      <c r="AE86" s="100">
        <v>2160</v>
      </c>
      <c r="AF86" s="100">
        <v>5.2921094246852958</v>
      </c>
      <c r="AG86" s="100">
        <v>2857.7390893300599</v>
      </c>
      <c r="AH86" s="100">
        <v>4.0402798464685823</v>
      </c>
      <c r="AI86" s="100">
        <v>2181.7511170930343</v>
      </c>
      <c r="AJ86" s="100">
        <v>1.4010250210418254</v>
      </c>
      <c r="AK86" s="100">
        <v>756.55351136258571</v>
      </c>
      <c r="AL86" s="100">
        <v>1.2033008961134581</v>
      </c>
      <c r="AM86" s="100">
        <v>649.78248390126737</v>
      </c>
      <c r="AN86" s="100">
        <v>1.0693174381224126</v>
      </c>
      <c r="AO86" s="100">
        <v>577.43141658610284</v>
      </c>
      <c r="AP86" s="100">
        <v>3.7476685361838178</v>
      </c>
      <c r="AQ86" s="100">
        <v>2023.7410095392615</v>
      </c>
      <c r="AR86" s="100">
        <v>1.1324895167051938</v>
      </c>
      <c r="AS86" s="100">
        <v>611.54433902080461</v>
      </c>
      <c r="AT86" s="100">
        <v>5</v>
      </c>
      <c r="AU86" s="100">
        <v>2700</v>
      </c>
      <c r="AV86" s="100">
        <v>6</v>
      </c>
      <c r="AW86" s="100">
        <v>3240</v>
      </c>
      <c r="AX86" s="100">
        <v>3</v>
      </c>
      <c r="AY86" s="100">
        <v>1620</v>
      </c>
      <c r="AZ86" s="100">
        <v>6</v>
      </c>
      <c r="BA86" s="100">
        <v>3240</v>
      </c>
      <c r="BB86" s="100">
        <v>5.2323185791899292</v>
      </c>
      <c r="BC86" s="100">
        <v>2825.4520327625619</v>
      </c>
      <c r="BD86" s="100">
        <v>2.1597705622857384</v>
      </c>
      <c r="BE86" s="100">
        <v>1166.2761036342988</v>
      </c>
      <c r="BF86" s="100">
        <v>5</v>
      </c>
      <c r="BG86" s="100">
        <v>2700</v>
      </c>
      <c r="BH86" s="100">
        <v>7</v>
      </c>
      <c r="BI86" s="100">
        <v>3780</v>
      </c>
      <c r="BJ86" s="100">
        <v>5.3197835559514282</v>
      </c>
      <c r="BK86" s="100">
        <v>2872.6831202137714</v>
      </c>
      <c r="BL86" s="100">
        <v>2.1658900085808965</v>
      </c>
      <c r="BM86" s="100">
        <v>1169.5806046336841</v>
      </c>
      <c r="BN86" s="100">
        <v>6.3914924463671419</v>
      </c>
      <c r="BO86" s="100">
        <v>3451.4059210382566</v>
      </c>
      <c r="BP86" s="100">
        <v>3.6256692390291181</v>
      </c>
      <c r="BQ86" s="100">
        <v>1957.8613890757238</v>
      </c>
      <c r="BR86" s="100">
        <v>3</v>
      </c>
      <c r="BS86" s="100">
        <v>1620</v>
      </c>
      <c r="BT86" s="100">
        <v>5</v>
      </c>
      <c r="BU86" s="100">
        <v>2700</v>
      </c>
      <c r="BV86" s="100">
        <v>4.4103022895982926</v>
      </c>
      <c r="BW86" s="100">
        <v>2381.5632363830782</v>
      </c>
      <c r="BX86" s="100">
        <v>3.4401197176131562</v>
      </c>
      <c r="BY86" s="100">
        <v>1857.6646475111042</v>
      </c>
      <c r="BZ86" s="100">
        <v>4</v>
      </c>
      <c r="CA86" s="100">
        <v>2160</v>
      </c>
      <c r="CB86" s="100">
        <v>4.8323192794486305</v>
      </c>
      <c r="CC86" s="100">
        <v>2609.4524109022605</v>
      </c>
      <c r="CD86" s="100">
        <v>3</v>
      </c>
      <c r="CE86" s="100">
        <v>1620</v>
      </c>
      <c r="CF86" s="100">
        <v>4</v>
      </c>
      <c r="CG86" s="100">
        <v>2160</v>
      </c>
      <c r="CH86" s="100">
        <v>5</v>
      </c>
      <c r="CI86" s="100">
        <v>2700</v>
      </c>
      <c r="CJ86" s="100">
        <v>5</v>
      </c>
      <c r="CK86" s="100">
        <v>2700</v>
      </c>
      <c r="CL86" s="100">
        <v>4</v>
      </c>
      <c r="CM86" s="100">
        <v>2160</v>
      </c>
      <c r="CN86" s="100">
        <v>5.6908618632700918</v>
      </c>
      <c r="CO86" s="100">
        <v>3073.0654061658497</v>
      </c>
      <c r="CP86" s="100">
        <v>3.4029740252086929</v>
      </c>
      <c r="CQ86" s="100">
        <v>1837.6059736126942</v>
      </c>
      <c r="CR86" s="100">
        <v>3.4010578005277265</v>
      </c>
      <c r="CS86" s="100">
        <v>1836.5712122849723</v>
      </c>
      <c r="CT86" s="100">
        <v>4.0980452604591644</v>
      </c>
      <c r="CU86" s="100">
        <v>2212.9444406479488</v>
      </c>
    </row>
    <row r="87" spans="2:99">
      <c r="B87" s="99" t="s">
        <v>131</v>
      </c>
      <c r="C87" s="99" t="s">
        <v>253</v>
      </c>
      <c r="D87" s="100">
        <v>1.5721216029893035</v>
      </c>
      <c r="E87" s="100">
        <v>1688.458601610512</v>
      </c>
      <c r="F87" s="100">
        <v>4.3701646499677995</v>
      </c>
      <c r="G87" s="100">
        <v>4693.5568340654163</v>
      </c>
      <c r="H87" s="100">
        <v>4.272936351159041</v>
      </c>
      <c r="I87" s="100">
        <v>4589.1336411448101</v>
      </c>
      <c r="J87" s="100">
        <v>2.5627164301871854</v>
      </c>
      <c r="K87" s="100">
        <v>2752.357446021037</v>
      </c>
      <c r="L87" s="100">
        <v>2.4263078000510299</v>
      </c>
      <c r="M87" s="100">
        <v>2605.8545772548059</v>
      </c>
      <c r="N87" s="100">
        <v>4.7155116758266349</v>
      </c>
      <c r="O87" s="100">
        <v>5064.459539837806</v>
      </c>
      <c r="P87" s="100">
        <v>1.4890720431067128</v>
      </c>
      <c r="Q87" s="100">
        <v>1599.2633742966095</v>
      </c>
      <c r="R87" s="100">
        <v>4.2237708063197106</v>
      </c>
      <c r="S87" s="100">
        <v>4536.3298459873695</v>
      </c>
      <c r="T87" s="100">
        <v>3.4561794561877979</v>
      </c>
      <c r="U87" s="100">
        <v>3711.9367359456951</v>
      </c>
      <c r="V87" s="100">
        <v>5.827527862066348</v>
      </c>
      <c r="W87" s="100">
        <v>6258.7649238592576</v>
      </c>
      <c r="X87" s="100">
        <v>3.726647221949333</v>
      </c>
      <c r="Y87" s="100">
        <v>4002.4191163735836</v>
      </c>
      <c r="Z87" s="100">
        <v>3.3565491406280108</v>
      </c>
      <c r="AA87" s="100">
        <v>3604.9337770344837</v>
      </c>
      <c r="AB87" s="100">
        <v>2.3534522010460841</v>
      </c>
      <c r="AC87" s="100">
        <v>2527.6076639234943</v>
      </c>
      <c r="AD87" s="100">
        <v>4.8530973652952119</v>
      </c>
      <c r="AE87" s="100">
        <v>5212.2265703270577</v>
      </c>
      <c r="AF87" s="100">
        <v>5.4455264950973055</v>
      </c>
      <c r="AG87" s="100">
        <v>5848.4954557345063</v>
      </c>
      <c r="AH87" s="100">
        <v>0.77206653053231922</v>
      </c>
      <c r="AI87" s="100">
        <v>829.19945379171088</v>
      </c>
      <c r="AJ87" s="100">
        <v>0.97972589586037473</v>
      </c>
      <c r="AK87" s="100">
        <v>1052.2256121540424</v>
      </c>
      <c r="AL87" s="100">
        <v>0.83479602960884014</v>
      </c>
      <c r="AM87" s="100">
        <v>896.5709357998943</v>
      </c>
      <c r="AN87" s="100">
        <v>0.86552471781530049</v>
      </c>
      <c r="AO87" s="100">
        <v>929.57354693363277</v>
      </c>
      <c r="AP87" s="100">
        <v>2.9003601423286538</v>
      </c>
      <c r="AQ87" s="100">
        <v>3114.9867928609742</v>
      </c>
      <c r="AR87" s="100">
        <v>3.8969142069629132</v>
      </c>
      <c r="AS87" s="100">
        <v>4185.2858582781691</v>
      </c>
      <c r="AT87" s="100">
        <v>2.5943780347958243</v>
      </c>
      <c r="AU87" s="100">
        <v>2786.3620093707154</v>
      </c>
      <c r="AV87" s="100">
        <v>3.0082946827244039</v>
      </c>
      <c r="AW87" s="100">
        <v>3230.9084892460096</v>
      </c>
      <c r="AX87" s="100">
        <v>2.2504282137457641</v>
      </c>
      <c r="AY87" s="100">
        <v>2416.9599015629506</v>
      </c>
      <c r="AZ87" s="100">
        <v>0.82656237299788216</v>
      </c>
      <c r="BA87" s="100">
        <v>887.72798859972545</v>
      </c>
      <c r="BB87" s="100">
        <v>2.9997828804248741</v>
      </c>
      <c r="BC87" s="100">
        <v>3221.7668135763147</v>
      </c>
      <c r="BD87" s="100">
        <v>3.5992641357518727</v>
      </c>
      <c r="BE87" s="100">
        <v>3865.6096817975113</v>
      </c>
      <c r="BF87" s="100">
        <v>2.4812760674500285</v>
      </c>
      <c r="BG87" s="100">
        <v>2664.8904964413305</v>
      </c>
      <c r="BH87" s="100">
        <v>0.89785007636385628</v>
      </c>
      <c r="BI87" s="100">
        <v>964.29098201478166</v>
      </c>
      <c r="BJ87" s="100">
        <v>4.4645965260110971</v>
      </c>
      <c r="BK87" s="100">
        <v>4794.9766689359185</v>
      </c>
      <c r="BL87" s="100">
        <v>1.9862313504688165</v>
      </c>
      <c r="BM87" s="100">
        <v>2133.2124704035091</v>
      </c>
      <c r="BN87" s="100">
        <v>4.1341199778440707</v>
      </c>
      <c r="BO87" s="100">
        <v>4440.0448562045322</v>
      </c>
      <c r="BP87" s="100">
        <v>5.4435072018289645</v>
      </c>
      <c r="BQ87" s="100">
        <v>5846.3267347643077</v>
      </c>
      <c r="BR87" s="100">
        <v>4.5597317605406422</v>
      </c>
      <c r="BS87" s="100">
        <v>4897.1519108206494</v>
      </c>
      <c r="BT87" s="100">
        <v>2.7152927144036485</v>
      </c>
      <c r="BU87" s="100">
        <v>2916.2243752695185</v>
      </c>
      <c r="BV87" s="100">
        <v>4.6073716504920554</v>
      </c>
      <c r="BW87" s="100">
        <v>4948.3171526284677</v>
      </c>
      <c r="BX87" s="100">
        <v>4.2698570974230377</v>
      </c>
      <c r="BY87" s="100">
        <v>4585.8265226323429</v>
      </c>
      <c r="BZ87" s="100">
        <v>3.4496183093709809</v>
      </c>
      <c r="CA87" s="100">
        <v>3704.8900642644335</v>
      </c>
      <c r="CB87" s="100">
        <v>3.8478424056619001</v>
      </c>
      <c r="CC87" s="100">
        <v>4132.5827436808804</v>
      </c>
      <c r="CD87" s="100">
        <v>4.1050381254100481</v>
      </c>
      <c r="CE87" s="100">
        <v>4408.8109466903916</v>
      </c>
      <c r="CF87" s="100">
        <v>3.4155877686857248</v>
      </c>
      <c r="CG87" s="100">
        <v>3668.3412635684685</v>
      </c>
      <c r="CH87" s="100">
        <v>3.0094995113373884</v>
      </c>
      <c r="CI87" s="100">
        <v>3232.2024751763552</v>
      </c>
      <c r="CJ87" s="100">
        <v>1.206421539390055</v>
      </c>
      <c r="CK87" s="100">
        <v>1295.696733304919</v>
      </c>
      <c r="CL87" s="100">
        <v>5.3501899355118976</v>
      </c>
      <c r="CM87" s="100">
        <v>5746.1039907397781</v>
      </c>
      <c r="CN87" s="100">
        <v>4.4704057758455233</v>
      </c>
      <c r="CO87" s="100">
        <v>4801.2158032580919</v>
      </c>
      <c r="CP87" s="100">
        <v>0.70714848353285231</v>
      </c>
      <c r="CQ87" s="100">
        <v>759.47747131428343</v>
      </c>
      <c r="CR87" s="100">
        <v>3.5869553356089376</v>
      </c>
      <c r="CS87" s="100">
        <v>3852.390030443999</v>
      </c>
      <c r="CT87" s="100">
        <v>1.4510415750267482</v>
      </c>
      <c r="CU87" s="100">
        <v>1558.4186515787276</v>
      </c>
    </row>
    <row r="88" spans="2:99">
      <c r="C88" s="99" t="s">
        <v>254</v>
      </c>
      <c r="D88" s="100">
        <v>1.587798953340128</v>
      </c>
      <c r="E88" s="100">
        <v>1575.7316812947429</v>
      </c>
      <c r="F88" s="100">
        <v>4.3701646499677995</v>
      </c>
      <c r="G88" s="100">
        <v>4336.9513986280444</v>
      </c>
      <c r="H88" s="100">
        <v>4.272936351159041</v>
      </c>
      <c r="I88" s="100">
        <v>4240.4620348902326</v>
      </c>
      <c r="J88" s="100">
        <v>2.5825671677899611</v>
      </c>
      <c r="K88" s="100">
        <v>2562.9396573147574</v>
      </c>
      <c r="L88" s="100">
        <v>2.4263078000510299</v>
      </c>
      <c r="M88" s="100">
        <v>2407.867860770642</v>
      </c>
      <c r="N88" s="100">
        <v>3.7724093406613077</v>
      </c>
      <c r="O88" s="100">
        <v>3743.7390296722815</v>
      </c>
      <c r="P88" s="100">
        <v>1.4890720431067128</v>
      </c>
      <c r="Q88" s="100">
        <v>1477.7550955791019</v>
      </c>
      <c r="R88" s="100">
        <v>4.2237708063197106</v>
      </c>
      <c r="S88" s="100">
        <v>4191.6701481916807</v>
      </c>
      <c r="T88" s="100">
        <v>3.4561794561877979</v>
      </c>
      <c r="U88" s="100">
        <v>3429.9124923207705</v>
      </c>
      <c r="V88" s="100">
        <v>5.827527862066348</v>
      </c>
      <c r="W88" s="100">
        <v>5783.2386503146436</v>
      </c>
      <c r="X88" s="100">
        <v>3.5201318661256469</v>
      </c>
      <c r="Y88" s="100">
        <v>3493.3788639430918</v>
      </c>
      <c r="Z88" s="100">
        <v>3.3204924917803207</v>
      </c>
      <c r="AA88" s="100">
        <v>3295.2567488427903</v>
      </c>
      <c r="AB88" s="100">
        <v>2.3534522010460841</v>
      </c>
      <c r="AC88" s="100">
        <v>2335.5659643181339</v>
      </c>
      <c r="AD88" s="100">
        <v>4.8530973652952119</v>
      </c>
      <c r="AE88" s="100">
        <v>4816.2138253189678</v>
      </c>
      <c r="AF88" s="100">
        <v>5.3960235511976045</v>
      </c>
      <c r="AG88" s="100">
        <v>5355.0137722085028</v>
      </c>
      <c r="AH88" s="100">
        <v>0.77206653053231922</v>
      </c>
      <c r="AI88" s="100">
        <v>766.19882490027362</v>
      </c>
      <c r="AJ88" s="100">
        <v>0.83976505359460696</v>
      </c>
      <c r="AK88" s="100">
        <v>833.38283918728791</v>
      </c>
      <c r="AL88" s="100">
        <v>0.83479602960884014</v>
      </c>
      <c r="AM88" s="100">
        <v>828.45157978381292</v>
      </c>
      <c r="AN88" s="100">
        <v>0.86552471781530049</v>
      </c>
      <c r="AO88" s="100">
        <v>858.94672995990413</v>
      </c>
      <c r="AP88" s="100">
        <v>3.4804321707943848</v>
      </c>
      <c r="AQ88" s="100">
        <v>3453.9808862963473</v>
      </c>
      <c r="AR88" s="100">
        <v>3.1792330714928236</v>
      </c>
      <c r="AS88" s="100">
        <v>3155.0709001494779</v>
      </c>
      <c r="AT88" s="100">
        <v>2.008175883898637</v>
      </c>
      <c r="AU88" s="100">
        <v>1992.9137471810072</v>
      </c>
      <c r="AV88" s="100">
        <v>3.7603683534055046</v>
      </c>
      <c r="AW88" s="100">
        <v>3731.7895539196224</v>
      </c>
      <c r="AX88" s="100">
        <v>2.2504282137457641</v>
      </c>
      <c r="AY88" s="100">
        <v>2233.3249593212963</v>
      </c>
      <c r="AZ88" s="100">
        <v>0.69588550178179454</v>
      </c>
      <c r="BA88" s="100">
        <v>690.59677196825294</v>
      </c>
      <c r="BB88" s="100">
        <v>2.9997828804248741</v>
      </c>
      <c r="BC88" s="100">
        <v>2976.9845305336448</v>
      </c>
      <c r="BD88" s="100">
        <v>3.5992641357518727</v>
      </c>
      <c r="BE88" s="100">
        <v>3571.9097283201581</v>
      </c>
      <c r="BF88" s="100">
        <v>2.4979970024712066</v>
      </c>
      <c r="BG88" s="100">
        <v>2479.0122252524252</v>
      </c>
      <c r="BH88" s="100">
        <v>0.89785007636385628</v>
      </c>
      <c r="BI88" s="100">
        <v>891.02641578349096</v>
      </c>
      <c r="BJ88" s="100">
        <v>4.4645965260110971</v>
      </c>
      <c r="BK88" s="100">
        <v>4430.6655924134129</v>
      </c>
      <c r="BL88" s="100">
        <v>2.308546822997779</v>
      </c>
      <c r="BM88" s="100">
        <v>2291.0018671429957</v>
      </c>
      <c r="BN88" s="100">
        <v>4.1341199778440707</v>
      </c>
      <c r="BO88" s="100">
        <v>4102.7006660124553</v>
      </c>
      <c r="BP88" s="100">
        <v>5.4435072018289645</v>
      </c>
      <c r="BQ88" s="100">
        <v>5402.1365470950641</v>
      </c>
      <c r="BR88" s="100">
        <v>4.5780678767108718</v>
      </c>
      <c r="BS88" s="100">
        <v>4543.274560847869</v>
      </c>
      <c r="BT88" s="100">
        <v>2.7152927144036485</v>
      </c>
      <c r="BU88" s="100">
        <v>2694.6564897741805</v>
      </c>
      <c r="BV88" s="100">
        <v>4.3540741248632759</v>
      </c>
      <c r="BW88" s="100">
        <v>4320.9831615143148</v>
      </c>
      <c r="BX88" s="100">
        <v>4.2698570974230377</v>
      </c>
      <c r="BY88" s="100">
        <v>4237.4061834826225</v>
      </c>
      <c r="BZ88" s="100">
        <v>3.4496183093709809</v>
      </c>
      <c r="CA88" s="100">
        <v>3423.4012102197612</v>
      </c>
      <c r="CB88" s="100">
        <v>3.2981506334244859</v>
      </c>
      <c r="CC88" s="100">
        <v>3273.0846886104596</v>
      </c>
      <c r="CD88" s="100">
        <v>3.5273955518808657</v>
      </c>
      <c r="CE88" s="100">
        <v>3500.5873456865711</v>
      </c>
      <c r="CF88" s="100">
        <v>2.8877270475127395</v>
      </c>
      <c r="CG88" s="100">
        <v>2865.7803219516427</v>
      </c>
      <c r="CH88" s="100">
        <v>3.0094995113373884</v>
      </c>
      <c r="CI88" s="100">
        <v>2986.6273150512243</v>
      </c>
      <c r="CJ88" s="100">
        <v>1.206421539390055</v>
      </c>
      <c r="CK88" s="100">
        <v>1197.2527356906905</v>
      </c>
      <c r="CL88" s="100">
        <v>5.3501899355118976</v>
      </c>
      <c r="CM88" s="100">
        <v>5309.5284920020067</v>
      </c>
      <c r="CN88" s="100">
        <v>4.4295958283003394</v>
      </c>
      <c r="CO88" s="100">
        <v>4395.9309000052563</v>
      </c>
      <c r="CP88" s="100">
        <v>0.70714848353285231</v>
      </c>
      <c r="CQ88" s="100">
        <v>701.77415505800263</v>
      </c>
      <c r="CR88" s="100">
        <v>4.2971422775650714</v>
      </c>
      <c r="CS88" s="100">
        <v>4264.483996255577</v>
      </c>
      <c r="CT88" s="100">
        <v>1.4510415750267482</v>
      </c>
      <c r="CU88" s="100">
        <v>1440.0136590565448</v>
      </c>
    </row>
    <row r="89" spans="2:99">
      <c r="C89" s="99" t="s">
        <v>255</v>
      </c>
      <c r="D89" s="100">
        <v>1.587798953340128</v>
      </c>
      <c r="E89" s="100">
        <v>1686.2424884472159</v>
      </c>
      <c r="F89" s="100">
        <v>4.3880627681781581</v>
      </c>
      <c r="G89" s="100">
        <v>4660.1226598052035</v>
      </c>
      <c r="H89" s="100">
        <v>4.3070311260593854</v>
      </c>
      <c r="I89" s="100">
        <v>4574.0670558750671</v>
      </c>
      <c r="J89" s="100">
        <v>3.0593791261424013</v>
      </c>
      <c r="K89" s="100">
        <v>3249.0606319632302</v>
      </c>
      <c r="L89" s="100">
        <v>2.4263078000510299</v>
      </c>
      <c r="M89" s="100">
        <v>2576.7388836541936</v>
      </c>
      <c r="N89" s="100">
        <v>3.7724093406613077</v>
      </c>
      <c r="O89" s="100">
        <v>4006.298719782309</v>
      </c>
      <c r="P89" s="100">
        <v>1.4890720431067128</v>
      </c>
      <c r="Q89" s="100">
        <v>1581.3945097793289</v>
      </c>
      <c r="R89" s="100">
        <v>3.5246280520688145</v>
      </c>
      <c r="S89" s="100">
        <v>3743.1549912970809</v>
      </c>
      <c r="T89" s="100">
        <v>3.4561794561877979</v>
      </c>
      <c r="U89" s="100">
        <v>3670.4625824714412</v>
      </c>
      <c r="V89" s="100">
        <v>5.827527862066348</v>
      </c>
      <c r="W89" s="100">
        <v>6188.8345895144612</v>
      </c>
      <c r="X89" s="100">
        <v>3.726647221949333</v>
      </c>
      <c r="Y89" s="100">
        <v>3957.6993497101917</v>
      </c>
      <c r="Z89" s="100">
        <v>3.3204924917803207</v>
      </c>
      <c r="AA89" s="100">
        <v>3526.3630262707006</v>
      </c>
      <c r="AB89" s="100">
        <v>2.0236487875703237</v>
      </c>
      <c r="AC89" s="100">
        <v>2149.115012399684</v>
      </c>
      <c r="AD89" s="100">
        <v>4.8530973652952119</v>
      </c>
      <c r="AE89" s="100">
        <v>5153.9894019435151</v>
      </c>
      <c r="AF89" s="100">
        <v>5.4455264950973055</v>
      </c>
      <c r="AG89" s="100">
        <v>5783.149137793338</v>
      </c>
      <c r="AH89" s="100">
        <v>0.77206653053231922</v>
      </c>
      <c r="AI89" s="100">
        <v>819.93465542532306</v>
      </c>
      <c r="AJ89" s="100">
        <v>0.97972589586037473</v>
      </c>
      <c r="AK89" s="100">
        <v>1040.4689014037181</v>
      </c>
      <c r="AL89" s="100">
        <v>0.9739287012103135</v>
      </c>
      <c r="AM89" s="100">
        <v>1034.312280685353</v>
      </c>
      <c r="AN89" s="100">
        <v>0.86552471781530049</v>
      </c>
      <c r="AO89" s="100">
        <v>919.18725031984911</v>
      </c>
      <c r="AP89" s="100">
        <v>3.4804321707943848</v>
      </c>
      <c r="AQ89" s="100">
        <v>3696.2189653836367</v>
      </c>
      <c r="AR89" s="100">
        <v>3.8969142069629132</v>
      </c>
      <c r="AS89" s="100">
        <v>4138.5228877946138</v>
      </c>
      <c r="AT89" s="100">
        <v>2.6135756833502151</v>
      </c>
      <c r="AU89" s="100">
        <v>2775.6173757179286</v>
      </c>
      <c r="AV89" s="100">
        <v>3.0082946827244039</v>
      </c>
      <c r="AW89" s="100">
        <v>3194.8089530533171</v>
      </c>
      <c r="AX89" s="100">
        <v>3.0005709516610186</v>
      </c>
      <c r="AY89" s="100">
        <v>3186.6063506640016</v>
      </c>
      <c r="AZ89" s="100">
        <v>0.8318750162105516</v>
      </c>
      <c r="BA89" s="100">
        <v>883.45126721560575</v>
      </c>
      <c r="BB89" s="100">
        <v>2.9997828804248741</v>
      </c>
      <c r="BC89" s="100">
        <v>3185.7694190112161</v>
      </c>
      <c r="BD89" s="100">
        <v>4.3905586793469249</v>
      </c>
      <c r="BE89" s="100">
        <v>4662.7733174664345</v>
      </c>
      <c r="BF89" s="100">
        <v>2.489636534960618</v>
      </c>
      <c r="BG89" s="100">
        <v>2643.9940001281761</v>
      </c>
      <c r="BH89" s="100">
        <v>0.89785007636385628</v>
      </c>
      <c r="BI89" s="100">
        <v>953.51678109841532</v>
      </c>
      <c r="BJ89" s="100">
        <v>4</v>
      </c>
      <c r="BK89" s="100">
        <v>4248</v>
      </c>
      <c r="BL89" s="100">
        <v>2.4305164785595479</v>
      </c>
      <c r="BM89" s="100">
        <v>2581.2085002302397</v>
      </c>
      <c r="BN89" s="100">
        <v>4.8231399741514149</v>
      </c>
      <c r="BO89" s="100">
        <v>5122.1746525488024</v>
      </c>
      <c r="BP89" s="100">
        <v>6.3507584021337928</v>
      </c>
      <c r="BQ89" s="100">
        <v>6744.505423066088</v>
      </c>
      <c r="BR89" s="100">
        <v>4.5597317605406422</v>
      </c>
      <c r="BS89" s="100">
        <v>4842.4351296941622</v>
      </c>
      <c r="BT89" s="100">
        <v>2.7382193678426954</v>
      </c>
      <c r="BU89" s="100">
        <v>2907.9889686489423</v>
      </c>
      <c r="BV89" s="100">
        <v>4.5792274809777469</v>
      </c>
      <c r="BW89" s="100">
        <v>4863.1395847983677</v>
      </c>
      <c r="BX89" s="100">
        <v>4.2698570974230377</v>
      </c>
      <c r="BY89" s="100">
        <v>4534.5882374632656</v>
      </c>
      <c r="BZ89" s="100">
        <v>3.4496183093709809</v>
      </c>
      <c r="CA89" s="100">
        <v>3663.4946445519818</v>
      </c>
      <c r="CB89" s="100">
        <v>3.8278522412813123</v>
      </c>
      <c r="CC89" s="100">
        <v>4065.1790802407536</v>
      </c>
      <c r="CD89" s="100">
        <v>3.5273955518808657</v>
      </c>
      <c r="CE89" s="100">
        <v>3746.0940760974795</v>
      </c>
      <c r="CF89" s="100">
        <v>3.436289722156376</v>
      </c>
      <c r="CG89" s="100">
        <v>3649.3396849300711</v>
      </c>
      <c r="CH89" s="100">
        <v>3.7286756721458709</v>
      </c>
      <c r="CI89" s="100">
        <v>3959.8535638189151</v>
      </c>
      <c r="CJ89" s="100">
        <v>1.3787674735886344</v>
      </c>
      <c r="CK89" s="100">
        <v>1464.2510569511296</v>
      </c>
      <c r="CL89" s="100">
        <v>4.458491612926581</v>
      </c>
      <c r="CM89" s="100">
        <v>4734.9180929280292</v>
      </c>
      <c r="CN89" s="100">
        <v>4.4295958283003394</v>
      </c>
      <c r="CO89" s="100">
        <v>4704.2307696549606</v>
      </c>
      <c r="CP89" s="100">
        <v>0.70714848353285231</v>
      </c>
      <c r="CQ89" s="100">
        <v>750.99168951188915</v>
      </c>
      <c r="CR89" s="100">
        <v>3.5959604920660042</v>
      </c>
      <c r="CS89" s="100">
        <v>3818.9100425740967</v>
      </c>
      <c r="CT89" s="100">
        <v>1.4510415750267482</v>
      </c>
      <c r="CU89" s="100">
        <v>1541.0061526784066</v>
      </c>
    </row>
    <row r="90" spans="2:99">
      <c r="C90" s="99" t="s">
        <v>256</v>
      </c>
      <c r="D90" s="100">
        <v>1.5721216029893035</v>
      </c>
      <c r="E90" s="100">
        <v>1743.1684333945395</v>
      </c>
      <c r="F90" s="100">
        <v>5.0597461688399887</v>
      </c>
      <c r="G90" s="100">
        <v>5610.2465520097794</v>
      </c>
      <c r="H90" s="100">
        <v>4.9566800972685945</v>
      </c>
      <c r="I90" s="100">
        <v>5495.9668918514171</v>
      </c>
      <c r="J90" s="100">
        <v>2.5428656925844089</v>
      </c>
      <c r="K90" s="100">
        <v>2819.5294799375924</v>
      </c>
      <c r="L90" s="100">
        <v>2.4263078000510299</v>
      </c>
      <c r="M90" s="100">
        <v>2690.2900886965817</v>
      </c>
      <c r="N90" s="100">
        <v>3.7724093406613077</v>
      </c>
      <c r="O90" s="100">
        <v>4182.847476925258</v>
      </c>
      <c r="P90" s="100">
        <v>1.4890720431067128</v>
      </c>
      <c r="Q90" s="100">
        <v>1651.0830813967232</v>
      </c>
      <c r="R90" s="100">
        <v>4.2237708063197106</v>
      </c>
      <c r="S90" s="100">
        <v>4683.3170700472947</v>
      </c>
      <c r="T90" s="100">
        <v>4.03220936555243</v>
      </c>
      <c r="U90" s="100">
        <v>4470.9137445245342</v>
      </c>
      <c r="V90" s="100">
        <v>5.827527862066348</v>
      </c>
      <c r="W90" s="100">
        <v>6461.5628934591659</v>
      </c>
      <c r="X90" s="100">
        <v>3.726647221949333</v>
      </c>
      <c r="Y90" s="100">
        <v>4132.1064396974198</v>
      </c>
      <c r="Z90" s="100">
        <v>4.1235731280896326</v>
      </c>
      <c r="AA90" s="100">
        <v>4572.2178844257842</v>
      </c>
      <c r="AB90" s="100">
        <v>2.0236487875703237</v>
      </c>
      <c r="AC90" s="100">
        <v>2243.8217756579747</v>
      </c>
      <c r="AD90" s="100">
        <v>4.0442478044126764</v>
      </c>
      <c r="AE90" s="100">
        <v>4484.2619655327753</v>
      </c>
      <c r="AF90" s="100">
        <v>5.3960235511976045</v>
      </c>
      <c r="AG90" s="100">
        <v>5983.1109135679035</v>
      </c>
      <c r="AH90" s="100">
        <v>0.77206653053231922</v>
      </c>
      <c r="AI90" s="100">
        <v>856.06736905423554</v>
      </c>
      <c r="AJ90" s="100">
        <v>0.97972589586037473</v>
      </c>
      <c r="AK90" s="100">
        <v>1086.3200733299834</v>
      </c>
      <c r="AL90" s="100">
        <v>0.83479602960884014</v>
      </c>
      <c r="AM90" s="100">
        <v>925.6218376302819</v>
      </c>
      <c r="AN90" s="100">
        <v>0.86552471781530049</v>
      </c>
      <c r="AO90" s="100">
        <v>959.6938071136052</v>
      </c>
      <c r="AP90" s="100">
        <v>2.9003601423286538</v>
      </c>
      <c r="AQ90" s="100">
        <v>3215.9193258140112</v>
      </c>
      <c r="AR90" s="100">
        <v>3.1792330714928236</v>
      </c>
      <c r="AS90" s="100">
        <v>3525.1336296712425</v>
      </c>
      <c r="AT90" s="100">
        <v>2.008175883898637</v>
      </c>
      <c r="AU90" s="100">
        <v>2226.6654200668086</v>
      </c>
      <c r="AV90" s="100">
        <v>3.0082946827244039</v>
      </c>
      <c r="AW90" s="100">
        <v>3335.597144204819</v>
      </c>
      <c r="AX90" s="100">
        <v>3.0005709516610186</v>
      </c>
      <c r="AY90" s="100">
        <v>3327.0330712017371</v>
      </c>
      <c r="AZ90" s="100">
        <v>0.8318750162105516</v>
      </c>
      <c r="BA90" s="100">
        <v>922.38301797425959</v>
      </c>
      <c r="BB90" s="100">
        <v>2.9997828804248741</v>
      </c>
      <c r="BC90" s="100">
        <v>3326.1592578151003</v>
      </c>
      <c r="BD90" s="100">
        <v>3.5992641357518727</v>
      </c>
      <c r="BE90" s="100">
        <v>3990.864073721676</v>
      </c>
      <c r="BF90" s="100">
        <v>2.489636534960618</v>
      </c>
      <c r="BG90" s="100">
        <v>2760.5089899643331</v>
      </c>
      <c r="BH90" s="100">
        <v>0.89785007636385628</v>
      </c>
      <c r="BI90" s="100">
        <v>995.53616467224379</v>
      </c>
      <c r="BJ90" s="100">
        <v>4.5110561786122068</v>
      </c>
      <c r="BK90" s="100">
        <v>5001.8590908452143</v>
      </c>
      <c r="BL90" s="100">
        <v>1.846837458398223</v>
      </c>
      <c r="BM90" s="100">
        <v>2047.7733738719496</v>
      </c>
      <c r="BN90" s="100">
        <v>4.8231399741514149</v>
      </c>
      <c r="BO90" s="100">
        <v>5347.8976033390891</v>
      </c>
      <c r="BP90" s="100">
        <v>5.4435072018289645</v>
      </c>
      <c r="BQ90" s="100">
        <v>6035.7607853879554</v>
      </c>
      <c r="BR90" s="100">
        <v>4.5597317605406422</v>
      </c>
      <c r="BS90" s="100">
        <v>5055.8305760874637</v>
      </c>
      <c r="BT90" s="100">
        <v>2.7382193678426954</v>
      </c>
      <c r="BU90" s="100">
        <v>3036.1376350639807</v>
      </c>
      <c r="BV90" s="100">
        <v>4.6355158200063649</v>
      </c>
      <c r="BW90" s="100">
        <v>5139.8599412230569</v>
      </c>
      <c r="BX90" s="100">
        <v>4.2463543314602665</v>
      </c>
      <c r="BY90" s="100">
        <v>4708.3576827231436</v>
      </c>
      <c r="BZ90" s="100">
        <v>3.4496183093709809</v>
      </c>
      <c r="CA90" s="100">
        <v>3824.9367814305433</v>
      </c>
      <c r="CB90" s="100">
        <v>3.2981506334244859</v>
      </c>
      <c r="CC90" s="100">
        <v>3656.9894223410697</v>
      </c>
      <c r="CD90" s="100">
        <v>3.5273955518808657</v>
      </c>
      <c r="CE90" s="100">
        <v>3911.1761879255037</v>
      </c>
      <c r="CF90" s="100">
        <v>2.8670250940420883</v>
      </c>
      <c r="CG90" s="100">
        <v>3178.9574242738672</v>
      </c>
      <c r="CH90" s="100">
        <v>3.0000141636157127</v>
      </c>
      <c r="CI90" s="100">
        <v>3326.4157046171022</v>
      </c>
      <c r="CJ90" s="100">
        <v>1.3787674735886344</v>
      </c>
      <c r="CK90" s="100">
        <v>1528.7773747150777</v>
      </c>
      <c r="CL90" s="100">
        <v>5.3501899355118976</v>
      </c>
      <c r="CM90" s="100">
        <v>5932.2906004955921</v>
      </c>
      <c r="CN90" s="100">
        <v>4.4295958283003394</v>
      </c>
      <c r="CO90" s="100">
        <v>4911.535854419416</v>
      </c>
      <c r="CP90" s="100">
        <v>0.70714848353285231</v>
      </c>
      <c r="CQ90" s="100">
        <v>784.08623854122663</v>
      </c>
      <c r="CR90" s="100">
        <v>3.6049656485230703</v>
      </c>
      <c r="CS90" s="100">
        <v>3997.1859110823802</v>
      </c>
      <c r="CT90" s="100">
        <v>1.4510415750267482</v>
      </c>
      <c r="CU90" s="100">
        <v>1608.9148983896584</v>
      </c>
    </row>
    <row r="91" spans="2:99">
      <c r="C91" s="99" t="s">
        <v>257</v>
      </c>
      <c r="D91" s="100">
        <v>1.2300425908821584</v>
      </c>
      <c r="E91" s="100">
        <v>1397.8204002784846</v>
      </c>
      <c r="F91" s="100">
        <v>4.3701646499677995</v>
      </c>
      <c r="G91" s="100">
        <v>4966.2551082234068</v>
      </c>
      <c r="H91" s="100">
        <v>4.272936351159041</v>
      </c>
      <c r="I91" s="100">
        <v>4855.7648694571335</v>
      </c>
      <c r="J91" s="100">
        <v>2.5428656925844089</v>
      </c>
      <c r="K91" s="100">
        <v>2889.7125730529219</v>
      </c>
      <c r="L91" s="100">
        <v>2.9115693600612356</v>
      </c>
      <c r="M91" s="100">
        <v>3308.7074207735877</v>
      </c>
      <c r="N91" s="100">
        <v>3.7724093406613077</v>
      </c>
      <c r="O91" s="100">
        <v>4286.96597472751</v>
      </c>
      <c r="P91" s="100">
        <v>1.4890720431067128</v>
      </c>
      <c r="Q91" s="100">
        <v>1692.1814697864681</v>
      </c>
      <c r="R91" s="100">
        <v>3.5246280520688145</v>
      </c>
      <c r="S91" s="100">
        <v>4005.3873183710002</v>
      </c>
      <c r="T91" s="100">
        <v>4.03220936555243</v>
      </c>
      <c r="U91" s="100">
        <v>4582.202723013781</v>
      </c>
      <c r="V91" s="100">
        <v>4.8562732183886235</v>
      </c>
      <c r="W91" s="100">
        <v>5518.668885376831</v>
      </c>
      <c r="X91" s="100">
        <v>3.726647221949333</v>
      </c>
      <c r="Y91" s="100">
        <v>4234.9619030232216</v>
      </c>
      <c r="Z91" s="100">
        <v>4.0875164792419421</v>
      </c>
      <c r="AA91" s="100">
        <v>4645.0537270105424</v>
      </c>
      <c r="AB91" s="100">
        <v>2.3534522010460841</v>
      </c>
      <c r="AC91" s="100">
        <v>2674.4630812687697</v>
      </c>
      <c r="AD91" s="100">
        <v>4.0442478044126764</v>
      </c>
      <c r="AE91" s="100">
        <v>4595.8832049345647</v>
      </c>
      <c r="AF91" s="100">
        <v>5.3960235511976045</v>
      </c>
      <c r="AG91" s="100">
        <v>6132.0411635809569</v>
      </c>
      <c r="AH91" s="100">
        <v>1.029422040709759</v>
      </c>
      <c r="AI91" s="100">
        <v>1169.8352070625699</v>
      </c>
      <c r="AJ91" s="100">
        <v>0.97972589586037473</v>
      </c>
      <c r="AK91" s="100">
        <v>1113.3605080557297</v>
      </c>
      <c r="AL91" s="100">
        <v>0.9739287012103135</v>
      </c>
      <c r="AM91" s="100">
        <v>1106.7725760554001</v>
      </c>
      <c r="AN91" s="100">
        <v>0.86552471781530049</v>
      </c>
      <c r="AO91" s="100">
        <v>983.58228932530733</v>
      </c>
      <c r="AP91" s="100">
        <v>2.9003601423286538</v>
      </c>
      <c r="AQ91" s="100">
        <v>3295.969265742282</v>
      </c>
      <c r="AR91" s="100">
        <v>3.8969142069629132</v>
      </c>
      <c r="AS91" s="100">
        <v>4428.4533047926543</v>
      </c>
      <c r="AT91" s="100">
        <v>2.6135756833502151</v>
      </c>
      <c r="AU91" s="100">
        <v>2970.0674065591838</v>
      </c>
      <c r="AV91" s="100">
        <v>3.7603683534055046</v>
      </c>
      <c r="AW91" s="100">
        <v>4273.2825968100151</v>
      </c>
      <c r="AX91" s="100">
        <v>2.2504282137457641</v>
      </c>
      <c r="AY91" s="100">
        <v>2557.3866221006861</v>
      </c>
      <c r="AZ91" s="100">
        <v>0.69057285856912487</v>
      </c>
      <c r="BA91" s="100">
        <v>784.7669964779534</v>
      </c>
      <c r="BB91" s="100">
        <v>2.9997828804248741</v>
      </c>
      <c r="BC91" s="100">
        <v>3408.9532653148267</v>
      </c>
      <c r="BD91" s="100">
        <v>4.3731571168345242</v>
      </c>
      <c r="BE91" s="100">
        <v>4969.6557475707532</v>
      </c>
      <c r="BF91" s="100">
        <v>2.489636534960618</v>
      </c>
      <c r="BG91" s="100">
        <v>2829.222958329246</v>
      </c>
      <c r="BH91" s="100">
        <v>0.89785007636385628</v>
      </c>
      <c r="BI91" s="100">
        <v>1020.3168267798861</v>
      </c>
      <c r="BJ91" s="100">
        <v>4</v>
      </c>
      <c r="BK91" s="100">
        <v>4545.5999999999995</v>
      </c>
      <c r="BL91" s="100">
        <v>1.9688071139599919</v>
      </c>
      <c r="BM91" s="100">
        <v>2237.3524043041343</v>
      </c>
      <c r="BN91" s="100">
        <v>4.1341199778440707</v>
      </c>
      <c r="BO91" s="100">
        <v>4698.0139428220018</v>
      </c>
      <c r="BP91" s="100">
        <v>6.3507584021337928</v>
      </c>
      <c r="BQ91" s="100">
        <v>7217.001848184841</v>
      </c>
      <c r="BR91" s="100">
        <v>4.5597317605406422</v>
      </c>
      <c r="BS91" s="100">
        <v>5181.6791726783849</v>
      </c>
      <c r="BT91" s="100">
        <v>2.7382193678426954</v>
      </c>
      <c r="BU91" s="100">
        <v>3111.7124896164387</v>
      </c>
      <c r="BV91" s="100">
        <v>4.6355158200063649</v>
      </c>
      <c r="BW91" s="100">
        <v>5267.8001778552325</v>
      </c>
      <c r="BX91" s="100">
        <v>4.2698570974230377</v>
      </c>
      <c r="BY91" s="100">
        <v>4852.2656055115394</v>
      </c>
      <c r="BZ91" s="100">
        <v>3.4252377545775836</v>
      </c>
      <c r="CA91" s="100">
        <v>3892.4401843019655</v>
      </c>
      <c r="CB91" s="100">
        <v>3.8278522412813123</v>
      </c>
      <c r="CC91" s="100">
        <v>4349.9712869920832</v>
      </c>
      <c r="CD91" s="100">
        <v>4.0947814402924188</v>
      </c>
      <c r="CE91" s="100">
        <v>4653.309628748304</v>
      </c>
      <c r="CF91" s="100">
        <v>3.4155877686857248</v>
      </c>
      <c r="CG91" s="100">
        <v>3881.473940334457</v>
      </c>
      <c r="CH91" s="100">
        <v>3.7286756721458709</v>
      </c>
      <c r="CI91" s="100">
        <v>4237.2670338265671</v>
      </c>
      <c r="CJ91" s="100">
        <v>1.3787674735886344</v>
      </c>
      <c r="CK91" s="100">
        <v>1566.8313569861239</v>
      </c>
      <c r="CL91" s="100">
        <v>5.3501899355118976</v>
      </c>
      <c r="CM91" s="100">
        <v>6079.9558427157199</v>
      </c>
      <c r="CN91" s="100">
        <v>4.4704057758455233</v>
      </c>
      <c r="CO91" s="100">
        <v>5080.1691236708521</v>
      </c>
      <c r="CP91" s="100">
        <v>0.70714848353285231</v>
      </c>
      <c r="CQ91" s="100">
        <v>803.60353668673326</v>
      </c>
      <c r="CR91" s="100">
        <v>3.5869553356089376</v>
      </c>
      <c r="CS91" s="100">
        <v>4076.2160433859963</v>
      </c>
      <c r="CT91" s="100">
        <v>1.4510415750267482</v>
      </c>
      <c r="CU91" s="100">
        <v>1648.9636458603966</v>
      </c>
    </row>
    <row r="92" spans="2:99">
      <c r="C92" s="99" t="s">
        <v>258</v>
      </c>
      <c r="D92" s="100">
        <v>1.5721216029893035</v>
      </c>
      <c r="E92" s="100">
        <v>1233.8010340260053</v>
      </c>
      <c r="F92" s="100">
        <v>4.3880627681781581</v>
      </c>
      <c r="G92" s="100">
        <v>3443.7516604662183</v>
      </c>
      <c r="H92" s="100">
        <v>4.9566800972685945</v>
      </c>
      <c r="I92" s="100">
        <v>3890.0025403363929</v>
      </c>
      <c r="J92" s="100">
        <v>2.5825671677899611</v>
      </c>
      <c r="K92" s="100">
        <v>2026.7987132815613</v>
      </c>
      <c r="L92" s="100">
        <v>2.9115693600612356</v>
      </c>
      <c r="M92" s="100">
        <v>2284.9996337760576</v>
      </c>
      <c r="N92" s="100">
        <v>3.7724093406613077</v>
      </c>
      <c r="O92" s="100">
        <v>2960.5868505509943</v>
      </c>
      <c r="P92" s="100">
        <v>1.4890720431067128</v>
      </c>
      <c r="Q92" s="100">
        <v>1168.6237394301481</v>
      </c>
      <c r="R92" s="100">
        <v>4.2237708063197106</v>
      </c>
      <c r="S92" s="100">
        <v>3314.8153287997088</v>
      </c>
      <c r="T92" s="100">
        <v>3.4561794561877979</v>
      </c>
      <c r="U92" s="100">
        <v>2712.4096372161835</v>
      </c>
      <c r="V92" s="100">
        <v>5.827527862066348</v>
      </c>
      <c r="W92" s="100">
        <v>4573.4438661496697</v>
      </c>
      <c r="X92" s="100">
        <v>3.7037010713022562</v>
      </c>
      <c r="Y92" s="100">
        <v>2906.6646007580107</v>
      </c>
      <c r="Z92" s="100">
        <v>3.3204924917803207</v>
      </c>
      <c r="AA92" s="100">
        <v>2605.9225075491954</v>
      </c>
      <c r="AB92" s="100">
        <v>2.3598562448626215</v>
      </c>
      <c r="AC92" s="100">
        <v>1852.0151809681852</v>
      </c>
      <c r="AD92" s="100">
        <v>5.6619469261777473</v>
      </c>
      <c r="AE92" s="100">
        <v>4443.4959476642962</v>
      </c>
      <c r="AF92" s="100">
        <v>5.3960235511976045</v>
      </c>
      <c r="AG92" s="100">
        <v>4234.7992829798795</v>
      </c>
      <c r="AH92" s="100">
        <v>0.77206653053231922</v>
      </c>
      <c r="AI92" s="100">
        <v>605.91781316176412</v>
      </c>
      <c r="AJ92" s="100">
        <v>0.97972589586037473</v>
      </c>
      <c r="AK92" s="100">
        <v>768.88888307122204</v>
      </c>
      <c r="AL92" s="100">
        <v>0.9739287012103135</v>
      </c>
      <c r="AM92" s="100">
        <v>764.33924470985403</v>
      </c>
      <c r="AN92" s="100">
        <v>0.86552471781530049</v>
      </c>
      <c r="AO92" s="100">
        <v>679.26379854144784</v>
      </c>
      <c r="AP92" s="100">
        <v>2.9003601423286538</v>
      </c>
      <c r="AQ92" s="100">
        <v>2276.2026396995275</v>
      </c>
      <c r="AR92" s="100">
        <v>3.8969142069629132</v>
      </c>
      <c r="AS92" s="100">
        <v>3058.298269624494</v>
      </c>
      <c r="AT92" s="100">
        <v>2.5943780347958243</v>
      </c>
      <c r="AU92" s="100">
        <v>2036.0678817077628</v>
      </c>
      <c r="AV92" s="100">
        <v>3.0082946827244039</v>
      </c>
      <c r="AW92" s="100">
        <v>2360.9096670021122</v>
      </c>
      <c r="AX92" s="100">
        <v>3.0005709516610186</v>
      </c>
      <c r="AY92" s="100">
        <v>2354.8480828635675</v>
      </c>
      <c r="AZ92" s="100">
        <v>0.8318750162105516</v>
      </c>
      <c r="BA92" s="100">
        <v>652.85551272204088</v>
      </c>
      <c r="BB92" s="100">
        <v>2.9997828804248741</v>
      </c>
      <c r="BC92" s="100">
        <v>2354.2296045574412</v>
      </c>
      <c r="BD92" s="100">
        <v>4.3905586793469249</v>
      </c>
      <c r="BE92" s="100">
        <v>3445.7104515514666</v>
      </c>
      <c r="BF92" s="100">
        <v>1.8881285699969357</v>
      </c>
      <c r="BG92" s="100">
        <v>1481.8033017335949</v>
      </c>
      <c r="BH92" s="100">
        <v>0.89785007636385628</v>
      </c>
      <c r="BI92" s="100">
        <v>704.63273993035432</v>
      </c>
      <c r="BJ92" s="100">
        <v>3.4645965260110971</v>
      </c>
      <c r="BK92" s="100">
        <v>2719.015353613509</v>
      </c>
      <c r="BL92" s="100">
        <v>2.308546822997779</v>
      </c>
      <c r="BM92" s="100">
        <v>1811.7475466886569</v>
      </c>
      <c r="BN92" s="100">
        <v>4.1341199778440707</v>
      </c>
      <c r="BO92" s="100">
        <v>3244.4573586120264</v>
      </c>
      <c r="BP92" s="100">
        <v>6.3507584021337928</v>
      </c>
      <c r="BQ92" s="100">
        <v>4984.0751939946003</v>
      </c>
      <c r="BR92" s="100">
        <v>4.5597317605406422</v>
      </c>
      <c r="BS92" s="100">
        <v>3578.4774856722956</v>
      </c>
      <c r="BT92" s="100">
        <v>2.7152927144036485</v>
      </c>
      <c r="BU92" s="100">
        <v>2130.9617222639831</v>
      </c>
      <c r="BV92" s="100">
        <v>4.6073716504920554</v>
      </c>
      <c r="BW92" s="100">
        <v>3615.8652713061647</v>
      </c>
      <c r="BX92" s="100">
        <v>4.2933598633858097</v>
      </c>
      <c r="BY92" s="100">
        <v>3369.4288207851832</v>
      </c>
      <c r="BZ92" s="100">
        <v>3.4252377545775836</v>
      </c>
      <c r="CA92" s="100">
        <v>2688.1265897924873</v>
      </c>
      <c r="CB92" s="100">
        <v>3.8278522412813123</v>
      </c>
      <c r="CC92" s="100">
        <v>3004.0984389575738</v>
      </c>
      <c r="CD92" s="100">
        <v>3.5273955518808657</v>
      </c>
      <c r="CE92" s="100">
        <v>2768.3000291161034</v>
      </c>
      <c r="CF92" s="100">
        <v>3.436289722156376</v>
      </c>
      <c r="CG92" s="100">
        <v>2696.8001739483238</v>
      </c>
      <c r="CH92" s="100">
        <v>3.7381610198675461</v>
      </c>
      <c r="CI92" s="100">
        <v>2933.7087683920499</v>
      </c>
      <c r="CJ92" s="100">
        <v>1.206421539390055</v>
      </c>
      <c r="CK92" s="100">
        <v>946.79962411331519</v>
      </c>
      <c r="CL92" s="100">
        <v>4.458491612926581</v>
      </c>
      <c r="CM92" s="100">
        <v>3499.0242178247804</v>
      </c>
      <c r="CN92" s="100">
        <v>4.4295958283003394</v>
      </c>
      <c r="CO92" s="100">
        <v>3476.3468060501064</v>
      </c>
      <c r="CP92" s="100">
        <v>0.70714848353285231</v>
      </c>
      <c r="CQ92" s="100">
        <v>554.97012987658252</v>
      </c>
      <c r="CR92" s="100">
        <v>3.6049656485230703</v>
      </c>
      <c r="CS92" s="100">
        <v>2829.1770409609053</v>
      </c>
      <c r="CT92" s="100">
        <v>1.6928818375312065</v>
      </c>
      <c r="CU92" s="100">
        <v>1328.5736660944908</v>
      </c>
    </row>
    <row r="93" spans="2:99">
      <c r="C93" s="99" t="s">
        <v>259</v>
      </c>
      <c r="D93" s="100">
        <v>1.2300425908821584</v>
      </c>
      <c r="E93" s="100">
        <v>853.15754103586505</v>
      </c>
      <c r="F93" s="100">
        <v>4.3701646499677995</v>
      </c>
      <c r="G93" s="100">
        <v>3031.1462012176657</v>
      </c>
      <c r="H93" s="100">
        <v>4.990774872168938</v>
      </c>
      <c r="I93" s="100">
        <v>3461.6014513363757</v>
      </c>
      <c r="J93" s="100">
        <v>3.0593791261424013</v>
      </c>
      <c r="K93" s="100">
        <v>2121.9853618923694</v>
      </c>
      <c r="L93" s="100">
        <v>2.4263078000510299</v>
      </c>
      <c r="M93" s="100">
        <v>1682.8870901153944</v>
      </c>
      <c r="N93" s="100">
        <v>4.7155116758266349</v>
      </c>
      <c r="O93" s="100">
        <v>3270.6788983533543</v>
      </c>
      <c r="P93" s="100">
        <v>1.4890720431067128</v>
      </c>
      <c r="Q93" s="100">
        <v>1032.8203690988159</v>
      </c>
      <c r="R93" s="100">
        <v>4.2237708063197106</v>
      </c>
      <c r="S93" s="100">
        <v>2929.6074312633514</v>
      </c>
      <c r="T93" s="100">
        <v>4.03220936555243</v>
      </c>
      <c r="U93" s="100">
        <v>2796.7404159471657</v>
      </c>
      <c r="V93" s="100">
        <v>4.8562732183886235</v>
      </c>
      <c r="W93" s="100">
        <v>3368.3111042743494</v>
      </c>
      <c r="X93" s="100">
        <v>3.0226208487242028</v>
      </c>
      <c r="Y93" s="100">
        <v>2096.4898206751072</v>
      </c>
      <c r="Z93" s="100">
        <v>4.0875164792419421</v>
      </c>
      <c r="AA93" s="100">
        <v>2835.1014300022111</v>
      </c>
      <c r="AB93" s="100">
        <v>2.3598562448626215</v>
      </c>
      <c r="AC93" s="100">
        <v>1636.7962914367142</v>
      </c>
      <c r="AD93" s="100">
        <v>4.8530973652952119</v>
      </c>
      <c r="AE93" s="100">
        <v>3366.1083325687591</v>
      </c>
      <c r="AF93" s="100">
        <v>5.3960235511976045</v>
      </c>
      <c r="AG93" s="100">
        <v>3742.6819351106587</v>
      </c>
      <c r="AH93" s="100">
        <v>0.77206653053231922</v>
      </c>
      <c r="AI93" s="100">
        <v>535.50534557721664</v>
      </c>
      <c r="AJ93" s="100">
        <v>0.83976505359460696</v>
      </c>
      <c r="AK93" s="100">
        <v>582.46104117321943</v>
      </c>
      <c r="AL93" s="100">
        <v>0.9739287012103135</v>
      </c>
      <c r="AM93" s="100">
        <v>675.51694715947349</v>
      </c>
      <c r="AN93" s="100">
        <v>0.86552471781530049</v>
      </c>
      <c r="AO93" s="100">
        <v>600.32794427669239</v>
      </c>
      <c r="AP93" s="100">
        <v>3.4804321707943848</v>
      </c>
      <c r="AQ93" s="100">
        <v>2414.0277536629856</v>
      </c>
      <c r="AR93" s="100">
        <v>3.8660633540016667</v>
      </c>
      <c r="AS93" s="100">
        <v>2681.5015423355562</v>
      </c>
      <c r="AT93" s="100">
        <v>1.9889782353442464</v>
      </c>
      <c r="AU93" s="100">
        <v>1379.5553040347693</v>
      </c>
      <c r="AV93" s="100">
        <v>3.7603683534055046</v>
      </c>
      <c r="AW93" s="100">
        <v>2608.1914899220583</v>
      </c>
      <c r="AX93" s="100">
        <v>3.0005709516610186</v>
      </c>
      <c r="AY93" s="100">
        <v>2081.1960120720828</v>
      </c>
      <c r="AZ93" s="100">
        <v>0.8318750162105516</v>
      </c>
      <c r="BA93" s="100">
        <v>576.98851124363864</v>
      </c>
      <c r="BB93" s="100">
        <v>2.9997828804248741</v>
      </c>
      <c r="BC93" s="100">
        <v>2080.6494058626927</v>
      </c>
      <c r="BD93" s="100">
        <v>3.5992641357518727</v>
      </c>
      <c r="BE93" s="100">
        <v>2496.4496045574988</v>
      </c>
      <c r="BF93" s="100">
        <v>2.489636534960618</v>
      </c>
      <c r="BG93" s="100">
        <v>1726.8119006486847</v>
      </c>
      <c r="BH93" s="100">
        <v>1.0774200916366274</v>
      </c>
      <c r="BI93" s="100">
        <v>747.29857555916487</v>
      </c>
      <c r="BJ93" s="100">
        <v>4.4645965260110971</v>
      </c>
      <c r="BK93" s="100">
        <v>3096.6441504412969</v>
      </c>
      <c r="BL93" s="100">
        <v>2.308546822997779</v>
      </c>
      <c r="BM93" s="100">
        <v>1601.2080764312595</v>
      </c>
      <c r="BN93" s="100">
        <v>4.8231399741514149</v>
      </c>
      <c r="BO93" s="100">
        <v>3345.3298860714217</v>
      </c>
      <c r="BP93" s="100">
        <v>5.4435072018289645</v>
      </c>
      <c r="BQ93" s="100">
        <v>3775.61659518857</v>
      </c>
      <c r="BR93" s="100">
        <v>4.5780678767108718</v>
      </c>
      <c r="BS93" s="100">
        <v>3175.3478792866608</v>
      </c>
      <c r="BT93" s="100">
        <v>2.7382193678426954</v>
      </c>
      <c r="BU93" s="100">
        <v>1899.2289535356936</v>
      </c>
      <c r="BV93" s="100">
        <v>5.3611948408169106</v>
      </c>
      <c r="BW93" s="100">
        <v>3718.5247415906092</v>
      </c>
      <c r="BX93" s="100">
        <v>4.973665691672621</v>
      </c>
      <c r="BY93" s="100">
        <v>3449.73452374413</v>
      </c>
      <c r="BZ93" s="100">
        <v>3.4252377545775836</v>
      </c>
      <c r="CA93" s="100">
        <v>2375.744906575012</v>
      </c>
      <c r="CB93" s="100">
        <v>3.3181407978050732</v>
      </c>
      <c r="CC93" s="100">
        <v>2301.4624573575989</v>
      </c>
      <c r="CD93" s="100">
        <v>3.5273955518808657</v>
      </c>
      <c r="CE93" s="100">
        <v>2446.6015547845686</v>
      </c>
      <c r="CF93" s="100">
        <v>3.4155877686857248</v>
      </c>
      <c r="CG93" s="100">
        <v>2369.0516763604187</v>
      </c>
      <c r="CH93" s="100">
        <v>3.7476463675892218</v>
      </c>
      <c r="CI93" s="100">
        <v>2599.3675205598843</v>
      </c>
      <c r="CJ93" s="100">
        <v>1.206421539390055</v>
      </c>
      <c r="CK93" s="100">
        <v>836.77397972094218</v>
      </c>
      <c r="CL93" s="100">
        <v>5.3501899355118976</v>
      </c>
      <c r="CM93" s="100">
        <v>3710.8917392710523</v>
      </c>
      <c r="CN93" s="100">
        <v>4.4295958283003394</v>
      </c>
      <c r="CO93" s="100">
        <v>3072.3676665091157</v>
      </c>
      <c r="CP93" s="100">
        <v>0.70714848353285231</v>
      </c>
      <c r="CQ93" s="100">
        <v>490.4781881783864</v>
      </c>
      <c r="CR93" s="100">
        <v>4.3061474340221375</v>
      </c>
      <c r="CS93" s="100">
        <v>2986.7438602377547</v>
      </c>
      <c r="CT93" s="100">
        <v>1.4510415750267482</v>
      </c>
      <c r="CU93" s="100">
        <v>1006.4424364385526</v>
      </c>
    </row>
    <row r="94" spans="2:99">
      <c r="C94" s="99" t="s">
        <v>260</v>
      </c>
      <c r="D94" s="100">
        <v>1.2300425908821584</v>
      </c>
      <c r="E94" s="100">
        <v>1467.1948024042385</v>
      </c>
      <c r="F94" s="100">
        <v>4.3701646499677995</v>
      </c>
      <c r="G94" s="100">
        <v>5212.7323944815907</v>
      </c>
      <c r="H94" s="100">
        <v>4.272936351159041</v>
      </c>
      <c r="I94" s="100">
        <v>5096.7584796625042</v>
      </c>
      <c r="J94" s="100">
        <v>3.0395283885396247</v>
      </c>
      <c r="K94" s="100">
        <v>3625.5494618500643</v>
      </c>
      <c r="L94" s="100">
        <v>2.9115693600612356</v>
      </c>
      <c r="M94" s="100">
        <v>3472.9199326810417</v>
      </c>
      <c r="N94" s="100">
        <v>3.7724093406613077</v>
      </c>
      <c r="O94" s="100">
        <v>4499.7298615408081</v>
      </c>
      <c r="P94" s="100">
        <v>1.4890720431067128</v>
      </c>
      <c r="Q94" s="100">
        <v>1776.1651330176869</v>
      </c>
      <c r="R94" s="100">
        <v>4.2237708063197106</v>
      </c>
      <c r="S94" s="100">
        <v>5038.1138177781504</v>
      </c>
      <c r="T94" s="100">
        <v>3.4561794561877979</v>
      </c>
      <c r="U94" s="100">
        <v>4122.5308553408049</v>
      </c>
      <c r="V94" s="100">
        <v>4.8562732183886235</v>
      </c>
      <c r="W94" s="100">
        <v>5792.5626948939498</v>
      </c>
      <c r="X94" s="100">
        <v>3.7037010713022562</v>
      </c>
      <c r="Y94" s="100">
        <v>4417.7746378493312</v>
      </c>
      <c r="Z94" s="100">
        <v>3.3204924917803207</v>
      </c>
      <c r="AA94" s="100">
        <v>3960.6834441955662</v>
      </c>
      <c r="AB94" s="100">
        <v>2.0300528313868611</v>
      </c>
      <c r="AC94" s="100">
        <v>2421.447017278248</v>
      </c>
      <c r="AD94" s="100">
        <v>4.8530973652952119</v>
      </c>
      <c r="AE94" s="100">
        <v>5788.7745373241287</v>
      </c>
      <c r="AF94" s="100">
        <v>6.4455264950973055</v>
      </c>
      <c r="AG94" s="100">
        <v>7688.2240033520657</v>
      </c>
      <c r="AH94" s="100">
        <v>0.77206653053231922</v>
      </c>
      <c r="AI94" s="100">
        <v>920.9209576189503</v>
      </c>
      <c r="AJ94" s="100">
        <v>0.83976505359460696</v>
      </c>
      <c r="AK94" s="100">
        <v>1001.6717559276472</v>
      </c>
      <c r="AL94" s="100">
        <v>0.83479602960884014</v>
      </c>
      <c r="AM94" s="100">
        <v>995.74470411742448</v>
      </c>
      <c r="AN94" s="100">
        <v>0.86552471781530049</v>
      </c>
      <c r="AO94" s="100">
        <v>1032.3978834100903</v>
      </c>
      <c r="AP94" s="100">
        <v>2.9003601423286538</v>
      </c>
      <c r="AQ94" s="100">
        <v>3459.5495777696183</v>
      </c>
      <c r="AR94" s="100">
        <v>3.8660633540016667</v>
      </c>
      <c r="AS94" s="100">
        <v>4611.4403686531878</v>
      </c>
      <c r="AT94" s="100">
        <v>1.9889782353442464</v>
      </c>
      <c r="AU94" s="100">
        <v>2372.4532391186171</v>
      </c>
      <c r="AV94" s="100">
        <v>3.7603683534055046</v>
      </c>
      <c r="AW94" s="100">
        <v>4485.3673719420858</v>
      </c>
      <c r="AX94" s="100">
        <v>2.2504282137457641</v>
      </c>
      <c r="AY94" s="100">
        <v>2684.3107733559473</v>
      </c>
      <c r="AZ94" s="100">
        <v>0.69588550178179454</v>
      </c>
      <c r="BA94" s="100">
        <v>830.0522265253245</v>
      </c>
      <c r="BB94" s="100">
        <v>2.9997828804248741</v>
      </c>
      <c r="BC94" s="100">
        <v>3578.1410197707896</v>
      </c>
      <c r="BD94" s="100">
        <v>3.7732797608758792</v>
      </c>
      <c r="BE94" s="100">
        <v>4500.768098772749</v>
      </c>
      <c r="BF94" s="100">
        <v>2.489636534960618</v>
      </c>
      <c r="BG94" s="100">
        <v>2969.6384589010249</v>
      </c>
      <c r="BH94" s="100">
        <v>0.89785007636385628</v>
      </c>
      <c r="BI94" s="100">
        <v>1070.9555710868078</v>
      </c>
      <c r="BJ94" s="100">
        <v>4.5110561786122068</v>
      </c>
      <c r="BK94" s="100">
        <v>5380.7878098486399</v>
      </c>
      <c r="BL94" s="100">
        <v>1.9862313504688165</v>
      </c>
      <c r="BM94" s="100">
        <v>2369.176754839204</v>
      </c>
      <c r="BN94" s="100">
        <v>4.8231399741514149</v>
      </c>
      <c r="BO94" s="100">
        <v>5753.0413611678077</v>
      </c>
      <c r="BP94" s="100">
        <v>6.3507584021337928</v>
      </c>
      <c r="BQ94" s="100">
        <v>7575.1846220651878</v>
      </c>
      <c r="BR94" s="100">
        <v>4.5597317605406422</v>
      </c>
      <c r="BS94" s="100">
        <v>5438.8480439728783</v>
      </c>
      <c r="BT94" s="100">
        <v>2.7152927144036485</v>
      </c>
      <c r="BU94" s="100">
        <v>3238.8011497406719</v>
      </c>
      <c r="BV94" s="100">
        <v>4.6073716504920554</v>
      </c>
      <c r="BW94" s="100">
        <v>5495.6729047069239</v>
      </c>
      <c r="BX94" s="100">
        <v>4.2463543314602665</v>
      </c>
      <c r="BY94" s="100">
        <v>5065.0514465658061</v>
      </c>
      <c r="BZ94" s="100">
        <v>3.4252377545775836</v>
      </c>
      <c r="CA94" s="100">
        <v>4085.6235936601415</v>
      </c>
      <c r="CB94" s="100">
        <v>3.8278522412813123</v>
      </c>
      <c r="CC94" s="100">
        <v>4565.8621534003487</v>
      </c>
      <c r="CD94" s="100">
        <v>3.5273955518808657</v>
      </c>
      <c r="CE94" s="100">
        <v>4207.4774142834967</v>
      </c>
      <c r="CF94" s="100">
        <v>2.8670250940420883</v>
      </c>
      <c r="CG94" s="100">
        <v>3419.7875321734027</v>
      </c>
      <c r="CH94" s="100">
        <v>3.7286756721458709</v>
      </c>
      <c r="CI94" s="100">
        <v>4447.564341735595</v>
      </c>
      <c r="CJ94" s="100">
        <v>1.3787674735886344</v>
      </c>
      <c r="CK94" s="100">
        <v>1644.5938424965229</v>
      </c>
      <c r="CL94" s="100">
        <v>5.3501899355118976</v>
      </c>
      <c r="CM94" s="100">
        <v>6381.706555078591</v>
      </c>
      <c r="CN94" s="100">
        <v>4.4295958283003394</v>
      </c>
      <c r="CO94" s="100">
        <v>5283.6219039966445</v>
      </c>
      <c r="CP94" s="100">
        <v>0.70714848353285231</v>
      </c>
      <c r="CQ94" s="100">
        <v>843.48671115798618</v>
      </c>
      <c r="CR94" s="100">
        <v>3.5959604920660042</v>
      </c>
      <c r="CS94" s="100">
        <v>4289.2616749363297</v>
      </c>
      <c r="CT94" s="100">
        <v>1.4510415750267482</v>
      </c>
      <c r="CU94" s="100">
        <v>1730.8023906919052</v>
      </c>
    </row>
    <row r="95" spans="2:99">
      <c r="B95" s="99" t="s">
        <v>132</v>
      </c>
      <c r="C95" s="99" t="s">
        <v>261</v>
      </c>
      <c r="D95" s="100">
        <v>3.4079354663316264</v>
      </c>
      <c r="E95" s="100">
        <v>1120.5291813298388</v>
      </c>
      <c r="F95" s="100">
        <v>4.9523574595778372</v>
      </c>
      <c r="G95" s="100">
        <v>1628.335132709193</v>
      </c>
      <c r="H95" s="100">
        <v>4.102462476657319</v>
      </c>
      <c r="I95" s="100">
        <v>1348.8896623249266</v>
      </c>
      <c r="J95" s="100">
        <v>3.9733015676417285</v>
      </c>
      <c r="K95" s="100">
        <v>1306.4215554406003</v>
      </c>
      <c r="L95" s="100">
        <v>5.8231387201224711</v>
      </c>
      <c r="M95" s="100">
        <v>1914.6480111762685</v>
      </c>
      <c r="N95" s="100">
        <v>7.5448186813226155</v>
      </c>
      <c r="O95" s="100">
        <v>2480.736382418876</v>
      </c>
      <c r="P95" s="100">
        <v>3.7226801077667817</v>
      </c>
      <c r="Q95" s="100">
        <v>1224.0172194337179</v>
      </c>
      <c r="R95" s="100">
        <v>6.7022847343656231</v>
      </c>
      <c r="S95" s="100">
        <v>2203.711220659417</v>
      </c>
      <c r="T95" s="100">
        <v>4.03220936555243</v>
      </c>
      <c r="U95" s="100">
        <v>1325.790439393639</v>
      </c>
      <c r="V95" s="100">
        <v>6.7987825057440725</v>
      </c>
      <c r="W95" s="100">
        <v>2235.439687888651</v>
      </c>
      <c r="X95" s="100">
        <v>5.6322109858010352</v>
      </c>
      <c r="Y95" s="100">
        <v>1851.8709721313805</v>
      </c>
      <c r="Z95" s="100">
        <v>5.7657910495559479</v>
      </c>
      <c r="AA95" s="100">
        <v>1895.7920970939958</v>
      </c>
      <c r="AB95" s="100">
        <v>2.9682307212818424</v>
      </c>
      <c r="AC95" s="100">
        <v>975.95426115746977</v>
      </c>
      <c r="AD95" s="100">
        <v>4.8530973652952119</v>
      </c>
      <c r="AE95" s="100">
        <v>1595.6984137090658</v>
      </c>
      <c r="AF95" s="100">
        <v>6.6435382706961077</v>
      </c>
      <c r="AG95" s="100">
        <v>2184.3953834048802</v>
      </c>
      <c r="AH95" s="100">
        <v>2.0588440814195179</v>
      </c>
      <c r="AI95" s="100">
        <v>676.94793397073749</v>
      </c>
      <c r="AJ95" s="100">
        <v>1.3996084226576782</v>
      </c>
      <c r="AK95" s="100">
        <v>460.19124936984457</v>
      </c>
      <c r="AL95" s="100">
        <v>1.3913267160147333</v>
      </c>
      <c r="AM95" s="100">
        <v>457.46822422564435</v>
      </c>
      <c r="AN95" s="100">
        <v>1.5867953159947175</v>
      </c>
      <c r="AO95" s="100">
        <v>521.73829989906312</v>
      </c>
      <c r="AP95" s="100">
        <v>5.4907817422179503</v>
      </c>
      <c r="AQ95" s="100">
        <v>1805.3690368412622</v>
      </c>
      <c r="AR95" s="100">
        <v>5.0237679482906268</v>
      </c>
      <c r="AS95" s="100">
        <v>1651.8149013979582</v>
      </c>
      <c r="AT95" s="100">
        <v>6.0539979945157789</v>
      </c>
      <c r="AU95" s="100">
        <v>1990.5545405967882</v>
      </c>
      <c r="AV95" s="100">
        <v>5.4167259097924889</v>
      </c>
      <c r="AW95" s="100">
        <v>1781.0194791397705</v>
      </c>
      <c r="AX95" s="100">
        <v>6.7512846412372927</v>
      </c>
      <c r="AY95" s="100">
        <v>2219.822390038822</v>
      </c>
      <c r="AZ95" s="100">
        <v>1.5011973019289979</v>
      </c>
      <c r="BA95" s="100">
        <v>493.59367287425454</v>
      </c>
      <c r="BB95" s="100">
        <v>5.5415620381549688</v>
      </c>
      <c r="BC95" s="100">
        <v>1822.0655981453538</v>
      </c>
      <c r="BD95" s="100">
        <v>4.9382313477683697</v>
      </c>
      <c r="BE95" s="100">
        <v>1623.6904671462401</v>
      </c>
      <c r="BF95" s="100">
        <v>6.6918318221958026</v>
      </c>
      <c r="BG95" s="100">
        <v>2200.27430313798</v>
      </c>
      <c r="BH95" s="100">
        <v>1.9752701680004841</v>
      </c>
      <c r="BI95" s="100">
        <v>649.46883123855923</v>
      </c>
      <c r="BJ95" s="100">
        <v>10.325217568207767</v>
      </c>
      <c r="BK95" s="100">
        <v>3394.931536426714</v>
      </c>
      <c r="BL95" s="100">
        <v>3.4062079172851316</v>
      </c>
      <c r="BM95" s="100">
        <v>1119.9611632033514</v>
      </c>
      <c r="BN95" s="100">
        <v>4.1341199778440707</v>
      </c>
      <c r="BO95" s="100">
        <v>1359.2986487151304</v>
      </c>
      <c r="BP95" s="100">
        <v>9.0725120030482742</v>
      </c>
      <c r="BQ95" s="100">
        <v>2983.0419466022727</v>
      </c>
      <c r="BR95" s="100">
        <v>4.5803598912321508</v>
      </c>
      <c r="BS95" s="100">
        <v>1506.0223322371312</v>
      </c>
      <c r="BT95" s="100">
        <v>6.5589652516186518</v>
      </c>
      <c r="BU95" s="100">
        <v>2156.5877747322129</v>
      </c>
      <c r="BV95" s="100">
        <v>4.3540741248632759</v>
      </c>
      <c r="BW95" s="100">
        <v>1431.6195722550451</v>
      </c>
      <c r="BX95" s="100">
        <v>4.7621407980076711</v>
      </c>
      <c r="BY95" s="100">
        <v>1565.7918943849222</v>
      </c>
      <c r="BZ95" s="100">
        <v>5.4608759634894151</v>
      </c>
      <c r="CA95" s="100">
        <v>1795.5360167953197</v>
      </c>
      <c r="CB95" s="100">
        <v>5.2970160785682667</v>
      </c>
      <c r="CC95" s="100">
        <v>1741.6588866332461</v>
      </c>
      <c r="CD95" s="100">
        <v>5.1987831617626359</v>
      </c>
      <c r="CE95" s="100">
        <v>1709.3599035875548</v>
      </c>
      <c r="CF95" s="100">
        <v>6.0341894210800016</v>
      </c>
      <c r="CG95" s="100">
        <v>1984.0414816511045</v>
      </c>
      <c r="CH95" s="100">
        <v>5.2049693846495382</v>
      </c>
      <c r="CI95" s="100">
        <v>1711.3939336727683</v>
      </c>
      <c r="CJ95" s="100">
        <v>1.7234593419857931</v>
      </c>
      <c r="CK95" s="100">
        <v>566.67343164492877</v>
      </c>
      <c r="CL95" s="100">
        <v>9.8086815484384786</v>
      </c>
      <c r="CM95" s="100">
        <v>3225.0944931265717</v>
      </c>
      <c r="CN95" s="100">
        <v>5.5032407526682512</v>
      </c>
      <c r="CO95" s="100">
        <v>1809.465559477321</v>
      </c>
      <c r="CP95" s="100">
        <v>1.6614161426223266</v>
      </c>
      <c r="CQ95" s="100">
        <v>546.27362769422098</v>
      </c>
      <c r="CR95" s="100">
        <v>4.998324063064139</v>
      </c>
      <c r="CS95" s="100">
        <v>1643.448951935489</v>
      </c>
      <c r="CT95" s="100">
        <v>1.4510415750267482</v>
      </c>
      <c r="CU95" s="100">
        <v>477.10246986879486</v>
      </c>
    </row>
    <row r="96" spans="2:99">
      <c r="C96" s="99" t="s">
        <v>262</v>
      </c>
      <c r="D96" s="100">
        <v>3.0658564542244813</v>
      </c>
      <c r="E96" s="100">
        <v>2130.1570643951695</v>
      </c>
      <c r="F96" s="100">
        <v>5.131338641681424</v>
      </c>
      <c r="G96" s="100">
        <v>3565.2540882402532</v>
      </c>
      <c r="H96" s="100">
        <v>4.102462476657319</v>
      </c>
      <c r="I96" s="100">
        <v>2850.390928781505</v>
      </c>
      <c r="J96" s="100">
        <v>3.9733015676417285</v>
      </c>
      <c r="K96" s="100">
        <v>2760.6499291974728</v>
      </c>
      <c r="L96" s="100">
        <v>4.8526156001020597</v>
      </c>
      <c r="M96" s="100">
        <v>3371.5973189509109</v>
      </c>
      <c r="N96" s="100">
        <v>8.4879210164879417</v>
      </c>
      <c r="O96" s="100">
        <v>5897.4075222558213</v>
      </c>
      <c r="P96" s="100">
        <v>3.8830171924067454</v>
      </c>
      <c r="Q96" s="100">
        <v>2697.9203452842066</v>
      </c>
      <c r="R96" s="100">
        <v>6.0320562609290604</v>
      </c>
      <c r="S96" s="100">
        <v>4191.0726900935106</v>
      </c>
      <c r="T96" s="100">
        <v>4.03220936555243</v>
      </c>
      <c r="U96" s="100">
        <v>2801.5790671858281</v>
      </c>
      <c r="V96" s="100">
        <v>7.7700371494217979</v>
      </c>
      <c r="W96" s="100">
        <v>5398.6218114182648</v>
      </c>
      <c r="X96" s="100">
        <v>5.2035384203408199</v>
      </c>
      <c r="Y96" s="100">
        <v>3615.4184944528015</v>
      </c>
      <c r="Z96" s="100">
        <v>5.7657910495559479</v>
      </c>
      <c r="AA96" s="100">
        <v>4006.0716212314724</v>
      </c>
      <c r="AB96" s="100">
        <v>2.9682307212818424</v>
      </c>
      <c r="AC96" s="100">
        <v>2062.3267051466241</v>
      </c>
      <c r="AD96" s="100">
        <v>4.8530973652952119</v>
      </c>
      <c r="AE96" s="100">
        <v>3371.932049407113</v>
      </c>
      <c r="AF96" s="100">
        <v>5.6930412145958087</v>
      </c>
      <c r="AG96" s="100">
        <v>3955.5250359011675</v>
      </c>
      <c r="AH96" s="100">
        <v>2.3161995915969573</v>
      </c>
      <c r="AI96" s="100">
        <v>1609.2954762415659</v>
      </c>
      <c r="AJ96" s="100">
        <v>1.5395692649234463</v>
      </c>
      <c r="AK96" s="100">
        <v>1069.6927252688104</v>
      </c>
      <c r="AL96" s="100">
        <v>1.3913267160147333</v>
      </c>
      <c r="AM96" s="100">
        <v>966.69380228703665</v>
      </c>
      <c r="AN96" s="100">
        <v>1.4425411963588342</v>
      </c>
      <c r="AO96" s="100">
        <v>1002.2776232301179</v>
      </c>
      <c r="AP96" s="100">
        <v>6.0483426468481509</v>
      </c>
      <c r="AQ96" s="100">
        <v>4202.3884710300954</v>
      </c>
      <c r="AR96" s="100">
        <v>4.6454461953942499</v>
      </c>
      <c r="AS96" s="100">
        <v>3227.6560165599244</v>
      </c>
      <c r="AT96" s="100">
        <v>6.6593977939673579</v>
      </c>
      <c r="AU96" s="100">
        <v>4626.9495872485195</v>
      </c>
      <c r="AV96" s="100">
        <v>5.4167259097924889</v>
      </c>
      <c r="AW96" s="100">
        <v>3763.5411621238209</v>
      </c>
      <c r="AX96" s="100">
        <v>5.2509991654067827</v>
      </c>
      <c r="AY96" s="100">
        <v>3648.3942201246323</v>
      </c>
      <c r="AZ96" s="100">
        <v>1.437445583376963</v>
      </c>
      <c r="BA96" s="100">
        <v>998.73719133031386</v>
      </c>
      <c r="BB96" s="100">
        <v>5.5593061448287431</v>
      </c>
      <c r="BC96" s="100">
        <v>3862.6059094270104</v>
      </c>
      <c r="BD96" s="100">
        <v>5.5207071412146131</v>
      </c>
      <c r="BE96" s="100">
        <v>3835.7873217159131</v>
      </c>
      <c r="BF96" s="100">
        <v>5.4888158922684394</v>
      </c>
      <c r="BG96" s="100">
        <v>3813.6292819481114</v>
      </c>
      <c r="BH96" s="100">
        <v>1.7957001527277126</v>
      </c>
      <c r="BI96" s="100">
        <v>1247.6524661152146</v>
      </c>
      <c r="BJ96" s="100">
        <v>8.3252175682077674</v>
      </c>
      <c r="BK96" s="100">
        <v>5784.3611663907568</v>
      </c>
      <c r="BL96" s="100">
        <v>3.8679172818846879</v>
      </c>
      <c r="BM96" s="100">
        <v>2687.4289274534808</v>
      </c>
      <c r="BN96" s="100">
        <v>4.8231399741514149</v>
      </c>
      <c r="BO96" s="100">
        <v>3351.1176540404031</v>
      </c>
      <c r="BP96" s="100">
        <v>9.0725120030482742</v>
      </c>
      <c r="BQ96" s="100">
        <v>6303.5813397179409</v>
      </c>
      <c r="BR96" s="100">
        <v>4.5803598912321508</v>
      </c>
      <c r="BS96" s="100">
        <v>3182.4340524280983</v>
      </c>
      <c r="BT96" s="100">
        <v>5.9259953798958334</v>
      </c>
      <c r="BU96" s="100">
        <v>4117.3815899516248</v>
      </c>
      <c r="BV96" s="100">
        <v>4.3540741248632759</v>
      </c>
      <c r="BW96" s="100">
        <v>3025.210701955004</v>
      </c>
      <c r="BX96" s="100">
        <v>4.7621407980076711</v>
      </c>
      <c r="BY96" s="100">
        <v>3308.7354264557298</v>
      </c>
      <c r="BZ96" s="100">
        <v>6.1069146267354961</v>
      </c>
      <c r="CA96" s="100">
        <v>4243.0842826558228</v>
      </c>
      <c r="CB96" s="100">
        <v>5.8267176864250931</v>
      </c>
      <c r="CC96" s="100">
        <v>4048.4034485281545</v>
      </c>
      <c r="CD96" s="100">
        <v>5.1987831617626359</v>
      </c>
      <c r="CE96" s="100">
        <v>3612.1145407926792</v>
      </c>
      <c r="CF96" s="100">
        <v>6.0341894210800016</v>
      </c>
      <c r="CG96" s="100">
        <v>4192.554809766385</v>
      </c>
      <c r="CH96" s="100">
        <v>5.2049693846495382</v>
      </c>
      <c r="CI96" s="100">
        <v>3616.4127284544988</v>
      </c>
      <c r="CJ96" s="100">
        <v>1.5511134077872137</v>
      </c>
      <c r="CK96" s="100">
        <v>1077.7135957305561</v>
      </c>
      <c r="CL96" s="100">
        <v>9.8086815484384786</v>
      </c>
      <c r="CM96" s="100">
        <v>6815.0719398550546</v>
      </c>
      <c r="CN96" s="100">
        <v>5.4216208575778841</v>
      </c>
      <c r="CO96" s="100">
        <v>3766.9421718451135</v>
      </c>
      <c r="CP96" s="100">
        <v>1.3291329140978614</v>
      </c>
      <c r="CQ96" s="100">
        <v>923.48154871519398</v>
      </c>
      <c r="CR96" s="100">
        <v>4.9893189066070729</v>
      </c>
      <c r="CS96" s="100">
        <v>3466.5787763105941</v>
      </c>
      <c r="CT96" s="100">
        <v>1.4510415750267482</v>
      </c>
      <c r="CU96" s="100">
        <v>1008.1836863285846</v>
      </c>
    </row>
    <row r="97" spans="2:99">
      <c r="C97" s="99" t="s">
        <v>263</v>
      </c>
      <c r="D97" s="100">
        <v>3.219807262121726</v>
      </c>
      <c r="E97" s="100">
        <v>1263.4523696565652</v>
      </c>
      <c r="F97" s="100">
        <v>5.1134405234710645</v>
      </c>
      <c r="G97" s="100">
        <v>2006.5140614100455</v>
      </c>
      <c r="H97" s="100">
        <v>4.7862062227668716</v>
      </c>
      <c r="I97" s="100">
        <v>1878.1073218137203</v>
      </c>
      <c r="J97" s="100">
        <v>3.9733015676417285</v>
      </c>
      <c r="K97" s="100">
        <v>1559.1235351426142</v>
      </c>
      <c r="L97" s="100">
        <v>4.8526156001020597</v>
      </c>
      <c r="M97" s="100">
        <v>1904.1663614800482</v>
      </c>
      <c r="N97" s="100">
        <v>7.5448186813226155</v>
      </c>
      <c r="O97" s="100">
        <v>2960.5868505509943</v>
      </c>
      <c r="P97" s="100">
        <v>3.3504120969901034</v>
      </c>
      <c r="Q97" s="100">
        <v>1314.7017068589166</v>
      </c>
      <c r="R97" s="100">
        <v>6.0320562609290604</v>
      </c>
      <c r="S97" s="100">
        <v>2366.978876788563</v>
      </c>
      <c r="T97" s="100">
        <v>4.6082392749170635</v>
      </c>
      <c r="U97" s="100">
        <v>1808.2730914774556</v>
      </c>
      <c r="V97" s="100">
        <v>6.7987825057440725</v>
      </c>
      <c r="W97" s="100">
        <v>2667.8422552539737</v>
      </c>
      <c r="X97" s="100">
        <v>5.6322109858010352</v>
      </c>
      <c r="Y97" s="100">
        <v>2210.0795908283262</v>
      </c>
      <c r="Z97" s="100">
        <v>5.7657910495559479</v>
      </c>
      <c r="AA97" s="100">
        <v>2262.4964078457538</v>
      </c>
      <c r="AB97" s="100">
        <v>3.2980341347576023</v>
      </c>
      <c r="AC97" s="100">
        <v>1294.1485944788831</v>
      </c>
      <c r="AD97" s="100">
        <v>4.0442478044126764</v>
      </c>
      <c r="AE97" s="100">
        <v>1586.962838451534</v>
      </c>
      <c r="AF97" s="100">
        <v>6.6930412145958087</v>
      </c>
      <c r="AG97" s="100">
        <v>2626.3493726073953</v>
      </c>
      <c r="AH97" s="100">
        <v>2.3161995915969573</v>
      </c>
      <c r="AI97" s="100">
        <v>908.87671974264595</v>
      </c>
      <c r="AJ97" s="100">
        <v>1.3996084226576782</v>
      </c>
      <c r="AK97" s="100">
        <v>549.20634505087287</v>
      </c>
      <c r="AL97" s="100">
        <v>1.3913267160147333</v>
      </c>
      <c r="AM97" s="100">
        <v>545.95660336418132</v>
      </c>
      <c r="AN97" s="100">
        <v>1.2982870767229506</v>
      </c>
      <c r="AO97" s="100">
        <v>509.44784890608582</v>
      </c>
      <c r="AP97" s="100">
        <v>6.0483426468481509</v>
      </c>
      <c r="AQ97" s="100">
        <v>2373.3696546232145</v>
      </c>
      <c r="AR97" s="100">
        <v>5.4248290367868321</v>
      </c>
      <c r="AS97" s="100">
        <v>2128.7029140351528</v>
      </c>
      <c r="AT97" s="100">
        <v>6.0539979945157789</v>
      </c>
      <c r="AU97" s="100">
        <v>2375.5888130479916</v>
      </c>
      <c r="AV97" s="100">
        <v>5.4167259097924889</v>
      </c>
      <c r="AW97" s="100">
        <v>2125.5232470025726</v>
      </c>
      <c r="AX97" s="100">
        <v>6.0011419033220372</v>
      </c>
      <c r="AY97" s="100">
        <v>2354.8480828635675</v>
      </c>
      <c r="AZ97" s="100">
        <v>1.5681224545930508</v>
      </c>
      <c r="BA97" s="100">
        <v>615.33125118231305</v>
      </c>
      <c r="BB97" s="100">
        <v>6.1415186142399429</v>
      </c>
      <c r="BC97" s="100">
        <v>2409.9319042277534</v>
      </c>
      <c r="BD97" s="100">
        <v>4.9382313477683697</v>
      </c>
      <c r="BE97" s="100">
        <v>1937.761980864308</v>
      </c>
      <c r="BF97" s="100">
        <v>6.0819633897215324</v>
      </c>
      <c r="BG97" s="100">
        <v>2386.5624341267294</v>
      </c>
      <c r="BH97" s="100">
        <v>1.9752701680004841</v>
      </c>
      <c r="BI97" s="100">
        <v>775.09601392338993</v>
      </c>
      <c r="BJ97" s="100">
        <v>9.3252175682077674</v>
      </c>
      <c r="BK97" s="100">
        <v>3659.2153737647277</v>
      </c>
      <c r="BL97" s="100">
        <v>3.4410563903027795</v>
      </c>
      <c r="BM97" s="100">
        <v>1350.2705275548105</v>
      </c>
      <c r="BN97" s="100">
        <v>4.8231399741514149</v>
      </c>
      <c r="BO97" s="100">
        <v>1892.6001258570152</v>
      </c>
      <c r="BP97" s="100">
        <v>9.9797632033531016</v>
      </c>
      <c r="BQ97" s="100">
        <v>3916.0590809957566</v>
      </c>
      <c r="BR97" s="100">
        <v>4.582651905753429</v>
      </c>
      <c r="BS97" s="100">
        <v>1798.2326078176454</v>
      </c>
      <c r="BT97" s="100">
        <v>6.5818919050576978</v>
      </c>
      <c r="BU97" s="100">
        <v>2582.7343835446404</v>
      </c>
      <c r="BV97" s="100">
        <v>5.0797531456738216</v>
      </c>
      <c r="BW97" s="100">
        <v>1993.2951343624075</v>
      </c>
      <c r="BX97" s="100">
        <v>4.7621407980076711</v>
      </c>
      <c r="BY97" s="100">
        <v>1868.66404913821</v>
      </c>
      <c r="BZ97" s="100">
        <v>5.4608759634894151</v>
      </c>
      <c r="CA97" s="100">
        <v>2142.8477280732463</v>
      </c>
      <c r="CB97" s="100">
        <v>5.2970160785682667</v>
      </c>
      <c r="CC97" s="100">
        <v>2078.5491092301877</v>
      </c>
      <c r="CD97" s="100">
        <v>5.7764257352918174</v>
      </c>
      <c r="CE97" s="100">
        <v>2266.669458528509</v>
      </c>
      <c r="CF97" s="100">
        <v>5.4856267464363642</v>
      </c>
      <c r="CG97" s="100">
        <v>2152.5599353016291</v>
      </c>
      <c r="CH97" s="100">
        <v>5.2049693846495382</v>
      </c>
      <c r="CI97" s="100">
        <v>2042.4299865364787</v>
      </c>
      <c r="CJ97" s="100">
        <v>1.5511134077872137</v>
      </c>
      <c r="CK97" s="100">
        <v>608.65690121570265</v>
      </c>
      <c r="CL97" s="100">
        <v>10.700379871023795</v>
      </c>
      <c r="CM97" s="100">
        <v>4198.829061389737</v>
      </c>
      <c r="CN97" s="100">
        <v>5.5032407526682512</v>
      </c>
      <c r="CO97" s="100">
        <v>2159.4716713470216</v>
      </c>
      <c r="CP97" s="100">
        <v>1.6614161426223266</v>
      </c>
      <c r="CQ97" s="100">
        <v>651.93969436500095</v>
      </c>
      <c r="CR97" s="100">
        <v>5.007329219521206</v>
      </c>
      <c r="CS97" s="100">
        <v>1964.8759857401212</v>
      </c>
      <c r="CT97" s="100">
        <v>1.4510415750267482</v>
      </c>
      <c r="CU97" s="100">
        <v>569.38871404049598</v>
      </c>
    </row>
    <row r="98" spans="2:99">
      <c r="C98" s="99" t="s">
        <v>264</v>
      </c>
      <c r="D98" s="100">
        <v>3.0501791038736563</v>
      </c>
      <c r="E98" s="100">
        <v>1603.1741369959939</v>
      </c>
      <c r="F98" s="100">
        <v>5.131338641681424</v>
      </c>
      <c r="G98" s="100">
        <v>2697.0315900677565</v>
      </c>
      <c r="H98" s="100">
        <v>4.102462476657319</v>
      </c>
      <c r="I98" s="100">
        <v>2156.2542777310869</v>
      </c>
      <c r="J98" s="100">
        <v>3.4766388716865118</v>
      </c>
      <c r="K98" s="100">
        <v>1827.3213909584306</v>
      </c>
      <c r="L98" s="100">
        <v>5.3378771601122654</v>
      </c>
      <c r="M98" s="100">
        <v>2805.5882353550069</v>
      </c>
      <c r="N98" s="100">
        <v>7.5448186813226155</v>
      </c>
      <c r="O98" s="100">
        <v>3965.5566989031668</v>
      </c>
      <c r="P98" s="100">
        <v>3.7226801077667817</v>
      </c>
      <c r="Q98" s="100">
        <v>1956.6406646422206</v>
      </c>
      <c r="R98" s="100">
        <v>6.7022847343656231</v>
      </c>
      <c r="S98" s="100">
        <v>3522.7208563825716</v>
      </c>
      <c r="T98" s="100">
        <v>4.03220936555243</v>
      </c>
      <c r="U98" s="100">
        <v>2119.3292425343575</v>
      </c>
      <c r="V98" s="100">
        <v>6.7987825057440725</v>
      </c>
      <c r="W98" s="100">
        <v>3573.4400850190846</v>
      </c>
      <c r="X98" s="100">
        <v>6.3362373590261649</v>
      </c>
      <c r="Y98" s="100">
        <v>3330.3263559041525</v>
      </c>
      <c r="Z98" s="100">
        <v>6.4967583881698783</v>
      </c>
      <c r="AA98" s="100">
        <v>3414.696208822088</v>
      </c>
      <c r="AB98" s="100">
        <v>3.2980341347576023</v>
      </c>
      <c r="AC98" s="100">
        <v>1733.4467412285958</v>
      </c>
      <c r="AD98" s="100">
        <v>4.0442478044126764</v>
      </c>
      <c r="AE98" s="100">
        <v>2125.6566459993028</v>
      </c>
      <c r="AF98" s="100">
        <v>5.5940353267964067</v>
      </c>
      <c r="AG98" s="100">
        <v>2940.2249677641917</v>
      </c>
      <c r="AH98" s="100">
        <v>2.3161995915969573</v>
      </c>
      <c r="AI98" s="100">
        <v>1217.3945053433608</v>
      </c>
      <c r="AJ98" s="100">
        <v>1.3996084226576782</v>
      </c>
      <c r="AK98" s="100">
        <v>735.63418694887571</v>
      </c>
      <c r="AL98" s="100">
        <v>1.3913267160147333</v>
      </c>
      <c r="AM98" s="100">
        <v>731.28132193734393</v>
      </c>
      <c r="AN98" s="100">
        <v>1.4425411963588342</v>
      </c>
      <c r="AO98" s="100">
        <v>758.19965280620329</v>
      </c>
      <c r="AP98" s="100">
        <v>6.0483426468481509</v>
      </c>
      <c r="AQ98" s="100">
        <v>3179.0088951833882</v>
      </c>
      <c r="AR98" s="100">
        <v>5.363127330864339</v>
      </c>
      <c r="AS98" s="100">
        <v>2818.8597251022966</v>
      </c>
      <c r="AT98" s="100">
        <v>6.0539979945157789</v>
      </c>
      <c r="AU98" s="100">
        <v>3181.9813459174934</v>
      </c>
      <c r="AV98" s="100">
        <v>6.1687995804735909</v>
      </c>
      <c r="AW98" s="100">
        <v>3242.3210594969196</v>
      </c>
      <c r="AX98" s="100">
        <v>6.0011419033220372</v>
      </c>
      <c r="AY98" s="100">
        <v>3154.200184386063</v>
      </c>
      <c r="AZ98" s="100">
        <v>1.5011973019289979</v>
      </c>
      <c r="BA98" s="100">
        <v>789.02930189388132</v>
      </c>
      <c r="BB98" s="100">
        <v>6.1592627209137172</v>
      </c>
      <c r="BC98" s="100">
        <v>3237.3084861122497</v>
      </c>
      <c r="BD98" s="100">
        <v>4.9382313477683697</v>
      </c>
      <c r="BE98" s="100">
        <v>2595.534396387055</v>
      </c>
      <c r="BF98" s="100">
        <v>6.0819633897215324</v>
      </c>
      <c r="BG98" s="100">
        <v>3196.6799576376375</v>
      </c>
      <c r="BH98" s="100">
        <v>1.7957001527277126</v>
      </c>
      <c r="BI98" s="100">
        <v>943.82000027368576</v>
      </c>
      <c r="BJ98" s="100">
        <v>8.3252175682077674</v>
      </c>
      <c r="BK98" s="100">
        <v>4375.7343538500027</v>
      </c>
      <c r="BL98" s="100">
        <v>3.4236321537939554</v>
      </c>
      <c r="BM98" s="100">
        <v>1799.461060034103</v>
      </c>
      <c r="BN98" s="100">
        <v>4.8231399741514149</v>
      </c>
      <c r="BO98" s="100">
        <v>2535.0423704139839</v>
      </c>
      <c r="BP98" s="100">
        <v>9.9797632033531016</v>
      </c>
      <c r="BQ98" s="100">
        <v>5245.3635396823902</v>
      </c>
      <c r="BR98" s="100">
        <v>4.5780678767108718</v>
      </c>
      <c r="BS98" s="100">
        <v>2406.2324759992343</v>
      </c>
      <c r="BT98" s="100">
        <v>5.9489220333348793</v>
      </c>
      <c r="BU98" s="100">
        <v>3126.7534207208128</v>
      </c>
      <c r="BV98" s="100">
        <v>4.3540741248632759</v>
      </c>
      <c r="BW98" s="100">
        <v>2288.5013600281382</v>
      </c>
      <c r="BX98" s="100">
        <v>4.0818349697208607</v>
      </c>
      <c r="BY98" s="100">
        <v>2145.4124600852847</v>
      </c>
      <c r="BZ98" s="100">
        <v>6.1069146267354961</v>
      </c>
      <c r="CA98" s="100">
        <v>3209.794327812177</v>
      </c>
      <c r="CB98" s="100">
        <v>5.2970160785682667</v>
      </c>
      <c r="CC98" s="100">
        <v>2784.111650895481</v>
      </c>
      <c r="CD98" s="100">
        <v>5.1987831617626359</v>
      </c>
      <c r="CE98" s="100">
        <v>2732.4804298224417</v>
      </c>
      <c r="CF98" s="100">
        <v>5.4856267464363642</v>
      </c>
      <c r="CG98" s="100">
        <v>2883.245417926953</v>
      </c>
      <c r="CH98" s="100">
        <v>5.9336308931796946</v>
      </c>
      <c r="CI98" s="100">
        <v>3118.7163974552477</v>
      </c>
      <c r="CJ98" s="100">
        <v>1.7234593419857931</v>
      </c>
      <c r="CK98" s="100">
        <v>905.85023014773287</v>
      </c>
      <c r="CL98" s="100">
        <v>9.8086815484384786</v>
      </c>
      <c r="CM98" s="100">
        <v>5155.4430218592643</v>
      </c>
      <c r="CN98" s="100">
        <v>5.5032407526682512</v>
      </c>
      <c r="CO98" s="100">
        <v>2892.5033396024328</v>
      </c>
      <c r="CP98" s="100">
        <v>1.6614161426223266</v>
      </c>
      <c r="CQ98" s="100">
        <v>873.24032456229486</v>
      </c>
      <c r="CR98" s="100">
        <v>5.7085110050202736</v>
      </c>
      <c r="CS98" s="100">
        <v>3000.3933842386559</v>
      </c>
      <c r="CT98" s="100">
        <v>1.4510415750267482</v>
      </c>
      <c r="CU98" s="100">
        <v>762.66745183405897</v>
      </c>
    </row>
    <row r="99" spans="2:99">
      <c r="C99" s="99" t="s">
        <v>265</v>
      </c>
      <c r="D99" s="100">
        <v>2.1465381747478176</v>
      </c>
      <c r="E99" s="100">
        <v>9033.4912546087144</v>
      </c>
      <c r="F99" s="100">
        <v>4.2448778224952894</v>
      </c>
      <c r="G99" s="100">
        <v>17864.143828189175</v>
      </c>
      <c r="H99" s="100">
        <v>4.102462476657319</v>
      </c>
      <c r="I99" s="100">
        <v>17264.803086764659</v>
      </c>
      <c r="J99" s="100">
        <v>2.9998269133340725</v>
      </c>
      <c r="K99" s="100">
        <v>12624.47158207511</v>
      </c>
      <c r="L99" s="100">
        <v>4.3673540400918531</v>
      </c>
      <c r="M99" s="100">
        <v>18379.572742322554</v>
      </c>
      <c r="N99" s="100">
        <v>6.6017163461572892</v>
      </c>
      <c r="O99" s="100">
        <v>27782.663071168332</v>
      </c>
      <c r="P99" s="100">
        <v>2.9781440862134256</v>
      </c>
      <c r="Q99" s="100">
        <v>12533.22157242058</v>
      </c>
      <c r="R99" s="100">
        <v>4.691599314055936</v>
      </c>
      <c r="S99" s="100">
        <v>19744.126553272999</v>
      </c>
      <c r="T99" s="100">
        <v>2.8801495468231644</v>
      </c>
      <c r="U99" s="100">
        <v>12120.821352850604</v>
      </c>
      <c r="V99" s="100">
        <v>5.827527862066348</v>
      </c>
      <c r="W99" s="100">
        <v>24524.568254720016</v>
      </c>
      <c r="X99" s="100">
        <v>4.9281846125759063</v>
      </c>
      <c r="Y99" s="100">
        <v>20739.772123564442</v>
      </c>
      <c r="Z99" s="100">
        <v>4.8905971155512544</v>
      </c>
      <c r="AA99" s="100">
        <v>20581.588901085899</v>
      </c>
      <c r="AB99" s="100">
        <v>2.9682307212818424</v>
      </c>
      <c r="AC99" s="100">
        <v>12491.502167442504</v>
      </c>
      <c r="AD99" s="100">
        <v>3.2353982435301414</v>
      </c>
      <c r="AE99" s="100">
        <v>13615.849968072245</v>
      </c>
      <c r="AF99" s="100">
        <v>5.5445323828967066</v>
      </c>
      <c r="AG99" s="100">
        <v>23333.610080182498</v>
      </c>
      <c r="AH99" s="100">
        <v>1.8014885712420781</v>
      </c>
      <c r="AI99" s="100">
        <v>7581.3845032151603</v>
      </c>
      <c r="AJ99" s="100">
        <v>1.1196867381261426</v>
      </c>
      <c r="AK99" s="100">
        <v>4712.0896687300583</v>
      </c>
      <c r="AL99" s="100">
        <v>1.1130613728117866</v>
      </c>
      <c r="AM99" s="100">
        <v>4684.2074813411227</v>
      </c>
      <c r="AN99" s="100">
        <v>1.1540329570870673</v>
      </c>
      <c r="AO99" s="100">
        <v>4856.6322966052139</v>
      </c>
      <c r="AP99" s="100">
        <v>4.8431763422456271</v>
      </c>
      <c r="AQ99" s="100">
        <v>20382.023318706495</v>
      </c>
      <c r="AR99" s="100">
        <v>4.3060868128205367</v>
      </c>
      <c r="AS99" s="100">
        <v>18121.735743073947</v>
      </c>
      <c r="AT99" s="100">
        <v>5.4485981950642017</v>
      </c>
      <c r="AU99" s="100">
        <v>22929.880644108183</v>
      </c>
      <c r="AV99" s="100">
        <v>3.8935522915521892</v>
      </c>
      <c r="AW99" s="100">
        <v>16385.625463768232</v>
      </c>
      <c r="AX99" s="100">
        <v>4.5008564274915281</v>
      </c>
      <c r="AY99" s="100">
        <v>18941.404189455345</v>
      </c>
      <c r="AZ99" s="100">
        <v>1.0454149697287005</v>
      </c>
      <c r="BA99" s="100">
        <v>4399.5243586062625</v>
      </c>
      <c r="BB99" s="100">
        <v>4.9238613553962196</v>
      </c>
      <c r="BC99" s="100">
        <v>20721.578128049448</v>
      </c>
      <c r="BD99" s="100">
        <v>4.3209524292973231</v>
      </c>
      <c r="BE99" s="100">
        <v>18184.296203454855</v>
      </c>
      <c r="BF99" s="100">
        <v>4.8705869922835792</v>
      </c>
      <c r="BG99" s="100">
        <v>20497.378298326214</v>
      </c>
      <c r="BH99" s="100">
        <v>1.6161301374549413</v>
      </c>
      <c r="BI99" s="100">
        <v>6801.3220704653741</v>
      </c>
      <c r="BJ99" s="100">
        <v>8.2322982630055481</v>
      </c>
      <c r="BK99" s="100">
        <v>34644.804010032545</v>
      </c>
      <c r="BL99" s="100">
        <v>2.9444985526855763</v>
      </c>
      <c r="BM99" s="100">
        <v>12391.627709121978</v>
      </c>
      <c r="BN99" s="100">
        <v>4.1341199778440707</v>
      </c>
      <c r="BO99" s="100">
        <v>17398.030514758986</v>
      </c>
      <c r="BP99" s="100">
        <v>8.1652608027434468</v>
      </c>
      <c r="BQ99" s="100">
        <v>34362.68356226552</v>
      </c>
      <c r="BR99" s="100">
        <v>3.27528737369926</v>
      </c>
      <c r="BS99" s="100">
        <v>13783.719383475966</v>
      </c>
      <c r="BT99" s="100">
        <v>5.0637589737825452</v>
      </c>
      <c r="BU99" s="100">
        <v>21310.323265266463</v>
      </c>
      <c r="BV99" s="100">
        <v>4.3540741248632759</v>
      </c>
      <c r="BW99" s="100">
        <v>18323.685547074609</v>
      </c>
      <c r="BX99" s="100">
        <v>4.0818349697208607</v>
      </c>
      <c r="BY99" s="100">
        <v>17177.99428657327</v>
      </c>
      <c r="BZ99" s="100">
        <v>4.522270642722563</v>
      </c>
      <c r="CA99" s="100">
        <v>19031.523772833632</v>
      </c>
      <c r="CB99" s="100">
        <v>4.7673144707114403</v>
      </c>
      <c r="CC99" s="100">
        <v>20062.766218542023</v>
      </c>
      <c r="CD99" s="100">
        <v>4.6211405882334544</v>
      </c>
      <c r="CE99" s="100">
        <v>19447.608051521667</v>
      </c>
      <c r="CF99" s="100">
        <v>4.9370640717927285</v>
      </c>
      <c r="CG99" s="100">
        <v>20777.140439732517</v>
      </c>
      <c r="CH99" s="100">
        <v>4.4478518329543526</v>
      </c>
      <c r="CI99" s="100">
        <v>18718.339653805095</v>
      </c>
      <c r="CJ99" s="100">
        <v>1.3787674735886344</v>
      </c>
      <c r="CK99" s="100">
        <v>5802.4050358504082</v>
      </c>
      <c r="CL99" s="100">
        <v>7.1335865806825298</v>
      </c>
      <c r="CM99" s="100">
        <v>30020.985766144357</v>
      </c>
      <c r="CN99" s="100">
        <v>4.5520256709358886</v>
      </c>
      <c r="CO99" s="100">
        <v>19156.74483356659</v>
      </c>
      <c r="CP99" s="100">
        <v>1.3291329140978614</v>
      </c>
      <c r="CQ99" s="100">
        <v>5593.5229556894392</v>
      </c>
      <c r="CR99" s="100">
        <v>4.2881371211080053</v>
      </c>
      <c r="CS99" s="100">
        <v>18046.196260470926</v>
      </c>
      <c r="CT99" s="100">
        <v>1.2092013125222902</v>
      </c>
      <c r="CU99" s="100">
        <v>5088.8028036188061</v>
      </c>
    </row>
    <row r="100" spans="2:99">
      <c r="C100" s="99" t="s">
        <v>266</v>
      </c>
      <c r="D100" s="100">
        <v>3.0658564542244813</v>
      </c>
      <c r="E100" s="100">
        <v>993.33749116873196</v>
      </c>
      <c r="F100" s="100">
        <v>5.659837096660385</v>
      </c>
      <c r="G100" s="100">
        <v>1833.7872193179649</v>
      </c>
      <c r="H100" s="100">
        <v>4.102462476657319</v>
      </c>
      <c r="I100" s="100">
        <v>1329.1978424369713</v>
      </c>
      <c r="J100" s="100">
        <v>3.993152305244505</v>
      </c>
      <c r="K100" s="100">
        <v>1293.7813468992197</v>
      </c>
      <c r="L100" s="100">
        <v>4.8526156001020597</v>
      </c>
      <c r="M100" s="100">
        <v>1572.2474544330673</v>
      </c>
      <c r="N100" s="100">
        <v>8.4879210164879417</v>
      </c>
      <c r="O100" s="100">
        <v>2750.0864093420932</v>
      </c>
      <c r="P100" s="100">
        <v>3.7226801077667817</v>
      </c>
      <c r="Q100" s="100">
        <v>1206.1483549164373</v>
      </c>
      <c r="R100" s="100">
        <v>6.7022847343656231</v>
      </c>
      <c r="S100" s="100">
        <v>2171.5402539344618</v>
      </c>
      <c r="T100" s="100">
        <v>4.03220936555243</v>
      </c>
      <c r="U100" s="100">
        <v>1306.4358344389873</v>
      </c>
      <c r="V100" s="100">
        <v>6.7987825057440725</v>
      </c>
      <c r="W100" s="100">
        <v>2202.8055318610795</v>
      </c>
      <c r="X100" s="100">
        <v>5.9075647935659497</v>
      </c>
      <c r="Y100" s="100">
        <v>1914.0509931153676</v>
      </c>
      <c r="Z100" s="100">
        <v>5.7657910495559479</v>
      </c>
      <c r="AA100" s="100">
        <v>1868.1163000561271</v>
      </c>
      <c r="AB100" s="100">
        <v>2.9682307212818424</v>
      </c>
      <c r="AC100" s="100">
        <v>961.70675369531693</v>
      </c>
      <c r="AD100" s="100">
        <v>4.8530973652952119</v>
      </c>
      <c r="AE100" s="100">
        <v>1572.4035463556486</v>
      </c>
      <c r="AF100" s="100">
        <v>6.6930412145958087</v>
      </c>
      <c r="AG100" s="100">
        <v>2168.5453535290421</v>
      </c>
      <c r="AH100" s="100">
        <v>2.0588440814195179</v>
      </c>
      <c r="AI100" s="100">
        <v>667.06548237992376</v>
      </c>
      <c r="AJ100" s="100">
        <v>1.3996084226576782</v>
      </c>
      <c r="AK100" s="100">
        <v>453.47312894108774</v>
      </c>
      <c r="AL100" s="100">
        <v>1.5304593876162067</v>
      </c>
      <c r="AM100" s="100">
        <v>495.86884158765099</v>
      </c>
      <c r="AN100" s="100">
        <v>1.4425411963588342</v>
      </c>
      <c r="AO100" s="100">
        <v>467.38334762026227</v>
      </c>
      <c r="AP100" s="100">
        <v>5.4682706183824195</v>
      </c>
      <c r="AQ100" s="100">
        <v>1771.7196803559038</v>
      </c>
      <c r="AR100" s="100">
        <v>6.1116593192956739</v>
      </c>
      <c r="AS100" s="100">
        <v>1980.1776194517984</v>
      </c>
      <c r="AT100" s="100">
        <v>6.0539979945157789</v>
      </c>
      <c r="AU100" s="100">
        <v>1961.4953502231124</v>
      </c>
      <c r="AV100" s="100">
        <v>6.1687995804735909</v>
      </c>
      <c r="AW100" s="100">
        <v>1998.6910640734434</v>
      </c>
      <c r="AX100" s="100">
        <v>6.7512846412372927</v>
      </c>
      <c r="AY100" s="100">
        <v>2187.416223760883</v>
      </c>
      <c r="AZ100" s="100">
        <v>1.5011973019289979</v>
      </c>
      <c r="BA100" s="100">
        <v>486.38792582499531</v>
      </c>
      <c r="BB100" s="100">
        <v>5.9995657608497481</v>
      </c>
      <c r="BC100" s="100">
        <v>1943.8593065153184</v>
      </c>
      <c r="BD100" s="100">
        <v>4.9208297852559681</v>
      </c>
      <c r="BE100" s="100">
        <v>1594.3488504229338</v>
      </c>
      <c r="BF100" s="100">
        <v>6.0903238572321206</v>
      </c>
      <c r="BG100" s="100">
        <v>1973.2649297432069</v>
      </c>
      <c r="BH100" s="100">
        <v>1.7957001527277126</v>
      </c>
      <c r="BI100" s="100">
        <v>581.80684948377882</v>
      </c>
      <c r="BJ100" s="100">
        <v>9.3252175682077674</v>
      </c>
      <c r="BK100" s="100">
        <v>3021.3704920993168</v>
      </c>
      <c r="BL100" s="100">
        <v>3.4062079172851316</v>
      </c>
      <c r="BM100" s="100">
        <v>1103.6113652003826</v>
      </c>
      <c r="BN100" s="100">
        <v>4.8231399741514149</v>
      </c>
      <c r="BO100" s="100">
        <v>1562.6973516250584</v>
      </c>
      <c r="BP100" s="100">
        <v>9.0725120030482742</v>
      </c>
      <c r="BQ100" s="100">
        <v>2939.4938889876407</v>
      </c>
      <c r="BR100" s="100">
        <v>4.5803598912321508</v>
      </c>
      <c r="BS100" s="100">
        <v>1484.036604759217</v>
      </c>
      <c r="BT100" s="100">
        <v>5.9259953798958334</v>
      </c>
      <c r="BU100" s="100">
        <v>1920.02250308625</v>
      </c>
      <c r="BV100" s="100">
        <v>5.0797531456738216</v>
      </c>
      <c r="BW100" s="100">
        <v>1645.8400191983183</v>
      </c>
      <c r="BX100" s="100">
        <v>4.7621407980076711</v>
      </c>
      <c r="BY100" s="100">
        <v>1542.9336185544855</v>
      </c>
      <c r="BZ100" s="100">
        <v>5.4121148539026196</v>
      </c>
      <c r="CA100" s="100">
        <v>1753.5252126644486</v>
      </c>
      <c r="CB100" s="100">
        <v>4.7673144707114403</v>
      </c>
      <c r="CC100" s="100">
        <v>1544.6098885105066</v>
      </c>
      <c r="CD100" s="100">
        <v>5.7764257352918174</v>
      </c>
      <c r="CE100" s="100">
        <v>1871.5619382345487</v>
      </c>
      <c r="CF100" s="100">
        <v>5.4856267464363642</v>
      </c>
      <c r="CG100" s="100">
        <v>1777.3430658453819</v>
      </c>
      <c r="CH100" s="100">
        <v>5.9336308931796946</v>
      </c>
      <c r="CI100" s="100">
        <v>1922.4964093902211</v>
      </c>
      <c r="CJ100" s="100">
        <v>1.5511134077872137</v>
      </c>
      <c r="CK100" s="100">
        <v>502.56074412305725</v>
      </c>
      <c r="CL100" s="100">
        <v>10.700379871023795</v>
      </c>
      <c r="CM100" s="100">
        <v>3466.9230782117097</v>
      </c>
      <c r="CN100" s="100">
        <v>6.2912160442198788</v>
      </c>
      <c r="CO100" s="100">
        <v>2038.3539983272408</v>
      </c>
      <c r="CP100" s="100">
        <v>1.3291329140978614</v>
      </c>
      <c r="CQ100" s="100">
        <v>430.63906416770709</v>
      </c>
      <c r="CR100" s="100">
        <v>4.998324063064139</v>
      </c>
      <c r="CS100" s="100">
        <v>1619.4569964327811</v>
      </c>
      <c r="CT100" s="100">
        <v>1.6928818375312065</v>
      </c>
      <c r="CU100" s="100">
        <v>548.49371536011085</v>
      </c>
    </row>
    <row r="101" spans="2:99">
      <c r="C101" s="99" t="s">
        <v>267</v>
      </c>
      <c r="D101" s="100">
        <v>3.219807262121726</v>
      </c>
      <c r="E101" s="100">
        <v>2329.852534871281</v>
      </c>
      <c r="F101" s="100">
        <v>4.9523574595778372</v>
      </c>
      <c r="G101" s="100">
        <v>3583.5258577505233</v>
      </c>
      <c r="H101" s="100">
        <v>4.7862062227668716</v>
      </c>
      <c r="I101" s="100">
        <v>3463.2988227941082</v>
      </c>
      <c r="J101" s="100">
        <v>3.9733015676417285</v>
      </c>
      <c r="K101" s="100">
        <v>2875.0810143455546</v>
      </c>
      <c r="L101" s="100">
        <v>5.3378771601122654</v>
      </c>
      <c r="M101" s="100">
        <v>3862.4879130572353</v>
      </c>
      <c r="N101" s="100">
        <v>8.4879210164879417</v>
      </c>
      <c r="O101" s="100">
        <v>6141.8596475306749</v>
      </c>
      <c r="P101" s="100">
        <v>3.3504120969901034</v>
      </c>
      <c r="Q101" s="100">
        <v>2424.3581933820387</v>
      </c>
      <c r="R101" s="100">
        <v>6.0320562609290604</v>
      </c>
      <c r="S101" s="100">
        <v>4364.7959104082684</v>
      </c>
      <c r="T101" s="100">
        <v>4.03220936555243</v>
      </c>
      <c r="U101" s="100">
        <v>2917.7066969137386</v>
      </c>
      <c r="V101" s="100">
        <v>5.827527862066348</v>
      </c>
      <c r="W101" s="100">
        <v>4216.7991609912096</v>
      </c>
      <c r="X101" s="100">
        <v>5.6322109858010352</v>
      </c>
      <c r="Y101" s="100">
        <v>4075.4678693256292</v>
      </c>
      <c r="Z101" s="100">
        <v>5.0348237109420166</v>
      </c>
      <c r="AA101" s="100">
        <v>3643.1984372376432</v>
      </c>
      <c r="AB101" s="100">
        <v>3.2980341347576023</v>
      </c>
      <c r="AC101" s="100">
        <v>2386.4574999106012</v>
      </c>
      <c r="AD101" s="100">
        <v>4.8530973652952119</v>
      </c>
      <c r="AE101" s="100">
        <v>3511.7012535276153</v>
      </c>
      <c r="AF101" s="100">
        <v>5.5940353267964067</v>
      </c>
      <c r="AG101" s="100">
        <v>4047.8439624698799</v>
      </c>
      <c r="AH101" s="100">
        <v>2.0588440814195179</v>
      </c>
      <c r="AI101" s="100">
        <v>1489.7795773151631</v>
      </c>
      <c r="AJ101" s="100">
        <v>1.2596475803919105</v>
      </c>
      <c r="AK101" s="100">
        <v>911.48098917158643</v>
      </c>
      <c r="AL101" s="100">
        <v>1.2521940444132602</v>
      </c>
      <c r="AM101" s="100">
        <v>906.08761053743513</v>
      </c>
      <c r="AN101" s="100">
        <v>1.4425411963588342</v>
      </c>
      <c r="AO101" s="100">
        <v>1043.8228096852524</v>
      </c>
      <c r="AP101" s="100">
        <v>4.8881985899166889</v>
      </c>
      <c r="AQ101" s="100">
        <v>3537.1004996637162</v>
      </c>
      <c r="AR101" s="100">
        <v>5.363127330864339</v>
      </c>
      <c r="AS101" s="100">
        <v>3880.7589366134357</v>
      </c>
      <c r="AT101" s="100">
        <v>5.6021793834993243</v>
      </c>
      <c r="AU101" s="100">
        <v>4053.7370019001114</v>
      </c>
      <c r="AV101" s="100">
        <v>4.6646522391113878</v>
      </c>
      <c r="AW101" s="100">
        <v>3375.3423602210005</v>
      </c>
      <c r="AX101" s="100">
        <v>6.0011419033220372</v>
      </c>
      <c r="AY101" s="100">
        <v>4342.4262812438265</v>
      </c>
      <c r="AZ101" s="100">
        <v>1.6265615299324161</v>
      </c>
      <c r="BA101" s="100">
        <v>1176.9799230590963</v>
      </c>
      <c r="BB101" s="100">
        <v>5.9995657608497481</v>
      </c>
      <c r="BC101" s="100">
        <v>4341.2857845508779</v>
      </c>
      <c r="BD101" s="100">
        <v>4.9208297852559681</v>
      </c>
      <c r="BE101" s="100">
        <v>3560.7124326112184</v>
      </c>
      <c r="BF101" s="100">
        <v>6.6834713546852136</v>
      </c>
      <c r="BG101" s="100">
        <v>4836.1598722502204</v>
      </c>
      <c r="BH101" s="100">
        <v>1.7957001527277126</v>
      </c>
      <c r="BI101" s="100">
        <v>1299.3686305137728</v>
      </c>
      <c r="BJ101" s="100">
        <v>10.325217568207767</v>
      </c>
      <c r="BK101" s="100">
        <v>7471.3274323551404</v>
      </c>
      <c r="BL101" s="100">
        <v>3.4410563903027795</v>
      </c>
      <c r="BM101" s="100">
        <v>2489.9484040230914</v>
      </c>
      <c r="BN101" s="100">
        <v>4.8231399741514149</v>
      </c>
      <c r="BO101" s="100">
        <v>3490.0240852959641</v>
      </c>
      <c r="BP101" s="100">
        <v>8.1652608027434468</v>
      </c>
      <c r="BQ101" s="100">
        <v>5908.3827168651587</v>
      </c>
      <c r="BR101" s="100">
        <v>4.5780678767108718</v>
      </c>
      <c r="BS101" s="100">
        <v>3312.6899155879869</v>
      </c>
      <c r="BT101" s="100">
        <v>5.9259953798958334</v>
      </c>
      <c r="BU101" s="100">
        <v>4288.0502568926249</v>
      </c>
      <c r="BV101" s="100">
        <v>5.0797531456738216</v>
      </c>
      <c r="BW101" s="100">
        <v>3675.7093762095774</v>
      </c>
      <c r="BX101" s="100">
        <v>4.7621407980076711</v>
      </c>
      <c r="BY101" s="100">
        <v>3445.8850814383509</v>
      </c>
      <c r="BZ101" s="100">
        <v>5.4364954086960173</v>
      </c>
      <c r="CA101" s="100">
        <v>3933.8480777324385</v>
      </c>
      <c r="CB101" s="100">
        <v>5.2970160785682667</v>
      </c>
      <c r="CC101" s="100">
        <v>3832.920834451998</v>
      </c>
      <c r="CD101" s="100">
        <v>5.1987831617626359</v>
      </c>
      <c r="CE101" s="100">
        <v>3761.8394958514436</v>
      </c>
      <c r="CF101" s="100">
        <v>6.0341894210800016</v>
      </c>
      <c r="CG101" s="100">
        <v>4366.3394650934897</v>
      </c>
      <c r="CH101" s="100">
        <v>5.9241455454580194</v>
      </c>
      <c r="CI101" s="100">
        <v>4286.7117166934231</v>
      </c>
      <c r="CJ101" s="100">
        <v>1.5511134077872137</v>
      </c>
      <c r="CK101" s="100">
        <v>1122.385661874828</v>
      </c>
      <c r="CL101" s="100">
        <v>8.9169832258531621</v>
      </c>
      <c r="CM101" s="100">
        <v>6452.329062227348</v>
      </c>
      <c r="CN101" s="100">
        <v>5.5032407526682512</v>
      </c>
      <c r="CO101" s="100">
        <v>3982.1450086307468</v>
      </c>
      <c r="CP101" s="100">
        <v>1.4952745283600941</v>
      </c>
      <c r="CQ101" s="100">
        <v>1081.9806487213641</v>
      </c>
      <c r="CR101" s="100">
        <v>5.7085110050202736</v>
      </c>
      <c r="CS101" s="100">
        <v>4130.6785632326701</v>
      </c>
      <c r="CT101" s="100">
        <v>1.2092013125222902</v>
      </c>
      <c r="CU101" s="100">
        <v>874.97806974112927</v>
      </c>
    </row>
    <row r="102" spans="2:99">
      <c r="C102" s="99" t="s">
        <v>268</v>
      </c>
      <c r="D102" s="100">
        <v>3.4236128166824504</v>
      </c>
      <c r="E102" s="100">
        <v>1819.9925733483908</v>
      </c>
      <c r="F102" s="100">
        <v>4.9523574595778372</v>
      </c>
      <c r="G102" s="100">
        <v>2632.6732255115785</v>
      </c>
      <c r="H102" s="100">
        <v>4.7862062227668716</v>
      </c>
      <c r="I102" s="100">
        <v>2544.3472280228689</v>
      </c>
      <c r="J102" s="100">
        <v>3.9534508300389515</v>
      </c>
      <c r="K102" s="100">
        <v>2101.6544612487069</v>
      </c>
      <c r="L102" s="100">
        <v>4.8526156001020597</v>
      </c>
      <c r="M102" s="100">
        <v>2579.6504530142552</v>
      </c>
      <c r="N102" s="100">
        <v>8.4879210164879417</v>
      </c>
      <c r="O102" s="100">
        <v>4512.1788123649903</v>
      </c>
      <c r="P102" s="100">
        <v>3.4984155597346858</v>
      </c>
      <c r="Q102" s="100">
        <v>1859.7577115549591</v>
      </c>
      <c r="R102" s="100">
        <v>6.0320562609290604</v>
      </c>
      <c r="S102" s="100">
        <v>3206.6411083098888</v>
      </c>
      <c r="T102" s="100">
        <v>4.6082392749170635</v>
      </c>
      <c r="U102" s="100">
        <v>2449.739998545911</v>
      </c>
      <c r="V102" s="100">
        <v>6.7987825057440725</v>
      </c>
      <c r="W102" s="100">
        <v>3614.232780053549</v>
      </c>
      <c r="X102" s="100">
        <v>5.6322109858010352</v>
      </c>
      <c r="Y102" s="100">
        <v>2994.0833600518304</v>
      </c>
      <c r="Z102" s="100">
        <v>5.7657910495559479</v>
      </c>
      <c r="AA102" s="100">
        <v>3065.0945219439423</v>
      </c>
      <c r="AB102" s="100">
        <v>3.6278375482333631</v>
      </c>
      <c r="AC102" s="100">
        <v>1928.5584406408559</v>
      </c>
      <c r="AD102" s="100">
        <v>4.0442478044126764</v>
      </c>
      <c r="AE102" s="100">
        <v>2149.922132825779</v>
      </c>
      <c r="AF102" s="100">
        <v>6.5940353267964067</v>
      </c>
      <c r="AG102" s="100">
        <v>3505.3891797249698</v>
      </c>
      <c r="AH102" s="100">
        <v>2.3161995915969573</v>
      </c>
      <c r="AI102" s="100">
        <v>1231.2917028929426</v>
      </c>
      <c r="AJ102" s="100">
        <v>1.3996084226576782</v>
      </c>
      <c r="AK102" s="100">
        <v>744.03183748482172</v>
      </c>
      <c r="AL102" s="100">
        <v>1.3913267160147333</v>
      </c>
      <c r="AM102" s="100">
        <v>739.62928223343226</v>
      </c>
      <c r="AN102" s="100">
        <v>1.4425411963588342</v>
      </c>
      <c r="AO102" s="100">
        <v>766.85489998435628</v>
      </c>
      <c r="AP102" s="100">
        <v>5.4907817422179503</v>
      </c>
      <c r="AQ102" s="100">
        <v>2918.8995741630624</v>
      </c>
      <c r="AR102" s="100">
        <v>5.0237679482906268</v>
      </c>
      <c r="AS102" s="100">
        <v>2670.6350413112973</v>
      </c>
      <c r="AT102" s="100">
        <v>6.0539979945157789</v>
      </c>
      <c r="AU102" s="100">
        <v>3218.305333884588</v>
      </c>
      <c r="AV102" s="100">
        <v>6.1878258573516876</v>
      </c>
      <c r="AW102" s="100">
        <v>3289.448225768157</v>
      </c>
      <c r="AX102" s="100">
        <v>6.7512846412372927</v>
      </c>
      <c r="AY102" s="100">
        <v>3588.9829152817451</v>
      </c>
      <c r="AZ102" s="100">
        <v>1.437445583376963</v>
      </c>
      <c r="BA102" s="100">
        <v>764.14607212319356</v>
      </c>
      <c r="BB102" s="100">
        <v>5.3996091847647731</v>
      </c>
      <c r="BC102" s="100">
        <v>2870.4322426209537</v>
      </c>
      <c r="BD102" s="100">
        <v>4.9382313477683697</v>
      </c>
      <c r="BE102" s="100">
        <v>2625.1637844736656</v>
      </c>
      <c r="BF102" s="100">
        <v>6.0819633897215324</v>
      </c>
      <c r="BG102" s="100">
        <v>3233.1717379759666</v>
      </c>
      <c r="BH102" s="100">
        <v>1.7957001527277126</v>
      </c>
      <c r="BI102" s="100">
        <v>954.59420119005199</v>
      </c>
      <c r="BJ102" s="100">
        <v>9.2787579156066577</v>
      </c>
      <c r="BK102" s="100">
        <v>4932.5877079364991</v>
      </c>
      <c r="BL102" s="100">
        <v>3.4236321537939554</v>
      </c>
      <c r="BM102" s="100">
        <v>1820.0028529568667</v>
      </c>
      <c r="BN102" s="100">
        <v>4.8231399741514149</v>
      </c>
      <c r="BO102" s="100">
        <v>2563.9812102588921</v>
      </c>
      <c r="BP102" s="100">
        <v>9.0725120030482742</v>
      </c>
      <c r="BQ102" s="100">
        <v>4822.947380820463</v>
      </c>
      <c r="BR102" s="100">
        <v>4.582651905753429</v>
      </c>
      <c r="BS102" s="100">
        <v>2436.1377530985228</v>
      </c>
      <c r="BT102" s="100">
        <v>5.9259953798958334</v>
      </c>
      <c r="BU102" s="100">
        <v>3150.259143952625</v>
      </c>
      <c r="BV102" s="100">
        <v>4.3540741248632759</v>
      </c>
      <c r="BW102" s="100">
        <v>2314.6258047773176</v>
      </c>
      <c r="BX102" s="100">
        <v>4.7621407980076711</v>
      </c>
      <c r="BY102" s="100">
        <v>2531.554048220878</v>
      </c>
      <c r="BZ102" s="100">
        <v>5.4608759634894151</v>
      </c>
      <c r="CA102" s="100">
        <v>2903.0016621909731</v>
      </c>
      <c r="CB102" s="100">
        <v>4.7673144707114403</v>
      </c>
      <c r="CC102" s="100">
        <v>2534.3043726302017</v>
      </c>
      <c r="CD102" s="100">
        <v>5.7764257352918174</v>
      </c>
      <c r="CE102" s="100">
        <v>3070.7479208811301</v>
      </c>
      <c r="CF102" s="100">
        <v>5.4856267464363642</v>
      </c>
      <c r="CG102" s="100">
        <v>2916.1591784055713</v>
      </c>
      <c r="CH102" s="100">
        <v>5.2049693846495382</v>
      </c>
      <c r="CI102" s="100">
        <v>2766.9617248796944</v>
      </c>
      <c r="CJ102" s="100">
        <v>1.7234593419857931</v>
      </c>
      <c r="CK102" s="100">
        <v>916.19098619964768</v>
      </c>
      <c r="CL102" s="100">
        <v>9.8086815484384786</v>
      </c>
      <c r="CM102" s="100">
        <v>5214.2951111498951</v>
      </c>
      <c r="CN102" s="100">
        <v>5.4216208575778841</v>
      </c>
      <c r="CO102" s="100">
        <v>2882.1336478884032</v>
      </c>
      <c r="CP102" s="100">
        <v>1.4952745283600941</v>
      </c>
      <c r="CQ102" s="100">
        <v>794.88793927622612</v>
      </c>
      <c r="CR102" s="100">
        <v>5.7085110050202736</v>
      </c>
      <c r="CS102" s="100">
        <v>3034.6444502687777</v>
      </c>
      <c r="CT102" s="100">
        <v>1.4510415750267482</v>
      </c>
      <c r="CU102" s="100">
        <v>771.37370128421935</v>
      </c>
    </row>
    <row r="103" spans="2:99">
      <c r="C103" s="99" t="s">
        <v>269</v>
      </c>
      <c r="D103" s="100">
        <v>2.8620508996637564</v>
      </c>
      <c r="E103" s="100">
        <v>1686.3203900818851</v>
      </c>
      <c r="F103" s="100">
        <v>4.9523574595778372</v>
      </c>
      <c r="G103" s="100">
        <v>2917.9290151832615</v>
      </c>
      <c r="H103" s="100">
        <v>4.7862062227668716</v>
      </c>
      <c r="I103" s="100">
        <v>2820.0327064542403</v>
      </c>
      <c r="J103" s="100">
        <v>3.9733015676417285</v>
      </c>
      <c r="K103" s="100">
        <v>2341.0692836545063</v>
      </c>
      <c r="L103" s="100">
        <v>4.8526156001020597</v>
      </c>
      <c r="M103" s="100">
        <v>2859.1611115801334</v>
      </c>
      <c r="N103" s="100">
        <v>8.4879210164879417</v>
      </c>
      <c r="O103" s="100">
        <v>5001.0830629146949</v>
      </c>
      <c r="P103" s="100">
        <v>3.7226801077667817</v>
      </c>
      <c r="Q103" s="100">
        <v>2193.4031194961876</v>
      </c>
      <c r="R103" s="100">
        <v>6.7022847343656231</v>
      </c>
      <c r="S103" s="100">
        <v>3948.9861654882247</v>
      </c>
      <c r="T103" s="100">
        <v>4.03220936555243</v>
      </c>
      <c r="U103" s="100">
        <v>2375.7777581834916</v>
      </c>
      <c r="V103" s="100">
        <v>6.7987825057440725</v>
      </c>
      <c r="W103" s="100">
        <v>4005.8426523844068</v>
      </c>
      <c r="X103" s="100">
        <v>5.6322109858010352</v>
      </c>
      <c r="Y103" s="100">
        <v>3318.4987128339694</v>
      </c>
      <c r="Z103" s="100">
        <v>5.7297344007082573</v>
      </c>
      <c r="AA103" s="100">
        <v>3375.9595088973047</v>
      </c>
      <c r="AB103" s="100">
        <v>3.2980341347576023</v>
      </c>
      <c r="AC103" s="100">
        <v>1943.2017121991792</v>
      </c>
      <c r="AD103" s="100">
        <v>4.0442478044126764</v>
      </c>
      <c r="AE103" s="100">
        <v>2382.8708063599488</v>
      </c>
      <c r="AF103" s="100">
        <v>6.5940353267964067</v>
      </c>
      <c r="AG103" s="100">
        <v>3885.2056145484426</v>
      </c>
      <c r="AH103" s="100">
        <v>2.0588440814195179</v>
      </c>
      <c r="AI103" s="100">
        <v>1213.0709327723798</v>
      </c>
      <c r="AJ103" s="100">
        <v>1.2596475803919105</v>
      </c>
      <c r="AK103" s="100">
        <v>742.18435436691357</v>
      </c>
      <c r="AL103" s="100">
        <v>1.3913267160147333</v>
      </c>
      <c r="AM103" s="100">
        <v>819.76970107588079</v>
      </c>
      <c r="AN103" s="100">
        <v>1.2982870767229506</v>
      </c>
      <c r="AO103" s="100">
        <v>764.95074560516241</v>
      </c>
      <c r="AP103" s="100">
        <v>5.4907817422179503</v>
      </c>
      <c r="AQ103" s="100">
        <v>3235.168602514816</v>
      </c>
      <c r="AR103" s="100">
        <v>5.363127330864339</v>
      </c>
      <c r="AS103" s="100">
        <v>3159.9546233452684</v>
      </c>
      <c r="AT103" s="100">
        <v>6.8129789824024805</v>
      </c>
      <c r="AU103" s="100">
        <v>4014.2072164315409</v>
      </c>
      <c r="AV103" s="100">
        <v>6.1878258573516876</v>
      </c>
      <c r="AW103" s="100">
        <v>3645.866995151614</v>
      </c>
      <c r="AX103" s="100">
        <v>6.0011419033220372</v>
      </c>
      <c r="AY103" s="100">
        <v>3535.8728094373441</v>
      </c>
      <c r="AZ103" s="100">
        <v>1.437445583376963</v>
      </c>
      <c r="BA103" s="100">
        <v>846.94293772570654</v>
      </c>
      <c r="BB103" s="100">
        <v>6.1415186142399429</v>
      </c>
      <c r="BC103" s="100">
        <v>3618.5827675101741</v>
      </c>
      <c r="BD103" s="100">
        <v>4.9382313477683697</v>
      </c>
      <c r="BE103" s="100">
        <v>2909.6059101051233</v>
      </c>
      <c r="BF103" s="100">
        <v>6.0903238572321206</v>
      </c>
      <c r="BG103" s="100">
        <v>3588.418816681165</v>
      </c>
      <c r="BH103" s="100">
        <v>1.9752701680004841</v>
      </c>
      <c r="BI103" s="100">
        <v>1163.8291829858852</v>
      </c>
      <c r="BJ103" s="100">
        <v>9.2787579156066577</v>
      </c>
      <c r="BK103" s="100">
        <v>5467.0441638754419</v>
      </c>
      <c r="BL103" s="100">
        <v>3.8679172818846879</v>
      </c>
      <c r="BM103" s="100">
        <v>2278.9768624864578</v>
      </c>
      <c r="BN103" s="100">
        <v>4.8231399741514149</v>
      </c>
      <c r="BO103" s="100">
        <v>2841.7940727700134</v>
      </c>
      <c r="BP103" s="100">
        <v>9.0725120030482742</v>
      </c>
      <c r="BQ103" s="100">
        <v>5345.5240721960427</v>
      </c>
      <c r="BR103" s="100">
        <v>3.9312616542476233</v>
      </c>
      <c r="BS103" s="100">
        <v>2316.2993666826992</v>
      </c>
      <c r="BT103" s="100">
        <v>5.9489220333348793</v>
      </c>
      <c r="BU103" s="100">
        <v>3505.1048620409106</v>
      </c>
      <c r="BV103" s="100">
        <v>4.3540741248632759</v>
      </c>
      <c r="BW103" s="100">
        <v>2565.4204743694418</v>
      </c>
      <c r="BX103" s="100">
        <v>4.7621407980076711</v>
      </c>
      <c r="BY103" s="100">
        <v>2805.8533581861193</v>
      </c>
      <c r="BZ103" s="100">
        <v>5.4364954086960173</v>
      </c>
      <c r="CA103" s="100">
        <v>3203.1830948036932</v>
      </c>
      <c r="CB103" s="100">
        <v>5.2970160785682667</v>
      </c>
      <c r="CC103" s="100">
        <v>3121.0018734924224</v>
      </c>
      <c r="CD103" s="100">
        <v>5.7764257352918174</v>
      </c>
      <c r="CE103" s="100">
        <v>3403.4700432339382</v>
      </c>
      <c r="CF103" s="100">
        <v>5.4856267464363642</v>
      </c>
      <c r="CG103" s="100">
        <v>3232.1312790003053</v>
      </c>
      <c r="CH103" s="100">
        <v>5.1954840369278621</v>
      </c>
      <c r="CI103" s="100">
        <v>3061.1791945578962</v>
      </c>
      <c r="CJ103" s="100">
        <v>1.5511134077872137</v>
      </c>
      <c r="CK103" s="100">
        <v>913.91601986822627</v>
      </c>
      <c r="CL103" s="100">
        <v>8.9169832258531621</v>
      </c>
      <c r="CM103" s="100">
        <v>5253.8865166726828</v>
      </c>
      <c r="CN103" s="100">
        <v>5.4624308051230681</v>
      </c>
      <c r="CO103" s="100">
        <v>3218.4642303785113</v>
      </c>
      <c r="CP103" s="100">
        <v>1.6614161426223266</v>
      </c>
      <c r="CQ103" s="100">
        <v>978.90639123307471</v>
      </c>
      <c r="CR103" s="100">
        <v>4.998324063064139</v>
      </c>
      <c r="CS103" s="100">
        <v>2945.0125379573906</v>
      </c>
      <c r="CT103" s="100">
        <v>1.6928818375312065</v>
      </c>
      <c r="CU103" s="100">
        <v>997.44597867338678</v>
      </c>
    </row>
    <row r="104" spans="2:99">
      <c r="C104" s="99" t="s">
        <v>270</v>
      </c>
      <c r="D104" s="100">
        <v>2.6924227414156867</v>
      </c>
      <c r="E104" s="100">
        <v>1702.6881416712802</v>
      </c>
      <c r="F104" s="100">
        <v>4.9523574595778372</v>
      </c>
      <c r="G104" s="100">
        <v>3131.8708574370244</v>
      </c>
      <c r="H104" s="100">
        <v>4.102462476657319</v>
      </c>
      <c r="I104" s="100">
        <v>2594.3972702380884</v>
      </c>
      <c r="J104" s="100">
        <v>3.9733015676417285</v>
      </c>
      <c r="K104" s="100">
        <v>2512.7159113766288</v>
      </c>
      <c r="L104" s="100">
        <v>5.3378771601122654</v>
      </c>
      <c r="M104" s="100">
        <v>3375.6735160549965</v>
      </c>
      <c r="N104" s="100">
        <v>7.5448186813226155</v>
      </c>
      <c r="O104" s="100">
        <v>4771.3433340684214</v>
      </c>
      <c r="P104" s="100">
        <v>3.7226801077667817</v>
      </c>
      <c r="Q104" s="100">
        <v>2354.2229001517126</v>
      </c>
      <c r="R104" s="100">
        <v>6.0320562609290604</v>
      </c>
      <c r="S104" s="100">
        <v>3814.6723794115378</v>
      </c>
      <c r="T104" s="100">
        <v>4.6082392749170635</v>
      </c>
      <c r="U104" s="100">
        <v>2914.2505174575508</v>
      </c>
      <c r="V104" s="100">
        <v>6.7987825057440725</v>
      </c>
      <c r="W104" s="100">
        <v>4299.5500566325509</v>
      </c>
      <c r="X104" s="100">
        <v>4.9281846125759063</v>
      </c>
      <c r="Y104" s="100">
        <v>3116.5839489930031</v>
      </c>
      <c r="Z104" s="100">
        <v>4.9987670620943261</v>
      </c>
      <c r="AA104" s="100">
        <v>3161.2202900684515</v>
      </c>
      <c r="AB104" s="100">
        <v>3.2980341347576023</v>
      </c>
      <c r="AC104" s="100">
        <v>2085.6767868207075</v>
      </c>
      <c r="AD104" s="100">
        <v>4.0442478044126764</v>
      </c>
      <c r="AE104" s="100">
        <v>2557.5823115105763</v>
      </c>
      <c r="AF104" s="100">
        <v>6.5940353267964067</v>
      </c>
      <c r="AG104" s="100">
        <v>4170.0679406660474</v>
      </c>
      <c r="AH104" s="100">
        <v>2.0588440814195179</v>
      </c>
      <c r="AI104" s="100">
        <v>1302.012997089703</v>
      </c>
      <c r="AJ104" s="100">
        <v>1.3996084226576782</v>
      </c>
      <c r="AK104" s="100">
        <v>885.11236648871568</v>
      </c>
      <c r="AL104" s="100">
        <v>1.2521940444132602</v>
      </c>
      <c r="AM104" s="100">
        <v>791.88751368694568</v>
      </c>
      <c r="AN104" s="100">
        <v>1.2982870767229506</v>
      </c>
      <c r="AO104" s="100">
        <v>821.03674731959393</v>
      </c>
      <c r="AP104" s="100">
        <v>4.865687466081158</v>
      </c>
      <c r="AQ104" s="100">
        <v>3077.0607535497243</v>
      </c>
      <c r="AR104" s="100">
        <v>5.0237679482906268</v>
      </c>
      <c r="AS104" s="100">
        <v>3177.0308504989921</v>
      </c>
      <c r="AT104" s="100">
        <v>5.4485981950642017</v>
      </c>
      <c r="AU104" s="100">
        <v>3445.6934985586013</v>
      </c>
      <c r="AV104" s="100">
        <v>5.4167259097924889</v>
      </c>
      <c r="AW104" s="100">
        <v>3425.5374653527697</v>
      </c>
      <c r="AX104" s="100">
        <v>5.2509991654067827</v>
      </c>
      <c r="AY104" s="100">
        <v>3320.7318722032492</v>
      </c>
      <c r="AZ104" s="100">
        <v>1.4958846587163288</v>
      </c>
      <c r="BA104" s="100">
        <v>945.99745817220628</v>
      </c>
      <c r="BB104" s="100">
        <v>5.9995657608497481</v>
      </c>
      <c r="BC104" s="100">
        <v>3794.1253871613808</v>
      </c>
      <c r="BD104" s="100">
        <v>4.9208297852559681</v>
      </c>
      <c r="BE104" s="100">
        <v>3111.9327561958739</v>
      </c>
      <c r="BF104" s="100">
        <v>6.0819633897215324</v>
      </c>
      <c r="BG104" s="100">
        <v>3846.2336476598971</v>
      </c>
      <c r="BH104" s="100">
        <v>1.9752701680004841</v>
      </c>
      <c r="BI104" s="100">
        <v>1249.160854243506</v>
      </c>
      <c r="BJ104" s="100">
        <v>8.3252175682077674</v>
      </c>
      <c r="BK104" s="100">
        <v>5264.8675901345923</v>
      </c>
      <c r="BL104" s="100">
        <v>3.8853415183935116</v>
      </c>
      <c r="BM104" s="100">
        <v>2457.0899762320569</v>
      </c>
      <c r="BN104" s="100">
        <v>4.8231399741514149</v>
      </c>
      <c r="BO104" s="100">
        <v>3050.1537196533545</v>
      </c>
      <c r="BP104" s="100">
        <v>9.0725120030482742</v>
      </c>
      <c r="BQ104" s="100">
        <v>5737.4565907277283</v>
      </c>
      <c r="BR104" s="100">
        <v>4.5803598912321508</v>
      </c>
      <c r="BS104" s="100">
        <v>2896.619595215212</v>
      </c>
      <c r="BT104" s="100">
        <v>5.9489220333348793</v>
      </c>
      <c r="BU104" s="100">
        <v>3762.0982938809775</v>
      </c>
      <c r="BV104" s="100">
        <v>4.3540741248632759</v>
      </c>
      <c r="BW104" s="100">
        <v>2753.5164765635354</v>
      </c>
      <c r="BX104" s="100">
        <v>4.7621407980076711</v>
      </c>
      <c r="BY104" s="100">
        <v>3011.5778406600512</v>
      </c>
      <c r="BZ104" s="100">
        <v>5.1683093059686431</v>
      </c>
      <c r="CA104" s="100">
        <v>3268.4388050945699</v>
      </c>
      <c r="CB104" s="100">
        <v>4.7673144707114403</v>
      </c>
      <c r="CC104" s="100">
        <v>3014.8496712779147</v>
      </c>
      <c r="CD104" s="100">
        <v>5.1987831617626359</v>
      </c>
      <c r="CE104" s="100">
        <v>3287.7104714986908</v>
      </c>
      <c r="CF104" s="100">
        <v>6.0341894210800016</v>
      </c>
      <c r="CG104" s="100">
        <v>3816.0213898909929</v>
      </c>
      <c r="CH104" s="100">
        <v>5.1954840369278621</v>
      </c>
      <c r="CI104" s="100">
        <v>3285.62410495318</v>
      </c>
      <c r="CJ104" s="100">
        <v>1.5511134077872137</v>
      </c>
      <c r="CK104" s="100">
        <v>980.92411908463396</v>
      </c>
      <c r="CL104" s="100">
        <v>8.0252849032678455</v>
      </c>
      <c r="CM104" s="100">
        <v>5075.1901728265857</v>
      </c>
      <c r="CN104" s="100">
        <v>5.5032407526682512</v>
      </c>
      <c r="CO104" s="100">
        <v>3480.2494519874022</v>
      </c>
      <c r="CP104" s="100">
        <v>1.4952745283600941</v>
      </c>
      <c r="CQ104" s="100">
        <v>945.61161173492349</v>
      </c>
      <c r="CR104" s="100">
        <v>5.007329219521206</v>
      </c>
      <c r="CS104" s="100">
        <v>3166.6349984252106</v>
      </c>
      <c r="CT104" s="100">
        <v>1.4510415750267482</v>
      </c>
      <c r="CU104" s="100">
        <v>917.63869204691559</v>
      </c>
    </row>
    <row r="105" spans="2:99">
      <c r="C105" s="99" t="s">
        <v>271</v>
      </c>
      <c r="D105" s="100">
        <v>2.8620508996637564</v>
      </c>
      <c r="E105" s="100">
        <v>1593.5899409327794</v>
      </c>
      <c r="F105" s="100">
        <v>4.9523574595778372</v>
      </c>
      <c r="G105" s="100">
        <v>2757.4726334929396</v>
      </c>
      <c r="H105" s="100">
        <v>4.7862062227668716</v>
      </c>
      <c r="I105" s="100">
        <v>2664.9596248365938</v>
      </c>
      <c r="J105" s="100">
        <v>3.993152305244505</v>
      </c>
      <c r="K105" s="100">
        <v>2223.3872035601403</v>
      </c>
      <c r="L105" s="100">
        <v>4.8526156001020597</v>
      </c>
      <c r="M105" s="100">
        <v>2701.9363661368266</v>
      </c>
      <c r="N105" s="100">
        <v>7.5448186813226155</v>
      </c>
      <c r="O105" s="100">
        <v>4200.9550417604323</v>
      </c>
      <c r="P105" s="100">
        <v>3.7226801077667817</v>
      </c>
      <c r="Q105" s="100">
        <v>2072.788284004544</v>
      </c>
      <c r="R105" s="100">
        <v>6.0320562609290604</v>
      </c>
      <c r="S105" s="100">
        <v>3358.6489260853004</v>
      </c>
      <c r="T105" s="100">
        <v>4.03220936555243</v>
      </c>
      <c r="U105" s="100">
        <v>2245.1341747395927</v>
      </c>
      <c r="V105" s="100">
        <v>6.7987825057440725</v>
      </c>
      <c r="W105" s="100">
        <v>3785.5620991982992</v>
      </c>
      <c r="X105" s="100">
        <v>5.6322109858010352</v>
      </c>
      <c r="Y105" s="100">
        <v>3136.0150768940161</v>
      </c>
      <c r="Z105" s="100">
        <v>5.0348237109420166</v>
      </c>
      <c r="AA105" s="100">
        <v>2803.3898422525144</v>
      </c>
      <c r="AB105" s="100">
        <v>3.6278375482333631</v>
      </c>
      <c r="AC105" s="100">
        <v>2019.9799468563365</v>
      </c>
      <c r="AD105" s="100">
        <v>4.0442478044126764</v>
      </c>
      <c r="AE105" s="100">
        <v>2251.8371774969783</v>
      </c>
      <c r="AF105" s="100">
        <v>5.6435382706961077</v>
      </c>
      <c r="AG105" s="100">
        <v>3142.3221091235923</v>
      </c>
      <c r="AH105" s="100">
        <v>2.3161995915969573</v>
      </c>
      <c r="AI105" s="100">
        <v>1289.6599326011858</v>
      </c>
      <c r="AJ105" s="100">
        <v>1.2596475803919105</v>
      </c>
      <c r="AK105" s="100">
        <v>701.37177276221576</v>
      </c>
      <c r="AL105" s="100">
        <v>1.2521940444132602</v>
      </c>
      <c r="AM105" s="100">
        <v>697.22164392930324</v>
      </c>
      <c r="AN105" s="100">
        <v>1.2982870767229506</v>
      </c>
      <c r="AO105" s="100">
        <v>722.88624431933886</v>
      </c>
      <c r="AP105" s="100">
        <v>6.0708537706836818</v>
      </c>
      <c r="AQ105" s="100">
        <v>3380.2513795166738</v>
      </c>
      <c r="AR105" s="100">
        <v>5.363127330864339</v>
      </c>
      <c r="AS105" s="100">
        <v>2986.1892978252636</v>
      </c>
      <c r="AT105" s="100">
        <v>6.6593977939673579</v>
      </c>
      <c r="AU105" s="100">
        <v>3707.9526916810246</v>
      </c>
      <c r="AV105" s="100">
        <v>5.4167259097924889</v>
      </c>
      <c r="AW105" s="100">
        <v>3016.0329865724575</v>
      </c>
      <c r="AX105" s="100">
        <v>6.0011419033220372</v>
      </c>
      <c r="AY105" s="100">
        <v>3341.4358117697102</v>
      </c>
      <c r="AZ105" s="100">
        <v>1.6318741731450856</v>
      </c>
      <c r="BA105" s="100">
        <v>908.62753960718362</v>
      </c>
      <c r="BB105" s="100">
        <v>6.1415186142399429</v>
      </c>
      <c r="BC105" s="100">
        <v>3419.5975644087998</v>
      </c>
      <c r="BD105" s="100">
        <v>4.9382313477683697</v>
      </c>
      <c r="BE105" s="100">
        <v>2749.607214437428</v>
      </c>
      <c r="BF105" s="100">
        <v>6.0903238572321206</v>
      </c>
      <c r="BG105" s="100">
        <v>3391.0923237068446</v>
      </c>
      <c r="BH105" s="100">
        <v>1.7957001527277126</v>
      </c>
      <c r="BI105" s="100">
        <v>999.84584503879023</v>
      </c>
      <c r="BJ105" s="100">
        <v>8.2787579156066577</v>
      </c>
      <c r="BK105" s="100">
        <v>4609.612407409787</v>
      </c>
      <c r="BL105" s="100">
        <v>3.4236321537939554</v>
      </c>
      <c r="BM105" s="100">
        <v>1906.2783832324742</v>
      </c>
      <c r="BN105" s="100">
        <v>4.8231399741514149</v>
      </c>
      <c r="BO105" s="100">
        <v>2685.5243376075077</v>
      </c>
      <c r="BP105" s="100">
        <v>9.9797632033531016</v>
      </c>
      <c r="BQ105" s="100">
        <v>5556.7321516270067</v>
      </c>
      <c r="BR105" s="100">
        <v>4.5780678767108718</v>
      </c>
      <c r="BS105" s="100">
        <v>2549.0681937526133</v>
      </c>
      <c r="BT105" s="100">
        <v>5.9718486867739271</v>
      </c>
      <c r="BU105" s="100">
        <v>3325.1253487957224</v>
      </c>
      <c r="BV105" s="100">
        <v>4.3540741248632759</v>
      </c>
      <c r="BW105" s="100">
        <v>2424.348472723872</v>
      </c>
      <c r="BX105" s="100">
        <v>4.7621407980076711</v>
      </c>
      <c r="BY105" s="100">
        <v>2651.5599963306709</v>
      </c>
      <c r="BZ105" s="100">
        <v>5.4364954086960173</v>
      </c>
      <c r="CA105" s="100">
        <v>3027.040643561942</v>
      </c>
      <c r="CB105" s="100">
        <v>5.8267176864250931</v>
      </c>
      <c r="CC105" s="100">
        <v>3244.3164078014916</v>
      </c>
      <c r="CD105" s="100">
        <v>5.1987831617626359</v>
      </c>
      <c r="CE105" s="100">
        <v>2894.6824644694352</v>
      </c>
      <c r="CF105" s="100">
        <v>6.0341894210800016</v>
      </c>
      <c r="CG105" s="100">
        <v>3359.8366696573444</v>
      </c>
      <c r="CH105" s="100">
        <v>5.9241455454580194</v>
      </c>
      <c r="CI105" s="100">
        <v>3298.564239711025</v>
      </c>
      <c r="CJ105" s="100">
        <v>1.7234593419857931</v>
      </c>
      <c r="CK105" s="100">
        <v>959.62216161768947</v>
      </c>
      <c r="CL105" s="100">
        <v>8.9169832258531621</v>
      </c>
      <c r="CM105" s="100">
        <v>4964.9762601550401</v>
      </c>
      <c r="CN105" s="100">
        <v>4.6336455660262565</v>
      </c>
      <c r="CO105" s="100">
        <v>2580.0138511634195</v>
      </c>
      <c r="CP105" s="100">
        <v>1.4952745283600941</v>
      </c>
      <c r="CQ105" s="100">
        <v>832.56885739090035</v>
      </c>
      <c r="CR105" s="100">
        <v>5.7085110050202736</v>
      </c>
      <c r="CS105" s="100">
        <v>3178.498927595288</v>
      </c>
      <c r="CT105" s="100">
        <v>1.4510415750267482</v>
      </c>
      <c r="CU105" s="100">
        <v>807.93994897489335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350.23219214544486</v>
      </c>
      <c r="E109" s="100">
        <f>SUM(L$6:L$19)+SUM(N$6:N$19)+SUM(P$6:P$19)+SUM(R$6:R$19)</f>
        <v>384</v>
      </c>
      <c r="F109" s="100">
        <f>SUM(T$6:T$19)+SUM(V$6:V$19)+SUM(X$6:X$19)+SUM(Z$6:Z$19)</f>
        <v>332.65143922556581</v>
      </c>
      <c r="G109" s="100">
        <f>SUM(AB$6:AB$19)+SUM(AD$6:AD$19)+SUM(AF$6:AF$19)+SUM(AH$6:AH$19)</f>
        <v>309.35992085387994</v>
      </c>
      <c r="H109" s="100">
        <f>SUM(AJ$6:AJ$19)+SUM(AL$6:AL$19)+SUM(AN$6:AN$19)+SUM(AP$6:AP$19)</f>
        <v>345.72149501044589</v>
      </c>
      <c r="I109" s="100">
        <f>SUM(AR$6:AR$19)+SUM(AT$6:AT$19)+SUM(AV$6:AV$19)+SUM(AX$6:AX$19)</f>
        <v>340.14928823450146</v>
      </c>
      <c r="J109" s="100">
        <f>SUM(AZ$6:AZ$19)+SUM(BB$6:BB$19)+SUM(BD$6:BD$19)+SUM(BF$6:BF$19)</f>
        <v>377.18024917284936</v>
      </c>
      <c r="K109" s="100">
        <f>SUM(BH$6:BH$19)+SUM(BJ$6:BJ$19)+SUM(BL$6:BL$19)+SUM(BN$6:BN$19)</f>
        <v>325.54305381681218</v>
      </c>
      <c r="L109" s="100">
        <f>SUM(BP$6:BP$19)+SUM(BR$6:BR$19)+SUM(BT$6:BT$19)+SUM(BV$6:BV$19)</f>
        <v>278.85678400456828</v>
      </c>
      <c r="M109" s="100">
        <f>SUM(BX$6:BX$19)+SUM(BZ$6:BZ$19)+SUM(CB$6:CB$19)+SUM(CD$6:CD$19)</f>
        <v>313.11272045990006</v>
      </c>
      <c r="N109" s="100">
        <f>SUM(CF$6:CF$19)+SUM(CH$6:CH$19)+SUM(CJ$6:CJ$19)+SUM(CL$6:CL$19)</f>
        <v>370.23986350440873</v>
      </c>
      <c r="O109" s="100">
        <f>SUM(CN$6:CN$19)+SUM(CP$6:CP$19)+SUM(CR$6:CR$19)+SUM(CT$6:CT$19)</f>
        <v>275.40600791340171</v>
      </c>
    </row>
    <row r="110" spans="2:99">
      <c r="C110" s="99" t="s">
        <v>127</v>
      </c>
      <c r="D110" s="100">
        <f>SUM(D$20:D$36)+SUM(F$20:F$36)+SUM(H$20:H$36)+SUM(J$20:J$36)</f>
        <v>683.46504492984627</v>
      </c>
      <c r="E110" s="100">
        <f>SUM(L$20:L$36)+SUM(N$20:N$36)+SUM(P$20:P$36)+SUM(R$20:R$36)</f>
        <v>688</v>
      </c>
      <c r="F110" s="100">
        <f>SUM(T$20:T$36)+SUM(V$20:V$36)+SUM(X$20:X$36)+SUM(Z$20:Z$36)</f>
        <v>614.66643395996937</v>
      </c>
      <c r="G110" s="100">
        <f>SUM(AB$20:AB$36)+SUM(AD$20:AD$36)+SUM(AF$20:AF$36)+SUM(AH$20:AH$36)</f>
        <v>674.00215749767358</v>
      </c>
      <c r="H110" s="100">
        <f>SUM(AJ$20:AJ$36)+SUM(AL$20:AL$36)+SUM(AN$20:AN$36)+SUM(AP$20:AP$36)</f>
        <v>661.73602251755347</v>
      </c>
      <c r="I110" s="100">
        <f>SUM(AR$20:AR$36)+SUM(AT$20:AT$36)+SUM(AV$20:AV$36)+SUM(AX$20:AX$36)</f>
        <v>666.26394213881872</v>
      </c>
      <c r="J110" s="100">
        <f>SUM(AZ$20:AZ$36)+SUM(BB$20:BB$36)+SUM(BD$20:BD$36)+SUM(BF$20:BF$36)</f>
        <v>698.67202193190576</v>
      </c>
      <c r="K110" s="100">
        <f>SUM(BH$20:BH$36)+SUM(BJ$20:BJ$36)+SUM(BL$20:BL$36)+SUM(BN$20:BN$36)</f>
        <v>646.01274743374177</v>
      </c>
      <c r="L110" s="100">
        <f>SUM(BP$20:BP$36)+SUM(BR$20:BR$36)+SUM(BT$20:BT$36)+SUM(BV$20:BV$36)</f>
        <v>581.60802915314525</v>
      </c>
      <c r="M110" s="100">
        <f>SUM(BX$20:BX$36)+SUM(BZ$20:BZ$36)+SUM(CB$20:CB$36)+SUM(CD$20:CD$36)</f>
        <v>470.498835916536</v>
      </c>
      <c r="N110" s="100">
        <f>SUM(CF$20:CF$36)+SUM(CH$20:CH$36)+SUM(CJ$20:CJ$36)+SUM(CL$20:CL$36)</f>
        <v>900.40945059009709</v>
      </c>
      <c r="O110" s="100">
        <f>SUM(CN$20:CN$36)+SUM(CP$20:CP$36)+SUM(CR$20:CR$36)+SUM(CT$20:CT$36)</f>
        <v>529.24017129804997</v>
      </c>
    </row>
    <row r="111" spans="2:99">
      <c r="C111" s="99" t="s">
        <v>128</v>
      </c>
      <c r="D111" s="100">
        <f>SUM(D$37:D$48)+SUM(F$37:F$48)+SUM(H$37:H$48)+SUM(J$37:J$48)</f>
        <v>290.82212206925317</v>
      </c>
      <c r="E111" s="100">
        <f>SUM(L$37:L$48)+SUM(N$37:N$48)+SUM(P$37:P$48)+SUM(R$37:R$48)</f>
        <v>293</v>
      </c>
      <c r="F111" s="100">
        <f>SUM(T$37:T$48)+SUM(V$37:V$48)+SUM(X$37:X$48)+SUM(Z$37:Z$48)</f>
        <v>276.17464443728585</v>
      </c>
      <c r="G111" s="100">
        <f>SUM(AB$37:AB$48)+SUM(AD$37:AD$48)+SUM(AF$37:AF$48)+SUM(AH$37:AH$48)</f>
        <v>283.78557557324041</v>
      </c>
      <c r="H111" s="100">
        <f>SUM(AJ$37:AJ$48)+SUM(AL$37:AL$48)+SUM(AN$37:AN$48)+SUM(AP$37:AP$48)</f>
        <v>237.23077847070343</v>
      </c>
      <c r="I111" s="100">
        <f>SUM(AR$37:AR$48)+SUM(AT$37:AT$48)+SUM(AV$37:AV$48)+SUM(AX$37:AX$48)</f>
        <v>327.41775233051436</v>
      </c>
      <c r="J111" s="100">
        <f>SUM(AZ$37:AZ$48)+SUM(BB$37:BB$48)+SUM(BD$37:BD$48)+SUM(BF$37:BF$48)</f>
        <v>256.83685892875025</v>
      </c>
      <c r="K111" s="100">
        <f>SUM(BH$37:BH$48)+SUM(BJ$37:BJ$48)+SUM(BL$37:BL$48)+SUM(BN$37:BN$48)</f>
        <v>250.19390245480696</v>
      </c>
      <c r="L111" s="100">
        <f>SUM(BP$37:BP$48)+SUM(BR$37:BR$48)+SUM(BT$37:BT$48)+SUM(BV$37:BV$48)</f>
        <v>258.61458885431165</v>
      </c>
      <c r="M111" s="100">
        <f>SUM(BX$37:BX$48)+SUM(BZ$37:BZ$48)+SUM(CB$37:CB$48)+SUM(CD$37:CD$48)</f>
        <v>279.10455243798583</v>
      </c>
      <c r="N111" s="100">
        <f>SUM(CF$37:CF$48)+SUM(CH$37:CH$48)+SUM(CJ$37:CJ$48)+SUM(CL$37:CL$48)</f>
        <v>367.30691389554596</v>
      </c>
      <c r="O111" s="100">
        <f>SUM(CN$37:CN$48)+SUM(CP$37:CP$48)+SUM(CR$37:CR$48)+SUM(CT$37:CT$48)</f>
        <v>207.50761926902265</v>
      </c>
    </row>
    <row r="112" spans="2:99">
      <c r="C112" s="99" t="s">
        <v>129</v>
      </c>
      <c r="D112" s="100">
        <f>SUM(D$49:D$70)+SUM(F$49:F$70)+SUM(H$49:H$70)+SUM(J$49:J$70)</f>
        <v>456.0852150201431</v>
      </c>
      <c r="E112" s="100">
        <f>SUM(L$49:L$70)+SUM(N$49:N$70)+SUM(P$49:P$70)+SUM(R$49:R$70)</f>
        <v>427.13899265368116</v>
      </c>
      <c r="F112" s="100">
        <f>SUM(T$49:T$70)+SUM(V$49:V$70)+SUM(X$49:X$70)+SUM(Z$49:Z$70)</f>
        <v>415.10492749913988</v>
      </c>
      <c r="G112" s="100">
        <f>SUM(AB$49:AB$70)+SUM(AD$49:AD$70)+SUM(AF$49:AF$70)+SUM(AH$49:AH$70)</f>
        <v>284.17765719330066</v>
      </c>
      <c r="H112" s="100">
        <f>SUM(AJ$49:AJ$70)+SUM(AL$49:AL$70)+SUM(AN$49:AN$70)+SUM(AP$49:AP$70)</f>
        <v>342.27355297208646</v>
      </c>
      <c r="I112" s="100">
        <f>SUM(AR$49:AR$70)+SUM(AT$49:AT$70)+SUM(AV$49:AV$70)+SUM(AX$49:AX$70)</f>
        <v>385.03218223635793</v>
      </c>
      <c r="J112" s="100">
        <f>SUM(AZ$49:AZ$70)+SUM(BB$49:BB$70)+SUM(BD$49:BD$70)+SUM(BF$49:BF$70)</f>
        <v>380.66041722501302</v>
      </c>
      <c r="K112" s="100">
        <f>SUM(BH$49:BH$70)+SUM(BJ$49:BJ$70)+SUM(BL$49:BL$70)+SUM(BN$49:BN$70)</f>
        <v>320.79861381902094</v>
      </c>
      <c r="L112" s="100">
        <f>SUM(BP$49:BP$70)+SUM(BR$49:BR$70)+SUM(BT$49:BT$70)+SUM(BV$49:BV$70)</f>
        <v>316.60284163242602</v>
      </c>
      <c r="M112" s="100">
        <f>SUM(BX$49:BX$70)+SUM(BZ$49:BZ$70)+SUM(CB$49:CB$70)+SUM(CD$49:CD$70)</f>
        <v>348.79959095924607</v>
      </c>
      <c r="N112" s="100">
        <f>SUM(CF$49:CF$70)+SUM(CH$49:CH$70)+SUM(CJ$49:CJ$70)+SUM(CL$49:CL$70)</f>
        <v>421.98644043955085</v>
      </c>
      <c r="O112" s="100">
        <f>SUM(CN$49:CN$70)+SUM(CP$49:CP$70)+SUM(CR$49:CR$70)+SUM(CT$49:CT$70)</f>
        <v>250.1682215241018</v>
      </c>
    </row>
    <row r="113" spans="2:15">
      <c r="C113" s="99" t="s">
        <v>130</v>
      </c>
      <c r="D113" s="100">
        <f>SUM(D$71:D$86)+SUM(F$71:F$86)+SUM(H$71:H$86)+SUM(J$71:J$86)</f>
        <v>264.92581344621169</v>
      </c>
      <c r="E113" s="100">
        <f>SUM(L$71:L$86)+SUM(N$71:N$86)+SUM(P$71:P$86)+SUM(R$71:R$86)</f>
        <v>283.35418008160565</v>
      </c>
      <c r="F113" s="100">
        <f>SUM(T$71:T$86)+SUM(V$71:V$86)+SUM(X$71:X$86)+SUM(Z$71:Z$86)</f>
        <v>267</v>
      </c>
      <c r="G113" s="100">
        <f>SUM(AB$71:AB$86)+SUM(AD$71:AD$86)+SUM(AF$71:AF$86)+SUM(AH$71:AH$86)</f>
        <v>293.46478883706772</v>
      </c>
      <c r="H113" s="100">
        <f>SUM(AJ$71:AJ$86)+SUM(AL$71:AL$86)+SUM(AN$71:AN$86)+SUM(AP$71:AP$86)</f>
        <v>122.37383621201866</v>
      </c>
      <c r="I113" s="100">
        <f>SUM(AR$71:AR$86)+SUM(AT$71:AT$86)+SUM(AV$71:AV$86)+SUM(AX$71:AX$86)</f>
        <v>228.25232178398829</v>
      </c>
      <c r="J113" s="100">
        <f>SUM(AZ$71:AZ$86)+SUM(BB$71:BB$86)+SUM(BD$71:BD$86)+SUM(BF$71:BF$86)</f>
        <v>284.63753465134903</v>
      </c>
      <c r="K113" s="100">
        <f>SUM(BH$71:BH$86)+SUM(BJ$71:BJ$86)+SUM(BL$71:BL$86)+SUM(BN$71:BN$86)</f>
        <v>298.65662024062078</v>
      </c>
      <c r="L113" s="100">
        <f>SUM(BP$71:BP$86)+SUM(BR$71:BR$86)+SUM(BT$71:BT$86)+SUM(BV$71:BV$86)</f>
        <v>266.75761022368357</v>
      </c>
      <c r="M113" s="100">
        <f>SUM(BX$71:BX$86)+SUM(BZ$71:BZ$86)+SUM(CB$71:CB$86)+SUM(CD$71:CD$86)</f>
        <v>247.39256009709888</v>
      </c>
      <c r="N113" s="100">
        <f>SUM(CF$71:CF$86)+SUM(CH$71:CH$86)+SUM(CJ$71:CJ$86)+SUM(CL$71:CL$86)</f>
        <v>287</v>
      </c>
      <c r="O113" s="100">
        <f>SUM(CN$71:CN$86)+SUM(CP$71:CP$86)+SUM(CR$71:CR$86)+SUM(CT$71:CT$86)</f>
        <v>278.28838628837497</v>
      </c>
    </row>
    <row r="114" spans="2:15">
      <c r="C114" s="99" t="s">
        <v>131</v>
      </c>
      <c r="D114" s="100">
        <f>SUM(D$87:D$94)+SUM(F$87:F$94)+SUM(H$87:H$94)+SUM(J$87:J$94)</f>
        <v>105.54356583249199</v>
      </c>
      <c r="E114" s="100">
        <f>SUM(L$87:L$94)+SUM(N$87:N$94)+SUM(P$87:P$94)+SUM(R$87:R$94)</f>
        <v>97.236183762969574</v>
      </c>
      <c r="F114" s="100">
        <f>SUM(T$87:T$94)+SUM(V$87:V$94)+SUM(X$87:X$94)+SUM(Z$87:Z$94)</f>
        <v>130.87785328266838</v>
      </c>
      <c r="G114" s="100">
        <f>SUM(AB$87:AB$94)+SUM(AD$87:AD$94)+SUM(AF$87:AF$94)+SUM(AH$87:AH$94)</f>
        <v>106.62393385658609</v>
      </c>
      <c r="H114" s="100">
        <f>SUM(AJ$87:AJ$94)+SUM(AL$87:AL$94)+SUM(AN$87:AN$94)+SUM(AP$87:AP$94)</f>
        <v>46.520118529911137</v>
      </c>
      <c r="I114" s="100">
        <f>SUM(AR$87:AR$94)+SUM(AT$87:AT$94)+SUM(AV$87:AV$94)+SUM(AX$87:AX$94)</f>
        <v>96.167114159765234</v>
      </c>
      <c r="J114" s="100">
        <f>SUM(AZ$87:AZ$94)+SUM(BB$87:BB$94)+SUM(BD$87:BD$94)+SUM(BF$87:BF$94)</f>
        <v>80.874864437504797</v>
      </c>
      <c r="K114" s="100">
        <f>SUM(BH$87:BH$94)+SUM(BJ$87:BJ$94)+SUM(BL$87:BL$94)+SUM(BN$87:BN$94)</f>
        <v>94.216173116283102</v>
      </c>
      <c r="L114" s="100">
        <f>SUM(BP$87:BP$94)+SUM(BR$87:BR$94)+SUM(BT$87:BT$94)+SUM(BV$87:BV$94)</f>
        <v>142.89328009964885</v>
      </c>
      <c r="M114" s="100">
        <f>SUM(BX$87:BX$94)+SUM(BZ$87:BZ$94)+SUM(CB$87:CB$94)+SUM(CD$87:CD$94)</f>
        <v>120.77647317589421</v>
      </c>
      <c r="N114" s="100">
        <f>SUM(CF$87:CF$94)+SUM(CH$87:CH$94)+SUM(CJ$87:CJ$94)+SUM(CL$87:CL$94)</f>
        <v>104.79084646699103</v>
      </c>
      <c r="O114" s="100">
        <f>SUM(CN$87:CN$94)+SUM(CP$87:CP$94)+SUM(CR$87:CR$94)+SUM(CT$87:CT$94)</f>
        <v>83.204799916457574</v>
      </c>
    </row>
    <row r="115" spans="2:15">
      <c r="C115" s="99" t="s">
        <v>132</v>
      </c>
      <c r="D115" s="100">
        <f>SUM(D$95:D$105)+SUM(F$95:F$105)+SUM(H$95:H$105)+SUM(J$95:J$105)</f>
        <v>178.81293162370497</v>
      </c>
      <c r="E115" s="100">
        <f>SUM(L$95:L$105)+SUM(N$95:N$105)+SUM(P$95:P$105)+SUM(R$95:R$105)</f>
        <v>249.17479017240208</v>
      </c>
      <c r="F115" s="100">
        <f>SUM(T$95:T$105)+SUM(V$95:V$105)+SUM(X$95:X$105)+SUM(Z$95:Z$105)</f>
        <v>240.85712119902689</v>
      </c>
      <c r="G115" s="100">
        <f>SUM(AB$95:AB$105)+SUM(AD$95:AD$105)+SUM(AF$95:AF$105)+SUM(AH$95:AH$105)</f>
        <v>174.08965932495201</v>
      </c>
      <c r="H115" s="100">
        <f>SUM(AJ$95:AJ$105)+SUM(AL$95:AL$105)+SUM(AN$95:AN$105)+SUM(AP$95:AP$105)</f>
        <v>105.48415498620318</v>
      </c>
      <c r="I115" s="100">
        <f>SUM(AR$95:AR$105)+SUM(AT$95:AT$105)+SUM(AV$95:AV$105)+SUM(AX$95:AX$105)</f>
        <v>249.53047800307411</v>
      </c>
      <c r="J115" s="100">
        <f>SUM(AZ$95:AZ$105)+SUM(BB$95:BB$105)+SUM(BD$95:BD$105)+SUM(BF$95:BF$105)</f>
        <v>200.75770921626656</v>
      </c>
      <c r="K115" s="100">
        <f>SUM(BH$95:BH$105)+SUM(BJ$95:BJ$105)+SUM(BL$95:BL$105)+SUM(BN$95:BN$105)</f>
        <v>209.84410614756007</v>
      </c>
      <c r="L115" s="100">
        <f>SUM(BP$95:BP$105)+SUM(BR$95:BR$105)+SUM(BT$95:BT$105)+SUM(BV$95:BV$105)</f>
        <v>264.93144414109923</v>
      </c>
      <c r="M115" s="100">
        <f>SUM(BX$95:BX$105)+SUM(BZ$95:BZ$105)+SUM(CB$95:CB$105)+SUM(CD$95:CD$105)</f>
        <v>227.15889144264568</v>
      </c>
      <c r="N115" s="100">
        <f>SUM(CF$95:CF$105)+SUM(CH$95:CH$105)+SUM(CJ$95:CJ$105)+SUM(CL$95:CL$105)</f>
        <v>242.03498761762467</v>
      </c>
      <c r="O115" s="100">
        <f>SUM(CN$95:CN$105)+SUM(CP$95:CP$105)+SUM(CR$95:CR$105)+SUM(CT$95:CT$105)</f>
        <v>148.99551299235057</v>
      </c>
    </row>
    <row r="116" spans="2:15">
      <c r="C116" s="99" t="s">
        <v>278</v>
      </c>
      <c r="D116" s="100">
        <f t="shared" ref="D116:O116" si="0">SUM(D$109:D$115)</f>
        <v>2329.8868850670956</v>
      </c>
      <c r="E116" s="100">
        <f t="shared" si="0"/>
        <v>2421.9041466706585</v>
      </c>
      <c r="F116" s="100">
        <f t="shared" si="0"/>
        <v>2277.332419603656</v>
      </c>
      <c r="G116" s="100">
        <f t="shared" si="0"/>
        <v>2125.5036931367003</v>
      </c>
      <c r="H116" s="100">
        <f t="shared" si="0"/>
        <v>1861.3399586989221</v>
      </c>
      <c r="I116" s="100">
        <f t="shared" si="0"/>
        <v>2292.8130788870199</v>
      </c>
      <c r="J116" s="100">
        <f t="shared" si="0"/>
        <v>2279.6196555636384</v>
      </c>
      <c r="K116" s="100">
        <f t="shared" si="0"/>
        <v>2145.2652170288457</v>
      </c>
      <c r="L116" s="100">
        <f t="shared" si="0"/>
        <v>2110.2645781088827</v>
      </c>
      <c r="M116" s="100">
        <f t="shared" si="0"/>
        <v>2006.8436244893066</v>
      </c>
      <c r="N116" s="100">
        <f t="shared" si="0"/>
        <v>2693.7685025142182</v>
      </c>
      <c r="O116" s="100">
        <f t="shared" si="0"/>
        <v>1772.8107192017594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2661764.6603053808</v>
      </c>
      <c r="E120" s="100">
        <f>E109*pricing!E24*2000</f>
        <v>2918399.9999999995</v>
      </c>
      <c r="F120" s="100">
        <f>F109*pricing!F24*2000</f>
        <v>2528150.9381142999</v>
      </c>
      <c r="G120" s="100">
        <f>G109*pricing!G24*2000</f>
        <v>2351135.3984894878</v>
      </c>
      <c r="H120" s="100">
        <f>H109*pricing!H24*2000</f>
        <v>2627483.3620793889</v>
      </c>
      <c r="I120" s="100">
        <f>I109*pricing!I24*2000</f>
        <v>2585134.590582211</v>
      </c>
      <c r="J120" s="100">
        <f>J109*pricing!J24*2000</f>
        <v>2866569.893713655</v>
      </c>
      <c r="K120" s="100">
        <f>K109*pricing!K24*2000</f>
        <v>2474127.2090077722</v>
      </c>
      <c r="L120" s="100">
        <f>L109*pricing!L24*2000</f>
        <v>2119311.5584347188</v>
      </c>
      <c r="M120" s="100">
        <f>M109*pricing!M24*2000</f>
        <v>2379656.6754952404</v>
      </c>
      <c r="N120" s="100">
        <f>N109*pricing!N24*2000</f>
        <v>2813822.9626335064</v>
      </c>
      <c r="O120" s="100">
        <f>O109*pricing!O24*2000</f>
        <v>2093085.6601418527</v>
      </c>
    </row>
    <row r="121" spans="2:15">
      <c r="C121" s="99" t="s">
        <v>127</v>
      </c>
      <c r="D121" s="100">
        <f>D110*pricing!D25*2000</f>
        <v>5194334.341466832</v>
      </c>
      <c r="E121" s="100">
        <f>E110*pricing!E25*2000</f>
        <v>5228800</v>
      </c>
      <c r="F121" s="100">
        <f>F110*pricing!F25*2000</f>
        <v>4671464.898095767</v>
      </c>
      <c r="G121" s="100">
        <f>G110*pricing!G25*2000</f>
        <v>5122416.3969823197</v>
      </c>
      <c r="H121" s="100">
        <f>H110*pricing!H25*2000</f>
        <v>5029193.7711334061</v>
      </c>
      <c r="I121" s="100">
        <f>I110*pricing!I25*2000</f>
        <v>5063605.9602550222</v>
      </c>
      <c r="J121" s="100">
        <f>J110*pricing!J25*2000</f>
        <v>5309907.3666824838</v>
      </c>
      <c r="K121" s="100">
        <f>K110*pricing!K25*2000</f>
        <v>4909696.8804964367</v>
      </c>
      <c r="L121" s="100">
        <f>L110*pricing!L25*2000</f>
        <v>4420221.0215639034</v>
      </c>
      <c r="M121" s="100">
        <f>M110*pricing!M25*2000</f>
        <v>3575791.1529656737</v>
      </c>
      <c r="N121" s="100">
        <f>N110*pricing!N25*2000</f>
        <v>6843111.8244847376</v>
      </c>
      <c r="O121" s="100">
        <f>O110*pricing!O25*2000</f>
        <v>4022225.3018651796</v>
      </c>
    </row>
    <row r="122" spans="2:15">
      <c r="C122" s="99" t="s">
        <v>128</v>
      </c>
      <c r="D122" s="100">
        <f>D111*pricing!D26*2000</f>
        <v>2210248.1277263239</v>
      </c>
      <c r="E122" s="100">
        <f>E111*pricing!E26*2000</f>
        <v>2226799.9999999995</v>
      </c>
      <c r="F122" s="100">
        <f>F111*pricing!F26*2000</f>
        <v>2098927.2977233725</v>
      </c>
      <c r="G122" s="100">
        <f>G111*pricing!G26*2000</f>
        <v>2156770.374356627</v>
      </c>
      <c r="H122" s="100">
        <f>H111*pricing!H26*2000</f>
        <v>1802953.9163773458</v>
      </c>
      <c r="I122" s="100">
        <f>I111*pricing!I26*2000</f>
        <v>2488374.9177119089</v>
      </c>
      <c r="J122" s="100">
        <f>J111*pricing!J26*2000</f>
        <v>1951960.1278585016</v>
      </c>
      <c r="K122" s="100">
        <f>K111*pricing!K26*2000</f>
        <v>1901473.6586565326</v>
      </c>
      <c r="L122" s="100">
        <f>L111*pricing!L26*2000</f>
        <v>1965470.8752927685</v>
      </c>
      <c r="M122" s="100">
        <f>M111*pricing!M26*2000</f>
        <v>2121194.598528692</v>
      </c>
      <c r="N122" s="100">
        <f>N111*pricing!N26*2000</f>
        <v>2791532.5456061494</v>
      </c>
      <c r="O122" s="100">
        <f>O111*pricing!O26*2000</f>
        <v>1577057.9064445721</v>
      </c>
    </row>
    <row r="123" spans="2:15">
      <c r="C123" s="99" t="s">
        <v>129</v>
      </c>
      <c r="D123" s="100">
        <f>D112*pricing!D27*2000</f>
        <v>3466247.6341530872</v>
      </c>
      <c r="E123" s="100">
        <f>E112*pricing!E27*2000</f>
        <v>3246256.3441679766</v>
      </c>
      <c r="F123" s="100">
        <f>F112*pricing!F27*2000</f>
        <v>3154797.4489934626</v>
      </c>
      <c r="G123" s="100">
        <f>G112*pricing!G27*2000</f>
        <v>2159750.1946690851</v>
      </c>
      <c r="H123" s="100">
        <f>H112*pricing!H27*2000</f>
        <v>2601279.0025878572</v>
      </c>
      <c r="I123" s="100">
        <f>I112*pricing!I27*2000</f>
        <v>2926244.5849963203</v>
      </c>
      <c r="J123" s="100">
        <f>J112*pricing!J27*2000</f>
        <v>2893019.1709100986</v>
      </c>
      <c r="K123" s="100">
        <f>K112*pricing!K27*2000</f>
        <v>2438069.4650245593</v>
      </c>
      <c r="L123" s="100">
        <f>L112*pricing!L27*2000</f>
        <v>2406181.5964064375</v>
      </c>
      <c r="M123" s="100">
        <f>M112*pricing!M27*2000</f>
        <v>2650876.8912902703</v>
      </c>
      <c r="N123" s="100">
        <f>N112*pricing!N27*2000</f>
        <v>3207096.9473405862</v>
      </c>
      <c r="O123" s="100">
        <f>O112*pricing!O27*2000</f>
        <v>1901278.4835831735</v>
      </c>
    </row>
    <row r="124" spans="2:15">
      <c r="C124" s="99" t="s">
        <v>130</v>
      </c>
      <c r="D124" s="100">
        <f>D113*pricing!D28*2000</f>
        <v>2013436.1821912087</v>
      </c>
      <c r="E124" s="100">
        <f>E113*pricing!E28*2000</f>
        <v>2153491.7686202028</v>
      </c>
      <c r="F124" s="100">
        <f>F113*pricing!F28*2000</f>
        <v>2029199.9999999998</v>
      </c>
      <c r="G124" s="100">
        <f>G113*pricing!G28*2000</f>
        <v>2230332.3951617144</v>
      </c>
      <c r="H124" s="100">
        <f>H113*pricing!H28*2000</f>
        <v>930041.1552113418</v>
      </c>
      <c r="I124" s="100">
        <f>I113*pricing!I28*2000</f>
        <v>1734717.6455583109</v>
      </c>
      <c r="J124" s="100">
        <f>J113*pricing!J28*2000</f>
        <v>2163245.2633502525</v>
      </c>
      <c r="K124" s="100">
        <f>K113*pricing!K28*2000</f>
        <v>2269790.3138287179</v>
      </c>
      <c r="L124" s="100">
        <f>L113*pricing!L28*2000</f>
        <v>2027357.8376999951</v>
      </c>
      <c r="M124" s="100">
        <f>M113*pricing!M28*2000</f>
        <v>1880183.4567379514</v>
      </c>
      <c r="N124" s="100">
        <f>N113*pricing!N28*2000</f>
        <v>2181200</v>
      </c>
      <c r="O124" s="100">
        <f>O113*pricing!O28*2000</f>
        <v>2114991.7357916497</v>
      </c>
    </row>
    <row r="125" spans="2:15">
      <c r="C125" s="99" t="s">
        <v>131</v>
      </c>
      <c r="D125" s="100">
        <f>D114*pricing!D29*2000</f>
        <v>802131.10032693902</v>
      </c>
      <c r="E125" s="100">
        <f>E114*pricing!E29*2000</f>
        <v>738994.99659856874</v>
      </c>
      <c r="F125" s="100">
        <f>F114*pricing!F29*2000</f>
        <v>994671.68494827964</v>
      </c>
      <c r="G125" s="100">
        <f>G114*pricing!G29*2000</f>
        <v>810341.89731005428</v>
      </c>
      <c r="H125" s="100">
        <f>H114*pricing!H29*2000</f>
        <v>353552.9008273246</v>
      </c>
      <c r="I125" s="100">
        <f>I114*pricing!I29*2000</f>
        <v>730870.06761421566</v>
      </c>
      <c r="J125" s="100">
        <f>J114*pricing!J29*2000</f>
        <v>614648.96972503641</v>
      </c>
      <c r="K125" s="100">
        <f>K114*pricing!K29*2000</f>
        <v>716042.91568375146</v>
      </c>
      <c r="L125" s="100">
        <f>L114*pricing!L29*2000</f>
        <v>1085988.9287573313</v>
      </c>
      <c r="M125" s="100">
        <f>M114*pricing!M29*2000</f>
        <v>917901.19613679603</v>
      </c>
      <c r="N125" s="100">
        <f>N114*pricing!N29*2000</f>
        <v>796410.43314913183</v>
      </c>
      <c r="O125" s="100">
        <f>O114*pricing!O29*2000</f>
        <v>632356.47936507757</v>
      </c>
    </row>
    <row r="126" spans="2:15">
      <c r="C126" s="99" t="s">
        <v>132</v>
      </c>
      <c r="D126" s="100">
        <f>D115*pricing!D30*2000</f>
        <v>1358978.2803401577</v>
      </c>
      <c r="E126" s="100">
        <f>E115*pricing!E30*2000</f>
        <v>1893728.4053102557</v>
      </c>
      <c r="F126" s="100">
        <f>F115*pricing!F30*2000</f>
        <v>1830514.1211126042</v>
      </c>
      <c r="G126" s="100">
        <f>G115*pricing!G30*2000</f>
        <v>1323081.4108696352</v>
      </c>
      <c r="H126" s="100">
        <f>H115*pricing!H30*2000</f>
        <v>801679.57789514412</v>
      </c>
      <c r="I126" s="100">
        <f>I115*pricing!I30*2000</f>
        <v>1896431.6328233632</v>
      </c>
      <c r="J126" s="100">
        <f>J115*pricing!J30*2000</f>
        <v>1525758.5900436258</v>
      </c>
      <c r="K126" s="100">
        <f>K115*pricing!K30*2000</f>
        <v>1594815.2067214565</v>
      </c>
      <c r="L126" s="100">
        <f>L115*pricing!L30*2000</f>
        <v>2013478.9754723541</v>
      </c>
      <c r="M126" s="100">
        <f>M115*pricing!M30*2000</f>
        <v>1726407.5749641072</v>
      </c>
      <c r="N126" s="100">
        <f>N115*pricing!N30*2000</f>
        <v>1839465.9058939475</v>
      </c>
      <c r="O126" s="100">
        <f>O115*pricing!O30*2000</f>
        <v>1132365.8987418644</v>
      </c>
    </row>
    <row r="127" spans="2:15">
      <c r="C127" s="99" t="s">
        <v>278</v>
      </c>
      <c r="D127" s="100">
        <f t="shared" ref="D127:O127" si="1">SUM(D$120:D$126)</f>
        <v>17707140.32650993</v>
      </c>
      <c r="E127" s="100">
        <f t="shared" si="1"/>
        <v>18406471.514697004</v>
      </c>
      <c r="F127" s="100">
        <f t="shared" si="1"/>
        <v>17307726.388987787</v>
      </c>
      <c r="G127" s="100">
        <f t="shared" si="1"/>
        <v>16153828.067838924</v>
      </c>
      <c r="H127" s="100">
        <f t="shared" si="1"/>
        <v>14146183.686111808</v>
      </c>
      <c r="I127" s="100">
        <f t="shared" si="1"/>
        <v>17425379.399541356</v>
      </c>
      <c r="J127" s="100">
        <f t="shared" si="1"/>
        <v>17325109.382283654</v>
      </c>
      <c r="K127" s="100">
        <f t="shared" si="1"/>
        <v>16304015.649419226</v>
      </c>
      <c r="L127" s="100">
        <f t="shared" si="1"/>
        <v>16038010.793627508</v>
      </c>
      <c r="M127" s="100">
        <f t="shared" si="1"/>
        <v>15252011.546118733</v>
      </c>
      <c r="N127" s="100">
        <f t="shared" si="1"/>
        <v>20472640.619108062</v>
      </c>
      <c r="O127" s="100">
        <f t="shared" si="1"/>
        <v>13473361.465933368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176246.16468510265</v>
      </c>
      <c r="E131" s="106">
        <f>SUM(M$6:M$19)+SUM(O$6:O$19)+SUM(Q$6:Q$19)+SUM(S$6:S$19)</f>
        <v>194139.6</v>
      </c>
      <c r="F131" s="106">
        <f>SUM(U$6:U$19)+SUM(W$6:W$19)+SUM(Y$6:Y$19)+SUM(AA$6:AA$19)</f>
        <v>169306.99928123766</v>
      </c>
      <c r="G131" s="106">
        <f>SUM(AC$6:AC$19)+SUM(AE$6:AE$19)+SUM(AG$6:AG$19)+SUM(AI$6:AI$19)</f>
        <v>156974.45026960311</v>
      </c>
      <c r="H131" s="106">
        <f>SUM(AK$6:AK$19)+SUM(AM$6:AM$19)+SUM(AO$6:AO$19)+SUM(AQ$6:AQ$19)</f>
        <v>174998.79850140729</v>
      </c>
      <c r="I131" s="106">
        <f>SUM(AS$6:AS$19)+SUM(AU$6:AU$19)+SUM(AW$6:AW$19)+SUM(AY$6:AY$19)</f>
        <v>172899.44333528314</v>
      </c>
      <c r="J131" s="106">
        <f>SUM(BA$6:BA$19)+SUM(BC$6:BC$19)+SUM(BE$6:BE$19)+SUM(BG$6:BG$19)</f>
        <v>190333.57677968411</v>
      </c>
      <c r="K131" s="106">
        <f>SUM(BI$6:BI$19)+SUM(BK$6:BK$19)+SUM(BM$6:BM$19)+SUM(BO$6:BO$19)</f>
        <v>164269.76973183625</v>
      </c>
      <c r="L131" s="106">
        <f>SUM(BQ$6:BQ$19)+SUM(BS$6:BS$19)+SUM(BU$6:BU$19)+SUM(BW$6:BW$19)</f>
        <v>140564.42652976338</v>
      </c>
      <c r="M131" s="106">
        <f>SUM(BY$6:BY$19)+SUM(CA$6:CA$19)+SUM(CC$6:CC$19)+SUM(CE$6:CE$19)</f>
        <v>158778.52213969757</v>
      </c>
      <c r="N131" s="106">
        <f>SUM(CG$6:CG$19)+SUM(CI$6:CI$19)+SUM(CK$6:CK$19)+SUM(CM$6:CM$19)</f>
        <v>187167.34927471849</v>
      </c>
      <c r="O131" s="106">
        <f>SUM(CO$6:CO$19)+SUM(CQ$6:CQ$19)+SUM(CS$6:CS$19)+SUM(CU$6:CU$19)</f>
        <v>139007.15281360564</v>
      </c>
    </row>
    <row r="132" spans="2:15">
      <c r="C132" s="105" t="s">
        <v>127</v>
      </c>
      <c r="D132" s="106">
        <f>SUM(E$20:E$36)+SUM(G$20:G$36)+SUM(I$20:I$36)+SUM(K$20:K$36)</f>
        <v>291769.79488207196</v>
      </c>
      <c r="E132" s="106">
        <f>SUM(M$20:M$36)+SUM(O$20:O$36)+SUM(Q$20:Q$36)+SUM(S$20:S$36)</f>
        <v>295998</v>
      </c>
      <c r="F132" s="106">
        <f>SUM(U$20:U$36)+SUM(W$20:W$36)+SUM(Y$20:Y$36)+SUM(AA$20:AA$36)</f>
        <v>264836.22813957738</v>
      </c>
      <c r="G132" s="106">
        <f>SUM(AC$20:AC$36)+SUM(AE$20:AE$36)+SUM(AG$20:AG$36)+SUM(AI$20:AI$36)</f>
        <v>287261.41623053409</v>
      </c>
      <c r="H132" s="106">
        <f>SUM(AK$20:AK$36)+SUM(AM$20:AM$36)+SUM(AO$20:AO$36)+SUM(AQ$20:AQ$36)</f>
        <v>282757.27696424315</v>
      </c>
      <c r="I132" s="106">
        <f>SUM(AS$20:AS$36)+SUM(AU$20:AU$36)+SUM(AW$20:AW$36)+SUM(AY$20:AY$36)</f>
        <v>284616.02835851628</v>
      </c>
      <c r="J132" s="106">
        <f>SUM(BA$20:BA$36)+SUM(BC$20:BC$36)+SUM(BE$20:BE$36)+SUM(BG$20:BG$36)</f>
        <v>297958.486102222</v>
      </c>
      <c r="K132" s="106">
        <f>SUM(BI$20:BI$36)+SUM(BK$20:BK$36)+SUM(BM$20:BM$36)+SUM(BO$20:BO$36)</f>
        <v>279375.37082927109</v>
      </c>
      <c r="L132" s="106">
        <f>SUM(BQ$20:BQ$36)+SUM(BS$20:BS$36)+SUM(BU$20:BU$36)+SUM(BW$20:BW$36)</f>
        <v>249303.61573640781</v>
      </c>
      <c r="M132" s="106">
        <f>SUM(BY$20:BY$36)+SUM(CA$20:CA$36)+SUM(CC$20:CC$36)+SUM(CE$20:CE$36)</f>
        <v>201236.84135678312</v>
      </c>
      <c r="N132" s="106">
        <f>SUM(CG$20:CG$36)+SUM(CI$20:CI$36)+SUM(CK$20:CK$36)+SUM(CM$20:CM$36)</f>
        <v>383827.67407703004</v>
      </c>
      <c r="O132" s="106">
        <f>SUM(CO$20:CO$36)+SUM(CQ$20:CQ$36)+SUM(CS$20:CS$36)+SUM(CU$20:CU$36)</f>
        <v>226909.83143714545</v>
      </c>
    </row>
    <row r="133" spans="2:15">
      <c r="C133" s="105" t="s">
        <v>128</v>
      </c>
      <c r="D133" s="106">
        <f>SUM(E$37:E$48)+SUM(G$37:G$48)+SUM(I$37:I$48)+SUM(K$37:K$48)</f>
        <v>305629.91076712403</v>
      </c>
      <c r="E133" s="106">
        <f>SUM(M$37:M$48)+SUM(O$37:O$48)+SUM(Q$37:Q$48)+SUM(S$37:S$48)</f>
        <v>306963.59999999998</v>
      </c>
      <c r="F133" s="106">
        <f>SUM(U$37:U$48)+SUM(W$37:W$48)+SUM(Y$37:Y$48)+SUM(AA$37:AA$48)</f>
        <v>291054.97833592893</v>
      </c>
      <c r="G133" s="106">
        <f>SUM(AC$37:AC$48)+SUM(AE$37:AE$48)+SUM(AG$37:AG$48)+SUM(AI$37:AI$48)</f>
        <v>299729.09976468887</v>
      </c>
      <c r="H133" s="106">
        <f>SUM(AK$37:AK$48)+SUM(AM$37:AM$48)+SUM(AO$37:AO$48)+SUM(AQ$37:AQ$48)</f>
        <v>248885.24810461991</v>
      </c>
      <c r="I133" s="106">
        <f>SUM(AS$37:AS$48)+SUM(AU$37:AU$48)+SUM(AW$37:AW$48)+SUM(AY$37:AY$48)</f>
        <v>344002.28360211052</v>
      </c>
      <c r="J133" s="106">
        <f>SUM(BA$37:BA$48)+SUM(BC$37:BC$48)+SUM(BE$37:BE$48)+SUM(BG$37:BG$48)</f>
        <v>271262.62623034255</v>
      </c>
      <c r="K133" s="106">
        <f>SUM(BI$37:BI$48)+SUM(BK$37:BK$48)+SUM(BM$37:BM$48)+SUM(BO$37:BO$48)</f>
        <v>262834.64909429109</v>
      </c>
      <c r="L133" s="106">
        <f>SUM(BQ$37:BQ$48)+SUM(BS$37:BS$48)+SUM(BU$37:BU$48)+SUM(BW$37:BW$48)</f>
        <v>271893.00518997456</v>
      </c>
      <c r="M133" s="106">
        <f>SUM(BY$37:BY$48)+SUM(CA$37:CA$48)+SUM(CC$37:CC$48)+SUM(CE$37:CE$48)</f>
        <v>293622.95168085559</v>
      </c>
      <c r="N133" s="106">
        <f>SUM(CG$37:CG$48)+SUM(CI$37:CI$48)+SUM(CK$37:CK$48)+SUM(CM$37:CM$48)</f>
        <v>384634.42051126203</v>
      </c>
      <c r="O133" s="106">
        <f>SUM(CO$37:CO$48)+SUM(CQ$37:CQ$48)+SUM(CS$37:CS$48)+SUM(CU$37:CU$48)</f>
        <v>218055.98520166255</v>
      </c>
    </row>
    <row r="134" spans="2:15">
      <c r="C134" s="105" t="s">
        <v>129</v>
      </c>
      <c r="D134" s="106">
        <f>SUM(E$49:E$70)+SUM(G$49:G$70)+SUM(I$49:I$70)+SUM(K$49:K$70)</f>
        <v>372352.56403505174</v>
      </c>
      <c r="E134" s="106">
        <f>SUM(M$49:M$70)+SUM(O$49:O$70)+SUM(Q$49:Q$70)+SUM(S$49:S$70)</f>
        <v>354813.53359346633</v>
      </c>
      <c r="F134" s="106">
        <f>SUM(U$49:U$70)+SUM(W$49:W$70)+SUM(Y$49:Y$70)+SUM(AA$49:AA$70)</f>
        <v>353968.19882704096</v>
      </c>
      <c r="G134" s="106">
        <f>SUM(AC$49:AC$70)+SUM(AE$49:AE$70)+SUM(AG$49:AG$70)+SUM(AI$49:AI$70)</f>
        <v>238893.89728374884</v>
      </c>
      <c r="H134" s="106">
        <f>SUM(AK$49:AK$70)+SUM(AM$49:AM$70)+SUM(AO$49:AO$70)+SUM(AQ$49:AQ$70)</f>
        <v>273331.01367343345</v>
      </c>
      <c r="I134" s="106">
        <f>SUM(AS$49:AS$70)+SUM(AU$49:AU$70)+SUM(AW$49:AW$70)+SUM(AY$49:AY$70)</f>
        <v>318333.03120905679</v>
      </c>
      <c r="J134" s="106">
        <f>SUM(BA$49:BA$70)+SUM(BC$49:BC$70)+SUM(BE$49:BE$70)+SUM(BG$49:BG$70)</f>
        <v>312930.27533059113</v>
      </c>
      <c r="K134" s="106">
        <f>SUM(BI$49:BI$70)+SUM(BK$49:BK$70)+SUM(BM$49:BM$70)+SUM(BO$49:BO$70)</f>
        <v>268897.30272485933</v>
      </c>
      <c r="L134" s="106">
        <f>SUM(BQ$49:BQ$70)+SUM(BS$49:BS$70)+SUM(BU$49:BU$70)+SUM(BW$49:BW$70)</f>
        <v>269644.9222701767</v>
      </c>
      <c r="M134" s="106">
        <f>SUM(BY$49:BY$70)+SUM(CA$49:CA$70)+SUM(CC$49:CC$70)+SUM(CE$49:CE$70)</f>
        <v>292911.4634071312</v>
      </c>
      <c r="N134" s="106">
        <f>SUM(CG$49:CG$70)+SUM(CI$49:CI$70)+SUM(CK$49:CK$70)+SUM(CM$49:CM$70)</f>
        <v>347811.93483251677</v>
      </c>
      <c r="O134" s="106">
        <f>SUM(CO$49:CO$70)+SUM(CQ$49:CQ$70)+SUM(CS$49:CS$70)+SUM(CU$49:CU$70)</f>
        <v>213246.00250561917</v>
      </c>
    </row>
    <row r="135" spans="2:15">
      <c r="C135" s="105" t="s">
        <v>130</v>
      </c>
      <c r="D135" s="106">
        <f>SUM(E$71:E$86)+SUM(G$71:G$86)+SUM(I$71:I$86)+SUM(K$71:K$86)</f>
        <v>148370.02480421835</v>
      </c>
      <c r="E135" s="106">
        <f>SUM(M$71:M$86)+SUM(O$71:O$86)+SUM(Q$71:Q$86)+SUM(S$71:S$86)</f>
        <v>157513.0436017575</v>
      </c>
      <c r="F135" s="106">
        <f>SUM(U$71:U$86)+SUM(W$71:W$86)+SUM(Y$71:Y$86)+SUM(AA$71:AA$86)</f>
        <v>150002.4</v>
      </c>
      <c r="G135" s="106">
        <f>SUM(AC$71:AC$86)+SUM(AE$71:AE$86)+SUM(AG$71:AG$86)+SUM(AI$71:AI$86)</f>
        <v>164852.06174140453</v>
      </c>
      <c r="H135" s="106">
        <f>SUM(AK$71:AK$86)+SUM(AM$71:AM$86)+SUM(AO$71:AO$86)+SUM(AQ$71:AQ$86)</f>
        <v>68933.150434309355</v>
      </c>
      <c r="I135" s="106">
        <f>SUM(AS$71:AS$86)+SUM(AU$71:AU$86)+SUM(AW$71:AW$86)+SUM(AY$71:AY$86)</f>
        <v>126815.06036212841</v>
      </c>
      <c r="J135" s="106">
        <f>SUM(BA$71:BA$86)+SUM(BC$71:BC$86)+SUM(BE$71:BE$86)+SUM(BG$71:BG$86)</f>
        <v>159092.42099011299</v>
      </c>
      <c r="K135" s="106">
        <f>SUM(BI$71:BI$86)+SUM(BK$71:BK$86)+SUM(BM$71:BM$86)+SUM(BO$71:BO$86)</f>
        <v>168030.45407310361</v>
      </c>
      <c r="L135" s="106">
        <f>SUM(BQ$71:BQ$86)+SUM(BS$71:BS$86)+SUM(BU$71:BU$86)+SUM(BW$71:BW$86)</f>
        <v>149965.99362878985</v>
      </c>
      <c r="M135" s="106">
        <f>SUM(BY$71:BY$86)+SUM(CA$71:CA$86)+SUM(CC$71:CC$86)+SUM(CE$71:CE$86)</f>
        <v>139262.68077320606</v>
      </c>
      <c r="N135" s="106">
        <f>SUM(CG$71:CG$86)+SUM(CI$71:CI$86)+SUM(CK$71:CK$86)+SUM(CM$71:CM$86)</f>
        <v>161392.80000000002</v>
      </c>
      <c r="O135" s="106">
        <f>SUM(CO$71:CO$86)+SUM(CQ$71:CQ$86)+SUM(CS$71:CS$86)+SUM(CU$71:CU$86)</f>
        <v>156823.14186673192</v>
      </c>
    </row>
    <row r="136" spans="2:15">
      <c r="C136" s="105" t="s">
        <v>131</v>
      </c>
      <c r="D136" s="106">
        <f>SUM(E$87:E$94)+SUM(G$87:G$94)+SUM(I$87:I$94)+SUM(K$87:K$94)</f>
        <v>105852.0280812564</v>
      </c>
      <c r="E136" s="106">
        <f>SUM(M$87:M$94)+SUM(O$87:O$94)+SUM(Q$87:Q$94)+SUM(S$87:S$94)</f>
        <v>97467.254563233146</v>
      </c>
      <c r="F136" s="106">
        <f>SUM(U$87:U$94)+SUM(W$87:W$94)+SUM(Y$87:Y$94)+SUM(AA$87:AA$94)</f>
        <v>131729.52407198393</v>
      </c>
      <c r="G136" s="106">
        <f>SUM(AC$87:AC$94)+SUM(AE$87:AE$94)+SUM(AG$87:AG$94)+SUM(AI$87:AI$94)</f>
        <v>106972.88106378514</v>
      </c>
      <c r="H136" s="106">
        <f>SUM(AK$87:AK$94)+SUM(AM$87:AM$94)+SUM(AO$87:AO$94)+SUM(AQ$87:AQ$94)</f>
        <v>46595.938177354255</v>
      </c>
      <c r="I136" s="106">
        <f>SUM(AS$87:AS$94)+SUM(AU$87:AU$94)+SUM(AW$87:AW$94)+SUM(AY$87:AY$94)</f>
        <v>96385.930184298515</v>
      </c>
      <c r="J136" s="106">
        <f>SUM(BA$87:BA$94)+SUM(BC$87:BC$94)+SUM(BE$87:BE$94)+SUM(BG$87:BG$94)</f>
        <v>81421.098644325888</v>
      </c>
      <c r="K136" s="106">
        <f>SUM(BI$87:BI$94)+SUM(BK$87:BK$94)+SUM(BM$87:BM$94)+SUM(BO$87:BO$94)</f>
        <v>94691.464043713218</v>
      </c>
      <c r="L136" s="106">
        <f>SUM(BQ$87:BQ$94)+SUM(BS$87:BS$94)+SUM(BU$87:BU$94)+SUM(BW$87:BW$94)</f>
        <v>143599.52722834353</v>
      </c>
      <c r="M136" s="106">
        <f>SUM(BY$87:BY$94)+SUM(CA$87:CA$94)+SUM(CC$87:CC$94)+SUM(CE$87:CE$94)</f>
        <v>121452.90445261754</v>
      </c>
      <c r="N136" s="106">
        <f>SUM(CG$87:CG$94)+SUM(CI$87:CI$94)+SUM(CK$87:CK$94)+SUM(CM$87:CM$94)</f>
        <v>105327.93497575261</v>
      </c>
      <c r="O136" s="106">
        <f>SUM(CO$87:CO$94)+SUM(CQ$87:CQ$94)+SUM(CS$87:CS$94)+SUM(CU$87:CU$94)</f>
        <v>83391.791048555257</v>
      </c>
    </row>
    <row r="137" spans="2:15">
      <c r="C137" s="105" t="s">
        <v>132</v>
      </c>
      <c r="D137" s="106">
        <f>SUM(E$95:E$105)+SUM(G$95:G$105)+SUM(I$95:I$105)+SUM(K$95:K$105)</f>
        <v>144235.47857446808</v>
      </c>
      <c r="E137" s="106">
        <f>SUM(M$95:M$105)+SUM(O$95:O$105)+SUM(Q$95:Q$105)+SUM(S$95:S$105)</f>
        <v>200522.26132982006</v>
      </c>
      <c r="F137" s="106">
        <f>SUM(U$95:U$105)+SUM(W$95:W$105)+SUM(Y$95:Y$105)+SUM(AA$95:AA$105)</f>
        <v>195289.33418377239</v>
      </c>
      <c r="G137" s="106">
        <f>SUM(AC$95:AC$105)+SUM(AE$95:AE$105)+SUM(AG$95:AG$105)+SUM(AI$95:AI$105)</f>
        <v>141751.63551677976</v>
      </c>
      <c r="H137" s="106">
        <f>SUM(AK$95:AK$105)+SUM(AM$95:AM$105)+SUM(AO$95:AO$105)+SUM(AQ$95:AQ$105)</f>
        <v>85898.131032918784</v>
      </c>
      <c r="I137" s="106">
        <f>SUM(AS$95:AS$105)+SUM(AU$95:AU$105)+SUM(AW$95:AW$105)+SUM(AY$95:AY$105)</f>
        <v>197994.34618204925</v>
      </c>
      <c r="J137" s="106">
        <f>SUM(BA$95:BA$105)+SUM(BC$95:BC$105)+SUM(BE$95:BE$105)+SUM(BG$95:BG$105)</f>
        <v>162157.97763213731</v>
      </c>
      <c r="K137" s="106">
        <f>SUM(BI$95:BI$105)+SUM(BK$95:BK$105)+SUM(BM$95:BM$105)+SUM(BO$95:BO$105)</f>
        <v>173426.74250224291</v>
      </c>
      <c r="L137" s="106">
        <f>SUM(BQ$95:BQ$105)+SUM(BS$95:BS$105)+SUM(BU$95:BU$105)+SUM(BW$95:BW$105)</f>
        <v>216478.97233392438</v>
      </c>
      <c r="M137" s="106">
        <f>SUM(BY$95:BY$105)+SUM(CA$95:CA$105)+SUM(CC$95:CC$105)+SUM(CE$95:CE$105)</f>
        <v>186633.5227646619</v>
      </c>
      <c r="N137" s="106">
        <f>SUM(CG$95:CG$105)+SUM(CI$95:CI$105)+SUM(CK$95:CK$105)+SUM(CM$95:CM$105)</f>
        <v>193486.12659335689</v>
      </c>
      <c r="O137" s="106">
        <f>SUM(CO$95:CO$105)+SUM(CQ$95:CQ$105)+SUM(CS$95:CS$105)+SUM(CU$95:CU$105)</f>
        <v>120639.97549214386</v>
      </c>
    </row>
    <row r="138" spans="2:15">
      <c r="C138" s="105" t="s">
        <v>278</v>
      </c>
      <c r="D138" s="100">
        <f t="shared" ref="D138:O138" si="2">SUM(D$131:D$137)</f>
        <v>1544455.9658292932</v>
      </c>
      <c r="E138" s="100">
        <f t="shared" si="2"/>
        <v>1607417.2930882769</v>
      </c>
      <c r="F138" s="100">
        <f t="shared" si="2"/>
        <v>1556187.662839541</v>
      </c>
      <c r="G138" s="100">
        <f t="shared" si="2"/>
        <v>1396435.4418705443</v>
      </c>
      <c r="H138" s="100">
        <f t="shared" si="2"/>
        <v>1181399.556888286</v>
      </c>
      <c r="I138" s="100">
        <f t="shared" si="2"/>
        <v>1541046.1232334427</v>
      </c>
      <c r="J138" s="100">
        <f t="shared" si="2"/>
        <v>1475156.461709416</v>
      </c>
      <c r="K138" s="100">
        <f t="shared" si="2"/>
        <v>1411525.7529993174</v>
      </c>
      <c r="L138" s="100">
        <f t="shared" si="2"/>
        <v>1441450.4629173803</v>
      </c>
      <c r="M138" s="100">
        <f t="shared" si="2"/>
        <v>1393898.8865749529</v>
      </c>
      <c r="N138" s="100">
        <f t="shared" si="2"/>
        <v>1763648.2402646369</v>
      </c>
      <c r="O138" s="100">
        <f t="shared" si="2"/>
        <v>1158073.8803654639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3.4755205685293613</v>
      </c>
      <c r="E6" s="100">
        <v>2010.2410968373824</v>
      </c>
      <c r="F6" s="100">
        <v>8</v>
      </c>
      <c r="G6" s="100">
        <v>4627.2</v>
      </c>
      <c r="H6" s="100">
        <v>5.383494676467107</v>
      </c>
      <c r="I6" s="100">
        <v>3113.8133208685745</v>
      </c>
      <c r="J6" s="100">
        <v>5.0013187955971539</v>
      </c>
      <c r="K6" s="100">
        <v>2892.7627913733936</v>
      </c>
      <c r="L6" s="100">
        <v>6</v>
      </c>
      <c r="M6" s="100">
        <v>3470.3999999999996</v>
      </c>
      <c r="N6" s="100">
        <v>7</v>
      </c>
      <c r="O6" s="100">
        <v>4048.7999999999997</v>
      </c>
      <c r="P6" s="100">
        <v>5.2336101328897282</v>
      </c>
      <c r="Q6" s="100">
        <v>3027.1201008634189</v>
      </c>
      <c r="R6" s="100">
        <v>4.1750392505421265</v>
      </c>
      <c r="S6" s="100">
        <v>2414.8427025135661</v>
      </c>
      <c r="T6" s="100">
        <v>3.1211825622422062</v>
      </c>
      <c r="U6" s="100">
        <v>1805.2919940008919</v>
      </c>
      <c r="V6" s="100">
        <v>10.344586625564563</v>
      </c>
      <c r="W6" s="100">
        <v>5983.3089042265428</v>
      </c>
      <c r="X6" s="100">
        <v>3.9396452568579532</v>
      </c>
      <c r="Y6" s="100">
        <v>2278.69081656664</v>
      </c>
      <c r="Z6" s="100">
        <v>8.8613957144982347</v>
      </c>
      <c r="AA6" s="100">
        <v>5125.431281265779</v>
      </c>
      <c r="AB6" s="100">
        <v>2.2904175735053207</v>
      </c>
      <c r="AC6" s="100">
        <v>1324.7775245154774</v>
      </c>
      <c r="AD6" s="100">
        <v>2.9845388395372119</v>
      </c>
      <c r="AE6" s="100">
        <v>1726.2572647883233</v>
      </c>
      <c r="AF6" s="100">
        <v>7.3921740980335864</v>
      </c>
      <c r="AG6" s="100">
        <v>4275.6334983026263</v>
      </c>
      <c r="AH6" s="100">
        <v>3.6813724812129802</v>
      </c>
      <c r="AI6" s="100">
        <v>2129.3058431335876</v>
      </c>
      <c r="AJ6" s="100">
        <v>2.6941447207870297</v>
      </c>
      <c r="AK6" s="100">
        <v>1558.293306503218</v>
      </c>
      <c r="AL6" s="100">
        <v>8.3649126056748262</v>
      </c>
      <c r="AM6" s="100">
        <v>4838.2654511223191</v>
      </c>
      <c r="AN6" s="100">
        <v>5</v>
      </c>
      <c r="AO6" s="100">
        <v>2892</v>
      </c>
      <c r="AP6" s="100">
        <v>6</v>
      </c>
      <c r="AQ6" s="100">
        <v>3470.3999999999996</v>
      </c>
      <c r="AR6" s="100">
        <v>8.6674854570188185</v>
      </c>
      <c r="AS6" s="100">
        <v>5013.2735883396845</v>
      </c>
      <c r="AT6" s="100">
        <v>7.3233596649815462</v>
      </c>
      <c r="AU6" s="100">
        <v>4235.8312302253262</v>
      </c>
      <c r="AV6" s="100">
        <v>2.2874464791583935</v>
      </c>
      <c r="AW6" s="100">
        <v>1323.0590435452148</v>
      </c>
      <c r="AX6" s="100">
        <v>9.363740179346923</v>
      </c>
      <c r="AY6" s="100">
        <v>5415.9873197342604</v>
      </c>
      <c r="AZ6" s="100">
        <v>4.3680723490053159</v>
      </c>
      <c r="BA6" s="100">
        <v>2526.4930466646747</v>
      </c>
      <c r="BB6" s="100">
        <v>6.3053504534878861</v>
      </c>
      <c r="BC6" s="100">
        <v>3647.0147022973933</v>
      </c>
      <c r="BD6" s="100">
        <v>4.268407910342539</v>
      </c>
      <c r="BE6" s="100">
        <v>2468.8471353421246</v>
      </c>
      <c r="BF6" s="100">
        <v>6.2248495236187669</v>
      </c>
      <c r="BG6" s="100">
        <v>3600.4529644610948</v>
      </c>
      <c r="BH6" s="100">
        <v>3.0802124773187036</v>
      </c>
      <c r="BI6" s="100">
        <v>1781.5948968811381</v>
      </c>
      <c r="BJ6" s="100">
        <v>8.9799550003329323</v>
      </c>
      <c r="BK6" s="100">
        <v>5194.0059721925682</v>
      </c>
      <c r="BL6" s="100">
        <v>6.9254469100434646</v>
      </c>
      <c r="BM6" s="100">
        <v>4005.6784927691397</v>
      </c>
      <c r="BN6" s="100">
        <v>1.7466620018666681</v>
      </c>
      <c r="BO6" s="100">
        <v>1010.2693018796808</v>
      </c>
      <c r="BP6" s="100">
        <v>6.8989032003587099</v>
      </c>
      <c r="BQ6" s="100">
        <v>3990.3256110874777</v>
      </c>
      <c r="BR6" s="100">
        <v>2.2156744907864705</v>
      </c>
      <c r="BS6" s="100">
        <v>1281.5461254708946</v>
      </c>
      <c r="BT6" s="100">
        <v>8.5584984468357312</v>
      </c>
      <c r="BU6" s="100">
        <v>4950.2355016497868</v>
      </c>
      <c r="BV6" s="100">
        <v>4.3902657436311898</v>
      </c>
      <c r="BW6" s="100">
        <v>2539.3297061162802</v>
      </c>
      <c r="BX6" s="100">
        <v>4.287310081194164</v>
      </c>
      <c r="BY6" s="100">
        <v>2479.7801509627043</v>
      </c>
      <c r="BZ6" s="100">
        <v>11.55153927851952</v>
      </c>
      <c r="CA6" s="100">
        <v>6681.41031869569</v>
      </c>
      <c r="CB6" s="100">
        <v>6.17786146937756</v>
      </c>
      <c r="CC6" s="100">
        <v>3573.2750738879804</v>
      </c>
      <c r="CD6" s="100">
        <v>6</v>
      </c>
      <c r="CE6" s="100">
        <v>3470.3999999999996</v>
      </c>
      <c r="CF6" s="100">
        <v>4.9095914572930957</v>
      </c>
      <c r="CG6" s="100">
        <v>2839.7076988983263</v>
      </c>
      <c r="CH6" s="100">
        <v>5.3063899975467024</v>
      </c>
      <c r="CI6" s="100">
        <v>3069.2159745810127</v>
      </c>
      <c r="CJ6" s="100">
        <v>9.5000983379664348</v>
      </c>
      <c r="CK6" s="100">
        <v>5494.856878679786</v>
      </c>
      <c r="CL6" s="100">
        <v>6.4285737229344972</v>
      </c>
      <c r="CM6" s="100">
        <v>3718.2870413453129</v>
      </c>
      <c r="CN6" s="100">
        <v>7.5757227970621486</v>
      </c>
      <c r="CO6" s="100">
        <v>4381.7980658207462</v>
      </c>
      <c r="CP6" s="100">
        <v>1.9010181648259177</v>
      </c>
      <c r="CQ6" s="100">
        <v>1099.5489065353108</v>
      </c>
      <c r="CR6" s="100">
        <v>6.0071961107531822</v>
      </c>
      <c r="CS6" s="100">
        <v>3474.5622304596404</v>
      </c>
      <c r="CT6" s="100">
        <v>1.8142063140229077</v>
      </c>
      <c r="CU6" s="100">
        <v>1049.3369320308498</v>
      </c>
    </row>
    <row r="7" spans="1:99">
      <c r="C7" s="99" t="s">
        <v>173</v>
      </c>
      <c r="D7" s="100">
        <v>3.0410804974631911</v>
      </c>
      <c r="E7" s="100">
        <v>2397.5878641999798</v>
      </c>
      <c r="F7" s="100">
        <v>7</v>
      </c>
      <c r="G7" s="100">
        <v>5518.8</v>
      </c>
      <c r="H7" s="100">
        <v>6.1525653445338371</v>
      </c>
      <c r="I7" s="100">
        <v>4850.6825176304774</v>
      </c>
      <c r="J7" s="100">
        <v>5.0013187955971539</v>
      </c>
      <c r="K7" s="100">
        <v>3943.039738448796</v>
      </c>
      <c r="L7" s="100">
        <v>6</v>
      </c>
      <c r="M7" s="100">
        <v>4730.3999999999996</v>
      </c>
      <c r="N7" s="100">
        <v>7</v>
      </c>
      <c r="O7" s="100">
        <v>5518.8</v>
      </c>
      <c r="P7" s="100">
        <v>6.1058784883713493</v>
      </c>
      <c r="Q7" s="100">
        <v>4813.8746002319713</v>
      </c>
      <c r="R7" s="100">
        <v>4.1750392505421265</v>
      </c>
      <c r="S7" s="100">
        <v>3291.6009451274126</v>
      </c>
      <c r="T7" s="100">
        <v>3.5670657854196639</v>
      </c>
      <c r="U7" s="100">
        <v>2812.2746652248629</v>
      </c>
      <c r="V7" s="100">
        <v>10.515884432921689</v>
      </c>
      <c r="W7" s="100">
        <v>8290.7232869154595</v>
      </c>
      <c r="X7" s="100">
        <v>3.5088332301738059</v>
      </c>
      <c r="Y7" s="100">
        <v>2766.3641186690284</v>
      </c>
      <c r="Z7" s="100">
        <v>7.8613957144982338</v>
      </c>
      <c r="AA7" s="100">
        <v>6197.9243813104076</v>
      </c>
      <c r="AB7" s="100">
        <v>2.2787563146432319</v>
      </c>
      <c r="AC7" s="100">
        <v>1796.5714784647239</v>
      </c>
      <c r="AD7" s="100">
        <v>2.9845388395372119</v>
      </c>
      <c r="AE7" s="100">
        <v>2353.0104210911377</v>
      </c>
      <c r="AF7" s="100">
        <v>7.2181523357793882</v>
      </c>
      <c r="AG7" s="100">
        <v>5690.7913015284694</v>
      </c>
      <c r="AH7" s="100">
        <v>3.6813724812129802</v>
      </c>
      <c r="AI7" s="100">
        <v>2902.3940641883137</v>
      </c>
      <c r="AJ7" s="100">
        <v>2.2570760677628048</v>
      </c>
      <c r="AK7" s="100">
        <v>1779.4787718241953</v>
      </c>
      <c r="AL7" s="100">
        <v>9.194298529965474</v>
      </c>
      <c r="AM7" s="100">
        <v>7248.7849610247795</v>
      </c>
      <c r="AN7" s="100">
        <v>5</v>
      </c>
      <c r="AO7" s="100">
        <v>3942</v>
      </c>
      <c r="AP7" s="100">
        <v>6</v>
      </c>
      <c r="AQ7" s="100">
        <v>4730.3999999999996</v>
      </c>
      <c r="AR7" s="100">
        <v>8.6674854570188185</v>
      </c>
      <c r="AS7" s="100">
        <v>6833.445534313636</v>
      </c>
      <c r="AT7" s="100">
        <v>8.1370662944239402</v>
      </c>
      <c r="AU7" s="100">
        <v>6415.2630665238339</v>
      </c>
      <c r="AV7" s="100">
        <v>2.2874464791583935</v>
      </c>
      <c r="AW7" s="100">
        <v>1803.4228041684773</v>
      </c>
      <c r="AX7" s="100">
        <v>10.363740179346923</v>
      </c>
      <c r="AY7" s="100">
        <v>8170.7727573971142</v>
      </c>
      <c r="AZ7" s="100">
        <v>4.3680723490053159</v>
      </c>
      <c r="BA7" s="100">
        <v>3443.7882399557911</v>
      </c>
      <c r="BB7" s="100">
        <v>6.3053504534878861</v>
      </c>
      <c r="BC7" s="100">
        <v>4971.1382975298493</v>
      </c>
      <c r="BD7" s="100">
        <v>4.1942664582893947</v>
      </c>
      <c r="BE7" s="100">
        <v>3306.7596757153588</v>
      </c>
      <c r="BF7" s="100">
        <v>5.6350386785738014</v>
      </c>
      <c r="BG7" s="100">
        <v>4442.6644941875848</v>
      </c>
      <c r="BH7" s="100">
        <v>3.465239036983542</v>
      </c>
      <c r="BI7" s="100">
        <v>2731.9944567578245</v>
      </c>
      <c r="BJ7" s="100">
        <v>9.1432808337217537</v>
      </c>
      <c r="BK7" s="100">
        <v>7208.5626093062301</v>
      </c>
      <c r="BL7" s="100">
        <v>6.7497453428670857</v>
      </c>
      <c r="BM7" s="100">
        <v>5321.4992283164102</v>
      </c>
      <c r="BN7" s="100">
        <v>1.7451727702543784</v>
      </c>
      <c r="BO7" s="100">
        <v>1375.894212068552</v>
      </c>
      <c r="BP7" s="100">
        <v>6.7865403003138711</v>
      </c>
      <c r="BQ7" s="100">
        <v>5350.5083727674555</v>
      </c>
      <c r="BR7" s="100">
        <v>1.8463954089887256</v>
      </c>
      <c r="BS7" s="100">
        <v>1455.6981404467112</v>
      </c>
      <c r="BT7" s="100">
        <v>8.5584984468357312</v>
      </c>
      <c r="BU7" s="100">
        <v>6747.5201754852906</v>
      </c>
      <c r="BV7" s="100">
        <v>3.7752540056579944</v>
      </c>
      <c r="BW7" s="100">
        <v>2976.4102580607628</v>
      </c>
      <c r="BX7" s="100">
        <v>3.8550578238844295</v>
      </c>
      <c r="BY7" s="100">
        <v>3039.3275883504843</v>
      </c>
      <c r="BZ7" s="100">
        <v>9.5515392785195203</v>
      </c>
      <c r="CA7" s="100">
        <v>7530.4335671847894</v>
      </c>
      <c r="CB7" s="100">
        <v>6.9500941530497551</v>
      </c>
      <c r="CC7" s="100">
        <v>5479.4542302644268</v>
      </c>
      <c r="CD7" s="100">
        <v>7</v>
      </c>
      <c r="CE7" s="100">
        <v>5518.8</v>
      </c>
      <c r="CF7" s="100">
        <v>4.9095914572930957</v>
      </c>
      <c r="CG7" s="100">
        <v>3870.7219049298765</v>
      </c>
      <c r="CH7" s="100">
        <v>5.3063899975467024</v>
      </c>
      <c r="CI7" s="100">
        <v>4183.5578740658202</v>
      </c>
      <c r="CJ7" s="100">
        <v>9.5000983379664348</v>
      </c>
      <c r="CK7" s="100">
        <v>7489.8775296527374</v>
      </c>
      <c r="CL7" s="100">
        <v>6.4285737229344972</v>
      </c>
      <c r="CM7" s="100">
        <v>5068.2875231615571</v>
      </c>
      <c r="CN7" s="100">
        <v>6.9194091197072751</v>
      </c>
      <c r="CO7" s="100">
        <v>5455.2621499772158</v>
      </c>
      <c r="CP7" s="100">
        <v>1.6977307742495911</v>
      </c>
      <c r="CQ7" s="100">
        <v>1338.4909424183775</v>
      </c>
      <c r="CR7" s="100">
        <v>5.9319979716551332</v>
      </c>
      <c r="CS7" s="100">
        <v>4676.7872008529066</v>
      </c>
      <c r="CT7" s="100">
        <v>1.8142063140229077</v>
      </c>
      <c r="CU7" s="100">
        <v>1430.3202579756603</v>
      </c>
    </row>
    <row r="8" spans="1:99">
      <c r="C8" s="99" t="s">
        <v>174</v>
      </c>
      <c r="D8" s="100">
        <v>3.4755205685293613</v>
      </c>
      <c r="E8" s="100">
        <v>1076.0211680166901</v>
      </c>
      <c r="F8" s="100">
        <v>7.4693751034464348</v>
      </c>
      <c r="G8" s="100">
        <v>2312.5185320270161</v>
      </c>
      <c r="H8" s="100">
        <v>6.9216360126005663</v>
      </c>
      <c r="I8" s="100">
        <v>2142.9385095011353</v>
      </c>
      <c r="J8" s="100">
        <v>5.0013187955971539</v>
      </c>
      <c r="K8" s="100">
        <v>1548.4082991168787</v>
      </c>
      <c r="L8" s="100">
        <v>5</v>
      </c>
      <c r="M8" s="100">
        <v>1547.9999999999998</v>
      </c>
      <c r="N8" s="100">
        <v>8</v>
      </c>
      <c r="O8" s="100">
        <v>2476.7999999999997</v>
      </c>
      <c r="P8" s="100">
        <v>6.1058784883713493</v>
      </c>
      <c r="Q8" s="100">
        <v>1890.3799799997696</v>
      </c>
      <c r="R8" s="100">
        <v>4.1750392505421265</v>
      </c>
      <c r="S8" s="100">
        <v>1292.5921519678423</v>
      </c>
      <c r="T8" s="100">
        <v>3.5670657854196639</v>
      </c>
      <c r="U8" s="100">
        <v>1104.3635671659279</v>
      </c>
      <c r="V8" s="100">
        <v>9.5187506366208474</v>
      </c>
      <c r="W8" s="100">
        <v>2947.0051970978138</v>
      </c>
      <c r="X8" s="100">
        <v>3.9396452568579532</v>
      </c>
      <c r="Y8" s="100">
        <v>1219.7141715232221</v>
      </c>
      <c r="Z8" s="100">
        <v>9.0336748573978802</v>
      </c>
      <c r="AA8" s="100">
        <v>2796.8257358503834</v>
      </c>
      <c r="AB8" s="100">
        <v>2.6995238009856148</v>
      </c>
      <c r="AC8" s="100">
        <v>835.77256878514629</v>
      </c>
      <c r="AD8" s="100">
        <v>3.4582785882343821</v>
      </c>
      <c r="AE8" s="100">
        <v>1070.6830509173647</v>
      </c>
      <c r="AF8" s="100">
        <v>6.3921740980335864</v>
      </c>
      <c r="AG8" s="100">
        <v>1979.0171007511981</v>
      </c>
      <c r="AH8" s="100">
        <v>3.3132352330916826</v>
      </c>
      <c r="AI8" s="100">
        <v>1025.7776281651848</v>
      </c>
      <c r="AJ8" s="100">
        <v>2.2929424690836453</v>
      </c>
      <c r="AK8" s="100">
        <v>709.89498842829653</v>
      </c>
      <c r="AL8" s="100">
        <v>9.3649126056748262</v>
      </c>
      <c r="AM8" s="100">
        <v>2899.3769427169259</v>
      </c>
      <c r="AN8" s="100">
        <v>6</v>
      </c>
      <c r="AO8" s="100">
        <v>1857.6</v>
      </c>
      <c r="AP8" s="100">
        <v>6</v>
      </c>
      <c r="AQ8" s="100">
        <v>1857.6</v>
      </c>
      <c r="AR8" s="100">
        <v>9.5342340027206998</v>
      </c>
      <c r="AS8" s="100">
        <v>2951.7988472423285</v>
      </c>
      <c r="AT8" s="100">
        <v>8.1370662944239402</v>
      </c>
      <c r="AU8" s="100">
        <v>2519.2357247536515</v>
      </c>
      <c r="AV8" s="100">
        <v>2.7449357749900725</v>
      </c>
      <c r="AW8" s="100">
        <v>849.83211593692636</v>
      </c>
      <c r="AX8" s="100">
        <v>10.363740179346923</v>
      </c>
      <c r="AY8" s="100">
        <v>3208.6139595258069</v>
      </c>
      <c r="AZ8" s="100">
        <v>5.2416868188063779</v>
      </c>
      <c r="BA8" s="100">
        <v>1622.8262391024543</v>
      </c>
      <c r="BB8" s="100">
        <v>7.2061148039861562</v>
      </c>
      <c r="BC8" s="100">
        <v>2231.0131433141137</v>
      </c>
      <c r="BD8" s="100">
        <v>4.9133188608498282</v>
      </c>
      <c r="BE8" s="100">
        <v>1521.1635193191066</v>
      </c>
      <c r="BF8" s="100">
        <v>4.2806452808168709</v>
      </c>
      <c r="BG8" s="100">
        <v>1325.2877789409031</v>
      </c>
      <c r="BH8" s="100">
        <v>3.4813209754770154</v>
      </c>
      <c r="BI8" s="100">
        <v>1077.8169740076839</v>
      </c>
      <c r="BJ8" s="100">
        <v>9.9799550003329323</v>
      </c>
      <c r="BK8" s="100">
        <v>3089.7940681030755</v>
      </c>
      <c r="BL8" s="100">
        <v>7.5934635107254715</v>
      </c>
      <c r="BM8" s="100">
        <v>2350.9363029206056</v>
      </c>
      <c r="BN8" s="100">
        <v>1.9622024428269589</v>
      </c>
      <c r="BO8" s="100">
        <v>607.49787629922639</v>
      </c>
      <c r="BP8" s="100">
        <v>7.8989032003587099</v>
      </c>
      <c r="BQ8" s="100">
        <v>2445.5004308310563</v>
      </c>
      <c r="BR8" s="100">
        <v>1.8463954089887256</v>
      </c>
      <c r="BS8" s="100">
        <v>571.64401862290936</v>
      </c>
      <c r="BT8" s="100">
        <v>8.7022483743003232</v>
      </c>
      <c r="BU8" s="100">
        <v>2694.2160966833799</v>
      </c>
      <c r="BV8" s="100">
        <v>3.6261225434181945</v>
      </c>
      <c r="BW8" s="100">
        <v>1122.647539442273</v>
      </c>
      <c r="BX8" s="100">
        <v>4.287310081194164</v>
      </c>
      <c r="BY8" s="100">
        <v>1327.3512011377131</v>
      </c>
      <c r="BZ8" s="100">
        <v>11.723932531688357</v>
      </c>
      <c r="CA8" s="100">
        <v>3629.7295118107149</v>
      </c>
      <c r="CB8" s="100">
        <v>6.9500941530497551</v>
      </c>
      <c r="CC8" s="100">
        <v>2151.7491497842038</v>
      </c>
      <c r="CD8" s="100">
        <v>7</v>
      </c>
      <c r="CE8" s="100">
        <v>2167.1999999999998</v>
      </c>
      <c r="CF8" s="100">
        <v>4.9095914572930957</v>
      </c>
      <c r="CG8" s="100">
        <v>1520.0095151779421</v>
      </c>
      <c r="CH8" s="100">
        <v>5.3063899975467024</v>
      </c>
      <c r="CI8" s="100">
        <v>1642.8583432404589</v>
      </c>
      <c r="CJ8" s="100">
        <v>10.363743641417928</v>
      </c>
      <c r="CK8" s="100">
        <v>3208.6150313829903</v>
      </c>
      <c r="CL8" s="100">
        <v>6.4285737229344972</v>
      </c>
      <c r="CM8" s="100">
        <v>1990.2864246205202</v>
      </c>
      <c r="CN8" s="100">
        <v>7.5757227970621486</v>
      </c>
      <c r="CO8" s="100">
        <v>2345.4437779704408</v>
      </c>
      <c r="CP8" s="100">
        <v>1.9026460134794652</v>
      </c>
      <c r="CQ8" s="100">
        <v>589.0592057732423</v>
      </c>
      <c r="CR8" s="100">
        <v>6.6828974854992804</v>
      </c>
      <c r="CS8" s="100">
        <v>2069.025061510577</v>
      </c>
      <c r="CT8" s="100">
        <v>2.0157847933587862</v>
      </c>
      <c r="CU8" s="100">
        <v>624.08697202388021</v>
      </c>
    </row>
    <row r="9" spans="1:99">
      <c r="C9" s="99" t="s">
        <v>175</v>
      </c>
      <c r="D9" s="100">
        <v>3.0410804974631911</v>
      </c>
      <c r="E9" s="100">
        <v>2134.8385092191602</v>
      </c>
      <c r="F9" s="100">
        <v>7.4693751034464348</v>
      </c>
      <c r="G9" s="100">
        <v>5243.5013226193969</v>
      </c>
      <c r="H9" s="100">
        <v>6.1525653445338371</v>
      </c>
      <c r="I9" s="100">
        <v>4319.1008718627536</v>
      </c>
      <c r="J9" s="100">
        <v>4.1677656629976276</v>
      </c>
      <c r="K9" s="100">
        <v>2925.7714954243347</v>
      </c>
      <c r="L9" s="100">
        <v>5</v>
      </c>
      <c r="M9" s="100">
        <v>3510</v>
      </c>
      <c r="N9" s="100">
        <v>8</v>
      </c>
      <c r="O9" s="100">
        <v>5616</v>
      </c>
      <c r="P9" s="100">
        <v>6.1058784883713493</v>
      </c>
      <c r="Q9" s="100">
        <v>4286.3266988366868</v>
      </c>
      <c r="R9" s="100">
        <v>4.1750392505421265</v>
      </c>
      <c r="S9" s="100">
        <v>2930.877553880573</v>
      </c>
      <c r="T9" s="100">
        <v>3.1211825622422062</v>
      </c>
      <c r="U9" s="100">
        <v>2191.0701586940286</v>
      </c>
      <c r="V9" s="100">
        <v>9.5187506366208474</v>
      </c>
      <c r="W9" s="100">
        <v>6682.1629469078352</v>
      </c>
      <c r="X9" s="100">
        <v>3.9500347596413916</v>
      </c>
      <c r="Y9" s="100">
        <v>2772.924401268257</v>
      </c>
      <c r="Z9" s="100">
        <v>7.8613957144982338</v>
      </c>
      <c r="AA9" s="100">
        <v>5518.6997915777602</v>
      </c>
      <c r="AB9" s="100">
        <v>2.2787563146432319</v>
      </c>
      <c r="AC9" s="100">
        <v>1599.6869328795487</v>
      </c>
      <c r="AD9" s="100">
        <v>3.0082222307629101</v>
      </c>
      <c r="AE9" s="100">
        <v>2111.7720059955627</v>
      </c>
      <c r="AF9" s="100">
        <v>6.2181523357793882</v>
      </c>
      <c r="AG9" s="100">
        <v>4365.1429397171305</v>
      </c>
      <c r="AH9" s="100">
        <v>3.6813724812129802</v>
      </c>
      <c r="AI9" s="100">
        <v>2584.323481811512</v>
      </c>
      <c r="AJ9" s="100">
        <v>2.2929424690836453</v>
      </c>
      <c r="AK9" s="100">
        <v>1609.6456132967189</v>
      </c>
      <c r="AL9" s="100">
        <v>8.3649126056748262</v>
      </c>
      <c r="AM9" s="100">
        <v>5872.1686491837281</v>
      </c>
      <c r="AN9" s="100">
        <v>6</v>
      </c>
      <c r="AO9" s="100">
        <v>4212</v>
      </c>
      <c r="AP9" s="100">
        <v>6</v>
      </c>
      <c r="AQ9" s="100">
        <v>4212</v>
      </c>
      <c r="AR9" s="100">
        <v>7.8007369113169371</v>
      </c>
      <c r="AS9" s="100">
        <v>5476.1173117444896</v>
      </c>
      <c r="AT9" s="100">
        <v>7.3233596649815462</v>
      </c>
      <c r="AU9" s="100">
        <v>5140.9984848170452</v>
      </c>
      <c r="AV9" s="100">
        <v>2.7449357749900725</v>
      </c>
      <c r="AW9" s="100">
        <v>1926.9449140430308</v>
      </c>
      <c r="AX9" s="100">
        <v>10.363740179346923</v>
      </c>
      <c r="AY9" s="100">
        <v>7275.3456059015398</v>
      </c>
      <c r="AZ9" s="100">
        <v>5.2416868188063779</v>
      </c>
      <c r="BA9" s="100">
        <v>3679.6641468020771</v>
      </c>
      <c r="BB9" s="100">
        <v>5.4045861029896169</v>
      </c>
      <c r="BC9" s="100">
        <v>3794.0194442987113</v>
      </c>
      <c r="BD9" s="100">
        <v>4.1962240679767522</v>
      </c>
      <c r="BE9" s="100">
        <v>2945.74929571968</v>
      </c>
      <c r="BF9" s="100">
        <v>5.6350386785738014</v>
      </c>
      <c r="BG9" s="100">
        <v>3955.7971523588085</v>
      </c>
      <c r="BH9" s="100">
        <v>3.4813209754770154</v>
      </c>
      <c r="BI9" s="100">
        <v>2443.8873247848646</v>
      </c>
      <c r="BJ9" s="100">
        <v>10.143280833721754</v>
      </c>
      <c r="BK9" s="100">
        <v>7120.5831452726707</v>
      </c>
      <c r="BL9" s="100">
        <v>6.7497453428670857</v>
      </c>
      <c r="BM9" s="100">
        <v>4738.3212306926944</v>
      </c>
      <c r="BN9" s="100">
        <v>1.5281430976817982</v>
      </c>
      <c r="BO9" s="100">
        <v>1072.7564545726223</v>
      </c>
      <c r="BP9" s="100">
        <v>7.8989032003587099</v>
      </c>
      <c r="BQ9" s="100">
        <v>5545.0300466518147</v>
      </c>
      <c r="BR9" s="100">
        <v>1.8463954089887256</v>
      </c>
      <c r="BS9" s="100">
        <v>1296.1695771100854</v>
      </c>
      <c r="BT9" s="100">
        <v>8.5584984468357312</v>
      </c>
      <c r="BU9" s="100">
        <v>6008.0659096786831</v>
      </c>
      <c r="BV9" s="100">
        <v>3.832043057537208</v>
      </c>
      <c r="BW9" s="100">
        <v>2690.0942263911202</v>
      </c>
      <c r="BX9" s="100">
        <v>3.8550578238844295</v>
      </c>
      <c r="BY9" s="100">
        <v>2706.2505923668696</v>
      </c>
      <c r="BZ9" s="100">
        <v>9.5515392785195203</v>
      </c>
      <c r="CA9" s="100">
        <v>6705.1805735207035</v>
      </c>
      <c r="CB9" s="100">
        <v>6.9500941530497551</v>
      </c>
      <c r="CC9" s="100">
        <v>4878.9660954409283</v>
      </c>
      <c r="CD9" s="100">
        <v>6</v>
      </c>
      <c r="CE9" s="100">
        <v>4212</v>
      </c>
      <c r="CF9" s="100">
        <v>4.9095914572930957</v>
      </c>
      <c r="CG9" s="100">
        <v>3446.5332030197533</v>
      </c>
      <c r="CH9" s="100">
        <v>4.4219916646222526</v>
      </c>
      <c r="CI9" s="100">
        <v>3104.2381485648211</v>
      </c>
      <c r="CJ9" s="100">
        <v>8.6364530345149397</v>
      </c>
      <c r="CK9" s="100">
        <v>6062.7900302294875</v>
      </c>
      <c r="CL9" s="100">
        <v>6.4285737229344972</v>
      </c>
      <c r="CM9" s="100">
        <v>4512.858753500017</v>
      </c>
      <c r="CN9" s="100">
        <v>6.8181505173559342</v>
      </c>
      <c r="CO9" s="100">
        <v>4786.3416631838654</v>
      </c>
      <c r="CP9" s="100">
        <v>1.8863675269439901</v>
      </c>
      <c r="CQ9" s="100">
        <v>1324.230003914681</v>
      </c>
      <c r="CR9" s="100">
        <v>6.0071961107531822</v>
      </c>
      <c r="CS9" s="100">
        <v>4217.0516697487337</v>
      </c>
      <c r="CT9" s="100">
        <v>2.0157847933587862</v>
      </c>
      <c r="CU9" s="100">
        <v>1415.0809249378678</v>
      </c>
    </row>
    <row r="10" spans="1:99">
      <c r="C10" s="99" t="s">
        <v>176</v>
      </c>
      <c r="D10" s="100">
        <v>3.0410804974631911</v>
      </c>
      <c r="E10" s="100">
        <v>1656.7806550179464</v>
      </c>
      <c r="F10" s="100">
        <v>8</v>
      </c>
      <c r="G10" s="100">
        <v>4358.3999999999996</v>
      </c>
      <c r="H10" s="100">
        <v>6.9216360126005663</v>
      </c>
      <c r="I10" s="100">
        <v>3770.9072996647883</v>
      </c>
      <c r="J10" s="100">
        <v>5.0013187955971539</v>
      </c>
      <c r="K10" s="100">
        <v>2724.7184798413291</v>
      </c>
      <c r="L10" s="100">
        <v>5</v>
      </c>
      <c r="M10" s="100">
        <v>2724</v>
      </c>
      <c r="N10" s="100">
        <v>8</v>
      </c>
      <c r="O10" s="100">
        <v>4358.3999999999996</v>
      </c>
      <c r="P10" s="100">
        <v>5.2336101328897282</v>
      </c>
      <c r="Q10" s="100">
        <v>2851.2708003983239</v>
      </c>
      <c r="R10" s="100">
        <v>5.010047100650552</v>
      </c>
      <c r="S10" s="100">
        <v>2729.4736604344207</v>
      </c>
      <c r="T10" s="100">
        <v>3.1211825622422062</v>
      </c>
      <c r="U10" s="100">
        <v>1700.4202599095538</v>
      </c>
      <c r="V10" s="100">
        <v>11.684316036579654</v>
      </c>
      <c r="W10" s="100">
        <v>6365.615376728595</v>
      </c>
      <c r="X10" s="100">
        <v>3.5192227329572439</v>
      </c>
      <c r="Y10" s="100">
        <v>1917.2725449151062</v>
      </c>
      <c r="Z10" s="100">
        <v>9.0336748573978802</v>
      </c>
      <c r="AA10" s="100">
        <v>4921.5460623103645</v>
      </c>
      <c r="AB10" s="100">
        <v>2.2670950557811445</v>
      </c>
      <c r="AC10" s="100">
        <v>1235.1133863895675</v>
      </c>
      <c r="AD10" s="100">
        <v>3.4582785882343821</v>
      </c>
      <c r="AE10" s="100">
        <v>1884.0701748700913</v>
      </c>
      <c r="AF10" s="100">
        <v>6.3921740980335864</v>
      </c>
      <c r="AG10" s="100">
        <v>3482.4564486086974</v>
      </c>
      <c r="AH10" s="100">
        <v>3.3132352330916826</v>
      </c>
      <c r="AI10" s="100">
        <v>1805.0505549883485</v>
      </c>
      <c r="AJ10" s="100">
        <v>2.6941447207870297</v>
      </c>
      <c r="AK10" s="100">
        <v>1467.7700438847737</v>
      </c>
      <c r="AL10" s="100">
        <v>9.194298529965474</v>
      </c>
      <c r="AM10" s="100">
        <v>5009.0538391251903</v>
      </c>
      <c r="AN10" s="100">
        <v>6</v>
      </c>
      <c r="AO10" s="100">
        <v>3268.7999999999997</v>
      </c>
      <c r="AP10" s="100">
        <v>5</v>
      </c>
      <c r="AQ10" s="100">
        <v>2724</v>
      </c>
      <c r="AR10" s="100">
        <v>7.8007369113169371</v>
      </c>
      <c r="AS10" s="100">
        <v>4249.8414692854667</v>
      </c>
      <c r="AT10" s="100">
        <v>8.1370662944239402</v>
      </c>
      <c r="AU10" s="100">
        <v>4433.0737172021627</v>
      </c>
      <c r="AV10" s="100">
        <v>2.7449357749900725</v>
      </c>
      <c r="AW10" s="100">
        <v>1495.4410102145914</v>
      </c>
      <c r="AX10" s="100">
        <v>10.363740179346923</v>
      </c>
      <c r="AY10" s="100">
        <v>5646.1656497082031</v>
      </c>
      <c r="AZ10" s="100">
        <v>4.3680723490053159</v>
      </c>
      <c r="BA10" s="100">
        <v>2379.7258157380961</v>
      </c>
      <c r="BB10" s="100">
        <v>6.3053504534878861</v>
      </c>
      <c r="BC10" s="100">
        <v>3435.1549270602</v>
      </c>
      <c r="BD10" s="100">
        <v>4.1962240679767522</v>
      </c>
      <c r="BE10" s="100">
        <v>2286.1028722337346</v>
      </c>
      <c r="BF10" s="100">
        <v>5.5433834867523943</v>
      </c>
      <c r="BG10" s="100">
        <v>3020.0353235827042</v>
      </c>
      <c r="BH10" s="100">
        <v>3.465239036983542</v>
      </c>
      <c r="BI10" s="100">
        <v>1887.8622273486335</v>
      </c>
      <c r="BJ10" s="100">
        <v>9.9799550003329323</v>
      </c>
      <c r="BK10" s="100">
        <v>5437.0794841813813</v>
      </c>
      <c r="BL10" s="100">
        <v>6.7497453428670857</v>
      </c>
      <c r="BM10" s="100">
        <v>3677.261262793988</v>
      </c>
      <c r="BN10" s="100">
        <v>1.7466620018666681</v>
      </c>
      <c r="BO10" s="100">
        <v>951.58145861696073</v>
      </c>
      <c r="BP10" s="100">
        <v>6.8989032003587099</v>
      </c>
      <c r="BQ10" s="100">
        <v>3758.522463555425</v>
      </c>
      <c r="BR10" s="100">
        <v>1.8463954089887256</v>
      </c>
      <c r="BS10" s="100">
        <v>1005.9162188170576</v>
      </c>
      <c r="BT10" s="100">
        <v>9.4486233433594577</v>
      </c>
      <c r="BU10" s="100">
        <v>5147.6099974622321</v>
      </c>
      <c r="BV10" s="100">
        <v>3.6251914715339848</v>
      </c>
      <c r="BW10" s="100">
        <v>1975.0043136917147</v>
      </c>
      <c r="BX10" s="100">
        <v>4.287310081194164</v>
      </c>
      <c r="BY10" s="100">
        <v>2335.7265322345802</v>
      </c>
      <c r="BZ10" s="100">
        <v>11.723932531688357</v>
      </c>
      <c r="CA10" s="100">
        <v>6387.1984432638164</v>
      </c>
      <c r="CB10" s="100">
        <v>6.9500941530497551</v>
      </c>
      <c r="CC10" s="100">
        <v>3786.4112945815064</v>
      </c>
      <c r="CD10" s="100">
        <v>7</v>
      </c>
      <c r="CE10" s="100">
        <v>3813.5999999999995</v>
      </c>
      <c r="CF10" s="100">
        <v>4.9095914572930957</v>
      </c>
      <c r="CG10" s="100">
        <v>2674.7454259332785</v>
      </c>
      <c r="CH10" s="100">
        <v>5.3063899975467024</v>
      </c>
      <c r="CI10" s="100">
        <v>2890.921270663443</v>
      </c>
      <c r="CJ10" s="100">
        <v>8.6364530345149397</v>
      </c>
      <c r="CK10" s="100">
        <v>4705.1396132037389</v>
      </c>
      <c r="CL10" s="100">
        <v>7.0628208034588047</v>
      </c>
      <c r="CM10" s="100">
        <v>3847.8247737243564</v>
      </c>
      <c r="CN10" s="100">
        <v>7.4744641947108077</v>
      </c>
      <c r="CO10" s="100">
        <v>4072.0880932784476</v>
      </c>
      <c r="CP10" s="100">
        <v>2.0750042796383892</v>
      </c>
      <c r="CQ10" s="100">
        <v>1130.4623315469944</v>
      </c>
      <c r="CR10" s="100">
        <v>6.6828974854992804</v>
      </c>
      <c r="CS10" s="100">
        <v>3640.8425501000079</v>
      </c>
      <c r="CT10" s="100">
        <v>1.8142063140229077</v>
      </c>
      <c r="CU10" s="100">
        <v>988.37959987967997</v>
      </c>
    </row>
    <row r="11" spans="1:99">
      <c r="C11" s="99" t="s">
        <v>177</v>
      </c>
      <c r="D11" s="100">
        <v>2.6066404263970209</v>
      </c>
      <c r="E11" s="100">
        <v>1388.8180191843326</v>
      </c>
      <c r="F11" s="100">
        <v>8.3911459195386957</v>
      </c>
      <c r="G11" s="100">
        <v>4470.8025459302171</v>
      </c>
      <c r="H11" s="100">
        <v>6.1525653445338371</v>
      </c>
      <c r="I11" s="100">
        <v>3278.086815567628</v>
      </c>
      <c r="J11" s="100">
        <v>5.0013187955971539</v>
      </c>
      <c r="K11" s="100">
        <v>2664.7026542941635</v>
      </c>
      <c r="L11" s="100">
        <v>6</v>
      </c>
      <c r="M11" s="100">
        <v>3196.7999999999997</v>
      </c>
      <c r="N11" s="100">
        <v>7</v>
      </c>
      <c r="O11" s="100">
        <v>3729.5999999999995</v>
      </c>
      <c r="P11" s="100">
        <v>5.2336101328897282</v>
      </c>
      <c r="Q11" s="100">
        <v>2788.4674788036468</v>
      </c>
      <c r="R11" s="100">
        <v>5.010047100650552</v>
      </c>
      <c r="S11" s="100">
        <v>2669.3530952266137</v>
      </c>
      <c r="T11" s="100">
        <v>3.1211825622422062</v>
      </c>
      <c r="U11" s="100">
        <v>1662.9660691626473</v>
      </c>
      <c r="V11" s="100">
        <v>11.341720421865405</v>
      </c>
      <c r="W11" s="100">
        <v>6042.8686407698879</v>
      </c>
      <c r="X11" s="100">
        <v>3.5088332301738059</v>
      </c>
      <c r="Y11" s="100">
        <v>1869.5063450366035</v>
      </c>
      <c r="Z11" s="100">
        <v>9.8613957144982347</v>
      </c>
      <c r="AA11" s="100">
        <v>5254.151636684659</v>
      </c>
      <c r="AB11" s="100">
        <v>2.7111850598477027</v>
      </c>
      <c r="AC11" s="100">
        <v>1444.5193998868558</v>
      </c>
      <c r="AD11" s="100">
        <v>3.0082222307629101</v>
      </c>
      <c r="AE11" s="100">
        <v>1602.7808045504783</v>
      </c>
      <c r="AF11" s="100">
        <v>7.3921740980335864</v>
      </c>
      <c r="AG11" s="100">
        <v>3938.5503594322945</v>
      </c>
      <c r="AH11" s="100">
        <v>3.3132352330916826</v>
      </c>
      <c r="AI11" s="100">
        <v>1765.2917321912482</v>
      </c>
      <c r="AJ11" s="100">
        <v>2.6941447207870297</v>
      </c>
      <c r="AK11" s="100">
        <v>1435.4403072353293</v>
      </c>
      <c r="AL11" s="100">
        <v>9.194298529965474</v>
      </c>
      <c r="AM11" s="100">
        <v>4898.7222567656045</v>
      </c>
      <c r="AN11" s="100">
        <v>6</v>
      </c>
      <c r="AO11" s="100">
        <v>3196.7999999999997</v>
      </c>
      <c r="AP11" s="100">
        <v>6</v>
      </c>
      <c r="AQ11" s="100">
        <v>3196.7999999999997</v>
      </c>
      <c r="AR11" s="100">
        <v>8.6674854570188185</v>
      </c>
      <c r="AS11" s="100">
        <v>4618.0362514996259</v>
      </c>
      <c r="AT11" s="100">
        <v>8.1370662944239402</v>
      </c>
      <c r="AU11" s="100">
        <v>4335.428921669075</v>
      </c>
      <c r="AV11" s="100">
        <v>2.7449357749900725</v>
      </c>
      <c r="AW11" s="100">
        <v>1462.5017809147105</v>
      </c>
      <c r="AX11" s="100">
        <v>11.363740179346923</v>
      </c>
      <c r="AY11" s="100">
        <v>6054.6007675560404</v>
      </c>
      <c r="AZ11" s="100">
        <v>4.3680723490053159</v>
      </c>
      <c r="BA11" s="100">
        <v>2327.3089475500319</v>
      </c>
      <c r="BB11" s="100">
        <v>6.3053504534878861</v>
      </c>
      <c r="BC11" s="100">
        <v>3359.4907216183456</v>
      </c>
      <c r="BD11" s="100">
        <v>4.1962240679767522</v>
      </c>
      <c r="BE11" s="100">
        <v>2235.7481834180135</v>
      </c>
      <c r="BF11" s="100">
        <v>5.5459344208770975</v>
      </c>
      <c r="BG11" s="100">
        <v>2954.8738594433175</v>
      </c>
      <c r="BH11" s="100">
        <v>3.1123763543056513</v>
      </c>
      <c r="BI11" s="100">
        <v>1658.2741215740509</v>
      </c>
      <c r="BJ11" s="100">
        <v>9.9799550003329323</v>
      </c>
      <c r="BK11" s="100">
        <v>5317.3200241773857</v>
      </c>
      <c r="BL11" s="100">
        <v>7.5934635107254715</v>
      </c>
      <c r="BM11" s="100">
        <v>4045.797358514531</v>
      </c>
      <c r="BN11" s="100">
        <v>1.9622024428269589</v>
      </c>
      <c r="BO11" s="100">
        <v>1045.4614615382036</v>
      </c>
      <c r="BP11" s="100">
        <v>7.8989032003587099</v>
      </c>
      <c r="BQ11" s="100">
        <v>4208.5356251511203</v>
      </c>
      <c r="BR11" s="100">
        <v>2.2156744907864705</v>
      </c>
      <c r="BS11" s="100">
        <v>1180.5113686910313</v>
      </c>
      <c r="BT11" s="100">
        <v>7.8121234777765967</v>
      </c>
      <c r="BU11" s="100">
        <v>4162.2993889593699</v>
      </c>
      <c r="BV11" s="100">
        <v>4.2127397554517829</v>
      </c>
      <c r="BW11" s="100">
        <v>2244.5477417047096</v>
      </c>
      <c r="BX11" s="100">
        <v>4.684349846600715</v>
      </c>
      <c r="BY11" s="100">
        <v>2495.8215982688607</v>
      </c>
      <c r="BZ11" s="100">
        <v>9.3791460253506855</v>
      </c>
      <c r="CA11" s="100">
        <v>4997.2090023068449</v>
      </c>
      <c r="CB11" s="100">
        <v>6.17786146937756</v>
      </c>
      <c r="CC11" s="100">
        <v>3291.5645908843635</v>
      </c>
      <c r="CD11" s="100">
        <v>7</v>
      </c>
      <c r="CE11" s="100">
        <v>3729.5999999999995</v>
      </c>
      <c r="CF11" s="100">
        <v>4.9095914572930957</v>
      </c>
      <c r="CG11" s="100">
        <v>2615.8303284457611</v>
      </c>
      <c r="CH11" s="100">
        <v>5.3063899975467024</v>
      </c>
      <c r="CI11" s="100">
        <v>2827.2445906928829</v>
      </c>
      <c r="CJ11" s="100">
        <v>9.5000983379664348</v>
      </c>
      <c r="CK11" s="100">
        <v>5061.6523944685159</v>
      </c>
      <c r="CL11" s="100">
        <v>7.1474831208800564</v>
      </c>
      <c r="CM11" s="100">
        <v>3808.1790068048936</v>
      </c>
      <c r="CN11" s="100">
        <v>6.9194091197072751</v>
      </c>
      <c r="CO11" s="100">
        <v>3686.6611789800359</v>
      </c>
      <c r="CP11" s="100">
        <v>2.0750042796383892</v>
      </c>
      <c r="CQ11" s="100">
        <v>1105.5622801913337</v>
      </c>
      <c r="CR11" s="100">
        <v>6.0071961107531822</v>
      </c>
      <c r="CS11" s="100">
        <v>3200.6340878092951</v>
      </c>
      <c r="CT11" s="100">
        <v>2.0157847933587862</v>
      </c>
      <c r="CU11" s="100">
        <v>1074.0101379015612</v>
      </c>
    </row>
    <row r="12" spans="1:99">
      <c r="C12" s="99" t="s">
        <v>178</v>
      </c>
      <c r="D12" s="100">
        <v>3.4755205685293613</v>
      </c>
      <c r="E12" s="100">
        <v>1956.0229759683243</v>
      </c>
      <c r="F12" s="100">
        <v>8.4693751034464348</v>
      </c>
      <c r="G12" s="100">
        <v>4766.564308219653</v>
      </c>
      <c r="H12" s="100">
        <v>6.1525653445338371</v>
      </c>
      <c r="I12" s="100">
        <v>3462.6637759036435</v>
      </c>
      <c r="J12" s="100">
        <v>5.8348719281966792</v>
      </c>
      <c r="K12" s="100">
        <v>3283.8659211890908</v>
      </c>
      <c r="L12" s="100">
        <v>5</v>
      </c>
      <c r="M12" s="100">
        <v>2814</v>
      </c>
      <c r="N12" s="100">
        <v>7</v>
      </c>
      <c r="O12" s="100">
        <v>3939.5999999999995</v>
      </c>
      <c r="P12" s="100">
        <v>5.2336101328897282</v>
      </c>
      <c r="Q12" s="100">
        <v>2945.4757827903386</v>
      </c>
      <c r="R12" s="100">
        <v>4.1750392505421265</v>
      </c>
      <c r="S12" s="100">
        <v>2349.7120902051088</v>
      </c>
      <c r="T12" s="100">
        <v>3.1211825622422062</v>
      </c>
      <c r="U12" s="100">
        <v>1756.6015460299136</v>
      </c>
      <c r="V12" s="100">
        <v>10.515884432921689</v>
      </c>
      <c r="W12" s="100">
        <v>5918.3397588483267</v>
      </c>
      <c r="X12" s="100">
        <v>3.0884107062730966</v>
      </c>
      <c r="Y12" s="100">
        <v>1738.1575454904987</v>
      </c>
      <c r="Z12" s="100">
        <v>8.8613957144982347</v>
      </c>
      <c r="AA12" s="100">
        <v>4987.1935081196061</v>
      </c>
      <c r="AB12" s="100">
        <v>2.2787563146432319</v>
      </c>
      <c r="AC12" s="100">
        <v>1282.4840538812109</v>
      </c>
      <c r="AD12" s="100">
        <v>3.0082222307629101</v>
      </c>
      <c r="AE12" s="100">
        <v>1693.0274714733657</v>
      </c>
      <c r="AF12" s="100">
        <v>6.2181523357793882</v>
      </c>
      <c r="AG12" s="100">
        <v>3499.5761345766396</v>
      </c>
      <c r="AH12" s="100">
        <v>3.6813724812129802</v>
      </c>
      <c r="AI12" s="100">
        <v>2071.8764324266649</v>
      </c>
      <c r="AJ12" s="100">
        <v>2.7120779214474497</v>
      </c>
      <c r="AK12" s="100">
        <v>1526.3574541906246</v>
      </c>
      <c r="AL12" s="100">
        <v>9.3649126056748262</v>
      </c>
      <c r="AM12" s="100">
        <v>5270.5728144737914</v>
      </c>
      <c r="AN12" s="100">
        <v>6</v>
      </c>
      <c r="AO12" s="100">
        <v>3376.7999999999997</v>
      </c>
      <c r="AP12" s="100">
        <v>5</v>
      </c>
      <c r="AQ12" s="100">
        <v>2814</v>
      </c>
      <c r="AR12" s="100">
        <v>8.6674854570188185</v>
      </c>
      <c r="AS12" s="100">
        <v>4878.0608152101904</v>
      </c>
      <c r="AT12" s="100">
        <v>8.1370662944239402</v>
      </c>
      <c r="AU12" s="100">
        <v>4579.5409105017934</v>
      </c>
      <c r="AV12" s="100">
        <v>2.7449357749900725</v>
      </c>
      <c r="AW12" s="100">
        <v>1544.8498541644126</v>
      </c>
      <c r="AX12" s="100">
        <v>10.363740179346923</v>
      </c>
      <c r="AY12" s="100">
        <v>5832.7129729364478</v>
      </c>
      <c r="AZ12" s="100">
        <v>4.3680723490053159</v>
      </c>
      <c r="BA12" s="100">
        <v>2458.3511180201917</v>
      </c>
      <c r="BB12" s="100">
        <v>6.3053504534878861</v>
      </c>
      <c r="BC12" s="100">
        <v>3548.651235222982</v>
      </c>
      <c r="BD12" s="100">
        <v>4.1962240679767522</v>
      </c>
      <c r="BE12" s="100">
        <v>2361.6349054573161</v>
      </c>
      <c r="BF12" s="100">
        <v>5.5484853550017998</v>
      </c>
      <c r="BG12" s="100">
        <v>3122.6875577950127</v>
      </c>
      <c r="BH12" s="100">
        <v>3.1123763543056513</v>
      </c>
      <c r="BI12" s="100">
        <v>1751.6454122032203</v>
      </c>
      <c r="BJ12" s="100">
        <v>8.9799550003329323</v>
      </c>
      <c r="BK12" s="100">
        <v>5053.9186741873737</v>
      </c>
      <c r="BL12" s="100">
        <v>6.7497453428670857</v>
      </c>
      <c r="BM12" s="100">
        <v>3798.7566789655957</v>
      </c>
      <c r="BN12" s="100">
        <v>1.5296323292940877</v>
      </c>
      <c r="BO12" s="100">
        <v>860.87707492671245</v>
      </c>
      <c r="BP12" s="100">
        <v>7.7865403003138711</v>
      </c>
      <c r="BQ12" s="100">
        <v>4382.2648810166465</v>
      </c>
      <c r="BR12" s="100">
        <v>1.8463954089887256</v>
      </c>
      <c r="BS12" s="100">
        <v>1039.1513361788548</v>
      </c>
      <c r="BT12" s="100">
        <v>9.4486233433594577</v>
      </c>
      <c r="BU12" s="100">
        <v>5317.6852176427028</v>
      </c>
      <c r="BV12" s="100">
        <v>3.6261225434181945</v>
      </c>
      <c r="BW12" s="100">
        <v>2040.7817674357598</v>
      </c>
      <c r="BX12" s="100">
        <v>4.287310081194164</v>
      </c>
      <c r="BY12" s="100">
        <v>2412.8981136960751</v>
      </c>
      <c r="BZ12" s="100">
        <v>11.55153927851952</v>
      </c>
      <c r="CA12" s="100">
        <v>6501.2063059507855</v>
      </c>
      <c r="CB12" s="100">
        <v>7.7223268367219511</v>
      </c>
      <c r="CC12" s="100">
        <v>4346.125543707114</v>
      </c>
      <c r="CD12" s="100">
        <v>7</v>
      </c>
      <c r="CE12" s="100">
        <v>3939.5999999999995</v>
      </c>
      <c r="CF12" s="100">
        <v>4.9095914572930957</v>
      </c>
      <c r="CG12" s="100">
        <v>2763.1180721645542</v>
      </c>
      <c r="CH12" s="100">
        <v>5.3063899975467024</v>
      </c>
      <c r="CI12" s="100">
        <v>2986.4362906192837</v>
      </c>
      <c r="CJ12" s="100">
        <v>9.5000983379664348</v>
      </c>
      <c r="CK12" s="100">
        <v>5346.6553446075095</v>
      </c>
      <c r="CL12" s="100">
        <v>6.4285737229344972</v>
      </c>
      <c r="CM12" s="100">
        <v>3618.0012912675347</v>
      </c>
      <c r="CN12" s="100">
        <v>6.2630954423524017</v>
      </c>
      <c r="CO12" s="100">
        <v>3524.8701149559315</v>
      </c>
      <c r="CP12" s="100">
        <v>1.8863675269439901</v>
      </c>
      <c r="CQ12" s="100">
        <v>1061.6476441640775</v>
      </c>
      <c r="CR12" s="100">
        <v>6.6828974854992804</v>
      </c>
      <c r="CS12" s="100">
        <v>3761.1347048389948</v>
      </c>
      <c r="CT12" s="100">
        <v>1.8142063140229077</v>
      </c>
      <c r="CU12" s="100">
        <v>1021.0353135320923</v>
      </c>
    </row>
    <row r="13" spans="1:99">
      <c r="C13" s="99" t="s">
        <v>179</v>
      </c>
      <c r="D13" s="100">
        <v>3.0410804974631911</v>
      </c>
      <c r="E13" s="100">
        <v>259.10005838386388</v>
      </c>
      <c r="F13" s="100">
        <v>8.4693751034464348</v>
      </c>
      <c r="G13" s="100">
        <v>721.59075881363628</v>
      </c>
      <c r="H13" s="100">
        <v>6.1525653445338371</v>
      </c>
      <c r="I13" s="100">
        <v>524.19856735428289</v>
      </c>
      <c r="J13" s="100">
        <v>5.0013187955971539</v>
      </c>
      <c r="K13" s="100">
        <v>426.11236138487754</v>
      </c>
      <c r="L13" s="100">
        <v>6</v>
      </c>
      <c r="M13" s="100">
        <v>511.20000000000005</v>
      </c>
      <c r="N13" s="100">
        <v>8</v>
      </c>
      <c r="O13" s="100">
        <v>681.6</v>
      </c>
      <c r="P13" s="100">
        <v>6.1058784883713493</v>
      </c>
      <c r="Q13" s="100">
        <v>520.22084720923897</v>
      </c>
      <c r="R13" s="100">
        <v>5.010047100650552</v>
      </c>
      <c r="S13" s="100">
        <v>426.85601297542706</v>
      </c>
      <c r="T13" s="100">
        <v>3.5670657854196639</v>
      </c>
      <c r="U13" s="100">
        <v>303.91400491775539</v>
      </c>
      <c r="V13" s="100">
        <v>10.515884432921689</v>
      </c>
      <c r="W13" s="100">
        <v>895.95335368492795</v>
      </c>
      <c r="X13" s="100">
        <v>3.9396452568579532</v>
      </c>
      <c r="Y13" s="100">
        <v>335.65777588429762</v>
      </c>
      <c r="Z13" s="100">
        <v>8.8613957144982347</v>
      </c>
      <c r="AA13" s="100">
        <v>754.99091487524959</v>
      </c>
      <c r="AB13" s="100">
        <v>2.2904175735053207</v>
      </c>
      <c r="AC13" s="100">
        <v>195.14357726265334</v>
      </c>
      <c r="AD13" s="100">
        <v>2.9845388395372119</v>
      </c>
      <c r="AE13" s="100">
        <v>254.28270912857047</v>
      </c>
      <c r="AF13" s="100">
        <v>7.2181523357793882</v>
      </c>
      <c r="AG13" s="100">
        <v>614.98657900840385</v>
      </c>
      <c r="AH13" s="100">
        <v>4.0495097293342788</v>
      </c>
      <c r="AI13" s="100">
        <v>345.01822893928056</v>
      </c>
      <c r="AJ13" s="100">
        <v>2.6941447207870297</v>
      </c>
      <c r="AK13" s="100">
        <v>229.54113021105493</v>
      </c>
      <c r="AL13" s="100">
        <v>9.3649126056748262</v>
      </c>
      <c r="AM13" s="100">
        <v>797.89055400349525</v>
      </c>
      <c r="AN13" s="100">
        <v>7</v>
      </c>
      <c r="AO13" s="100">
        <v>596.4</v>
      </c>
      <c r="AP13" s="100">
        <v>5</v>
      </c>
      <c r="AQ13" s="100">
        <v>426</v>
      </c>
      <c r="AR13" s="100">
        <v>9.5342340027206998</v>
      </c>
      <c r="AS13" s="100">
        <v>812.31673703180365</v>
      </c>
      <c r="AT13" s="100">
        <v>8.1370662944239402</v>
      </c>
      <c r="AU13" s="100">
        <v>693.27804828491969</v>
      </c>
      <c r="AV13" s="100">
        <v>2.7449357749900725</v>
      </c>
      <c r="AW13" s="100">
        <v>233.86852802915419</v>
      </c>
      <c r="AX13" s="100">
        <v>10.363740179346923</v>
      </c>
      <c r="AY13" s="100">
        <v>882.99066328035792</v>
      </c>
      <c r="AZ13" s="100">
        <v>5.2416868188063779</v>
      </c>
      <c r="BA13" s="100">
        <v>446.59171696230339</v>
      </c>
      <c r="BB13" s="100">
        <v>6.3353806152992904</v>
      </c>
      <c r="BC13" s="100">
        <v>539.77442842349956</v>
      </c>
      <c r="BD13" s="100">
        <v>4.1942664582893947</v>
      </c>
      <c r="BE13" s="100">
        <v>357.35150224625642</v>
      </c>
      <c r="BF13" s="100">
        <v>5.4771524559625924</v>
      </c>
      <c r="BG13" s="100">
        <v>466.6533892480129</v>
      </c>
      <c r="BH13" s="100">
        <v>3.1123763543056513</v>
      </c>
      <c r="BI13" s="100">
        <v>265.17446538684152</v>
      </c>
      <c r="BJ13" s="100">
        <v>10.143280833721754</v>
      </c>
      <c r="BK13" s="100">
        <v>864.20752703309347</v>
      </c>
      <c r="BL13" s="100">
        <v>6.7497453428670857</v>
      </c>
      <c r="BM13" s="100">
        <v>575.07830321227573</v>
      </c>
      <c r="BN13" s="100">
        <v>1.7451727702543784</v>
      </c>
      <c r="BO13" s="100">
        <v>148.68872002567304</v>
      </c>
      <c r="BP13" s="100">
        <v>8.0112661004035495</v>
      </c>
      <c r="BQ13" s="100">
        <v>682.55987175438247</v>
      </c>
      <c r="BR13" s="100">
        <v>2.2156744907864705</v>
      </c>
      <c r="BS13" s="100">
        <v>188.7754666150073</v>
      </c>
      <c r="BT13" s="100">
        <v>9.5923732708240497</v>
      </c>
      <c r="BU13" s="100">
        <v>817.27020267420903</v>
      </c>
      <c r="BV13" s="100">
        <v>4.2118086835675737</v>
      </c>
      <c r="BW13" s="100">
        <v>358.84609983995728</v>
      </c>
      <c r="BX13" s="100">
        <v>4.2697038352425718</v>
      </c>
      <c r="BY13" s="100">
        <v>363.77876676266715</v>
      </c>
      <c r="BZ13" s="100">
        <v>11.55153927851952</v>
      </c>
      <c r="CA13" s="100">
        <v>984.1911465298632</v>
      </c>
      <c r="CB13" s="100">
        <v>6.9500941530497551</v>
      </c>
      <c r="CC13" s="100">
        <v>592.1480218398392</v>
      </c>
      <c r="CD13" s="100">
        <v>7</v>
      </c>
      <c r="CE13" s="100">
        <v>596.4</v>
      </c>
      <c r="CF13" s="100">
        <v>4.9095914572930957</v>
      </c>
      <c r="CG13" s="100">
        <v>418.29719216137175</v>
      </c>
      <c r="CH13" s="100">
        <v>6.1907883304711531</v>
      </c>
      <c r="CI13" s="100">
        <v>527.45516575614226</v>
      </c>
      <c r="CJ13" s="100">
        <v>10.363743641417928</v>
      </c>
      <c r="CK13" s="100">
        <v>882.99095824880749</v>
      </c>
      <c r="CL13" s="100">
        <v>6.4285737229344972</v>
      </c>
      <c r="CM13" s="100">
        <v>547.71448119401919</v>
      </c>
      <c r="CN13" s="100">
        <v>8.3332950767683638</v>
      </c>
      <c r="CO13" s="100">
        <v>709.99674054066463</v>
      </c>
      <c r="CP13" s="100">
        <v>1.8863675269439901</v>
      </c>
      <c r="CQ13" s="100">
        <v>160.71851329562796</v>
      </c>
      <c r="CR13" s="100">
        <v>6.6828974854992804</v>
      </c>
      <c r="CS13" s="100">
        <v>569.38286576453868</v>
      </c>
      <c r="CT13" s="100">
        <v>2.2173632726946653</v>
      </c>
      <c r="CU13" s="100">
        <v>188.9193508335855</v>
      </c>
    </row>
    <row r="14" spans="1:99">
      <c r="C14" s="99" t="s">
        <v>180</v>
      </c>
      <c r="D14" s="100">
        <v>3.0410804974631911</v>
      </c>
      <c r="E14" s="100">
        <v>1485.2637149610225</v>
      </c>
      <c r="F14" s="100">
        <v>7</v>
      </c>
      <c r="G14" s="100">
        <v>3418.7999999999997</v>
      </c>
      <c r="H14" s="100">
        <v>6.1525653445338371</v>
      </c>
      <c r="I14" s="100">
        <v>3004.9129142703259</v>
      </c>
      <c r="J14" s="100">
        <v>5.0013187955971539</v>
      </c>
      <c r="K14" s="100">
        <v>2442.64409976965</v>
      </c>
      <c r="L14" s="100">
        <v>5</v>
      </c>
      <c r="M14" s="100">
        <v>2442</v>
      </c>
      <c r="N14" s="100">
        <v>8</v>
      </c>
      <c r="O14" s="100">
        <v>3907.2</v>
      </c>
      <c r="P14" s="100">
        <v>5.2336101328897282</v>
      </c>
      <c r="Q14" s="100">
        <v>2556.0951889033431</v>
      </c>
      <c r="R14" s="100">
        <v>4.1750392505421265</v>
      </c>
      <c r="S14" s="100">
        <v>2039.0891699647746</v>
      </c>
      <c r="T14" s="100">
        <v>3.1211825622422062</v>
      </c>
      <c r="U14" s="100">
        <v>1524.3855633990934</v>
      </c>
      <c r="V14" s="100">
        <v>9.3474528292637231</v>
      </c>
      <c r="W14" s="100">
        <v>4565.2959618124023</v>
      </c>
      <c r="X14" s="100">
        <v>3.5192227329572439</v>
      </c>
      <c r="Y14" s="100">
        <v>1718.7883827763178</v>
      </c>
      <c r="Z14" s="100">
        <v>9.8613957144982347</v>
      </c>
      <c r="AA14" s="100">
        <v>4816.3056669609377</v>
      </c>
      <c r="AB14" s="100">
        <v>2.2787563146432319</v>
      </c>
      <c r="AC14" s="100">
        <v>1112.9445840717544</v>
      </c>
      <c r="AD14" s="100">
        <v>2.9845388395372119</v>
      </c>
      <c r="AE14" s="100">
        <v>1457.6487692299743</v>
      </c>
      <c r="AF14" s="100">
        <v>6.2181523357793882</v>
      </c>
      <c r="AG14" s="100">
        <v>3036.9456007946533</v>
      </c>
      <c r="AH14" s="100">
        <v>3.3132352330916826</v>
      </c>
      <c r="AI14" s="100">
        <v>1618.1840878419778</v>
      </c>
      <c r="AJ14" s="100">
        <v>2.7120779214474497</v>
      </c>
      <c r="AK14" s="100">
        <v>1324.5788568349344</v>
      </c>
      <c r="AL14" s="100">
        <v>8.194298529965474</v>
      </c>
      <c r="AM14" s="100">
        <v>4002.0954020351373</v>
      </c>
      <c r="AN14" s="100">
        <v>6</v>
      </c>
      <c r="AO14" s="100">
        <v>2930.3999999999996</v>
      </c>
      <c r="AP14" s="100">
        <v>5</v>
      </c>
      <c r="AQ14" s="100">
        <v>2442</v>
      </c>
      <c r="AR14" s="100">
        <v>7.8007369113169371</v>
      </c>
      <c r="AS14" s="100">
        <v>3809.8799074871918</v>
      </c>
      <c r="AT14" s="100">
        <v>7.3233596649815462</v>
      </c>
      <c r="AU14" s="100">
        <v>3576.7288603769871</v>
      </c>
      <c r="AV14" s="100">
        <v>2.7449357749900725</v>
      </c>
      <c r="AW14" s="100">
        <v>1340.6266325051513</v>
      </c>
      <c r="AX14" s="100">
        <v>9.4364882152163059</v>
      </c>
      <c r="AY14" s="100">
        <v>4608.7808443116437</v>
      </c>
      <c r="AZ14" s="100">
        <v>4.3680723490053159</v>
      </c>
      <c r="BA14" s="100">
        <v>2133.3665352541962</v>
      </c>
      <c r="BB14" s="100">
        <v>7.2061148039861562</v>
      </c>
      <c r="BC14" s="100">
        <v>3519.4664702668383</v>
      </c>
      <c r="BD14" s="100">
        <v>3.7902674188371068</v>
      </c>
      <c r="BE14" s="100">
        <v>1851.1666073600429</v>
      </c>
      <c r="BF14" s="100">
        <v>5.6350386785738014</v>
      </c>
      <c r="BG14" s="100">
        <v>2752.1528906154444</v>
      </c>
      <c r="BH14" s="100">
        <v>3.4813209754770154</v>
      </c>
      <c r="BI14" s="100">
        <v>1700.2771644229742</v>
      </c>
      <c r="BJ14" s="100">
        <v>10.143280833721754</v>
      </c>
      <c r="BK14" s="100">
        <v>4953.978359189704</v>
      </c>
      <c r="BL14" s="100">
        <v>7.5934635107254715</v>
      </c>
      <c r="BM14" s="100">
        <v>3708.6475786383203</v>
      </c>
      <c r="BN14" s="100">
        <v>1.7451727702543784</v>
      </c>
      <c r="BO14" s="100">
        <v>852.34238099223842</v>
      </c>
      <c r="BP14" s="100">
        <v>6.8989032003587099</v>
      </c>
      <c r="BQ14" s="100">
        <v>3369.4243230551938</v>
      </c>
      <c r="BR14" s="100">
        <v>1.8463954089887256</v>
      </c>
      <c r="BS14" s="100">
        <v>901.77951775009353</v>
      </c>
      <c r="BT14" s="100">
        <v>8.5584984468357312</v>
      </c>
      <c r="BU14" s="100">
        <v>4179.970641434571</v>
      </c>
      <c r="BV14" s="100">
        <v>4.2127397554517829</v>
      </c>
      <c r="BW14" s="100">
        <v>2057.5020965626509</v>
      </c>
      <c r="BX14" s="100">
        <v>4.2697038352425718</v>
      </c>
      <c r="BY14" s="100">
        <v>2085.3233531324718</v>
      </c>
      <c r="BZ14" s="100">
        <v>10.379146025350686</v>
      </c>
      <c r="CA14" s="100">
        <v>5069.1749187812748</v>
      </c>
      <c r="CB14" s="100">
        <v>6.9500941530497551</v>
      </c>
      <c r="CC14" s="100">
        <v>3394.4259843495001</v>
      </c>
      <c r="CD14" s="100">
        <v>7</v>
      </c>
      <c r="CE14" s="100">
        <v>3418.7999999999997</v>
      </c>
      <c r="CF14" s="100">
        <v>4.0913262144109135</v>
      </c>
      <c r="CG14" s="100">
        <v>1998.2037231182901</v>
      </c>
      <c r="CH14" s="100">
        <v>5.3063899975467024</v>
      </c>
      <c r="CI14" s="100">
        <v>2591.6408748018093</v>
      </c>
      <c r="CJ14" s="100">
        <v>9.5000983379664348</v>
      </c>
      <c r="CK14" s="100">
        <v>4639.8480282628061</v>
      </c>
      <c r="CL14" s="100">
        <v>5.7943266424101898</v>
      </c>
      <c r="CM14" s="100">
        <v>2829.9491321531364</v>
      </c>
      <c r="CN14" s="100">
        <v>7.0206677220586169</v>
      </c>
      <c r="CO14" s="100">
        <v>3428.8941154534282</v>
      </c>
      <c r="CP14" s="100">
        <v>2.0750042796383892</v>
      </c>
      <c r="CQ14" s="100">
        <v>1013.4320901753892</v>
      </c>
      <c r="CR14" s="100">
        <v>6.0071961107531822</v>
      </c>
      <c r="CS14" s="100">
        <v>2933.9145804918539</v>
      </c>
      <c r="CT14" s="100">
        <v>2.0157847933587862</v>
      </c>
      <c r="CU14" s="100">
        <v>984.50929307643116</v>
      </c>
    </row>
    <row r="15" spans="1:99">
      <c r="C15" s="99" t="s">
        <v>181</v>
      </c>
      <c r="D15" s="100">
        <v>3.0410804974631911</v>
      </c>
      <c r="E15" s="100">
        <v>2320.9526356639071</v>
      </c>
      <c r="F15" s="100">
        <v>7</v>
      </c>
      <c r="G15" s="100">
        <v>5342.4</v>
      </c>
      <c r="H15" s="100">
        <v>5.383494676467107</v>
      </c>
      <c r="I15" s="100">
        <v>4108.6831370796954</v>
      </c>
      <c r="J15" s="100">
        <v>5.0013187955971539</v>
      </c>
      <c r="K15" s="100">
        <v>3817.0065047997473</v>
      </c>
      <c r="L15" s="100">
        <v>5</v>
      </c>
      <c r="M15" s="100">
        <v>3815.9999999999995</v>
      </c>
      <c r="N15" s="100">
        <v>8</v>
      </c>
      <c r="O15" s="100">
        <v>6105.5999999999995</v>
      </c>
      <c r="P15" s="100">
        <v>5.2336101328897282</v>
      </c>
      <c r="Q15" s="100">
        <v>3994.2912534214402</v>
      </c>
      <c r="R15" s="100">
        <v>4.1750392505421265</v>
      </c>
      <c r="S15" s="100">
        <v>3186.3899560137506</v>
      </c>
      <c r="T15" s="100">
        <v>3.1211825622422062</v>
      </c>
      <c r="U15" s="100">
        <v>2382.0865315032515</v>
      </c>
      <c r="V15" s="100">
        <v>9.3474528292637231</v>
      </c>
      <c r="W15" s="100">
        <v>7133.9759992940726</v>
      </c>
      <c r="X15" s="100">
        <v>3.9396452568579532</v>
      </c>
      <c r="Y15" s="100">
        <v>3006.7372600339895</v>
      </c>
      <c r="Z15" s="100">
        <v>8.0336748573978802</v>
      </c>
      <c r="AA15" s="100">
        <v>6131.3006511660615</v>
      </c>
      <c r="AB15" s="100">
        <v>2.2787563146432319</v>
      </c>
      <c r="AC15" s="100">
        <v>1739.1468193357146</v>
      </c>
      <c r="AD15" s="100">
        <v>2.9845388395372119</v>
      </c>
      <c r="AE15" s="100">
        <v>2277.8000423347999</v>
      </c>
      <c r="AF15" s="100">
        <v>6.3921740980335864</v>
      </c>
      <c r="AG15" s="100">
        <v>4878.5072716192326</v>
      </c>
      <c r="AH15" s="100">
        <v>3.6813724812129802</v>
      </c>
      <c r="AI15" s="100">
        <v>2809.6234776617462</v>
      </c>
      <c r="AJ15" s="100">
        <v>2.6762115201266092</v>
      </c>
      <c r="AK15" s="100">
        <v>2042.4846321606281</v>
      </c>
      <c r="AL15" s="100">
        <v>9.3649126056748262</v>
      </c>
      <c r="AM15" s="100">
        <v>7147.3013006510264</v>
      </c>
      <c r="AN15" s="100">
        <v>6</v>
      </c>
      <c r="AO15" s="100">
        <v>4579.2</v>
      </c>
      <c r="AP15" s="100">
        <v>6</v>
      </c>
      <c r="AQ15" s="100">
        <v>4579.2</v>
      </c>
      <c r="AR15" s="100">
        <v>8.6674854570188185</v>
      </c>
      <c r="AS15" s="100">
        <v>6615.0249007967614</v>
      </c>
      <c r="AT15" s="100">
        <v>7.3233596649815462</v>
      </c>
      <c r="AU15" s="100">
        <v>5589.1880963139156</v>
      </c>
      <c r="AV15" s="100">
        <v>2.7449357749900725</v>
      </c>
      <c r="AW15" s="100">
        <v>2094.934983472423</v>
      </c>
      <c r="AX15" s="100">
        <v>9.363740179346923</v>
      </c>
      <c r="AY15" s="100">
        <v>7146.406504877571</v>
      </c>
      <c r="AZ15" s="100">
        <v>5.2416868188063779</v>
      </c>
      <c r="BA15" s="100">
        <v>4000.4553801130273</v>
      </c>
      <c r="BB15" s="100">
        <v>6.3053504534878861</v>
      </c>
      <c r="BC15" s="100">
        <v>4812.2434661019543</v>
      </c>
      <c r="BD15" s="100">
        <v>4.9113612511624698</v>
      </c>
      <c r="BE15" s="100">
        <v>3748.3509068871967</v>
      </c>
      <c r="BF15" s="100">
        <v>5.045227833528835</v>
      </c>
      <c r="BG15" s="100">
        <v>3850.5178825492067</v>
      </c>
      <c r="BH15" s="100">
        <v>3.4813209754770154</v>
      </c>
      <c r="BI15" s="100">
        <v>2656.9441684840581</v>
      </c>
      <c r="BJ15" s="100">
        <v>9.9799550003329323</v>
      </c>
      <c r="BK15" s="100">
        <v>7616.701656254093</v>
      </c>
      <c r="BL15" s="100">
        <v>6.7497453428670857</v>
      </c>
      <c r="BM15" s="100">
        <v>5151.4056456761591</v>
      </c>
      <c r="BN15" s="100">
        <v>1.5281430976817982</v>
      </c>
      <c r="BO15" s="100">
        <v>1166.2788121507483</v>
      </c>
      <c r="BP15" s="100">
        <v>6.8989032003587099</v>
      </c>
      <c r="BQ15" s="100">
        <v>5265.2429225137666</v>
      </c>
      <c r="BR15" s="100">
        <v>1.8463954089887256</v>
      </c>
      <c r="BS15" s="100">
        <v>1409.1689761401951</v>
      </c>
      <c r="BT15" s="100">
        <v>7.6683735503120047</v>
      </c>
      <c r="BU15" s="100">
        <v>5852.5026935981214</v>
      </c>
      <c r="BV15" s="100">
        <v>3.8036485315976014</v>
      </c>
      <c r="BW15" s="100">
        <v>2902.9445593152891</v>
      </c>
      <c r="BX15" s="100">
        <v>3.8726640698360217</v>
      </c>
      <c r="BY15" s="100">
        <v>2955.6172180988515</v>
      </c>
      <c r="BZ15" s="100">
        <v>10.723932531688357</v>
      </c>
      <c r="CA15" s="100">
        <v>8184.5053081845535</v>
      </c>
      <c r="CB15" s="100">
        <v>7.7223268367219511</v>
      </c>
      <c r="CC15" s="100">
        <v>5893.6798417861928</v>
      </c>
      <c r="CD15" s="100">
        <v>6</v>
      </c>
      <c r="CE15" s="100">
        <v>4579.2</v>
      </c>
      <c r="CF15" s="100">
        <v>4.0913262144109135</v>
      </c>
      <c r="CG15" s="100">
        <v>3122.5001668384089</v>
      </c>
      <c r="CH15" s="100">
        <v>5.3063899975467024</v>
      </c>
      <c r="CI15" s="100">
        <v>4049.8368461276427</v>
      </c>
      <c r="CJ15" s="100">
        <v>9.5000983379664348</v>
      </c>
      <c r="CK15" s="100">
        <v>7250.4750515359819</v>
      </c>
      <c r="CL15" s="100">
        <v>6.4285737229344972</v>
      </c>
      <c r="CM15" s="100">
        <v>4906.2874653436074</v>
      </c>
      <c r="CN15" s="100">
        <v>6.8181505173559342</v>
      </c>
      <c r="CO15" s="100">
        <v>5203.6124748460488</v>
      </c>
      <c r="CP15" s="100">
        <v>1.8863675269439901</v>
      </c>
      <c r="CQ15" s="100">
        <v>1439.6756965636532</v>
      </c>
      <c r="CR15" s="100">
        <v>6.7580956245973303</v>
      </c>
      <c r="CS15" s="100">
        <v>5157.7785806926822</v>
      </c>
      <c r="CT15" s="100">
        <v>2.0157847933587862</v>
      </c>
      <c r="CU15" s="100">
        <v>1538.4469542914255</v>
      </c>
    </row>
    <row r="16" spans="1:99">
      <c r="C16" s="99" t="s">
        <v>182</v>
      </c>
      <c r="D16" s="100">
        <v>3.0410804974631911</v>
      </c>
      <c r="E16" s="100">
        <v>1036.4002335354555</v>
      </c>
      <c r="F16" s="100">
        <v>8</v>
      </c>
      <c r="G16" s="100">
        <v>2726.4</v>
      </c>
      <c r="H16" s="100">
        <v>6.1525653445338371</v>
      </c>
      <c r="I16" s="100">
        <v>2096.7942694171315</v>
      </c>
      <c r="J16" s="100">
        <v>5.0013187955971539</v>
      </c>
      <c r="K16" s="100">
        <v>1704.4494455395102</v>
      </c>
      <c r="L16" s="100">
        <v>5</v>
      </c>
      <c r="M16" s="100">
        <v>1704</v>
      </c>
      <c r="N16" s="100">
        <v>8</v>
      </c>
      <c r="O16" s="100">
        <v>2726.4</v>
      </c>
      <c r="P16" s="100">
        <v>5.2336101328897282</v>
      </c>
      <c r="Q16" s="100">
        <v>1783.6143332888194</v>
      </c>
      <c r="R16" s="100">
        <v>4.1750392505421265</v>
      </c>
      <c r="S16" s="100">
        <v>1422.8533765847567</v>
      </c>
      <c r="T16" s="100">
        <v>3.1211825622422062</v>
      </c>
      <c r="U16" s="100">
        <v>1063.6990172121439</v>
      </c>
      <c r="V16" s="100">
        <v>11.513018229222531</v>
      </c>
      <c r="W16" s="100">
        <v>3923.6366125190389</v>
      </c>
      <c r="X16" s="100">
        <v>3.5088332301738059</v>
      </c>
      <c r="Y16" s="100">
        <v>1195.8103648432332</v>
      </c>
      <c r="Z16" s="100">
        <v>9.8613957144982347</v>
      </c>
      <c r="AA16" s="100">
        <v>3360.7636595009985</v>
      </c>
      <c r="AB16" s="100">
        <v>2.6995238009856148</v>
      </c>
      <c r="AC16" s="100">
        <v>919.99771137589755</v>
      </c>
      <c r="AD16" s="100">
        <v>3.4819619794600807</v>
      </c>
      <c r="AE16" s="100">
        <v>1186.6526425999955</v>
      </c>
      <c r="AF16" s="100">
        <v>6.3921740980335864</v>
      </c>
      <c r="AG16" s="100">
        <v>2178.4529326098464</v>
      </c>
      <c r="AH16" s="100">
        <v>3.6813724812129802</v>
      </c>
      <c r="AI16" s="100">
        <v>1254.6117415973838</v>
      </c>
      <c r="AJ16" s="100">
        <v>2.7120779214474497</v>
      </c>
      <c r="AK16" s="100">
        <v>924.27615562929088</v>
      </c>
      <c r="AL16" s="100">
        <v>8.194298529965474</v>
      </c>
      <c r="AM16" s="100">
        <v>2792.6169390122336</v>
      </c>
      <c r="AN16" s="100">
        <v>6</v>
      </c>
      <c r="AO16" s="100">
        <v>2044.8000000000002</v>
      </c>
      <c r="AP16" s="100">
        <v>5</v>
      </c>
      <c r="AQ16" s="100">
        <v>1704</v>
      </c>
      <c r="AR16" s="100">
        <v>8.6674854570188185</v>
      </c>
      <c r="AS16" s="100">
        <v>2953.8790437520133</v>
      </c>
      <c r="AT16" s="100">
        <v>7.3233596649815462</v>
      </c>
      <c r="AU16" s="100">
        <v>2495.800973825711</v>
      </c>
      <c r="AV16" s="100">
        <v>2.7449357749900725</v>
      </c>
      <c r="AW16" s="100">
        <v>935.47411211661677</v>
      </c>
      <c r="AX16" s="100">
        <v>10.363740179346923</v>
      </c>
      <c r="AY16" s="100">
        <v>3531.9626531214317</v>
      </c>
      <c r="AZ16" s="100">
        <v>5.2416868188063779</v>
      </c>
      <c r="BA16" s="100">
        <v>1786.3668678492136</v>
      </c>
      <c r="BB16" s="100">
        <v>7.2061148039861562</v>
      </c>
      <c r="BC16" s="100">
        <v>2455.8439251984823</v>
      </c>
      <c r="BD16" s="100">
        <v>4.1962240679767522</v>
      </c>
      <c r="BE16" s="100">
        <v>1430.0731623664772</v>
      </c>
      <c r="BF16" s="100">
        <v>5.5484853550017998</v>
      </c>
      <c r="BG16" s="100">
        <v>1890.9238089846135</v>
      </c>
      <c r="BH16" s="100">
        <v>3.465239036983542</v>
      </c>
      <c r="BI16" s="100">
        <v>1180.9534638039911</v>
      </c>
      <c r="BJ16" s="100">
        <v>10.143280833721754</v>
      </c>
      <c r="BK16" s="100">
        <v>3456.8301081323739</v>
      </c>
      <c r="BL16" s="100">
        <v>6.7497453428670857</v>
      </c>
      <c r="BM16" s="100">
        <v>2300.3132128491029</v>
      </c>
      <c r="BN16" s="100">
        <v>1.7451727702543784</v>
      </c>
      <c r="BO16" s="100">
        <v>594.75488010269214</v>
      </c>
      <c r="BP16" s="100">
        <v>7.7865403003138711</v>
      </c>
      <c r="BQ16" s="100">
        <v>2653.6529343469674</v>
      </c>
      <c r="BR16" s="100">
        <v>2.2156744907864705</v>
      </c>
      <c r="BS16" s="100">
        <v>755.10186646002921</v>
      </c>
      <c r="BT16" s="100">
        <v>8.5584984468357312</v>
      </c>
      <c r="BU16" s="100">
        <v>2916.7362706816175</v>
      </c>
      <c r="BV16" s="100">
        <v>4.3618712176915828</v>
      </c>
      <c r="BW16" s="100">
        <v>1486.5257109892914</v>
      </c>
      <c r="BX16" s="100">
        <v>4.287310081194164</v>
      </c>
      <c r="BY16" s="100">
        <v>1461.1152756709712</v>
      </c>
      <c r="BZ16" s="100">
        <v>10.723932531688357</v>
      </c>
      <c r="CA16" s="100">
        <v>3654.7162067993922</v>
      </c>
      <c r="CB16" s="100">
        <v>6.9500941530497551</v>
      </c>
      <c r="CC16" s="100">
        <v>2368.5920873593568</v>
      </c>
      <c r="CD16" s="100">
        <v>6</v>
      </c>
      <c r="CE16" s="100">
        <v>2044.8000000000002</v>
      </c>
      <c r="CF16" s="100">
        <v>4.9095914572930957</v>
      </c>
      <c r="CG16" s="100">
        <v>1673.188768645487</v>
      </c>
      <c r="CH16" s="100">
        <v>6.1907883304711531</v>
      </c>
      <c r="CI16" s="100">
        <v>2109.8206630245691</v>
      </c>
      <c r="CJ16" s="100">
        <v>9.5000983379664348</v>
      </c>
      <c r="CK16" s="100">
        <v>3237.6335135789609</v>
      </c>
      <c r="CL16" s="100">
        <v>7.1474831208800564</v>
      </c>
      <c r="CM16" s="100">
        <v>2435.8622475959232</v>
      </c>
      <c r="CN16" s="100">
        <v>7.5757227970621486</v>
      </c>
      <c r="CO16" s="100">
        <v>2581.8063292387801</v>
      </c>
      <c r="CP16" s="100">
        <v>2.0750042796383892</v>
      </c>
      <c r="CQ16" s="100">
        <v>707.16145850076305</v>
      </c>
      <c r="CR16" s="100">
        <v>6.0071961107531822</v>
      </c>
      <c r="CS16" s="100">
        <v>2047.2524345446845</v>
      </c>
      <c r="CT16" s="100">
        <v>1.8142063140229077</v>
      </c>
      <c r="CU16" s="100">
        <v>618.28151181900694</v>
      </c>
    </row>
    <row r="17" spans="2:99">
      <c r="C17" s="99" t="s">
        <v>183</v>
      </c>
      <c r="D17" s="100">
        <v>3.0410804974631911</v>
      </c>
      <c r="E17" s="100">
        <v>1284.5524021284518</v>
      </c>
      <c r="F17" s="100">
        <v>8.4693751034464348</v>
      </c>
      <c r="G17" s="100">
        <v>3577.4640436957739</v>
      </c>
      <c r="H17" s="100">
        <v>6.1525653445338371</v>
      </c>
      <c r="I17" s="100">
        <v>2598.8436015310926</v>
      </c>
      <c r="J17" s="100">
        <v>5.0013187955971539</v>
      </c>
      <c r="K17" s="100">
        <v>2112.5570592602376</v>
      </c>
      <c r="L17" s="100">
        <v>6</v>
      </c>
      <c r="M17" s="100">
        <v>2534.3999999999996</v>
      </c>
      <c r="N17" s="100">
        <v>7</v>
      </c>
      <c r="O17" s="100">
        <v>2956.7999999999997</v>
      </c>
      <c r="P17" s="100">
        <v>6.1058784883713493</v>
      </c>
      <c r="Q17" s="100">
        <v>2579.1230734880578</v>
      </c>
      <c r="R17" s="100">
        <v>5.010047100650552</v>
      </c>
      <c r="S17" s="100">
        <v>2116.243895314793</v>
      </c>
      <c r="T17" s="100">
        <v>3.1211825622422062</v>
      </c>
      <c r="U17" s="100">
        <v>1318.3875142911079</v>
      </c>
      <c r="V17" s="100">
        <v>10.687182240278812</v>
      </c>
      <c r="W17" s="100">
        <v>4514.2657782937695</v>
      </c>
      <c r="X17" s="100">
        <v>3.9500347596413916</v>
      </c>
      <c r="Y17" s="100">
        <v>1668.4946824725237</v>
      </c>
      <c r="Z17" s="100">
        <v>9.8613957144982347</v>
      </c>
      <c r="AA17" s="100">
        <v>4165.4535498040541</v>
      </c>
      <c r="AB17" s="100">
        <v>2.1621437260223524</v>
      </c>
      <c r="AC17" s="100">
        <v>913.28950987184157</v>
      </c>
      <c r="AD17" s="100">
        <v>3.4582785882343821</v>
      </c>
      <c r="AE17" s="100">
        <v>1460.7768756702028</v>
      </c>
      <c r="AF17" s="100">
        <v>7.3921740980335864</v>
      </c>
      <c r="AG17" s="100">
        <v>3122.4543390093868</v>
      </c>
      <c r="AH17" s="100">
        <v>3.6813724812129802</v>
      </c>
      <c r="AI17" s="100">
        <v>1555.0117360643628</v>
      </c>
      <c r="AJ17" s="100">
        <v>2.6941447207870297</v>
      </c>
      <c r="AK17" s="100">
        <v>1138.0067300604412</v>
      </c>
      <c r="AL17" s="100">
        <v>8.194298529965474</v>
      </c>
      <c r="AM17" s="100">
        <v>3461.2716990574158</v>
      </c>
      <c r="AN17" s="100">
        <v>6</v>
      </c>
      <c r="AO17" s="100">
        <v>2534.3999999999996</v>
      </c>
      <c r="AP17" s="100">
        <v>6</v>
      </c>
      <c r="AQ17" s="100">
        <v>2534.3999999999996</v>
      </c>
      <c r="AR17" s="100">
        <v>8.6674854570188185</v>
      </c>
      <c r="AS17" s="100">
        <v>3661.1458570447489</v>
      </c>
      <c r="AT17" s="100">
        <v>7.3233596649815462</v>
      </c>
      <c r="AU17" s="100">
        <v>3093.387122488205</v>
      </c>
      <c r="AV17" s="100">
        <v>2.7449357749900725</v>
      </c>
      <c r="AW17" s="100">
        <v>1159.4608713558066</v>
      </c>
      <c r="AX17" s="100">
        <v>10.363740179346923</v>
      </c>
      <c r="AY17" s="100">
        <v>4377.6438517561401</v>
      </c>
      <c r="AZ17" s="100">
        <v>4.3680723490053159</v>
      </c>
      <c r="BA17" s="100">
        <v>1845.0737602198453</v>
      </c>
      <c r="BB17" s="100">
        <v>7.2061148039861562</v>
      </c>
      <c r="BC17" s="100">
        <v>3043.8628932037523</v>
      </c>
      <c r="BD17" s="100">
        <v>4.1942664582893947</v>
      </c>
      <c r="BE17" s="100">
        <v>1771.6581519814401</v>
      </c>
      <c r="BF17" s="100">
        <v>5.6350386785738014</v>
      </c>
      <c r="BG17" s="100">
        <v>2380.2403378295735</v>
      </c>
      <c r="BH17" s="100">
        <v>3.1123763543056513</v>
      </c>
      <c r="BI17" s="100">
        <v>1314.667772058707</v>
      </c>
      <c r="BJ17" s="100">
        <v>10.143280833721754</v>
      </c>
      <c r="BK17" s="100">
        <v>4284.5218241640687</v>
      </c>
      <c r="BL17" s="100">
        <v>6.7497453428670857</v>
      </c>
      <c r="BM17" s="100">
        <v>2851.0924328270567</v>
      </c>
      <c r="BN17" s="100">
        <v>1.5281430976817982</v>
      </c>
      <c r="BO17" s="100">
        <v>645.48764446079156</v>
      </c>
      <c r="BP17" s="100">
        <v>7.8989032003587099</v>
      </c>
      <c r="BQ17" s="100">
        <v>3336.496711831519</v>
      </c>
      <c r="BR17" s="100">
        <v>2.2156744907864705</v>
      </c>
      <c r="BS17" s="100">
        <v>935.90090490820512</v>
      </c>
      <c r="BT17" s="100">
        <v>9.5923732708240497</v>
      </c>
      <c r="BU17" s="100">
        <v>4051.8184695960786</v>
      </c>
      <c r="BV17" s="100">
        <v>3.832043057537208</v>
      </c>
      <c r="BW17" s="100">
        <v>1618.6549875037165</v>
      </c>
      <c r="BX17" s="100">
        <v>4.7019560925523072</v>
      </c>
      <c r="BY17" s="100">
        <v>1986.1062534940945</v>
      </c>
      <c r="BZ17" s="100">
        <v>10.723932531688357</v>
      </c>
      <c r="CA17" s="100">
        <v>4529.7891013851613</v>
      </c>
      <c r="CB17" s="100">
        <v>7.7223268367219511</v>
      </c>
      <c r="CC17" s="100">
        <v>3261.9108558313519</v>
      </c>
      <c r="CD17" s="100">
        <v>7</v>
      </c>
      <c r="CE17" s="100">
        <v>2956.7999999999997</v>
      </c>
      <c r="CF17" s="100">
        <v>4.9095914572930957</v>
      </c>
      <c r="CG17" s="100">
        <v>2073.8114315606035</v>
      </c>
      <c r="CH17" s="100">
        <v>5.3063899975467024</v>
      </c>
      <c r="CI17" s="100">
        <v>2241.4191349637272</v>
      </c>
      <c r="CJ17" s="100">
        <v>9.5000983379664348</v>
      </c>
      <c r="CK17" s="100">
        <v>4012.841537957022</v>
      </c>
      <c r="CL17" s="100">
        <v>6.5132360403557499</v>
      </c>
      <c r="CM17" s="100">
        <v>2751.1909034462687</v>
      </c>
      <c r="CN17" s="100">
        <v>6.8181505173559342</v>
      </c>
      <c r="CO17" s="100">
        <v>2879.9867785311467</v>
      </c>
      <c r="CP17" s="100">
        <v>1.8863675269439901</v>
      </c>
      <c r="CQ17" s="100">
        <v>796.80164338114139</v>
      </c>
      <c r="CR17" s="100">
        <v>6.0823942498512311</v>
      </c>
      <c r="CS17" s="100">
        <v>2569.2033311371597</v>
      </c>
      <c r="CT17" s="100">
        <v>2.0157847933587862</v>
      </c>
      <c r="CU17" s="100">
        <v>851.46749671475129</v>
      </c>
    </row>
    <row r="18" spans="2:99">
      <c r="C18" s="99" t="s">
        <v>184</v>
      </c>
      <c r="D18" s="100">
        <v>3.0410804974631911</v>
      </c>
      <c r="E18" s="100">
        <v>1985.2173487439711</v>
      </c>
      <c r="F18" s="100">
        <v>8.4693751034464348</v>
      </c>
      <c r="G18" s="100">
        <v>5528.8080675298324</v>
      </c>
      <c r="H18" s="100">
        <v>6.1525653445338371</v>
      </c>
      <c r="I18" s="100">
        <v>4016.3946569116883</v>
      </c>
      <c r="J18" s="100">
        <v>5.0013187955971539</v>
      </c>
      <c r="K18" s="100">
        <v>3264.8609097658218</v>
      </c>
      <c r="L18" s="100">
        <v>6</v>
      </c>
      <c r="M18" s="100">
        <v>3916.7999999999997</v>
      </c>
      <c r="N18" s="100">
        <v>8</v>
      </c>
      <c r="O18" s="100">
        <v>5222.3999999999996</v>
      </c>
      <c r="P18" s="100">
        <v>5.2336101328897282</v>
      </c>
      <c r="Q18" s="100">
        <v>3416.5006947504144</v>
      </c>
      <c r="R18" s="100">
        <v>5.010047100650552</v>
      </c>
      <c r="S18" s="100">
        <v>3270.5587473046803</v>
      </c>
      <c r="T18" s="100">
        <v>3.1211825622422062</v>
      </c>
      <c r="U18" s="100">
        <v>2037.5079766317122</v>
      </c>
      <c r="V18" s="100">
        <v>10.687182240278812</v>
      </c>
      <c r="W18" s="100">
        <v>6976.5925664540082</v>
      </c>
      <c r="X18" s="100">
        <v>3.9396452568579532</v>
      </c>
      <c r="Y18" s="100">
        <v>2571.8004236768716</v>
      </c>
      <c r="Z18" s="100">
        <v>7.8613957144982338</v>
      </c>
      <c r="AA18" s="100">
        <v>5131.9191224244469</v>
      </c>
      <c r="AB18" s="100">
        <v>2.2787563146432319</v>
      </c>
      <c r="AC18" s="100">
        <v>1487.5721221991016</v>
      </c>
      <c r="AD18" s="100">
        <v>3.4819619794600807</v>
      </c>
      <c r="AE18" s="100">
        <v>2273.0247801915407</v>
      </c>
      <c r="AF18" s="100">
        <v>7.2181523357793882</v>
      </c>
      <c r="AG18" s="100">
        <v>4712.0098447967839</v>
      </c>
      <c r="AH18" s="100">
        <v>3.3132352330916826</v>
      </c>
      <c r="AI18" s="100">
        <v>2162.8799601622504</v>
      </c>
      <c r="AJ18" s="100">
        <v>2.2750092684232248</v>
      </c>
      <c r="AK18" s="100">
        <v>1485.1260504266811</v>
      </c>
      <c r="AL18" s="100">
        <v>8.194298529965474</v>
      </c>
      <c r="AM18" s="100">
        <v>5349.2380803614615</v>
      </c>
      <c r="AN18" s="100">
        <v>5</v>
      </c>
      <c r="AO18" s="100">
        <v>3264</v>
      </c>
      <c r="AP18" s="100">
        <v>5</v>
      </c>
      <c r="AQ18" s="100">
        <v>3264</v>
      </c>
      <c r="AR18" s="100">
        <v>7.8007369113169371</v>
      </c>
      <c r="AS18" s="100">
        <v>5092.3210557076964</v>
      </c>
      <c r="AT18" s="100">
        <v>7.3233596649815462</v>
      </c>
      <c r="AU18" s="100">
        <v>4780.6891892999529</v>
      </c>
      <c r="AV18" s="100">
        <v>2.7449357749900725</v>
      </c>
      <c r="AW18" s="100">
        <v>1791.8940739135192</v>
      </c>
      <c r="AX18" s="100">
        <v>9.4364882152163059</v>
      </c>
      <c r="AY18" s="100">
        <v>6160.1395068932043</v>
      </c>
      <c r="AZ18" s="100">
        <v>5.2416868188063779</v>
      </c>
      <c r="BA18" s="100">
        <v>3421.7731553168032</v>
      </c>
      <c r="BB18" s="100">
        <v>7.2061148039861562</v>
      </c>
      <c r="BC18" s="100">
        <v>4704.1517440421621</v>
      </c>
      <c r="BD18" s="100">
        <v>4.9152764705371847</v>
      </c>
      <c r="BE18" s="100">
        <v>3208.692479966674</v>
      </c>
      <c r="BF18" s="100">
        <v>5.5484853550017998</v>
      </c>
      <c r="BG18" s="100">
        <v>3622.0512397451748</v>
      </c>
      <c r="BH18" s="100">
        <v>3.4813209754770154</v>
      </c>
      <c r="BI18" s="100">
        <v>2272.6063327913953</v>
      </c>
      <c r="BJ18" s="100">
        <v>10.143280833721754</v>
      </c>
      <c r="BK18" s="100">
        <v>6621.5337282535602</v>
      </c>
      <c r="BL18" s="100">
        <v>6.9254469100434646</v>
      </c>
      <c r="BM18" s="100">
        <v>4520.9317428763734</v>
      </c>
      <c r="BN18" s="100">
        <v>1.5281430976817982</v>
      </c>
      <c r="BO18" s="100">
        <v>997.57181416667777</v>
      </c>
      <c r="BP18" s="100">
        <v>7.8989032003587099</v>
      </c>
      <c r="BQ18" s="100">
        <v>5156.4040091941652</v>
      </c>
      <c r="BR18" s="100">
        <v>1.8463954089887256</v>
      </c>
      <c r="BS18" s="100">
        <v>1205.3269229878399</v>
      </c>
      <c r="BT18" s="100">
        <v>8.5584984468357312</v>
      </c>
      <c r="BU18" s="100">
        <v>5586.9877860943652</v>
      </c>
      <c r="BV18" s="100">
        <v>4.3618712176915828</v>
      </c>
      <c r="BW18" s="100">
        <v>2847.4295309090649</v>
      </c>
      <c r="BX18" s="100">
        <v>4.287310081194164</v>
      </c>
      <c r="BY18" s="100">
        <v>2798.7560210035499</v>
      </c>
      <c r="BZ18" s="100">
        <v>10.55153927851952</v>
      </c>
      <c r="CA18" s="100">
        <v>6888.0448410175422</v>
      </c>
      <c r="CB18" s="100">
        <v>6.9500941530497551</v>
      </c>
      <c r="CC18" s="100">
        <v>4537.0214631108802</v>
      </c>
      <c r="CD18" s="100">
        <v>7</v>
      </c>
      <c r="CE18" s="100">
        <v>4569.5999999999995</v>
      </c>
      <c r="CF18" s="100">
        <v>4.0913262144109135</v>
      </c>
      <c r="CG18" s="100">
        <v>2670.8177527674443</v>
      </c>
      <c r="CH18" s="100">
        <v>5.3063899975467024</v>
      </c>
      <c r="CI18" s="100">
        <v>3464.011390398487</v>
      </c>
      <c r="CJ18" s="100">
        <v>9.5000983379664348</v>
      </c>
      <c r="CK18" s="100">
        <v>6201.6641950244884</v>
      </c>
      <c r="CL18" s="100">
        <v>6.3439114055132455</v>
      </c>
      <c r="CM18" s="100">
        <v>4141.3053655190461</v>
      </c>
      <c r="CN18" s="100">
        <v>7.4744641947108077</v>
      </c>
      <c r="CO18" s="100">
        <v>4879.3302263072146</v>
      </c>
      <c r="CP18" s="100">
        <v>1.8863675269439901</v>
      </c>
      <c r="CQ18" s="100">
        <v>1231.4207215890367</v>
      </c>
      <c r="CR18" s="100">
        <v>6.0071961107531822</v>
      </c>
      <c r="CS18" s="100">
        <v>3921.497621099677</v>
      </c>
      <c r="CT18" s="100">
        <v>1.8142063140229077</v>
      </c>
      <c r="CU18" s="100">
        <v>1184.313881794154</v>
      </c>
    </row>
    <row r="19" spans="2:99">
      <c r="C19" s="99" t="s">
        <v>185</v>
      </c>
      <c r="D19" s="100">
        <v>3.4755205685293613</v>
      </c>
      <c r="E19" s="100">
        <v>1146.9217876146893</v>
      </c>
      <c r="F19" s="100">
        <v>7.4693751034464348</v>
      </c>
      <c r="G19" s="100">
        <v>2464.8937841373236</v>
      </c>
      <c r="H19" s="100">
        <v>6.1525653445338371</v>
      </c>
      <c r="I19" s="100">
        <v>2030.3465636961662</v>
      </c>
      <c r="J19" s="100">
        <v>5.8348719281966792</v>
      </c>
      <c r="K19" s="100">
        <v>1925.507736304904</v>
      </c>
      <c r="L19" s="100">
        <v>6</v>
      </c>
      <c r="M19" s="100">
        <v>1980</v>
      </c>
      <c r="N19" s="100">
        <v>8</v>
      </c>
      <c r="O19" s="100">
        <v>2640</v>
      </c>
      <c r="P19" s="100">
        <v>6.1058784883713493</v>
      </c>
      <c r="Q19" s="100">
        <v>2014.9399011625453</v>
      </c>
      <c r="R19" s="100">
        <v>5.010047100650552</v>
      </c>
      <c r="S19" s="100">
        <v>1653.3155432146821</v>
      </c>
      <c r="T19" s="100">
        <v>3.1211825622422062</v>
      </c>
      <c r="U19" s="100">
        <v>1029.9902455399281</v>
      </c>
      <c r="V19" s="100">
        <v>10.687182240278812</v>
      </c>
      <c r="W19" s="100">
        <v>3526.770139292008</v>
      </c>
      <c r="X19" s="100">
        <v>3.5192227329572439</v>
      </c>
      <c r="Y19" s="100">
        <v>1161.3435018758905</v>
      </c>
      <c r="Z19" s="100">
        <v>8.8613957144982347</v>
      </c>
      <c r="AA19" s="100">
        <v>2924.2605857844173</v>
      </c>
      <c r="AB19" s="100">
        <v>2.2670950557811445</v>
      </c>
      <c r="AC19" s="100">
        <v>748.14136840777769</v>
      </c>
      <c r="AD19" s="100">
        <v>2.9845388395372119</v>
      </c>
      <c r="AE19" s="100">
        <v>984.89781704727989</v>
      </c>
      <c r="AF19" s="100">
        <v>7.2181523357793882</v>
      </c>
      <c r="AG19" s="100">
        <v>2381.9902708071982</v>
      </c>
      <c r="AH19" s="100">
        <v>3.6813724812129802</v>
      </c>
      <c r="AI19" s="100">
        <v>1214.8529188002835</v>
      </c>
      <c r="AJ19" s="100">
        <v>2.7120779214474497</v>
      </c>
      <c r="AK19" s="100">
        <v>894.98571407765837</v>
      </c>
      <c r="AL19" s="100">
        <v>9.3649126056748262</v>
      </c>
      <c r="AM19" s="100">
        <v>3090.4211598726924</v>
      </c>
      <c r="AN19" s="100">
        <v>6</v>
      </c>
      <c r="AO19" s="100">
        <v>1980</v>
      </c>
      <c r="AP19" s="100">
        <v>6</v>
      </c>
      <c r="AQ19" s="100">
        <v>1980</v>
      </c>
      <c r="AR19" s="100">
        <v>7.8007369113169371</v>
      </c>
      <c r="AS19" s="100">
        <v>2574.2431807345893</v>
      </c>
      <c r="AT19" s="100">
        <v>7.3233596649815462</v>
      </c>
      <c r="AU19" s="100">
        <v>2416.7086894439103</v>
      </c>
      <c r="AV19" s="100">
        <v>2.7449357749900725</v>
      </c>
      <c r="AW19" s="100">
        <v>905.8288057467239</v>
      </c>
      <c r="AX19" s="100">
        <v>10.363740179346923</v>
      </c>
      <c r="AY19" s="100">
        <v>3420.0342591844847</v>
      </c>
      <c r="AZ19" s="100">
        <v>5.2416868188063779</v>
      </c>
      <c r="BA19" s="100">
        <v>1729.7566502061047</v>
      </c>
      <c r="BB19" s="100">
        <v>7.2061148039861562</v>
      </c>
      <c r="BC19" s="100">
        <v>2378.0178853154316</v>
      </c>
      <c r="BD19" s="100">
        <v>4.1962240679767522</v>
      </c>
      <c r="BE19" s="100">
        <v>1384.7539424323281</v>
      </c>
      <c r="BF19" s="100">
        <v>4.8704561258618373</v>
      </c>
      <c r="BG19" s="100">
        <v>1607.2505215344063</v>
      </c>
      <c r="BH19" s="100">
        <v>3.8502655966483799</v>
      </c>
      <c r="BI19" s="100">
        <v>1270.5876468939653</v>
      </c>
      <c r="BJ19" s="100">
        <v>9.9799550003329323</v>
      </c>
      <c r="BK19" s="100">
        <v>3293.3851501098675</v>
      </c>
      <c r="BL19" s="100">
        <v>7.5934635107254715</v>
      </c>
      <c r="BM19" s="100">
        <v>2505.8429585394056</v>
      </c>
      <c r="BN19" s="100">
        <v>1.5281430976817982</v>
      </c>
      <c r="BO19" s="100">
        <v>504.28722223499341</v>
      </c>
      <c r="BP19" s="100">
        <v>7.8989032003587099</v>
      </c>
      <c r="BQ19" s="100">
        <v>2606.6380561183742</v>
      </c>
      <c r="BR19" s="100">
        <v>1.8463954089887256</v>
      </c>
      <c r="BS19" s="100">
        <v>609.31048496627943</v>
      </c>
      <c r="BT19" s="100">
        <v>8.4147485193711411</v>
      </c>
      <c r="BU19" s="100">
        <v>2776.8670113924763</v>
      </c>
      <c r="BV19" s="100">
        <v>3.6261225434181945</v>
      </c>
      <c r="BW19" s="100">
        <v>1196.6204393280043</v>
      </c>
      <c r="BX19" s="100">
        <v>4.684349846600715</v>
      </c>
      <c r="BY19" s="100">
        <v>1545.835449378236</v>
      </c>
      <c r="BZ19" s="100">
        <v>10.723932531688357</v>
      </c>
      <c r="CA19" s="100">
        <v>3538.897735457158</v>
      </c>
      <c r="CB19" s="100">
        <v>7.7223268367219511</v>
      </c>
      <c r="CC19" s="100">
        <v>2548.3678561182437</v>
      </c>
      <c r="CD19" s="100">
        <v>7</v>
      </c>
      <c r="CE19" s="100">
        <v>2310</v>
      </c>
      <c r="CF19" s="100">
        <v>4.9095914572930957</v>
      </c>
      <c r="CG19" s="100">
        <v>1620.1651809067216</v>
      </c>
      <c r="CH19" s="100">
        <v>5.3063899975467024</v>
      </c>
      <c r="CI19" s="100">
        <v>1751.1086991904117</v>
      </c>
      <c r="CJ19" s="100">
        <v>10.363743641417928</v>
      </c>
      <c r="CK19" s="100">
        <v>3420.0354016679162</v>
      </c>
      <c r="CL19" s="100">
        <v>6.3439114055132455</v>
      </c>
      <c r="CM19" s="100">
        <v>2093.4907638193708</v>
      </c>
      <c r="CN19" s="100">
        <v>7.5757227970621486</v>
      </c>
      <c r="CO19" s="100">
        <v>2499.988523030509</v>
      </c>
      <c r="CP19" s="100">
        <v>1.8863675269439901</v>
      </c>
      <c r="CQ19" s="100">
        <v>622.50128389151678</v>
      </c>
      <c r="CR19" s="100">
        <v>6.6828974854992804</v>
      </c>
      <c r="CS19" s="100">
        <v>2205.3561702147626</v>
      </c>
      <c r="CT19" s="100">
        <v>2.0157847933587862</v>
      </c>
      <c r="CU19" s="100">
        <v>665.20898180839947</v>
      </c>
    </row>
    <row r="20" spans="2:99">
      <c r="B20" s="99" t="s">
        <v>127</v>
      </c>
      <c r="C20" s="99" t="s">
        <v>186</v>
      </c>
      <c r="D20" s="100">
        <v>4.3444007106617022</v>
      </c>
      <c r="E20" s="100">
        <v>1245.9741238177762</v>
      </c>
      <c r="F20" s="100">
        <v>9.0169793908006088</v>
      </c>
      <c r="G20" s="100">
        <v>2586.0696892816145</v>
      </c>
      <c r="H20" s="100">
        <v>3.8453533403336477</v>
      </c>
      <c r="I20" s="100">
        <v>1102.8473380076903</v>
      </c>
      <c r="J20" s="100">
        <v>5.8348719281966792</v>
      </c>
      <c r="K20" s="100">
        <v>1673.4412690068077</v>
      </c>
      <c r="L20" s="100">
        <v>9</v>
      </c>
      <c r="M20" s="100">
        <v>2581.2000000000003</v>
      </c>
      <c r="N20" s="100">
        <v>6</v>
      </c>
      <c r="O20" s="100">
        <v>1720.8000000000002</v>
      </c>
      <c r="P20" s="100">
        <v>6.9781468438529703</v>
      </c>
      <c r="Q20" s="100">
        <v>2001.332514817032</v>
      </c>
      <c r="R20" s="100">
        <v>7.5150706509758267</v>
      </c>
      <c r="S20" s="100">
        <v>2155.3222626998672</v>
      </c>
      <c r="T20" s="100">
        <v>3.5670657854196639</v>
      </c>
      <c r="U20" s="100">
        <v>1023.0344672583597</v>
      </c>
      <c r="V20" s="100">
        <v>11.372373469707306</v>
      </c>
      <c r="W20" s="100">
        <v>3261.5967111120553</v>
      </c>
      <c r="X20" s="100">
        <v>3.1403582201902869</v>
      </c>
      <c r="Y20" s="100">
        <v>900.65473755057428</v>
      </c>
      <c r="Z20" s="100">
        <v>13.23962885769541</v>
      </c>
      <c r="AA20" s="100">
        <v>3797.1255563870436</v>
      </c>
      <c r="AB20" s="100">
        <v>3.0270012164312932</v>
      </c>
      <c r="AC20" s="100">
        <v>868.14394887249489</v>
      </c>
      <c r="AD20" s="100">
        <v>5.4151881181017476</v>
      </c>
      <c r="AE20" s="100">
        <v>1553.0759522715812</v>
      </c>
      <c r="AF20" s="100">
        <v>8.9142393847961809</v>
      </c>
      <c r="AG20" s="100">
        <v>2556.6038555595446</v>
      </c>
      <c r="AH20" s="100">
        <v>3.6813724812129802</v>
      </c>
      <c r="AI20" s="100">
        <v>1055.8176276118827</v>
      </c>
      <c r="AJ20" s="100">
        <v>4.9332875878894145</v>
      </c>
      <c r="AK20" s="100">
        <v>1414.8668802066841</v>
      </c>
      <c r="AL20" s="100">
        <v>7.7061407570935332</v>
      </c>
      <c r="AM20" s="100">
        <v>2210.1211691344256</v>
      </c>
      <c r="AN20" s="100">
        <v>10</v>
      </c>
      <c r="AO20" s="100">
        <v>2868</v>
      </c>
      <c r="AP20" s="100">
        <v>9</v>
      </c>
      <c r="AQ20" s="100">
        <v>2581.2000000000003</v>
      </c>
      <c r="AR20" s="100">
        <v>6.9339883656150549</v>
      </c>
      <c r="AS20" s="100">
        <v>1988.6678632583978</v>
      </c>
      <c r="AT20" s="100">
        <v>7.3233596649815462</v>
      </c>
      <c r="AU20" s="100">
        <v>2100.3395519167075</v>
      </c>
      <c r="AV20" s="100">
        <v>3.65991436665343</v>
      </c>
      <c r="AW20" s="100">
        <v>1049.6634403562039</v>
      </c>
      <c r="AX20" s="100">
        <v>8.8729764304326135</v>
      </c>
      <c r="AY20" s="100">
        <v>2544.7696402480738</v>
      </c>
      <c r="AZ20" s="100">
        <v>9.6097591678116938</v>
      </c>
      <c r="BA20" s="100">
        <v>2756.0789293283938</v>
      </c>
      <c r="BB20" s="100">
        <v>5.4045861029896169</v>
      </c>
      <c r="BC20" s="100">
        <v>1550.0352943374221</v>
      </c>
      <c r="BD20" s="100">
        <v>9.5300719134870775</v>
      </c>
      <c r="BE20" s="100">
        <v>2733.2246247880939</v>
      </c>
      <c r="BF20" s="100">
        <v>8.1979999153941012</v>
      </c>
      <c r="BG20" s="100">
        <v>2351.1863757350284</v>
      </c>
      <c r="BH20" s="100">
        <v>4.4282754182349002</v>
      </c>
      <c r="BI20" s="100">
        <v>1270.0293899497694</v>
      </c>
      <c r="BJ20" s="100">
        <v>12.449887500832331</v>
      </c>
      <c r="BK20" s="100">
        <v>3570.6277352387124</v>
      </c>
      <c r="BL20" s="100">
        <v>7.0572230854257478</v>
      </c>
      <c r="BM20" s="100">
        <v>2024.0115809001045</v>
      </c>
      <c r="BN20" s="100">
        <v>1.983051685399011</v>
      </c>
      <c r="BO20" s="100">
        <v>568.73922337243641</v>
      </c>
      <c r="BP20" s="100">
        <v>13.235991900493227</v>
      </c>
      <c r="BQ20" s="100">
        <v>3796.0824770614577</v>
      </c>
      <c r="BR20" s="100">
        <v>2.9542326543819608</v>
      </c>
      <c r="BS20" s="100">
        <v>847.27392527674635</v>
      </c>
      <c r="BT20" s="100">
        <v>11.660122918800687</v>
      </c>
      <c r="BU20" s="100">
        <v>3344.1232531120372</v>
      </c>
      <c r="BV20" s="100">
        <v>5.2040391631816343</v>
      </c>
      <c r="BW20" s="100">
        <v>1492.5184320004928</v>
      </c>
      <c r="BX20" s="100">
        <v>3.2018282606840649</v>
      </c>
      <c r="BY20" s="100">
        <v>918.28434516418986</v>
      </c>
      <c r="BZ20" s="100">
        <v>13.55153927851952</v>
      </c>
      <c r="CA20" s="100">
        <v>3886.5814650793986</v>
      </c>
      <c r="CB20" s="100">
        <v>6.17786146937756</v>
      </c>
      <c r="CC20" s="100">
        <v>1771.8106694174842</v>
      </c>
      <c r="CD20" s="100">
        <v>7</v>
      </c>
      <c r="CE20" s="100">
        <v>2007.6000000000001</v>
      </c>
      <c r="CF20" s="100">
        <v>9.0009176717040091</v>
      </c>
      <c r="CG20" s="100">
        <v>2581.4631882447097</v>
      </c>
      <c r="CH20" s="100">
        <v>8.8439833292445051</v>
      </c>
      <c r="CI20" s="100">
        <v>2536.4544188273244</v>
      </c>
      <c r="CJ20" s="100">
        <v>5.181871820708964</v>
      </c>
      <c r="CK20" s="100">
        <v>1486.160838179331</v>
      </c>
      <c r="CL20" s="100">
        <v>7.5707947079863196</v>
      </c>
      <c r="CM20" s="100">
        <v>2171.3039222504767</v>
      </c>
      <c r="CN20" s="100">
        <v>7.2231849267613004</v>
      </c>
      <c r="CO20" s="100">
        <v>2071.6094369951411</v>
      </c>
      <c r="CP20" s="100">
        <v>1.3204572688607932</v>
      </c>
      <c r="CQ20" s="100">
        <v>378.7071447092755</v>
      </c>
      <c r="CR20" s="100">
        <v>6.9836900418914771</v>
      </c>
      <c r="CS20" s="100">
        <v>2002.9223040144757</v>
      </c>
      <c r="CT20" s="100">
        <v>2.2173632726946653</v>
      </c>
      <c r="CU20" s="100">
        <v>635.93978660882999</v>
      </c>
    </row>
    <row r="21" spans="2:99">
      <c r="C21" s="99" t="s">
        <v>187</v>
      </c>
      <c r="D21" s="100">
        <v>4.3444007106617022</v>
      </c>
      <c r="E21" s="100">
        <v>271.09060434529022</v>
      </c>
      <c r="F21" s="100">
        <v>10.016979390800609</v>
      </c>
      <c r="G21" s="100">
        <v>625.05951398595801</v>
      </c>
      <c r="H21" s="100">
        <v>4.6144240084003778</v>
      </c>
      <c r="I21" s="100">
        <v>287.94005812418357</v>
      </c>
      <c r="J21" s="100">
        <v>5.8348719281966792</v>
      </c>
      <c r="K21" s="100">
        <v>364.09600831947279</v>
      </c>
      <c r="L21" s="100">
        <v>8</v>
      </c>
      <c r="M21" s="100">
        <v>499.2</v>
      </c>
      <c r="N21" s="100">
        <v>7</v>
      </c>
      <c r="O21" s="100">
        <v>436.8</v>
      </c>
      <c r="P21" s="100">
        <v>6.9781468438529703</v>
      </c>
      <c r="Q21" s="100">
        <v>435.43636305642536</v>
      </c>
      <c r="R21" s="100">
        <v>6.6800628008674021</v>
      </c>
      <c r="S21" s="100">
        <v>416.8359187741259</v>
      </c>
      <c r="T21" s="100">
        <v>3.1211825622422062</v>
      </c>
      <c r="U21" s="100">
        <v>194.76179188391367</v>
      </c>
      <c r="V21" s="100">
        <v>12.54080507336527</v>
      </c>
      <c r="W21" s="100">
        <v>782.54623657799289</v>
      </c>
      <c r="X21" s="100">
        <v>3.5711702468744342</v>
      </c>
      <c r="Y21" s="100">
        <v>222.84102340496469</v>
      </c>
      <c r="Z21" s="100">
        <v>12.411908000595055</v>
      </c>
      <c r="AA21" s="100">
        <v>774.50305923713142</v>
      </c>
      <c r="AB21" s="100">
        <v>3.4594299616357636</v>
      </c>
      <c r="AC21" s="100">
        <v>215.86842960607163</v>
      </c>
      <c r="AD21" s="100">
        <v>5.8933905324872331</v>
      </c>
      <c r="AE21" s="100">
        <v>367.74756922720331</v>
      </c>
      <c r="AF21" s="100">
        <v>9.08826114705038</v>
      </c>
      <c r="AG21" s="100">
        <v>567.10749557594374</v>
      </c>
      <c r="AH21" s="100">
        <v>4.0495097293342788</v>
      </c>
      <c r="AI21" s="100">
        <v>252.689407110459</v>
      </c>
      <c r="AJ21" s="100">
        <v>5.0050203905310946</v>
      </c>
      <c r="AK21" s="100">
        <v>312.31327236914029</v>
      </c>
      <c r="AL21" s="100">
        <v>8.8767548328028862</v>
      </c>
      <c r="AM21" s="100">
        <v>553.90950156690008</v>
      </c>
      <c r="AN21" s="100">
        <v>11</v>
      </c>
      <c r="AO21" s="100">
        <v>686.4</v>
      </c>
      <c r="AP21" s="100">
        <v>9</v>
      </c>
      <c r="AQ21" s="100">
        <v>561.6</v>
      </c>
      <c r="AR21" s="100">
        <v>6.0672398199131727</v>
      </c>
      <c r="AS21" s="100">
        <v>378.59576476258195</v>
      </c>
      <c r="AT21" s="100">
        <v>7.3233596649815462</v>
      </c>
      <c r="AU21" s="100">
        <v>456.97764309484847</v>
      </c>
      <c r="AV21" s="100">
        <v>4.1174036624851089</v>
      </c>
      <c r="AW21" s="100">
        <v>256.92598853907077</v>
      </c>
      <c r="AX21" s="100">
        <v>10.800228394563229</v>
      </c>
      <c r="AY21" s="100">
        <v>673.93425182074543</v>
      </c>
      <c r="AZ21" s="100">
        <v>9.6097591678116938</v>
      </c>
      <c r="BA21" s="100">
        <v>599.64897207144963</v>
      </c>
      <c r="BB21" s="100">
        <v>4.5038217524913469</v>
      </c>
      <c r="BC21" s="100">
        <v>281.03847735546003</v>
      </c>
      <c r="BD21" s="100">
        <v>8.8090619012392875</v>
      </c>
      <c r="BE21" s="100">
        <v>549.68546263733151</v>
      </c>
      <c r="BF21" s="100">
        <v>7.5190848126524301</v>
      </c>
      <c r="BG21" s="100">
        <v>469.19089230951164</v>
      </c>
      <c r="BH21" s="100">
        <v>4.3961115412479526</v>
      </c>
      <c r="BI21" s="100">
        <v>274.31736017387226</v>
      </c>
      <c r="BJ21" s="100">
        <v>11.776539167609975</v>
      </c>
      <c r="BK21" s="100">
        <v>734.85604405886249</v>
      </c>
      <c r="BL21" s="100">
        <v>6.1915422216703151</v>
      </c>
      <c r="BM21" s="100">
        <v>386.35223463222763</v>
      </c>
      <c r="BN21" s="100">
        <v>1.9800732221744322</v>
      </c>
      <c r="BO21" s="100">
        <v>123.55656906368456</v>
      </c>
      <c r="BP21" s="100">
        <v>13.235991900493227</v>
      </c>
      <c r="BQ21" s="100">
        <v>825.92589459077738</v>
      </c>
      <c r="BR21" s="100">
        <v>2.9542326543819608</v>
      </c>
      <c r="BS21" s="100">
        <v>184.34411763343434</v>
      </c>
      <c r="BT21" s="100">
        <v>11.803872846265278</v>
      </c>
      <c r="BU21" s="100">
        <v>736.5616656069534</v>
      </c>
      <c r="BV21" s="100">
        <v>5.2324336891212413</v>
      </c>
      <c r="BW21" s="100">
        <v>326.50386220116548</v>
      </c>
      <c r="BX21" s="100">
        <v>3.2018282606840649</v>
      </c>
      <c r="BY21" s="100">
        <v>199.79408346668563</v>
      </c>
      <c r="BZ21" s="100">
        <v>12.55153927851952</v>
      </c>
      <c r="CA21" s="100">
        <v>783.2160509796181</v>
      </c>
      <c r="CB21" s="100">
        <v>6.17786146937756</v>
      </c>
      <c r="CC21" s="100">
        <v>385.49855568915973</v>
      </c>
      <c r="CD21" s="100">
        <v>7</v>
      </c>
      <c r="CE21" s="100">
        <v>436.8</v>
      </c>
      <c r="CF21" s="100">
        <v>10.637448157468375</v>
      </c>
      <c r="CG21" s="100">
        <v>663.77676502602662</v>
      </c>
      <c r="CH21" s="100">
        <v>7.0751866633956029</v>
      </c>
      <c r="CI21" s="100">
        <v>441.49164779588563</v>
      </c>
      <c r="CJ21" s="100">
        <v>6.0455171241604573</v>
      </c>
      <c r="CK21" s="100">
        <v>377.24026854761252</v>
      </c>
      <c r="CL21" s="100">
        <v>8.459028740774384</v>
      </c>
      <c r="CM21" s="100">
        <v>527.84339342432156</v>
      </c>
      <c r="CN21" s="100">
        <v>7.2231849267613004</v>
      </c>
      <c r="CO21" s="100">
        <v>450.72673942990514</v>
      </c>
      <c r="CP21" s="100">
        <v>1.5090940215551922</v>
      </c>
      <c r="CQ21" s="100">
        <v>94.167466945043998</v>
      </c>
      <c r="CR21" s="100">
        <v>7.5841932775395273</v>
      </c>
      <c r="CS21" s="100">
        <v>473.25366051846652</v>
      </c>
      <c r="CT21" s="100">
        <v>2.4189417520305438</v>
      </c>
      <c r="CU21" s="100">
        <v>150.94196532670594</v>
      </c>
    </row>
    <row r="22" spans="2:99">
      <c r="C22" s="99" t="s">
        <v>188</v>
      </c>
      <c r="D22" s="100">
        <v>4.7788407817278715</v>
      </c>
      <c r="E22" s="100">
        <v>894.59899433945748</v>
      </c>
      <c r="F22" s="100">
        <v>9.9387502068928697</v>
      </c>
      <c r="G22" s="100">
        <v>1860.5340387303452</v>
      </c>
      <c r="H22" s="100">
        <v>4.6144240084003778</v>
      </c>
      <c r="I22" s="100">
        <v>863.8201743725507</v>
      </c>
      <c r="J22" s="100">
        <v>5.8348719281966792</v>
      </c>
      <c r="K22" s="100">
        <v>1092.2880249584182</v>
      </c>
      <c r="L22" s="100">
        <v>9</v>
      </c>
      <c r="M22" s="100">
        <v>1684.8</v>
      </c>
      <c r="N22" s="100">
        <v>6</v>
      </c>
      <c r="O22" s="100">
        <v>1123.1999999999998</v>
      </c>
      <c r="P22" s="100">
        <v>7.8504151993345923</v>
      </c>
      <c r="Q22" s="100">
        <v>1469.5977253154356</v>
      </c>
      <c r="R22" s="100">
        <v>8.3500785010842531</v>
      </c>
      <c r="S22" s="100">
        <v>1563.1346954029721</v>
      </c>
      <c r="T22" s="100">
        <v>3.5670657854196639</v>
      </c>
      <c r="U22" s="100">
        <v>667.75471503056099</v>
      </c>
      <c r="V22" s="100">
        <v>12.54080507336527</v>
      </c>
      <c r="W22" s="100">
        <v>2347.6387097339784</v>
      </c>
      <c r="X22" s="100">
        <v>3.1611372257571633</v>
      </c>
      <c r="Y22" s="100">
        <v>591.76488866174088</v>
      </c>
      <c r="Z22" s="100">
        <v>13.23962885769541</v>
      </c>
      <c r="AA22" s="100">
        <v>2478.4585221605807</v>
      </c>
      <c r="AB22" s="100">
        <v>3.8918587068402344</v>
      </c>
      <c r="AC22" s="100">
        <v>728.5559499204918</v>
      </c>
      <c r="AD22" s="100">
        <v>5.8889278667989187</v>
      </c>
      <c r="AE22" s="100">
        <v>1102.4072966647575</v>
      </c>
      <c r="AF22" s="100">
        <v>9.2622829093045773</v>
      </c>
      <c r="AG22" s="100">
        <v>1733.8993606218169</v>
      </c>
      <c r="AH22" s="100">
        <v>4.0495097293342788</v>
      </c>
      <c r="AI22" s="100">
        <v>758.06822133137689</v>
      </c>
      <c r="AJ22" s="100">
        <v>4.9691539892102545</v>
      </c>
      <c r="AK22" s="100">
        <v>930.22562678015959</v>
      </c>
      <c r="AL22" s="100">
        <v>7.7061407570935332</v>
      </c>
      <c r="AM22" s="100">
        <v>1442.5895497279093</v>
      </c>
      <c r="AN22" s="100">
        <v>11</v>
      </c>
      <c r="AO22" s="100">
        <v>2059.1999999999998</v>
      </c>
      <c r="AP22" s="100">
        <v>9</v>
      </c>
      <c r="AQ22" s="100">
        <v>1684.8</v>
      </c>
      <c r="AR22" s="100">
        <v>6.0672398199131727</v>
      </c>
      <c r="AS22" s="100">
        <v>1135.7872942877459</v>
      </c>
      <c r="AT22" s="100">
        <v>6.5096530355391522</v>
      </c>
      <c r="AU22" s="100">
        <v>1218.6070482529292</v>
      </c>
      <c r="AV22" s="100">
        <v>3.65991436665343</v>
      </c>
      <c r="AW22" s="100">
        <v>685.13596943752202</v>
      </c>
      <c r="AX22" s="100">
        <v>9.8002283945632289</v>
      </c>
      <c r="AY22" s="100">
        <v>1834.6027554622362</v>
      </c>
      <c r="AZ22" s="100">
        <v>7.8625302282095673</v>
      </c>
      <c r="BA22" s="100">
        <v>1471.8656587208309</v>
      </c>
      <c r="BB22" s="100">
        <v>5.4045861029896169</v>
      </c>
      <c r="BC22" s="100">
        <v>1011.7385184796562</v>
      </c>
      <c r="BD22" s="100">
        <v>9.5261566941123625</v>
      </c>
      <c r="BE22" s="100">
        <v>1783.2965331378341</v>
      </c>
      <c r="BF22" s="100">
        <v>7.6056381362244325</v>
      </c>
      <c r="BG22" s="100">
        <v>1423.7754591012138</v>
      </c>
      <c r="BH22" s="100">
        <v>4.4121934797414264</v>
      </c>
      <c r="BI22" s="100">
        <v>825.96261940759496</v>
      </c>
      <c r="BJ22" s="100">
        <v>11.613213334221152</v>
      </c>
      <c r="BK22" s="100">
        <v>2173.9935361661996</v>
      </c>
      <c r="BL22" s="100">
        <v>7.0132976936316531</v>
      </c>
      <c r="BM22" s="100">
        <v>1312.8893282478455</v>
      </c>
      <c r="BN22" s="100">
        <v>1.9815624537867214</v>
      </c>
      <c r="BO22" s="100">
        <v>370.9484913488742</v>
      </c>
      <c r="BP22" s="100">
        <v>12.460717700582904</v>
      </c>
      <c r="BQ22" s="100">
        <v>2332.6463535491193</v>
      </c>
      <c r="BR22" s="100">
        <v>2.9542326543819608</v>
      </c>
      <c r="BS22" s="100">
        <v>553.03235290030307</v>
      </c>
      <c r="BT22" s="100">
        <v>10.769998022276962</v>
      </c>
      <c r="BU22" s="100">
        <v>2016.1436297702471</v>
      </c>
      <c r="BV22" s="100">
        <v>4.6458164770876529</v>
      </c>
      <c r="BW22" s="100">
        <v>869.69684451080855</v>
      </c>
      <c r="BX22" s="100">
        <v>2.7871822493259222</v>
      </c>
      <c r="BY22" s="100">
        <v>521.76051707381259</v>
      </c>
      <c r="BZ22" s="100">
        <v>12.379146025350686</v>
      </c>
      <c r="CA22" s="100">
        <v>2317.376135945648</v>
      </c>
      <c r="CB22" s="100">
        <v>6.17786146937756</v>
      </c>
      <c r="CC22" s="100">
        <v>1156.4956670674792</v>
      </c>
      <c r="CD22" s="100">
        <v>6</v>
      </c>
      <c r="CE22" s="100">
        <v>1123.1999999999998</v>
      </c>
      <c r="CF22" s="100">
        <v>9.0009176717040091</v>
      </c>
      <c r="CG22" s="100">
        <v>1684.9717881429904</v>
      </c>
      <c r="CH22" s="100">
        <v>7.9595849963200536</v>
      </c>
      <c r="CI22" s="100">
        <v>1490.0343113111139</v>
      </c>
      <c r="CJ22" s="100">
        <v>5.181871820708964</v>
      </c>
      <c r="CK22" s="100">
        <v>970.04640483671801</v>
      </c>
      <c r="CL22" s="100">
        <v>8.3743664233531305</v>
      </c>
      <c r="CM22" s="100">
        <v>1567.681394451706</v>
      </c>
      <c r="CN22" s="100">
        <v>7.4257021314639822</v>
      </c>
      <c r="CO22" s="100">
        <v>1390.0914390100575</v>
      </c>
      <c r="CP22" s="100">
        <v>1.5090940215551922</v>
      </c>
      <c r="CQ22" s="100">
        <v>282.50240083513199</v>
      </c>
      <c r="CR22" s="100">
        <v>7.5841932775395273</v>
      </c>
      <c r="CS22" s="100">
        <v>1419.7609815553994</v>
      </c>
      <c r="CT22" s="100">
        <v>2.4189417520305438</v>
      </c>
      <c r="CU22" s="100">
        <v>452.82589598011776</v>
      </c>
    </row>
    <row r="23" spans="2:99">
      <c r="C23" s="99" t="s">
        <v>189</v>
      </c>
      <c r="D23" s="100">
        <v>4.7788407817278715</v>
      </c>
      <c r="E23" s="100">
        <v>1404.9791898279943</v>
      </c>
      <c r="F23" s="100">
        <v>8.9387502068928697</v>
      </c>
      <c r="G23" s="100">
        <v>2627.9925608265039</v>
      </c>
      <c r="H23" s="100">
        <v>4.6144240084003778</v>
      </c>
      <c r="I23" s="100">
        <v>1356.6406584697111</v>
      </c>
      <c r="J23" s="100">
        <v>5.8348719281966792</v>
      </c>
      <c r="K23" s="100">
        <v>1715.4523468898237</v>
      </c>
      <c r="L23" s="100">
        <v>9</v>
      </c>
      <c r="M23" s="100">
        <v>2646</v>
      </c>
      <c r="N23" s="100">
        <v>7</v>
      </c>
      <c r="O23" s="100">
        <v>2058</v>
      </c>
      <c r="P23" s="100">
        <v>7.8504151993345923</v>
      </c>
      <c r="Q23" s="100">
        <v>2308.0220686043704</v>
      </c>
      <c r="R23" s="100">
        <v>7.5150706509758267</v>
      </c>
      <c r="S23" s="100">
        <v>2209.430771386893</v>
      </c>
      <c r="T23" s="100">
        <v>3.1211825622422062</v>
      </c>
      <c r="U23" s="100">
        <v>917.6276732992086</v>
      </c>
      <c r="V23" s="100">
        <v>11.029777854993057</v>
      </c>
      <c r="W23" s="100">
        <v>3242.7546893679587</v>
      </c>
      <c r="X23" s="100">
        <v>3.5815597496578722</v>
      </c>
      <c r="Y23" s="100">
        <v>1052.9785663994144</v>
      </c>
      <c r="Z23" s="100">
        <v>13.411908000595055</v>
      </c>
      <c r="AA23" s="100">
        <v>3943.1009521749461</v>
      </c>
      <c r="AB23" s="100">
        <v>3.0270012164312932</v>
      </c>
      <c r="AC23" s="100">
        <v>889.93835763080017</v>
      </c>
      <c r="AD23" s="100">
        <v>5.5133803159315065</v>
      </c>
      <c r="AE23" s="100">
        <v>1620.9338128838629</v>
      </c>
      <c r="AF23" s="100">
        <v>9.08826114705038</v>
      </c>
      <c r="AG23" s="100">
        <v>2671.9487772328116</v>
      </c>
      <c r="AH23" s="100">
        <v>4.0495097293342788</v>
      </c>
      <c r="AI23" s="100">
        <v>1190.5558604242779</v>
      </c>
      <c r="AJ23" s="100">
        <v>5.3882894415740594</v>
      </c>
      <c r="AK23" s="100">
        <v>1584.1570958227735</v>
      </c>
      <c r="AL23" s="100">
        <v>8.8767548328028862</v>
      </c>
      <c r="AM23" s="100">
        <v>2609.7659208440487</v>
      </c>
      <c r="AN23" s="100">
        <v>11</v>
      </c>
      <c r="AO23" s="100">
        <v>3234</v>
      </c>
      <c r="AP23" s="100">
        <v>10</v>
      </c>
      <c r="AQ23" s="100">
        <v>2940</v>
      </c>
      <c r="AR23" s="100">
        <v>6.0672398199131727</v>
      </c>
      <c r="AS23" s="100">
        <v>1783.7685070544728</v>
      </c>
      <c r="AT23" s="100">
        <v>6.5096530355391522</v>
      </c>
      <c r="AU23" s="100">
        <v>1913.8379924485107</v>
      </c>
      <c r="AV23" s="100">
        <v>4.1174036624851089</v>
      </c>
      <c r="AW23" s="100">
        <v>1210.5166767706221</v>
      </c>
      <c r="AX23" s="100">
        <v>8.8729764304326135</v>
      </c>
      <c r="AY23" s="100">
        <v>2608.6550705471882</v>
      </c>
      <c r="AZ23" s="100">
        <v>7.8625302282095673</v>
      </c>
      <c r="BA23" s="100">
        <v>2311.5838870936127</v>
      </c>
      <c r="BB23" s="100">
        <v>4.5038217524913469</v>
      </c>
      <c r="BC23" s="100">
        <v>1324.123595232456</v>
      </c>
      <c r="BD23" s="100">
        <v>8.8812457436050742</v>
      </c>
      <c r="BE23" s="100">
        <v>2611.0862486198916</v>
      </c>
      <c r="BF23" s="100">
        <v>7.0183782253041702</v>
      </c>
      <c r="BG23" s="100">
        <v>2063.4031982394258</v>
      </c>
      <c r="BH23" s="100">
        <v>3.9950030430896413</v>
      </c>
      <c r="BI23" s="100">
        <v>1174.5308946683544</v>
      </c>
      <c r="BJ23" s="100">
        <v>12.776539167609975</v>
      </c>
      <c r="BK23" s="100">
        <v>3756.3025152773325</v>
      </c>
      <c r="BL23" s="100">
        <v>6.1695795257732682</v>
      </c>
      <c r="BM23" s="100">
        <v>1813.8563805773408</v>
      </c>
      <c r="BN23" s="100">
        <v>1.9815624537867214</v>
      </c>
      <c r="BO23" s="100">
        <v>582.57936141329606</v>
      </c>
      <c r="BP23" s="100">
        <v>11.460717700582904</v>
      </c>
      <c r="BQ23" s="100">
        <v>3369.4510039713741</v>
      </c>
      <c r="BR23" s="100">
        <v>2.9542326543819608</v>
      </c>
      <c r="BS23" s="100">
        <v>868.54440038829648</v>
      </c>
      <c r="BT23" s="100">
        <v>11.803872846265278</v>
      </c>
      <c r="BU23" s="100">
        <v>3470.338616801992</v>
      </c>
      <c r="BV23" s="100">
        <v>5.2040391631816343</v>
      </c>
      <c r="BW23" s="100">
        <v>1529.9875139754006</v>
      </c>
      <c r="BX23" s="100">
        <v>3.2370407525872493</v>
      </c>
      <c r="BY23" s="100">
        <v>951.68998126065128</v>
      </c>
      <c r="BZ23" s="100">
        <v>14.55153927851952</v>
      </c>
      <c r="CA23" s="100">
        <v>4278.1525478847389</v>
      </c>
      <c r="CB23" s="100">
        <v>6.9500941530497551</v>
      </c>
      <c r="CC23" s="100">
        <v>2043.327680996628</v>
      </c>
      <c r="CD23" s="100">
        <v>6</v>
      </c>
      <c r="CE23" s="100">
        <v>1764</v>
      </c>
      <c r="CF23" s="100">
        <v>9.0009176717040091</v>
      </c>
      <c r="CG23" s="100">
        <v>2646.2697954809787</v>
      </c>
      <c r="CH23" s="100">
        <v>7.9595849963200536</v>
      </c>
      <c r="CI23" s="100">
        <v>2340.1179889180958</v>
      </c>
      <c r="CJ23" s="100">
        <v>5.181871820708964</v>
      </c>
      <c r="CK23" s="100">
        <v>1523.4703152884354</v>
      </c>
      <c r="CL23" s="100">
        <v>8.2897041059318788</v>
      </c>
      <c r="CM23" s="100">
        <v>2437.1730071439724</v>
      </c>
      <c r="CN23" s="100">
        <v>7.3244435291126422</v>
      </c>
      <c r="CO23" s="100">
        <v>2153.3863975591166</v>
      </c>
      <c r="CP23" s="100">
        <v>1.3204572688607932</v>
      </c>
      <c r="CQ23" s="100">
        <v>388.21443704507317</v>
      </c>
      <c r="CR23" s="100">
        <v>6.9836900418914771</v>
      </c>
      <c r="CS23" s="100">
        <v>2053.2048723160942</v>
      </c>
      <c r="CT23" s="100">
        <v>2.2173632726946653</v>
      </c>
      <c r="CU23" s="100">
        <v>651.9048021722316</v>
      </c>
    </row>
    <row r="24" spans="2:99">
      <c r="C24" s="99" t="s">
        <v>190</v>
      </c>
      <c r="D24" s="100">
        <v>4.3444007106617022</v>
      </c>
      <c r="E24" s="100">
        <v>1595.263940954977</v>
      </c>
      <c r="F24" s="100">
        <v>10.016979390800609</v>
      </c>
      <c r="G24" s="100">
        <v>3678.2348323019833</v>
      </c>
      <c r="H24" s="100">
        <v>4.6144240084003778</v>
      </c>
      <c r="I24" s="100">
        <v>1694.4164958846186</v>
      </c>
      <c r="J24" s="100">
        <v>5.8348719281966792</v>
      </c>
      <c r="K24" s="100">
        <v>2142.5649720338206</v>
      </c>
      <c r="L24" s="100">
        <v>8</v>
      </c>
      <c r="M24" s="100">
        <v>2937.6</v>
      </c>
      <c r="N24" s="100">
        <v>6</v>
      </c>
      <c r="O24" s="100">
        <v>2203.1999999999998</v>
      </c>
      <c r="P24" s="100">
        <v>6.9781468438529703</v>
      </c>
      <c r="Q24" s="100">
        <v>2562.3755210628105</v>
      </c>
      <c r="R24" s="100">
        <v>8.3500785010842531</v>
      </c>
      <c r="S24" s="100">
        <v>3066.1488255981376</v>
      </c>
      <c r="T24" s="100">
        <v>3.5670657854196639</v>
      </c>
      <c r="U24" s="100">
        <v>1309.8265564061005</v>
      </c>
      <c r="V24" s="100">
        <v>12.198209458651023</v>
      </c>
      <c r="W24" s="100">
        <v>4479.1825132166559</v>
      </c>
      <c r="X24" s="100">
        <v>3.1403582201902869</v>
      </c>
      <c r="Y24" s="100">
        <v>1153.1395384538732</v>
      </c>
      <c r="Z24" s="100">
        <v>12.067349714795762</v>
      </c>
      <c r="AA24" s="100">
        <v>4431.1308152730035</v>
      </c>
      <c r="AB24" s="100">
        <v>3.0270012164312932</v>
      </c>
      <c r="AC24" s="100">
        <v>1111.5148466735709</v>
      </c>
      <c r="AD24" s="100">
        <v>5.8889278667989187</v>
      </c>
      <c r="AE24" s="100">
        <v>2162.4143126885629</v>
      </c>
      <c r="AF24" s="100">
        <v>8.2622829093045773</v>
      </c>
      <c r="AG24" s="100">
        <v>3033.9102842966408</v>
      </c>
      <c r="AH24" s="100">
        <v>3.6813724812129802</v>
      </c>
      <c r="AI24" s="100">
        <v>1351.7999751014063</v>
      </c>
      <c r="AJ24" s="100">
        <v>5.0050203905310946</v>
      </c>
      <c r="AK24" s="100">
        <v>1837.8434874030179</v>
      </c>
      <c r="AL24" s="100">
        <v>8.8767548328028862</v>
      </c>
      <c r="AM24" s="100">
        <v>3259.5443746052197</v>
      </c>
      <c r="AN24" s="100">
        <v>10</v>
      </c>
      <c r="AO24" s="100">
        <v>3672</v>
      </c>
      <c r="AP24" s="100">
        <v>11</v>
      </c>
      <c r="AQ24" s="100">
        <v>4039.2</v>
      </c>
      <c r="AR24" s="100">
        <v>6.0672398199131727</v>
      </c>
      <c r="AS24" s="100">
        <v>2227.8904618721172</v>
      </c>
      <c r="AT24" s="100">
        <v>7.3233596649815462</v>
      </c>
      <c r="AU24" s="100">
        <v>2689.1376689812237</v>
      </c>
      <c r="AV24" s="100">
        <v>3.65991436665343</v>
      </c>
      <c r="AW24" s="100">
        <v>1343.9205554351395</v>
      </c>
      <c r="AX24" s="100">
        <v>9.8729764304326135</v>
      </c>
      <c r="AY24" s="100">
        <v>3625.3569452548554</v>
      </c>
      <c r="AZ24" s="100">
        <v>7.8625302282095673</v>
      </c>
      <c r="BA24" s="100">
        <v>2887.1210997985531</v>
      </c>
      <c r="BB24" s="100">
        <v>5.4045861029896169</v>
      </c>
      <c r="BC24" s="100">
        <v>1984.5640170177874</v>
      </c>
      <c r="BD24" s="100">
        <v>9.4520152420592183</v>
      </c>
      <c r="BE24" s="100">
        <v>3470.779996884145</v>
      </c>
      <c r="BF24" s="100">
        <v>7.6081890703491357</v>
      </c>
      <c r="BG24" s="100">
        <v>2793.7270266322025</v>
      </c>
      <c r="BH24" s="100">
        <v>4.0110849815831147</v>
      </c>
      <c r="BI24" s="100">
        <v>1472.8704052373196</v>
      </c>
      <c r="BJ24" s="100">
        <v>11.613213334221152</v>
      </c>
      <c r="BK24" s="100">
        <v>4264.371936326007</v>
      </c>
      <c r="BL24" s="100">
        <v>6.1915422216703151</v>
      </c>
      <c r="BM24" s="100">
        <v>2273.5343037973398</v>
      </c>
      <c r="BN24" s="100">
        <v>1.7630435496018517</v>
      </c>
      <c r="BO24" s="100">
        <v>647.38959141379996</v>
      </c>
      <c r="BP24" s="100">
        <v>11.348354800538065</v>
      </c>
      <c r="BQ24" s="100">
        <v>4167.1158827575773</v>
      </c>
      <c r="BR24" s="100">
        <v>2.5849535725842157</v>
      </c>
      <c r="BS24" s="100">
        <v>949.19495185292396</v>
      </c>
      <c r="BT24" s="100">
        <v>11.516372991336095</v>
      </c>
      <c r="BU24" s="100">
        <v>4228.8121624186142</v>
      </c>
      <c r="BV24" s="100">
        <v>4.674211003027259</v>
      </c>
      <c r="BW24" s="100">
        <v>1716.3702803116093</v>
      </c>
      <c r="BX24" s="100">
        <v>2.7871822493259222</v>
      </c>
      <c r="BY24" s="100">
        <v>1023.4533219524786</v>
      </c>
      <c r="BZ24" s="100">
        <v>14.55153927851952</v>
      </c>
      <c r="CA24" s="100">
        <v>5343.3252230723674</v>
      </c>
      <c r="CB24" s="100">
        <v>6.17786146937756</v>
      </c>
      <c r="CC24" s="100">
        <v>2268.5107315554401</v>
      </c>
      <c r="CD24" s="100">
        <v>6</v>
      </c>
      <c r="CE24" s="100">
        <v>2203.1999999999998</v>
      </c>
      <c r="CF24" s="100">
        <v>9.0009176717040091</v>
      </c>
      <c r="CG24" s="100">
        <v>3305.1369690497122</v>
      </c>
      <c r="CH24" s="100">
        <v>7.0751866633956029</v>
      </c>
      <c r="CI24" s="100">
        <v>2598.0085427988652</v>
      </c>
      <c r="CJ24" s="100">
        <v>5.181871820708964</v>
      </c>
      <c r="CK24" s="100">
        <v>1902.7833325643314</v>
      </c>
      <c r="CL24" s="100">
        <v>8.2897041059318788</v>
      </c>
      <c r="CM24" s="100">
        <v>3043.9793476981858</v>
      </c>
      <c r="CN24" s="100">
        <v>6.7693884541091087</v>
      </c>
      <c r="CO24" s="100">
        <v>2485.7194403488647</v>
      </c>
      <c r="CP24" s="100">
        <v>1.3204572688607932</v>
      </c>
      <c r="CQ24" s="100">
        <v>484.87190912568326</v>
      </c>
      <c r="CR24" s="100">
        <v>6.9084919027934291</v>
      </c>
      <c r="CS24" s="100">
        <v>2536.7982267057469</v>
      </c>
      <c r="CT24" s="100">
        <v>2.4189417520305438</v>
      </c>
      <c r="CU24" s="100">
        <v>888.23541134561572</v>
      </c>
    </row>
    <row r="25" spans="2:99">
      <c r="C25" s="99" t="s">
        <v>191</v>
      </c>
      <c r="D25" s="100">
        <v>3.9099606395955315</v>
      </c>
      <c r="E25" s="100">
        <v>2073.84312324147</v>
      </c>
      <c r="F25" s="100">
        <v>8.9387502068928697</v>
      </c>
      <c r="G25" s="100">
        <v>4741.1131097359776</v>
      </c>
      <c r="H25" s="100">
        <v>4.6144240084003778</v>
      </c>
      <c r="I25" s="100">
        <v>2447.4904940555602</v>
      </c>
      <c r="J25" s="100">
        <v>5.0013187955971539</v>
      </c>
      <c r="K25" s="100">
        <v>2652.6994891847303</v>
      </c>
      <c r="L25" s="100">
        <v>7</v>
      </c>
      <c r="M25" s="100">
        <v>3712.7999999999997</v>
      </c>
      <c r="N25" s="100">
        <v>6</v>
      </c>
      <c r="O25" s="100">
        <v>3182.3999999999996</v>
      </c>
      <c r="P25" s="100">
        <v>6.9781468438529703</v>
      </c>
      <c r="Q25" s="100">
        <v>3701.2090859796153</v>
      </c>
      <c r="R25" s="100">
        <v>7.5150706509758267</v>
      </c>
      <c r="S25" s="100">
        <v>3985.9934732775782</v>
      </c>
      <c r="T25" s="100">
        <v>3.5670657854196639</v>
      </c>
      <c r="U25" s="100">
        <v>1891.9716925865896</v>
      </c>
      <c r="V25" s="100">
        <v>13.195343254951863</v>
      </c>
      <c r="W25" s="100">
        <v>6998.810062426468</v>
      </c>
      <c r="X25" s="100">
        <v>3.1403582201902869</v>
      </c>
      <c r="Y25" s="100">
        <v>1665.645999988928</v>
      </c>
      <c r="Z25" s="100">
        <v>12.067349714795762</v>
      </c>
      <c r="AA25" s="100">
        <v>6400.5222887276723</v>
      </c>
      <c r="AB25" s="100">
        <v>3.4594299616357636</v>
      </c>
      <c r="AC25" s="100">
        <v>1834.881651651609</v>
      </c>
      <c r="AD25" s="100">
        <v>5.4241134494783765</v>
      </c>
      <c r="AE25" s="100">
        <v>2876.9497736033309</v>
      </c>
      <c r="AF25" s="100">
        <v>7.9142393847961809</v>
      </c>
      <c r="AG25" s="100">
        <v>4197.7125696958938</v>
      </c>
      <c r="AH25" s="100">
        <v>3.6813724812129802</v>
      </c>
      <c r="AI25" s="100">
        <v>1952.5999640353646</v>
      </c>
      <c r="AJ25" s="100">
        <v>4.5679517375068706</v>
      </c>
      <c r="AK25" s="100">
        <v>2422.8416015736439</v>
      </c>
      <c r="AL25" s="100">
        <v>8.7061407570935341</v>
      </c>
      <c r="AM25" s="100">
        <v>4617.73705756241</v>
      </c>
      <c r="AN25" s="100">
        <v>11</v>
      </c>
      <c r="AO25" s="100">
        <v>5834.4</v>
      </c>
      <c r="AP25" s="100">
        <v>9</v>
      </c>
      <c r="AQ25" s="100">
        <v>4773.5999999999995</v>
      </c>
      <c r="AR25" s="100">
        <v>6.0672398199131727</v>
      </c>
      <c r="AS25" s="100">
        <v>3218.0640004819466</v>
      </c>
      <c r="AT25" s="100">
        <v>6.5096530355391522</v>
      </c>
      <c r="AU25" s="100">
        <v>3452.7199700499664</v>
      </c>
      <c r="AV25" s="100">
        <v>3.65991436665343</v>
      </c>
      <c r="AW25" s="100">
        <v>1941.2185800729792</v>
      </c>
      <c r="AX25" s="100">
        <v>9.8002283945632289</v>
      </c>
      <c r="AY25" s="100">
        <v>5198.0411404763363</v>
      </c>
      <c r="AZ25" s="100">
        <v>8.7361446980106319</v>
      </c>
      <c r="BA25" s="100">
        <v>4633.6511478248385</v>
      </c>
      <c r="BB25" s="100">
        <v>4.5038217524913469</v>
      </c>
      <c r="BC25" s="100">
        <v>2388.8270575214101</v>
      </c>
      <c r="BD25" s="100">
        <v>8.1621933410446399</v>
      </c>
      <c r="BE25" s="100">
        <v>4329.2273480900767</v>
      </c>
      <c r="BF25" s="100">
        <v>7.0132763570547647</v>
      </c>
      <c r="BG25" s="100">
        <v>3719.841779781847</v>
      </c>
      <c r="BH25" s="100">
        <v>4.3639476642610058</v>
      </c>
      <c r="BI25" s="100">
        <v>2314.6378411240375</v>
      </c>
      <c r="BJ25" s="100">
        <v>12.449887500832331</v>
      </c>
      <c r="BK25" s="100">
        <v>6603.4203304414677</v>
      </c>
      <c r="BL25" s="100">
        <v>6.1915422216703151</v>
      </c>
      <c r="BM25" s="100">
        <v>3283.993994373935</v>
      </c>
      <c r="BN25" s="100">
        <v>1.7630435496018517</v>
      </c>
      <c r="BO25" s="100">
        <v>935.11829870882207</v>
      </c>
      <c r="BP25" s="100">
        <v>12.460717700582904</v>
      </c>
      <c r="BQ25" s="100">
        <v>6609.1646683891722</v>
      </c>
      <c r="BR25" s="100">
        <v>2.9542326543819608</v>
      </c>
      <c r="BS25" s="100">
        <v>1566.9249998841919</v>
      </c>
      <c r="BT25" s="100">
        <v>11.057497877206146</v>
      </c>
      <c r="BU25" s="100">
        <v>5864.8968740701393</v>
      </c>
      <c r="BV25" s="100">
        <v>4.674211003027259</v>
      </c>
      <c r="BW25" s="100">
        <v>2479.201516005658</v>
      </c>
      <c r="BX25" s="100">
        <v>3.1537822081537858</v>
      </c>
      <c r="BY25" s="100">
        <v>1672.7660832047679</v>
      </c>
      <c r="BZ25" s="100">
        <v>13.379146025350686</v>
      </c>
      <c r="CA25" s="100">
        <v>7096.2990518460037</v>
      </c>
      <c r="CB25" s="100">
        <v>6.17786146937756</v>
      </c>
      <c r="CC25" s="100">
        <v>3276.7377233578577</v>
      </c>
      <c r="CD25" s="100">
        <v>6</v>
      </c>
      <c r="CE25" s="100">
        <v>3182.3999999999996</v>
      </c>
      <c r="CF25" s="100">
        <v>9.0009176717040091</v>
      </c>
      <c r="CG25" s="100">
        <v>4774.0867330718065</v>
      </c>
      <c r="CH25" s="100">
        <v>7.9595849963200536</v>
      </c>
      <c r="CI25" s="100">
        <v>4221.7638820481561</v>
      </c>
      <c r="CJ25" s="100">
        <v>6.0455171241604573</v>
      </c>
      <c r="CK25" s="100">
        <v>3206.5422826547065</v>
      </c>
      <c r="CL25" s="100">
        <v>8.2897041059318788</v>
      </c>
      <c r="CM25" s="100">
        <v>4396.8590577862687</v>
      </c>
      <c r="CN25" s="100">
        <v>7.3244435291126422</v>
      </c>
      <c r="CO25" s="100">
        <v>3884.8848478413452</v>
      </c>
      <c r="CP25" s="100">
        <v>1.5090940215551922</v>
      </c>
      <c r="CQ25" s="100">
        <v>800.42346903287398</v>
      </c>
      <c r="CR25" s="100">
        <v>6.2327905280473299</v>
      </c>
      <c r="CS25" s="100">
        <v>3305.8720960763035</v>
      </c>
      <c r="CT25" s="100">
        <v>2.2173632726946653</v>
      </c>
      <c r="CU25" s="100">
        <v>1176.0894798372503</v>
      </c>
    </row>
    <row r="26" spans="2:99">
      <c r="C26" s="99" t="s">
        <v>192</v>
      </c>
      <c r="D26" s="100">
        <v>4.3444007106617022</v>
      </c>
      <c r="E26" s="100">
        <v>2111.3787453815871</v>
      </c>
      <c r="F26" s="100">
        <v>9.8605210229851306</v>
      </c>
      <c r="G26" s="100">
        <v>4792.2132171707735</v>
      </c>
      <c r="H26" s="100">
        <v>4.6144240084003778</v>
      </c>
      <c r="I26" s="100">
        <v>2242.6100680825834</v>
      </c>
      <c r="J26" s="100">
        <v>5.8348719281966792</v>
      </c>
      <c r="K26" s="100">
        <v>2835.7477571035861</v>
      </c>
      <c r="L26" s="100">
        <v>9</v>
      </c>
      <c r="M26" s="100">
        <v>4374</v>
      </c>
      <c r="N26" s="100">
        <v>6</v>
      </c>
      <c r="O26" s="100">
        <v>2916</v>
      </c>
      <c r="P26" s="100">
        <v>6.9781468438529703</v>
      </c>
      <c r="Q26" s="100">
        <v>3391.3793661125437</v>
      </c>
      <c r="R26" s="100">
        <v>7.5150706509758267</v>
      </c>
      <c r="S26" s="100">
        <v>3652.3243363742517</v>
      </c>
      <c r="T26" s="100">
        <v>3.5670657854196639</v>
      </c>
      <c r="U26" s="100">
        <v>1733.5939717139568</v>
      </c>
      <c r="V26" s="100">
        <v>11.54367127706443</v>
      </c>
      <c r="W26" s="100">
        <v>5610.2242406533132</v>
      </c>
      <c r="X26" s="100">
        <v>3.1507477229737249</v>
      </c>
      <c r="Y26" s="100">
        <v>1531.2633933652303</v>
      </c>
      <c r="Z26" s="100">
        <v>13.067349714795762</v>
      </c>
      <c r="AA26" s="100">
        <v>6350.7319613907403</v>
      </c>
      <c r="AB26" s="100">
        <v>3.4594299616357636</v>
      </c>
      <c r="AC26" s="100">
        <v>1681.2829613549811</v>
      </c>
      <c r="AD26" s="100">
        <v>5.5133803159315065</v>
      </c>
      <c r="AE26" s="100">
        <v>2679.5028335427123</v>
      </c>
      <c r="AF26" s="100">
        <v>9.08826114705038</v>
      </c>
      <c r="AG26" s="100">
        <v>4416.8949174664849</v>
      </c>
      <c r="AH26" s="100">
        <v>3.6813724812129802</v>
      </c>
      <c r="AI26" s="100">
        <v>1789.1470258695083</v>
      </c>
      <c r="AJ26" s="100">
        <v>4.9512207885498354</v>
      </c>
      <c r="AK26" s="100">
        <v>2406.2933032352198</v>
      </c>
      <c r="AL26" s="100">
        <v>8.8767548328028862</v>
      </c>
      <c r="AM26" s="100">
        <v>4314.1028487422027</v>
      </c>
      <c r="AN26" s="100">
        <v>10</v>
      </c>
      <c r="AO26" s="100">
        <v>4860</v>
      </c>
      <c r="AP26" s="100">
        <v>10</v>
      </c>
      <c r="AQ26" s="100">
        <v>4860</v>
      </c>
      <c r="AR26" s="100">
        <v>6.9339883656150549</v>
      </c>
      <c r="AS26" s="100">
        <v>3369.9183456889168</v>
      </c>
      <c r="AT26" s="100">
        <v>7.3233596649815462</v>
      </c>
      <c r="AU26" s="100">
        <v>3559.1527971810315</v>
      </c>
      <c r="AV26" s="100">
        <v>4.1174036624851089</v>
      </c>
      <c r="AW26" s="100">
        <v>2001.058179967763</v>
      </c>
      <c r="AX26" s="100">
        <v>8.8002283945632289</v>
      </c>
      <c r="AY26" s="100">
        <v>4276.9109997577289</v>
      </c>
      <c r="AZ26" s="100">
        <v>9.6097591678116938</v>
      </c>
      <c r="BA26" s="100">
        <v>4670.3429555564835</v>
      </c>
      <c r="BB26" s="100">
        <v>5.4045861029896169</v>
      </c>
      <c r="BC26" s="100">
        <v>2626.628846052954</v>
      </c>
      <c r="BD26" s="100">
        <v>8.8832033532924317</v>
      </c>
      <c r="BE26" s="100">
        <v>4317.2368297001221</v>
      </c>
      <c r="BF26" s="100">
        <v>7.4248786867063208</v>
      </c>
      <c r="BG26" s="100">
        <v>3608.4910417392721</v>
      </c>
      <c r="BH26" s="100">
        <v>4.0110849815831147</v>
      </c>
      <c r="BI26" s="100">
        <v>1949.3873010493937</v>
      </c>
      <c r="BJ26" s="100">
        <v>12.613213334221152</v>
      </c>
      <c r="BK26" s="100">
        <v>6130.0216804314796</v>
      </c>
      <c r="BL26" s="100">
        <v>6.2135049175673629</v>
      </c>
      <c r="BM26" s="100">
        <v>3019.7633899377383</v>
      </c>
      <c r="BN26" s="100">
        <v>1.7630435496018517</v>
      </c>
      <c r="BO26" s="100">
        <v>856.83916510649999</v>
      </c>
      <c r="BP26" s="100">
        <v>12.235991900493227</v>
      </c>
      <c r="BQ26" s="100">
        <v>5946.6920636397081</v>
      </c>
      <c r="BR26" s="100">
        <v>2.9542326543819608</v>
      </c>
      <c r="BS26" s="100">
        <v>1435.757070029633</v>
      </c>
      <c r="BT26" s="100">
        <v>11.516372991336095</v>
      </c>
      <c r="BU26" s="100">
        <v>5596.9572737893423</v>
      </c>
      <c r="BV26" s="100">
        <v>5.2892227410004553</v>
      </c>
      <c r="BW26" s="100">
        <v>2570.5622521262212</v>
      </c>
      <c r="BX26" s="100">
        <v>2.3725362379677795</v>
      </c>
      <c r="BY26" s="100">
        <v>1153.0526116523408</v>
      </c>
      <c r="BZ26" s="100">
        <v>13.379146025350686</v>
      </c>
      <c r="CA26" s="100">
        <v>6502.2649683204336</v>
      </c>
      <c r="CB26" s="100">
        <v>6.17786146937756</v>
      </c>
      <c r="CC26" s="100">
        <v>3002.4406741174939</v>
      </c>
      <c r="CD26" s="100">
        <v>6</v>
      </c>
      <c r="CE26" s="100">
        <v>2916</v>
      </c>
      <c r="CF26" s="100">
        <v>9.8191829145861913</v>
      </c>
      <c r="CG26" s="100">
        <v>4772.1228964888887</v>
      </c>
      <c r="CH26" s="100">
        <v>7.0751866633956029</v>
      </c>
      <c r="CI26" s="100">
        <v>3438.5407184102628</v>
      </c>
      <c r="CJ26" s="100">
        <v>5.181871820708964</v>
      </c>
      <c r="CK26" s="100">
        <v>2518.3897048645567</v>
      </c>
      <c r="CL26" s="100">
        <v>7.5707947079863196</v>
      </c>
      <c r="CM26" s="100">
        <v>3679.4062280813514</v>
      </c>
      <c r="CN26" s="100">
        <v>6.8706470564604514</v>
      </c>
      <c r="CO26" s="100">
        <v>3339.1344694397794</v>
      </c>
      <c r="CP26" s="100">
        <v>1.3204572688607932</v>
      </c>
      <c r="CQ26" s="100">
        <v>641.74223266634544</v>
      </c>
      <c r="CR26" s="100">
        <v>6.9836900418914771</v>
      </c>
      <c r="CS26" s="100">
        <v>3394.073360359258</v>
      </c>
      <c r="CT26" s="100">
        <v>2.4189417520305438</v>
      </c>
      <c r="CU26" s="100">
        <v>1175.6056914868443</v>
      </c>
    </row>
    <row r="27" spans="2:99">
      <c r="C27" s="99" t="s">
        <v>193</v>
      </c>
      <c r="D27" s="100">
        <v>4.3444007106617022</v>
      </c>
      <c r="E27" s="100">
        <v>1855.9279835946791</v>
      </c>
      <c r="F27" s="100">
        <v>9.0169793908006088</v>
      </c>
      <c r="G27" s="100">
        <v>3852.0535957500201</v>
      </c>
      <c r="H27" s="100">
        <v>4.6144240084003778</v>
      </c>
      <c r="I27" s="100">
        <v>1971.2819363886413</v>
      </c>
      <c r="J27" s="100">
        <v>5.8348719281966792</v>
      </c>
      <c r="K27" s="100">
        <v>2492.6572877256212</v>
      </c>
      <c r="L27" s="100">
        <v>8</v>
      </c>
      <c r="M27" s="100">
        <v>3417.6</v>
      </c>
      <c r="N27" s="100">
        <v>6</v>
      </c>
      <c r="O27" s="100">
        <v>2563.1999999999998</v>
      </c>
      <c r="P27" s="100">
        <v>7.8504151993345923</v>
      </c>
      <c r="Q27" s="100">
        <v>3353.6973731557378</v>
      </c>
      <c r="R27" s="100">
        <v>7.5150706509758267</v>
      </c>
      <c r="S27" s="100">
        <v>3210.4381820968729</v>
      </c>
      <c r="T27" s="100">
        <v>3.5670657854196639</v>
      </c>
      <c r="U27" s="100">
        <v>1523.8505035312803</v>
      </c>
      <c r="V27" s="100">
        <v>12.369507266008146</v>
      </c>
      <c r="W27" s="100">
        <v>5284.2535040386801</v>
      </c>
      <c r="X27" s="100">
        <v>3.1507477229737249</v>
      </c>
      <c r="Y27" s="100">
        <v>1345.9994272543752</v>
      </c>
      <c r="Z27" s="100">
        <v>12.411908000595055</v>
      </c>
      <c r="AA27" s="100">
        <v>5302.3670978542077</v>
      </c>
      <c r="AB27" s="100">
        <v>3.0270012164312932</v>
      </c>
      <c r="AC27" s="100">
        <v>1293.1349196594483</v>
      </c>
      <c r="AD27" s="100">
        <v>5.508917650243192</v>
      </c>
      <c r="AE27" s="100">
        <v>2353.4096201838915</v>
      </c>
      <c r="AF27" s="100">
        <v>9.08826114705038</v>
      </c>
      <c r="AG27" s="100">
        <v>3882.5051620199224</v>
      </c>
      <c r="AH27" s="100">
        <v>3.6813724812129802</v>
      </c>
      <c r="AI27" s="100">
        <v>1572.682323974185</v>
      </c>
      <c r="AJ27" s="100">
        <v>4.9512207885498354</v>
      </c>
      <c r="AK27" s="100">
        <v>2115.1615208684898</v>
      </c>
      <c r="AL27" s="100">
        <v>8.5355266813841801</v>
      </c>
      <c r="AM27" s="100">
        <v>3646.3769982873218</v>
      </c>
      <c r="AN27" s="100">
        <v>11</v>
      </c>
      <c r="AO27" s="100">
        <v>4699.2</v>
      </c>
      <c r="AP27" s="100">
        <v>10</v>
      </c>
      <c r="AQ27" s="100">
        <v>4272</v>
      </c>
      <c r="AR27" s="100">
        <v>6.0672398199131727</v>
      </c>
      <c r="AS27" s="100">
        <v>2591.9248510669072</v>
      </c>
      <c r="AT27" s="100">
        <v>6.5096530355391522</v>
      </c>
      <c r="AU27" s="100">
        <v>2780.9237767823256</v>
      </c>
      <c r="AV27" s="100">
        <v>3.65991436665343</v>
      </c>
      <c r="AW27" s="100">
        <v>1563.5154174343452</v>
      </c>
      <c r="AX27" s="100">
        <v>9.8002283945632289</v>
      </c>
      <c r="AY27" s="100">
        <v>4186.6575701574111</v>
      </c>
      <c r="AZ27" s="100">
        <v>9.6097591678116938</v>
      </c>
      <c r="BA27" s="100">
        <v>4105.2891164891553</v>
      </c>
      <c r="BB27" s="100">
        <v>5.4045861029896169</v>
      </c>
      <c r="BC27" s="100">
        <v>2308.8391831971644</v>
      </c>
      <c r="BD27" s="100">
        <v>8.1621933410446399</v>
      </c>
      <c r="BE27" s="100">
        <v>3486.88899529427</v>
      </c>
      <c r="BF27" s="100">
        <v>7.015827291179467</v>
      </c>
      <c r="BG27" s="100">
        <v>2997.1614187918681</v>
      </c>
      <c r="BH27" s="100">
        <v>4.3961115412479526</v>
      </c>
      <c r="BI27" s="100">
        <v>1878.0188504211253</v>
      </c>
      <c r="BJ27" s="100">
        <v>12.449887500832331</v>
      </c>
      <c r="BK27" s="100">
        <v>5318.5919403555718</v>
      </c>
      <c r="BL27" s="100">
        <v>7.0572230854257478</v>
      </c>
      <c r="BM27" s="100">
        <v>3014.8457020938795</v>
      </c>
      <c r="BN27" s="100">
        <v>1.7660220128264306</v>
      </c>
      <c r="BO27" s="100">
        <v>754.44460387945117</v>
      </c>
      <c r="BP27" s="100">
        <v>12.235991900493227</v>
      </c>
      <c r="BQ27" s="100">
        <v>5227.2157398907066</v>
      </c>
      <c r="BR27" s="100">
        <v>2.9542326543819608</v>
      </c>
      <c r="BS27" s="100">
        <v>1262.0481899519737</v>
      </c>
      <c r="BT27" s="100">
        <v>11.660122918800687</v>
      </c>
      <c r="BU27" s="100">
        <v>4981.2045109116534</v>
      </c>
      <c r="BV27" s="100">
        <v>5.2608282150608483</v>
      </c>
      <c r="BW27" s="100">
        <v>2247.4258134739944</v>
      </c>
      <c r="BX27" s="100">
        <v>2.7695760033743304</v>
      </c>
      <c r="BY27" s="100">
        <v>1183.162868641514</v>
      </c>
      <c r="BZ27" s="100">
        <v>13.379146025350686</v>
      </c>
      <c r="CA27" s="100">
        <v>5715.5711820298129</v>
      </c>
      <c r="CB27" s="100">
        <v>6.9500941530497551</v>
      </c>
      <c r="CC27" s="100">
        <v>2969.0802221828553</v>
      </c>
      <c r="CD27" s="100">
        <v>7</v>
      </c>
      <c r="CE27" s="100">
        <v>2990.4</v>
      </c>
      <c r="CF27" s="100">
        <v>8.182652428821827</v>
      </c>
      <c r="CG27" s="100">
        <v>3495.6291175926845</v>
      </c>
      <c r="CH27" s="100">
        <v>7.9595849963200536</v>
      </c>
      <c r="CI27" s="100">
        <v>3400.3347104279269</v>
      </c>
      <c r="CJ27" s="100">
        <v>5.181871820708964</v>
      </c>
      <c r="CK27" s="100">
        <v>2213.6956418068694</v>
      </c>
      <c r="CL27" s="100">
        <v>7.6554570254075722</v>
      </c>
      <c r="CM27" s="100">
        <v>3270.4112412541149</v>
      </c>
      <c r="CN27" s="100">
        <v>7.3244435291126422</v>
      </c>
      <c r="CO27" s="100">
        <v>3129.0022756369208</v>
      </c>
      <c r="CP27" s="100">
        <v>1.3204572688607932</v>
      </c>
      <c r="CQ27" s="100">
        <v>564.09934525733081</v>
      </c>
      <c r="CR27" s="100">
        <v>6.9836900418914771</v>
      </c>
      <c r="CS27" s="100">
        <v>2983.4323858960388</v>
      </c>
      <c r="CT27" s="100">
        <v>2.4189417520305438</v>
      </c>
      <c r="CU27" s="100">
        <v>1033.3719164674483</v>
      </c>
    </row>
    <row r="28" spans="2:99">
      <c r="C28" s="99" t="s">
        <v>194</v>
      </c>
      <c r="D28" s="100">
        <v>4.3444007106617022</v>
      </c>
      <c r="E28" s="100">
        <v>3206.167724468336</v>
      </c>
      <c r="F28" s="100">
        <v>8.9387502068928697</v>
      </c>
      <c r="G28" s="100">
        <v>6596.7976526869379</v>
      </c>
      <c r="H28" s="100">
        <v>4.6144240084003778</v>
      </c>
      <c r="I28" s="100">
        <v>3405.4449181994787</v>
      </c>
      <c r="J28" s="100">
        <v>5.8348719281966792</v>
      </c>
      <c r="K28" s="100">
        <v>4306.1354830091495</v>
      </c>
      <c r="L28" s="100">
        <v>7</v>
      </c>
      <c r="M28" s="100">
        <v>5166</v>
      </c>
      <c r="N28" s="100">
        <v>6</v>
      </c>
      <c r="O28" s="100">
        <v>4428</v>
      </c>
      <c r="P28" s="100">
        <v>6.9781468438529703</v>
      </c>
      <c r="Q28" s="100">
        <v>5149.8723707634917</v>
      </c>
      <c r="R28" s="100">
        <v>7.5150706509758267</v>
      </c>
      <c r="S28" s="100">
        <v>5546.1221404201597</v>
      </c>
      <c r="T28" s="100">
        <v>3.1211825622422062</v>
      </c>
      <c r="U28" s="100">
        <v>2303.4327309347482</v>
      </c>
      <c r="V28" s="100">
        <v>12.369507266008146</v>
      </c>
      <c r="W28" s="100">
        <v>9128.6963623140109</v>
      </c>
      <c r="X28" s="100">
        <v>3.1403582201902869</v>
      </c>
      <c r="Y28" s="100">
        <v>2317.5843665004318</v>
      </c>
      <c r="Z28" s="100">
        <v>13.23962885769541</v>
      </c>
      <c r="AA28" s="100">
        <v>9770.8460969792122</v>
      </c>
      <c r="AB28" s="100">
        <v>3.4594299616357636</v>
      </c>
      <c r="AC28" s="100">
        <v>2553.0593116871937</v>
      </c>
      <c r="AD28" s="100">
        <v>5.804123666034104</v>
      </c>
      <c r="AE28" s="100">
        <v>4283.4432655331684</v>
      </c>
      <c r="AF28" s="100">
        <v>8.08826114705038</v>
      </c>
      <c r="AG28" s="100">
        <v>5969.1367265231802</v>
      </c>
      <c r="AH28" s="100">
        <v>3.3132352330916826</v>
      </c>
      <c r="AI28" s="100">
        <v>2445.1676020216619</v>
      </c>
      <c r="AJ28" s="100">
        <v>4.5141521355256096</v>
      </c>
      <c r="AK28" s="100">
        <v>3331.4442760178999</v>
      </c>
      <c r="AL28" s="100">
        <v>7.8767548328028862</v>
      </c>
      <c r="AM28" s="100">
        <v>5813.0450666085299</v>
      </c>
      <c r="AN28" s="100">
        <v>10</v>
      </c>
      <c r="AO28" s="100">
        <v>7380</v>
      </c>
      <c r="AP28" s="100">
        <v>10</v>
      </c>
      <c r="AQ28" s="100">
        <v>7380</v>
      </c>
      <c r="AR28" s="100">
        <v>6.0672398199131727</v>
      </c>
      <c r="AS28" s="100">
        <v>4477.6229870959214</v>
      </c>
      <c r="AT28" s="100">
        <v>6.5096530355391522</v>
      </c>
      <c r="AU28" s="100">
        <v>4804.1239402278943</v>
      </c>
      <c r="AV28" s="100">
        <v>3.65991436665343</v>
      </c>
      <c r="AW28" s="100">
        <v>2701.0168025902312</v>
      </c>
      <c r="AX28" s="100">
        <v>9.7274803586938443</v>
      </c>
      <c r="AY28" s="100">
        <v>7178.8805047160567</v>
      </c>
      <c r="AZ28" s="100">
        <v>8.7361446980106319</v>
      </c>
      <c r="BA28" s="100">
        <v>6447.2747871318461</v>
      </c>
      <c r="BB28" s="100">
        <v>5.4045861029896169</v>
      </c>
      <c r="BC28" s="100">
        <v>3988.5845440063372</v>
      </c>
      <c r="BD28" s="100">
        <v>9.5261566941123625</v>
      </c>
      <c r="BE28" s="100">
        <v>7030.3036402549233</v>
      </c>
      <c r="BF28" s="100">
        <v>7.4223277525816194</v>
      </c>
      <c r="BG28" s="100">
        <v>5477.677881405235</v>
      </c>
      <c r="BH28" s="100">
        <v>4.3639476642610058</v>
      </c>
      <c r="BI28" s="100">
        <v>3220.5933762246223</v>
      </c>
      <c r="BJ28" s="100">
        <v>10.776539167609975</v>
      </c>
      <c r="BK28" s="100">
        <v>7953.0859056961617</v>
      </c>
      <c r="BL28" s="100">
        <v>6.2135049175673629</v>
      </c>
      <c r="BM28" s="100">
        <v>4585.566629164714</v>
      </c>
      <c r="BN28" s="100">
        <v>1.7660220128264306</v>
      </c>
      <c r="BO28" s="100">
        <v>1303.3242454659057</v>
      </c>
      <c r="BP28" s="100">
        <v>11.348354800538065</v>
      </c>
      <c r="BQ28" s="100">
        <v>8375.0858427970925</v>
      </c>
      <c r="BR28" s="100">
        <v>2.5849535725842157</v>
      </c>
      <c r="BS28" s="100">
        <v>1907.6957365671512</v>
      </c>
      <c r="BT28" s="100">
        <v>11.516372991336095</v>
      </c>
      <c r="BU28" s="100">
        <v>8499.0832676060381</v>
      </c>
      <c r="BV28" s="100">
        <v>4.674211003027259</v>
      </c>
      <c r="BW28" s="100">
        <v>3449.5677202341171</v>
      </c>
      <c r="BX28" s="100">
        <v>2.8047884952775148</v>
      </c>
      <c r="BY28" s="100">
        <v>2069.9339095148061</v>
      </c>
      <c r="BZ28" s="100">
        <v>12.379146025350686</v>
      </c>
      <c r="CA28" s="100">
        <v>9135.8097667088059</v>
      </c>
      <c r="CB28" s="100">
        <v>6.17786146937756</v>
      </c>
      <c r="CC28" s="100">
        <v>4559.2617644006395</v>
      </c>
      <c r="CD28" s="100">
        <v>6</v>
      </c>
      <c r="CE28" s="100">
        <v>4428</v>
      </c>
      <c r="CF28" s="100">
        <v>8.182652428821827</v>
      </c>
      <c r="CG28" s="100">
        <v>6038.7974924705086</v>
      </c>
      <c r="CH28" s="100">
        <v>7.9595849963200536</v>
      </c>
      <c r="CI28" s="100">
        <v>5874.1737272841992</v>
      </c>
      <c r="CJ28" s="100">
        <v>5.181871820708964</v>
      </c>
      <c r="CK28" s="100">
        <v>3824.2214036832156</v>
      </c>
      <c r="CL28" s="100">
        <v>7.6554570254075722</v>
      </c>
      <c r="CM28" s="100">
        <v>5649.7272847507884</v>
      </c>
      <c r="CN28" s="100">
        <v>7.3244435291126422</v>
      </c>
      <c r="CO28" s="100">
        <v>5405.4393244851299</v>
      </c>
      <c r="CP28" s="100">
        <v>1.5090940215551922</v>
      </c>
      <c r="CQ28" s="100">
        <v>1113.7113879077319</v>
      </c>
      <c r="CR28" s="100">
        <v>6.9836900418914771</v>
      </c>
      <c r="CS28" s="100">
        <v>5153.9632509159101</v>
      </c>
      <c r="CT28" s="100">
        <v>2.0157847933587862</v>
      </c>
      <c r="CU28" s="100">
        <v>1487.6491774987842</v>
      </c>
    </row>
    <row r="29" spans="2:99">
      <c r="C29" s="99" t="s">
        <v>195</v>
      </c>
      <c r="D29" s="100">
        <v>4.7788407817278715</v>
      </c>
      <c r="E29" s="100">
        <v>1617.1597205367116</v>
      </c>
      <c r="F29" s="100">
        <v>8.9387502068928697</v>
      </c>
      <c r="G29" s="100">
        <v>3024.873070012547</v>
      </c>
      <c r="H29" s="100">
        <v>4.6144240084003778</v>
      </c>
      <c r="I29" s="100">
        <v>1561.5210844426877</v>
      </c>
      <c r="J29" s="100">
        <v>5.8348719281966792</v>
      </c>
      <c r="K29" s="100">
        <v>1974.5206605017561</v>
      </c>
      <c r="L29" s="100">
        <v>8</v>
      </c>
      <c r="M29" s="100">
        <v>2707.2</v>
      </c>
      <c r="N29" s="100">
        <v>6</v>
      </c>
      <c r="O29" s="100">
        <v>2030.3999999999999</v>
      </c>
      <c r="P29" s="100">
        <v>6.9781468438529703</v>
      </c>
      <c r="Q29" s="100">
        <v>2361.4048919598449</v>
      </c>
      <c r="R29" s="100">
        <v>7.5150706509758267</v>
      </c>
      <c r="S29" s="100">
        <v>2543.0999082902194</v>
      </c>
      <c r="T29" s="100">
        <v>3.5670657854196639</v>
      </c>
      <c r="U29" s="100">
        <v>1207.0950617860142</v>
      </c>
      <c r="V29" s="100">
        <v>12.198209458651023</v>
      </c>
      <c r="W29" s="100">
        <v>4127.8740808075063</v>
      </c>
      <c r="X29" s="100">
        <v>3.5815597496578722</v>
      </c>
      <c r="Y29" s="100">
        <v>1211.9998192842238</v>
      </c>
      <c r="Z29" s="100">
        <v>12.411908000595055</v>
      </c>
      <c r="AA29" s="100">
        <v>4200.189667401366</v>
      </c>
      <c r="AB29" s="100">
        <v>3.4594299616357636</v>
      </c>
      <c r="AC29" s="100">
        <v>1170.6710990175422</v>
      </c>
      <c r="AD29" s="100">
        <v>5.508917650243192</v>
      </c>
      <c r="AE29" s="100">
        <v>1864.2177328422961</v>
      </c>
      <c r="AF29" s="100">
        <v>9.08826114705038</v>
      </c>
      <c r="AG29" s="100">
        <v>3075.4675721618482</v>
      </c>
      <c r="AH29" s="100">
        <v>3.6813724812129802</v>
      </c>
      <c r="AI29" s="100">
        <v>1245.7764476424725</v>
      </c>
      <c r="AJ29" s="100">
        <v>4.5858849381672906</v>
      </c>
      <c r="AK29" s="100">
        <v>1551.8634630758111</v>
      </c>
      <c r="AL29" s="100">
        <v>8.8767548328028862</v>
      </c>
      <c r="AM29" s="100">
        <v>3003.8938354204965</v>
      </c>
      <c r="AN29" s="100">
        <v>11</v>
      </c>
      <c r="AO29" s="100">
        <v>3722.3999999999996</v>
      </c>
      <c r="AP29" s="100">
        <v>10</v>
      </c>
      <c r="AQ29" s="100">
        <v>3384</v>
      </c>
      <c r="AR29" s="100">
        <v>6.0672398199131727</v>
      </c>
      <c r="AS29" s="100">
        <v>2053.1539550586176</v>
      </c>
      <c r="AT29" s="100">
        <v>6.5096530355391522</v>
      </c>
      <c r="AU29" s="100">
        <v>2202.8665872264492</v>
      </c>
      <c r="AV29" s="100">
        <v>4.1174036624851089</v>
      </c>
      <c r="AW29" s="100">
        <v>1393.3293993849607</v>
      </c>
      <c r="AX29" s="100">
        <v>9.8002283945632289</v>
      </c>
      <c r="AY29" s="100">
        <v>3316.3972887201962</v>
      </c>
      <c r="AZ29" s="100">
        <v>8.7361446980106319</v>
      </c>
      <c r="BA29" s="100">
        <v>2956.3113658067978</v>
      </c>
      <c r="BB29" s="100">
        <v>4.5038217524913469</v>
      </c>
      <c r="BC29" s="100">
        <v>1524.0932810430718</v>
      </c>
      <c r="BD29" s="100">
        <v>8.1621933410446399</v>
      </c>
      <c r="BE29" s="100">
        <v>2762.086226609506</v>
      </c>
      <c r="BF29" s="100">
        <v>7.427429620831024</v>
      </c>
      <c r="BG29" s="100">
        <v>2513.4421836892184</v>
      </c>
      <c r="BH29" s="100">
        <v>4.3800296027544796</v>
      </c>
      <c r="BI29" s="100">
        <v>1482.2020175721159</v>
      </c>
      <c r="BJ29" s="100">
        <v>12.776539167609975</v>
      </c>
      <c r="BK29" s="100">
        <v>4323.5808543192152</v>
      </c>
      <c r="BL29" s="100">
        <v>7.0352603895287</v>
      </c>
      <c r="BM29" s="100">
        <v>2380.7321158165119</v>
      </c>
      <c r="BN29" s="100">
        <v>1.9815624537867214</v>
      </c>
      <c r="BO29" s="100">
        <v>670.56073436142651</v>
      </c>
      <c r="BP29" s="100">
        <v>11.235991900493227</v>
      </c>
      <c r="BQ29" s="100">
        <v>3802.2596591269075</v>
      </c>
      <c r="BR29" s="100">
        <v>2.9542326543819608</v>
      </c>
      <c r="BS29" s="100">
        <v>999.7123302428555</v>
      </c>
      <c r="BT29" s="100">
        <v>11.803872846265278</v>
      </c>
      <c r="BU29" s="100">
        <v>3994.4305711761699</v>
      </c>
      <c r="BV29" s="100">
        <v>4.674211003027259</v>
      </c>
      <c r="BW29" s="100">
        <v>1581.7530034244244</v>
      </c>
      <c r="BX29" s="100">
        <v>2.8223947412291062</v>
      </c>
      <c r="BY29" s="100">
        <v>955.09838043192951</v>
      </c>
      <c r="BZ29" s="100">
        <v>14.379146025350686</v>
      </c>
      <c r="CA29" s="100">
        <v>4865.9030149786713</v>
      </c>
      <c r="CB29" s="100">
        <v>6.17786146937756</v>
      </c>
      <c r="CC29" s="100">
        <v>2090.588321237366</v>
      </c>
      <c r="CD29" s="100">
        <v>6</v>
      </c>
      <c r="CE29" s="100">
        <v>2030.3999999999999</v>
      </c>
      <c r="CF29" s="100">
        <v>9.0009176717040091</v>
      </c>
      <c r="CG29" s="100">
        <v>3045.9105401046363</v>
      </c>
      <c r="CH29" s="100">
        <v>7.9595849963200536</v>
      </c>
      <c r="CI29" s="100">
        <v>2693.5235627547058</v>
      </c>
      <c r="CJ29" s="100">
        <v>6.0455171241604573</v>
      </c>
      <c r="CK29" s="100">
        <v>2045.8029948158985</v>
      </c>
      <c r="CL29" s="100">
        <v>8.205041788510627</v>
      </c>
      <c r="CM29" s="100">
        <v>2776.586141231996</v>
      </c>
      <c r="CN29" s="100">
        <v>7.2231849267613004</v>
      </c>
      <c r="CO29" s="100">
        <v>2444.3257792160239</v>
      </c>
      <c r="CP29" s="100">
        <v>1.5090940215551922</v>
      </c>
      <c r="CQ29" s="100">
        <v>510.67741689427703</v>
      </c>
      <c r="CR29" s="100">
        <v>6.3079886671453789</v>
      </c>
      <c r="CS29" s="100">
        <v>2134.6233649619962</v>
      </c>
      <c r="CT29" s="100">
        <v>2.2173632726946653</v>
      </c>
      <c r="CU29" s="100">
        <v>750.35573147987463</v>
      </c>
    </row>
    <row r="30" spans="2:99">
      <c r="C30" s="99" t="s">
        <v>196</v>
      </c>
      <c r="D30" s="100">
        <v>4.7788407817278715</v>
      </c>
      <c r="E30" s="100">
        <v>665.21463681651971</v>
      </c>
      <c r="F30" s="100">
        <v>10.016979390800609</v>
      </c>
      <c r="G30" s="100">
        <v>1394.3635311994447</v>
      </c>
      <c r="H30" s="100">
        <v>4.6144240084003778</v>
      </c>
      <c r="I30" s="100">
        <v>642.32782196933249</v>
      </c>
      <c r="J30" s="100">
        <v>5.8348719281966792</v>
      </c>
      <c r="K30" s="100">
        <v>812.21417240497772</v>
      </c>
      <c r="L30" s="100">
        <v>9</v>
      </c>
      <c r="M30" s="100">
        <v>1252.8</v>
      </c>
      <c r="N30" s="100">
        <v>6</v>
      </c>
      <c r="O30" s="100">
        <v>835.19999999999993</v>
      </c>
      <c r="P30" s="100">
        <v>7.8504151993345923</v>
      </c>
      <c r="Q30" s="100">
        <v>1092.7777957473752</v>
      </c>
      <c r="R30" s="100">
        <v>7.5150706509758267</v>
      </c>
      <c r="S30" s="100">
        <v>1046.0978346158349</v>
      </c>
      <c r="T30" s="100">
        <v>3.1211825622422062</v>
      </c>
      <c r="U30" s="100">
        <v>434.46861266411508</v>
      </c>
      <c r="V30" s="100">
        <v>13.195343254951863</v>
      </c>
      <c r="W30" s="100">
        <v>1836.7917810892993</v>
      </c>
      <c r="X30" s="100">
        <v>3.5815597496578722</v>
      </c>
      <c r="Y30" s="100">
        <v>498.55311715237576</v>
      </c>
      <c r="Z30" s="100">
        <v>12.23962885769541</v>
      </c>
      <c r="AA30" s="100">
        <v>1703.7563369912009</v>
      </c>
      <c r="AB30" s="100">
        <v>3.4594299616357636</v>
      </c>
      <c r="AC30" s="100">
        <v>481.55265065969826</v>
      </c>
      <c r="AD30" s="100">
        <v>5.508917650243192</v>
      </c>
      <c r="AE30" s="100">
        <v>766.84133691385227</v>
      </c>
      <c r="AF30" s="100">
        <v>8.2622829093045773</v>
      </c>
      <c r="AG30" s="100">
        <v>1150.1097809751971</v>
      </c>
      <c r="AH30" s="100">
        <v>4.0495097293342788</v>
      </c>
      <c r="AI30" s="100">
        <v>563.69175432333157</v>
      </c>
      <c r="AJ30" s="100">
        <v>5.3882894415740594</v>
      </c>
      <c r="AK30" s="100">
        <v>750.04989026710905</v>
      </c>
      <c r="AL30" s="100">
        <v>8.8767548328028862</v>
      </c>
      <c r="AM30" s="100">
        <v>1235.6442727261617</v>
      </c>
      <c r="AN30" s="100">
        <v>10</v>
      </c>
      <c r="AO30" s="100">
        <v>1392</v>
      </c>
      <c r="AP30" s="100">
        <v>11</v>
      </c>
      <c r="AQ30" s="100">
        <v>1531.1999999999998</v>
      </c>
      <c r="AR30" s="100">
        <v>6.0672398199131727</v>
      </c>
      <c r="AS30" s="100">
        <v>844.55978293191356</v>
      </c>
      <c r="AT30" s="100">
        <v>6.5096530355391522</v>
      </c>
      <c r="AU30" s="100">
        <v>906.14370254704988</v>
      </c>
      <c r="AV30" s="100">
        <v>3.65991436665343</v>
      </c>
      <c r="AW30" s="100">
        <v>509.46007983815741</v>
      </c>
      <c r="AX30" s="100">
        <v>9.8729764304326135</v>
      </c>
      <c r="AY30" s="100">
        <v>1374.3183191162198</v>
      </c>
      <c r="AZ30" s="100">
        <v>8.7361446980106319</v>
      </c>
      <c r="BA30" s="100">
        <v>1216.0713419630799</v>
      </c>
      <c r="BB30" s="100">
        <v>5.4045861029896169</v>
      </c>
      <c r="BC30" s="100">
        <v>752.31838553615466</v>
      </c>
      <c r="BD30" s="100">
        <v>8.879288133917715</v>
      </c>
      <c r="BE30" s="100">
        <v>1235.9969082413459</v>
      </c>
      <c r="BF30" s="100">
        <v>8.103793789447991</v>
      </c>
      <c r="BG30" s="100">
        <v>1128.0480954911602</v>
      </c>
      <c r="BH30" s="100">
        <v>4.3800296027544796</v>
      </c>
      <c r="BI30" s="100">
        <v>609.70012070342352</v>
      </c>
      <c r="BJ30" s="100">
        <v>11.449887500832331</v>
      </c>
      <c r="BK30" s="100">
        <v>1593.8243401158602</v>
      </c>
      <c r="BL30" s="100">
        <v>7.0572230854257478</v>
      </c>
      <c r="BM30" s="100">
        <v>982.36545349126402</v>
      </c>
      <c r="BN30" s="100">
        <v>2.1971028947470121</v>
      </c>
      <c r="BO30" s="100">
        <v>305.83672294878409</v>
      </c>
      <c r="BP30" s="100">
        <v>12.235991900493227</v>
      </c>
      <c r="BQ30" s="100">
        <v>1703.250072548657</v>
      </c>
      <c r="BR30" s="100">
        <v>2.9542326543819608</v>
      </c>
      <c r="BS30" s="100">
        <v>411.22918548996893</v>
      </c>
      <c r="BT30" s="100">
        <v>11.803872846265278</v>
      </c>
      <c r="BU30" s="100">
        <v>1643.0991002001267</v>
      </c>
      <c r="BV30" s="100">
        <v>4.7026055289668669</v>
      </c>
      <c r="BW30" s="100">
        <v>654.60268963218778</v>
      </c>
      <c r="BX30" s="100">
        <v>3.2370407525872493</v>
      </c>
      <c r="BY30" s="100">
        <v>450.59607276014509</v>
      </c>
      <c r="BZ30" s="100">
        <v>12.379146025350686</v>
      </c>
      <c r="CA30" s="100">
        <v>1723.1771267288152</v>
      </c>
      <c r="CB30" s="100">
        <v>6.17786146937756</v>
      </c>
      <c r="CC30" s="100">
        <v>859.95831653735627</v>
      </c>
      <c r="CD30" s="100">
        <v>6</v>
      </c>
      <c r="CE30" s="100">
        <v>835.19999999999993</v>
      </c>
      <c r="CF30" s="100">
        <v>9.0009176717040091</v>
      </c>
      <c r="CG30" s="100">
        <v>1252.927739901198</v>
      </c>
      <c r="CH30" s="100">
        <v>8.8439833292445051</v>
      </c>
      <c r="CI30" s="100">
        <v>1231.0824794308351</v>
      </c>
      <c r="CJ30" s="100">
        <v>6.0455171241604573</v>
      </c>
      <c r="CK30" s="100">
        <v>841.53598368313556</v>
      </c>
      <c r="CL30" s="100">
        <v>8.2897041059318788</v>
      </c>
      <c r="CM30" s="100">
        <v>1153.9268115457173</v>
      </c>
      <c r="CN30" s="100">
        <v>7.4257021314639822</v>
      </c>
      <c r="CO30" s="100">
        <v>1033.6577366997863</v>
      </c>
      <c r="CP30" s="100">
        <v>1.3204572688607932</v>
      </c>
      <c r="CQ30" s="100">
        <v>183.8076518254224</v>
      </c>
      <c r="CR30" s="100">
        <v>6.9836900418914771</v>
      </c>
      <c r="CS30" s="100">
        <v>972.12965383129358</v>
      </c>
      <c r="CT30" s="100">
        <v>2.4189417520305438</v>
      </c>
      <c r="CU30" s="100">
        <v>336.71669188265167</v>
      </c>
    </row>
    <row r="31" spans="2:99">
      <c r="C31" s="99" t="s">
        <v>197</v>
      </c>
      <c r="D31" s="100">
        <v>4.7788407817278715</v>
      </c>
      <c r="E31" s="100">
        <v>1628.6289384128586</v>
      </c>
      <c r="F31" s="100">
        <v>8.9387502068928697</v>
      </c>
      <c r="G31" s="100">
        <v>3046.3260705090902</v>
      </c>
      <c r="H31" s="100">
        <v>4.6144240084003778</v>
      </c>
      <c r="I31" s="100">
        <v>1572.5957020628489</v>
      </c>
      <c r="J31" s="100">
        <v>5.8348719281966792</v>
      </c>
      <c r="K31" s="100">
        <v>1988.5243531294284</v>
      </c>
      <c r="L31" s="100">
        <v>8</v>
      </c>
      <c r="M31" s="100">
        <v>2726.4</v>
      </c>
      <c r="N31" s="100">
        <v>6</v>
      </c>
      <c r="O31" s="100">
        <v>2044.8000000000002</v>
      </c>
      <c r="P31" s="100">
        <v>6.9781468438529703</v>
      </c>
      <c r="Q31" s="100">
        <v>2378.1524443850922</v>
      </c>
      <c r="R31" s="100">
        <v>7.5150706509758267</v>
      </c>
      <c r="S31" s="100">
        <v>2561.1360778525618</v>
      </c>
      <c r="T31" s="100">
        <v>3.5670657854196639</v>
      </c>
      <c r="U31" s="100">
        <v>1215.6560196710216</v>
      </c>
      <c r="V31" s="100">
        <v>13.36664106230899</v>
      </c>
      <c r="W31" s="100">
        <v>4555.3512740349033</v>
      </c>
      <c r="X31" s="100">
        <v>3.5711702468744342</v>
      </c>
      <c r="Y31" s="100">
        <v>1217.0548201348072</v>
      </c>
      <c r="Z31" s="100">
        <v>11.067349714795762</v>
      </c>
      <c r="AA31" s="100">
        <v>3771.7527828023958</v>
      </c>
      <c r="AB31" s="100">
        <v>3.4594299616357636</v>
      </c>
      <c r="AC31" s="100">
        <v>1178.9737309254683</v>
      </c>
      <c r="AD31" s="100">
        <v>5.5133803159315065</v>
      </c>
      <c r="AE31" s="100">
        <v>1878.9600116694576</v>
      </c>
      <c r="AF31" s="100">
        <v>9.2622829093045773</v>
      </c>
      <c r="AG31" s="100">
        <v>3156.5860154910001</v>
      </c>
      <c r="AH31" s="100">
        <v>4.0495097293342788</v>
      </c>
      <c r="AI31" s="100">
        <v>1380.0729157571222</v>
      </c>
      <c r="AJ31" s="100">
        <v>4.9512207885498354</v>
      </c>
      <c r="AK31" s="100">
        <v>1687.376044737784</v>
      </c>
      <c r="AL31" s="100">
        <v>8.7061407570935341</v>
      </c>
      <c r="AM31" s="100">
        <v>2967.0527700174766</v>
      </c>
      <c r="AN31" s="100">
        <v>11</v>
      </c>
      <c r="AO31" s="100">
        <v>3748.8</v>
      </c>
      <c r="AP31" s="100">
        <v>10</v>
      </c>
      <c r="AQ31" s="100">
        <v>3408</v>
      </c>
      <c r="AR31" s="100">
        <v>6.0672398199131727</v>
      </c>
      <c r="AS31" s="100">
        <v>2067.7153306264095</v>
      </c>
      <c r="AT31" s="100">
        <v>6.5096530355391522</v>
      </c>
      <c r="AU31" s="100">
        <v>2218.4897545117433</v>
      </c>
      <c r="AV31" s="100">
        <v>3.65991436665343</v>
      </c>
      <c r="AW31" s="100">
        <v>1247.298816155489</v>
      </c>
      <c r="AX31" s="100">
        <v>8.8729764304326135</v>
      </c>
      <c r="AY31" s="100">
        <v>3023.910367491435</v>
      </c>
      <c r="AZ31" s="100">
        <v>8.7361446980106319</v>
      </c>
      <c r="BA31" s="100">
        <v>2977.2781130820235</v>
      </c>
      <c r="BB31" s="100">
        <v>5.4045861029896169</v>
      </c>
      <c r="BC31" s="100">
        <v>1841.8829438988614</v>
      </c>
      <c r="BD31" s="100">
        <v>8.8110195109266449</v>
      </c>
      <c r="BE31" s="100">
        <v>3002.7954493238008</v>
      </c>
      <c r="BF31" s="100">
        <v>7.015827291179467</v>
      </c>
      <c r="BG31" s="100">
        <v>2390.9939408339624</v>
      </c>
      <c r="BH31" s="100">
        <v>4.4121934797414264</v>
      </c>
      <c r="BI31" s="100">
        <v>1503.6755378958783</v>
      </c>
      <c r="BJ31" s="100">
        <v>11.776539167609975</v>
      </c>
      <c r="BK31" s="100">
        <v>4013.4445483214799</v>
      </c>
      <c r="BL31" s="100">
        <v>7.0132976936316531</v>
      </c>
      <c r="BM31" s="100">
        <v>2390.1318539896674</v>
      </c>
      <c r="BN31" s="100">
        <v>2.1971028947470121</v>
      </c>
      <c r="BO31" s="100">
        <v>748.77266652978176</v>
      </c>
      <c r="BP31" s="100">
        <v>13.348354800538065</v>
      </c>
      <c r="BQ31" s="100">
        <v>4549.1193160233724</v>
      </c>
      <c r="BR31" s="100">
        <v>2.5849535725842157</v>
      </c>
      <c r="BS31" s="100">
        <v>880.95217753670067</v>
      </c>
      <c r="BT31" s="100">
        <v>11.660122918800687</v>
      </c>
      <c r="BU31" s="100">
        <v>3973.7698907272743</v>
      </c>
      <c r="BV31" s="100">
        <v>5.2324336891212413</v>
      </c>
      <c r="BW31" s="100">
        <v>1783.2134012525191</v>
      </c>
      <c r="BX31" s="100">
        <v>2.4077487298709639</v>
      </c>
      <c r="BY31" s="100">
        <v>820.5607671400245</v>
      </c>
      <c r="BZ31" s="100">
        <v>12.379146025350686</v>
      </c>
      <c r="CA31" s="100">
        <v>4218.8129654395134</v>
      </c>
      <c r="CB31" s="100">
        <v>6.17786146937756</v>
      </c>
      <c r="CC31" s="100">
        <v>2105.4151887638727</v>
      </c>
      <c r="CD31" s="100">
        <v>6</v>
      </c>
      <c r="CE31" s="100">
        <v>2044.8000000000002</v>
      </c>
      <c r="CF31" s="100">
        <v>9.0009176717040091</v>
      </c>
      <c r="CG31" s="100">
        <v>3067.5127425167266</v>
      </c>
      <c r="CH31" s="100">
        <v>7.0751866633956029</v>
      </c>
      <c r="CI31" s="100">
        <v>2411.2236148852217</v>
      </c>
      <c r="CJ31" s="100">
        <v>5.181871820708964</v>
      </c>
      <c r="CK31" s="100">
        <v>1765.981916497615</v>
      </c>
      <c r="CL31" s="100">
        <v>9.0086135038774398</v>
      </c>
      <c r="CM31" s="100">
        <v>3070.1354821214318</v>
      </c>
      <c r="CN31" s="100">
        <v>7.3244435291126422</v>
      </c>
      <c r="CO31" s="100">
        <v>2496.1703547215884</v>
      </c>
      <c r="CP31" s="100">
        <v>1.5090940215551922</v>
      </c>
      <c r="CQ31" s="100">
        <v>514.29924254600951</v>
      </c>
      <c r="CR31" s="100">
        <v>7.6593914166375745</v>
      </c>
      <c r="CS31" s="100">
        <v>2610.3205947900856</v>
      </c>
      <c r="CT31" s="100">
        <v>2.2173632726946653</v>
      </c>
      <c r="CU31" s="100">
        <v>755.67740333434199</v>
      </c>
    </row>
    <row r="32" spans="2:99">
      <c r="C32" s="99" t="s">
        <v>198</v>
      </c>
      <c r="D32" s="100">
        <v>4.3444007106617022</v>
      </c>
      <c r="E32" s="100">
        <v>3649.29659695583</v>
      </c>
      <c r="F32" s="100">
        <v>9.8605210229851306</v>
      </c>
      <c r="G32" s="100">
        <v>8282.83765930751</v>
      </c>
      <c r="H32" s="100">
        <v>3.8453533403336477</v>
      </c>
      <c r="I32" s="100">
        <v>3230.0968058802641</v>
      </c>
      <c r="J32" s="100">
        <v>5.8348719281966792</v>
      </c>
      <c r="K32" s="100">
        <v>4901.2924196852109</v>
      </c>
      <c r="L32" s="100">
        <v>7</v>
      </c>
      <c r="M32" s="100">
        <v>5880</v>
      </c>
      <c r="N32" s="100">
        <v>6</v>
      </c>
      <c r="O32" s="100">
        <v>5040</v>
      </c>
      <c r="P32" s="100">
        <v>6.1058784883713493</v>
      </c>
      <c r="Q32" s="100">
        <v>5128.937930231933</v>
      </c>
      <c r="R32" s="100">
        <v>6.6800628008674021</v>
      </c>
      <c r="S32" s="100">
        <v>5611.2527527286175</v>
      </c>
      <c r="T32" s="100">
        <v>3.1211825622422062</v>
      </c>
      <c r="U32" s="100">
        <v>2621.7933522834533</v>
      </c>
      <c r="V32" s="100">
        <v>11.372373469707306</v>
      </c>
      <c r="W32" s="100">
        <v>9552.7937145541364</v>
      </c>
      <c r="X32" s="100">
        <v>3.1403582201902869</v>
      </c>
      <c r="Y32" s="100">
        <v>2637.9009049598408</v>
      </c>
      <c r="Z32" s="100">
        <v>12.23962885769541</v>
      </c>
      <c r="AA32" s="100">
        <v>10281.288240464144</v>
      </c>
      <c r="AB32" s="100">
        <v>3.0270012164312932</v>
      </c>
      <c r="AC32" s="100">
        <v>2542.6810218022861</v>
      </c>
      <c r="AD32" s="100">
        <v>5.3214585859603041</v>
      </c>
      <c r="AE32" s="100">
        <v>4470.0252122066559</v>
      </c>
      <c r="AF32" s="100">
        <v>7.9142393847961809</v>
      </c>
      <c r="AG32" s="100">
        <v>6647.9610832287917</v>
      </c>
      <c r="AH32" s="100">
        <v>3.6813724812129802</v>
      </c>
      <c r="AI32" s="100">
        <v>3092.3528842189035</v>
      </c>
      <c r="AJ32" s="100">
        <v>4.9512207885498354</v>
      </c>
      <c r="AK32" s="100">
        <v>4159.0254623818619</v>
      </c>
      <c r="AL32" s="100">
        <v>8.7061407570935341</v>
      </c>
      <c r="AM32" s="100">
        <v>7313.1582359585682</v>
      </c>
      <c r="AN32" s="100">
        <v>11</v>
      </c>
      <c r="AO32" s="100">
        <v>9240</v>
      </c>
      <c r="AP32" s="100">
        <v>10</v>
      </c>
      <c r="AQ32" s="100">
        <v>8400</v>
      </c>
      <c r="AR32" s="100">
        <v>6.0672398199131727</v>
      </c>
      <c r="AS32" s="100">
        <v>5096.4814487270651</v>
      </c>
      <c r="AT32" s="100">
        <v>6.5096530355391522</v>
      </c>
      <c r="AU32" s="100">
        <v>5468.1085498528882</v>
      </c>
      <c r="AV32" s="100">
        <v>3.65991436665343</v>
      </c>
      <c r="AW32" s="100">
        <v>3074.3280679888812</v>
      </c>
      <c r="AX32" s="100">
        <v>9.8002283945632289</v>
      </c>
      <c r="AY32" s="100">
        <v>8232.1918514331119</v>
      </c>
      <c r="AZ32" s="100">
        <v>7.8625302282095673</v>
      </c>
      <c r="BA32" s="100">
        <v>6604.5253916960364</v>
      </c>
      <c r="BB32" s="100">
        <v>5.4045861029896169</v>
      </c>
      <c r="BC32" s="100">
        <v>4539.8523265112781</v>
      </c>
      <c r="BD32" s="100">
        <v>8.8110195109266449</v>
      </c>
      <c r="BE32" s="100">
        <v>7401.2563891783821</v>
      </c>
      <c r="BF32" s="100">
        <v>7.4299805549557263</v>
      </c>
      <c r="BG32" s="100">
        <v>6241.1836661628104</v>
      </c>
      <c r="BH32" s="100">
        <v>4.0271669200765885</v>
      </c>
      <c r="BI32" s="100">
        <v>3382.8202128643343</v>
      </c>
      <c r="BJ32" s="100">
        <v>12.286561667443509</v>
      </c>
      <c r="BK32" s="100">
        <v>10320.711800652547</v>
      </c>
      <c r="BL32" s="100">
        <v>6.2135049175673629</v>
      </c>
      <c r="BM32" s="100">
        <v>5219.3441307565845</v>
      </c>
      <c r="BN32" s="100">
        <v>1.9785839905621423</v>
      </c>
      <c r="BO32" s="100">
        <v>1662.0105520721995</v>
      </c>
      <c r="BP32" s="100">
        <v>12.348354800538065</v>
      </c>
      <c r="BQ32" s="100">
        <v>10372.618032451974</v>
      </c>
      <c r="BR32" s="100">
        <v>2.9542326543819608</v>
      </c>
      <c r="BS32" s="100">
        <v>2481.5554296808473</v>
      </c>
      <c r="BT32" s="100">
        <v>11.660122918800687</v>
      </c>
      <c r="BU32" s="100">
        <v>9794.5032517925774</v>
      </c>
      <c r="BV32" s="100">
        <v>4.6458164770876529</v>
      </c>
      <c r="BW32" s="100">
        <v>3902.4858407536285</v>
      </c>
      <c r="BX32" s="100">
        <v>2.3901424839193721</v>
      </c>
      <c r="BY32" s="100">
        <v>2007.7196864922726</v>
      </c>
      <c r="BZ32" s="100">
        <v>11.379146025350686</v>
      </c>
      <c r="CA32" s="100">
        <v>9558.4826612945762</v>
      </c>
      <c r="CB32" s="100">
        <v>5.4056287857053658</v>
      </c>
      <c r="CC32" s="100">
        <v>4540.7281799925076</v>
      </c>
      <c r="CD32" s="100">
        <v>5</v>
      </c>
      <c r="CE32" s="100">
        <v>4200</v>
      </c>
      <c r="CF32" s="100">
        <v>9.0009176717040091</v>
      </c>
      <c r="CG32" s="100">
        <v>7560.7708442313678</v>
      </c>
      <c r="CH32" s="100">
        <v>7.9595849963200536</v>
      </c>
      <c r="CI32" s="100">
        <v>6686.0513969088452</v>
      </c>
      <c r="CJ32" s="100">
        <v>6.0455171241604573</v>
      </c>
      <c r="CK32" s="100">
        <v>5078.2343842947839</v>
      </c>
      <c r="CL32" s="100">
        <v>8.2897041059318788</v>
      </c>
      <c r="CM32" s="100">
        <v>6963.3514489827785</v>
      </c>
      <c r="CN32" s="100">
        <v>6.6681298517577678</v>
      </c>
      <c r="CO32" s="100">
        <v>5601.2290754765254</v>
      </c>
      <c r="CP32" s="100">
        <v>1.3204572688607932</v>
      </c>
      <c r="CQ32" s="100">
        <v>1109.1841058430662</v>
      </c>
      <c r="CR32" s="100">
        <v>6.9084919027934291</v>
      </c>
      <c r="CS32" s="100">
        <v>5803.1331983464806</v>
      </c>
      <c r="CT32" s="100">
        <v>2.4189417520305438</v>
      </c>
      <c r="CU32" s="100">
        <v>2031.9110717056569</v>
      </c>
    </row>
    <row r="33" spans="2:99">
      <c r="C33" s="99" t="s">
        <v>199</v>
      </c>
      <c r="D33" s="100">
        <v>4.7788407817278715</v>
      </c>
      <c r="E33" s="100">
        <v>2265.170530539011</v>
      </c>
      <c r="F33" s="100">
        <v>8.9387502068928697</v>
      </c>
      <c r="G33" s="100">
        <v>4236.96759806722</v>
      </c>
      <c r="H33" s="100">
        <v>3.8453533403336477</v>
      </c>
      <c r="I33" s="100">
        <v>1822.6974833181491</v>
      </c>
      <c r="J33" s="100">
        <v>5.8348719281966792</v>
      </c>
      <c r="K33" s="100">
        <v>2765.7292939652261</v>
      </c>
      <c r="L33" s="100">
        <v>8</v>
      </c>
      <c r="M33" s="100">
        <v>3792</v>
      </c>
      <c r="N33" s="100">
        <v>6</v>
      </c>
      <c r="O33" s="100">
        <v>2844</v>
      </c>
      <c r="P33" s="100">
        <v>6.1058784883713493</v>
      </c>
      <c r="Q33" s="100">
        <v>2894.1864034880196</v>
      </c>
      <c r="R33" s="100">
        <v>7.5150706509758267</v>
      </c>
      <c r="S33" s="100">
        <v>3562.1434885625417</v>
      </c>
      <c r="T33" s="100">
        <v>3.5670657854196639</v>
      </c>
      <c r="U33" s="100">
        <v>1690.7891822889208</v>
      </c>
      <c r="V33" s="100">
        <v>13.537938869666114</v>
      </c>
      <c r="W33" s="100">
        <v>6416.9830242217377</v>
      </c>
      <c r="X33" s="100">
        <v>3.1299687174068489</v>
      </c>
      <c r="Y33" s="100">
        <v>1483.6051720508465</v>
      </c>
      <c r="Z33" s="100">
        <v>12.23962885769541</v>
      </c>
      <c r="AA33" s="100">
        <v>5801.5840785476239</v>
      </c>
      <c r="AB33" s="100">
        <v>3.4594299616357636</v>
      </c>
      <c r="AC33" s="100">
        <v>1639.7698018153519</v>
      </c>
      <c r="AD33" s="100">
        <v>5.4151881181017476</v>
      </c>
      <c r="AE33" s="100">
        <v>2566.7991679802285</v>
      </c>
      <c r="AF33" s="100">
        <v>9.2622829093045773</v>
      </c>
      <c r="AG33" s="100">
        <v>4390.32209901037</v>
      </c>
      <c r="AH33" s="100">
        <v>3.6813724812129802</v>
      </c>
      <c r="AI33" s="100">
        <v>1744.9705560949526</v>
      </c>
      <c r="AJ33" s="100">
        <v>4.9870871898706746</v>
      </c>
      <c r="AK33" s="100">
        <v>2363.8793279986999</v>
      </c>
      <c r="AL33" s="100">
        <v>8.8767548328028862</v>
      </c>
      <c r="AM33" s="100">
        <v>4207.581790748568</v>
      </c>
      <c r="AN33" s="100">
        <v>11</v>
      </c>
      <c r="AO33" s="100">
        <v>5214</v>
      </c>
      <c r="AP33" s="100">
        <v>11</v>
      </c>
      <c r="AQ33" s="100">
        <v>5214</v>
      </c>
      <c r="AR33" s="100">
        <v>6.0672398199131727</v>
      </c>
      <c r="AS33" s="100">
        <v>2875.8716746388441</v>
      </c>
      <c r="AT33" s="100">
        <v>6.5096530355391522</v>
      </c>
      <c r="AU33" s="100">
        <v>3085.5755388455582</v>
      </c>
      <c r="AV33" s="100">
        <v>3.65991436665343</v>
      </c>
      <c r="AW33" s="100">
        <v>1734.7994097937258</v>
      </c>
      <c r="AX33" s="100">
        <v>9.8729764304326135</v>
      </c>
      <c r="AY33" s="100">
        <v>4679.7908280250585</v>
      </c>
      <c r="AZ33" s="100">
        <v>8.7361446980106319</v>
      </c>
      <c r="BA33" s="100">
        <v>4140.9325868570395</v>
      </c>
      <c r="BB33" s="100">
        <v>5.4045861029896169</v>
      </c>
      <c r="BC33" s="100">
        <v>2561.7738128170786</v>
      </c>
      <c r="BD33" s="100">
        <v>8.8110195109266449</v>
      </c>
      <c r="BE33" s="100">
        <v>4176.4232481792296</v>
      </c>
      <c r="BF33" s="100">
        <v>7.4248786867063208</v>
      </c>
      <c r="BG33" s="100">
        <v>3519.3924974987963</v>
      </c>
      <c r="BH33" s="100">
        <v>4.0271669200765885</v>
      </c>
      <c r="BI33" s="100">
        <v>1908.8771201163029</v>
      </c>
      <c r="BJ33" s="100">
        <v>12.449887500832331</v>
      </c>
      <c r="BK33" s="100">
        <v>5901.2466753945246</v>
      </c>
      <c r="BL33" s="100">
        <v>6.1695795257732682</v>
      </c>
      <c r="BM33" s="100">
        <v>2924.3806952165291</v>
      </c>
      <c r="BN33" s="100">
        <v>1.9785839905621423</v>
      </c>
      <c r="BO33" s="100">
        <v>937.84881152645539</v>
      </c>
      <c r="BP33" s="100">
        <v>13.235991900493227</v>
      </c>
      <c r="BQ33" s="100">
        <v>6273.8601608337895</v>
      </c>
      <c r="BR33" s="100">
        <v>2.9542326543819608</v>
      </c>
      <c r="BS33" s="100">
        <v>1400.3062781770495</v>
      </c>
      <c r="BT33" s="100">
        <v>11.660122918800687</v>
      </c>
      <c r="BU33" s="100">
        <v>5526.8982635115253</v>
      </c>
      <c r="BV33" s="100">
        <v>4.6458164770876529</v>
      </c>
      <c r="BW33" s="100">
        <v>2202.1170101395473</v>
      </c>
      <c r="BX33" s="100">
        <v>2.3725362379677795</v>
      </c>
      <c r="BY33" s="100">
        <v>1124.5821767967275</v>
      </c>
      <c r="BZ33" s="100">
        <v>12.379146025350686</v>
      </c>
      <c r="CA33" s="100">
        <v>5867.715216016225</v>
      </c>
      <c r="CB33" s="100">
        <v>6.17786146937756</v>
      </c>
      <c r="CC33" s="100">
        <v>2928.3063364849636</v>
      </c>
      <c r="CD33" s="100">
        <v>6</v>
      </c>
      <c r="CE33" s="100">
        <v>2844</v>
      </c>
      <c r="CF33" s="100">
        <v>9.8191829145861913</v>
      </c>
      <c r="CG33" s="100">
        <v>4654.2927015138548</v>
      </c>
      <c r="CH33" s="100">
        <v>7.9595849963200536</v>
      </c>
      <c r="CI33" s="100">
        <v>3772.8432882557054</v>
      </c>
      <c r="CJ33" s="100">
        <v>5.181871820708964</v>
      </c>
      <c r="CK33" s="100">
        <v>2456.2072430160488</v>
      </c>
      <c r="CL33" s="100">
        <v>8.2897041059318788</v>
      </c>
      <c r="CM33" s="100">
        <v>3929.3197462117105</v>
      </c>
      <c r="CN33" s="100">
        <v>6.5668712494064279</v>
      </c>
      <c r="CO33" s="100">
        <v>3112.6969722186468</v>
      </c>
      <c r="CP33" s="100">
        <v>1.3204572688607932</v>
      </c>
      <c r="CQ33" s="100">
        <v>625.89674544001593</v>
      </c>
      <c r="CR33" s="100">
        <v>6.9836900418914771</v>
      </c>
      <c r="CS33" s="100">
        <v>3310.26907985656</v>
      </c>
      <c r="CT33" s="100">
        <v>2.2173632726946653</v>
      </c>
      <c r="CU33" s="100">
        <v>1051.0301912572713</v>
      </c>
    </row>
    <row r="34" spans="2:99">
      <c r="C34" s="99" t="s">
        <v>200</v>
      </c>
      <c r="D34" s="100">
        <v>3.9099606395955315</v>
      </c>
      <c r="E34" s="100">
        <v>2144.2224147541892</v>
      </c>
      <c r="F34" s="100">
        <v>8.8605210229851306</v>
      </c>
      <c r="G34" s="100">
        <v>4859.1097290050457</v>
      </c>
      <c r="H34" s="100">
        <v>4.6144240084003778</v>
      </c>
      <c r="I34" s="100">
        <v>2530.5501262067669</v>
      </c>
      <c r="J34" s="100">
        <v>5.0013187955971539</v>
      </c>
      <c r="K34" s="100">
        <v>2742.7232275054789</v>
      </c>
      <c r="L34" s="100">
        <v>8</v>
      </c>
      <c r="M34" s="100">
        <v>4387.2</v>
      </c>
      <c r="N34" s="100">
        <v>6</v>
      </c>
      <c r="O34" s="100">
        <v>3290.3999999999996</v>
      </c>
      <c r="P34" s="100">
        <v>6.9781468438529703</v>
      </c>
      <c r="Q34" s="100">
        <v>3826.8157291689686</v>
      </c>
      <c r="R34" s="100">
        <v>7.5150706509758267</v>
      </c>
      <c r="S34" s="100">
        <v>4121.2647449951428</v>
      </c>
      <c r="T34" s="100">
        <v>3.1211825622422062</v>
      </c>
      <c r="U34" s="100">
        <v>1711.6565171336258</v>
      </c>
      <c r="V34" s="100">
        <v>12.198209458651023</v>
      </c>
      <c r="W34" s="100">
        <v>6689.4980671242211</v>
      </c>
      <c r="X34" s="100">
        <v>3.5711702468744342</v>
      </c>
      <c r="Y34" s="100">
        <v>1958.4297633859396</v>
      </c>
      <c r="Z34" s="100">
        <v>12.411908000595055</v>
      </c>
      <c r="AA34" s="100">
        <v>6806.690347526328</v>
      </c>
      <c r="AB34" s="100">
        <v>3.0270012164312932</v>
      </c>
      <c r="AC34" s="100">
        <v>1660.0074670909212</v>
      </c>
      <c r="AD34" s="100">
        <v>5.8889278667989187</v>
      </c>
      <c r="AE34" s="100">
        <v>3229.4880421525268</v>
      </c>
      <c r="AF34" s="100">
        <v>8.08826114705038</v>
      </c>
      <c r="AG34" s="100">
        <v>4435.6024130424285</v>
      </c>
      <c r="AH34" s="100">
        <v>3.3132352330916826</v>
      </c>
      <c r="AI34" s="100">
        <v>1816.9782018274786</v>
      </c>
      <c r="AJ34" s="100">
        <v>4.5320853361860296</v>
      </c>
      <c r="AK34" s="100">
        <v>2485.3955983644187</v>
      </c>
      <c r="AL34" s="100">
        <v>8.7061407570935341</v>
      </c>
      <c r="AM34" s="100">
        <v>4774.4475911900936</v>
      </c>
      <c r="AN34" s="100">
        <v>9</v>
      </c>
      <c r="AO34" s="100">
        <v>4935.5999999999995</v>
      </c>
      <c r="AP34" s="100">
        <v>10</v>
      </c>
      <c r="AQ34" s="100">
        <v>5484</v>
      </c>
      <c r="AR34" s="100">
        <v>6.0672398199131727</v>
      </c>
      <c r="AS34" s="100">
        <v>3327.2743172403839</v>
      </c>
      <c r="AT34" s="100">
        <v>6.5096530355391522</v>
      </c>
      <c r="AU34" s="100">
        <v>3569.8937246896708</v>
      </c>
      <c r="AV34" s="100">
        <v>4.1174036624851089</v>
      </c>
      <c r="AW34" s="100">
        <v>2257.9841685068336</v>
      </c>
      <c r="AX34" s="100">
        <v>10.727480358693844</v>
      </c>
      <c r="AY34" s="100">
        <v>5882.9502287077039</v>
      </c>
      <c r="AZ34" s="100">
        <v>8.7361446980106319</v>
      </c>
      <c r="BA34" s="100">
        <v>4790.9017523890307</v>
      </c>
      <c r="BB34" s="100">
        <v>4.5038217524913469</v>
      </c>
      <c r="BC34" s="100">
        <v>2469.8958490662544</v>
      </c>
      <c r="BD34" s="100">
        <v>9.5261566941123625</v>
      </c>
      <c r="BE34" s="100">
        <v>5224.1443310512195</v>
      </c>
      <c r="BF34" s="100">
        <v>7.0107254229300615</v>
      </c>
      <c r="BG34" s="100">
        <v>3844.6818219348456</v>
      </c>
      <c r="BH34" s="100">
        <v>4.0271669200765885</v>
      </c>
      <c r="BI34" s="100">
        <v>2208.498338970001</v>
      </c>
      <c r="BJ34" s="100">
        <v>11.449887500832331</v>
      </c>
      <c r="BK34" s="100">
        <v>6279.1183054564499</v>
      </c>
      <c r="BL34" s="100">
        <v>6.1695795257732682</v>
      </c>
      <c r="BM34" s="100">
        <v>3383.3974119340601</v>
      </c>
      <c r="BN34" s="100">
        <v>1.9800732221744322</v>
      </c>
      <c r="BO34" s="100">
        <v>1085.8721550404584</v>
      </c>
      <c r="BP34" s="100">
        <v>13.348354800538065</v>
      </c>
      <c r="BQ34" s="100">
        <v>7320.2377726150744</v>
      </c>
      <c r="BR34" s="100">
        <v>2.9542326543819608</v>
      </c>
      <c r="BS34" s="100">
        <v>1620.1011876630673</v>
      </c>
      <c r="BT34" s="100">
        <v>12.406497887859823</v>
      </c>
      <c r="BU34" s="100">
        <v>6803.7234417023265</v>
      </c>
      <c r="BV34" s="100">
        <v>5.2040391631816343</v>
      </c>
      <c r="BW34" s="100">
        <v>2853.8950770888082</v>
      </c>
      <c r="BX34" s="100">
        <v>2.7871822493259222</v>
      </c>
      <c r="BY34" s="100">
        <v>1528.4907455303357</v>
      </c>
      <c r="BZ34" s="100">
        <v>13.379146025350686</v>
      </c>
      <c r="CA34" s="100">
        <v>7337.1236803023157</v>
      </c>
      <c r="CB34" s="100">
        <v>6.9500941530497551</v>
      </c>
      <c r="CC34" s="100">
        <v>3811.4316335324856</v>
      </c>
      <c r="CD34" s="100">
        <v>6</v>
      </c>
      <c r="CE34" s="100">
        <v>3290.3999999999996</v>
      </c>
      <c r="CF34" s="100">
        <v>9.0009176717040091</v>
      </c>
      <c r="CG34" s="100">
        <v>4936.103251162478</v>
      </c>
      <c r="CH34" s="100">
        <v>7.9595849963200536</v>
      </c>
      <c r="CI34" s="100">
        <v>4365.0364119819169</v>
      </c>
      <c r="CJ34" s="100">
        <v>5.181871820708964</v>
      </c>
      <c r="CK34" s="100">
        <v>2841.7385064767959</v>
      </c>
      <c r="CL34" s="100">
        <v>8.3743664233531305</v>
      </c>
      <c r="CM34" s="100">
        <v>4592.5025465668568</v>
      </c>
      <c r="CN34" s="100">
        <v>7.2231849267613004</v>
      </c>
      <c r="CO34" s="100">
        <v>3961.1946138358971</v>
      </c>
      <c r="CP34" s="100">
        <v>1.5090940215551922</v>
      </c>
      <c r="CQ34" s="100">
        <v>827.58716142086735</v>
      </c>
      <c r="CR34" s="100">
        <v>6.8332937636953792</v>
      </c>
      <c r="CS34" s="100">
        <v>3747.3783000105459</v>
      </c>
      <c r="CT34" s="100">
        <v>2.4189417520305438</v>
      </c>
      <c r="CU34" s="100">
        <v>1326.5476568135502</v>
      </c>
    </row>
    <row r="35" spans="2:99">
      <c r="C35" s="99" t="s">
        <v>201</v>
      </c>
      <c r="D35" s="100">
        <v>4.3444007106617022</v>
      </c>
      <c r="E35" s="100">
        <v>2184.3646773207033</v>
      </c>
      <c r="F35" s="100">
        <v>9.0169793908006088</v>
      </c>
      <c r="G35" s="100">
        <v>4533.737237694545</v>
      </c>
      <c r="H35" s="100">
        <v>4.6144240084003778</v>
      </c>
      <c r="I35" s="100">
        <v>2320.1323914237096</v>
      </c>
      <c r="J35" s="100">
        <v>5.0013187955971539</v>
      </c>
      <c r="K35" s="100">
        <v>2514.6630904262483</v>
      </c>
      <c r="L35" s="100">
        <v>8</v>
      </c>
      <c r="M35" s="100">
        <v>4022.3999999999992</v>
      </c>
      <c r="N35" s="100">
        <v>7</v>
      </c>
      <c r="O35" s="100">
        <v>3519.5999999999995</v>
      </c>
      <c r="P35" s="100">
        <v>6.9781468438529703</v>
      </c>
      <c r="Q35" s="100">
        <v>3508.6122330892726</v>
      </c>
      <c r="R35" s="100">
        <v>6.6800628008674021</v>
      </c>
      <c r="S35" s="100">
        <v>3358.735576276129</v>
      </c>
      <c r="T35" s="100">
        <v>3.5670657854196639</v>
      </c>
      <c r="U35" s="100">
        <v>1793.5206769090066</v>
      </c>
      <c r="V35" s="100">
        <v>12.54080507336527</v>
      </c>
      <c r="W35" s="100">
        <v>6305.5167908880567</v>
      </c>
      <c r="X35" s="100">
        <v>3.1403582201902869</v>
      </c>
      <c r="Y35" s="100">
        <v>1578.972113111676</v>
      </c>
      <c r="Z35" s="100">
        <v>12.23962885769541</v>
      </c>
      <c r="AA35" s="100">
        <v>6154.0853896492508</v>
      </c>
      <c r="AB35" s="100">
        <v>3.0270012164312932</v>
      </c>
      <c r="AC35" s="100">
        <v>1521.9762116216539</v>
      </c>
      <c r="AD35" s="100">
        <v>5.4241134494783765</v>
      </c>
      <c r="AE35" s="100">
        <v>2727.2442423977272</v>
      </c>
      <c r="AF35" s="100">
        <v>9.2622829093045773</v>
      </c>
      <c r="AG35" s="100">
        <v>4657.0758467983405</v>
      </c>
      <c r="AH35" s="100">
        <v>3.3132352330916826</v>
      </c>
      <c r="AI35" s="100">
        <v>1665.8946751984977</v>
      </c>
      <c r="AJ35" s="100">
        <v>4.9512207885498354</v>
      </c>
      <c r="AK35" s="100">
        <v>2489.4738124828568</v>
      </c>
      <c r="AL35" s="100">
        <v>8.7061407570935341</v>
      </c>
      <c r="AM35" s="100">
        <v>4377.4475726666278</v>
      </c>
      <c r="AN35" s="100">
        <v>10</v>
      </c>
      <c r="AO35" s="100">
        <v>5027.9999999999991</v>
      </c>
      <c r="AP35" s="100">
        <v>9</v>
      </c>
      <c r="AQ35" s="100">
        <v>4525.1999999999989</v>
      </c>
      <c r="AR35" s="100">
        <v>5.2004912742112914</v>
      </c>
      <c r="AS35" s="100">
        <v>2614.8070126734369</v>
      </c>
      <c r="AT35" s="100">
        <v>6.5096530355391522</v>
      </c>
      <c r="AU35" s="100">
        <v>3273.053546269085</v>
      </c>
      <c r="AV35" s="100">
        <v>3.65991436665343</v>
      </c>
      <c r="AW35" s="100">
        <v>1840.2049435533443</v>
      </c>
      <c r="AX35" s="100">
        <v>10.872976430432614</v>
      </c>
      <c r="AY35" s="100">
        <v>5466.9325492215166</v>
      </c>
      <c r="AZ35" s="100">
        <v>7.8625302282095673</v>
      </c>
      <c r="BA35" s="100">
        <v>3953.2801987437697</v>
      </c>
      <c r="BB35" s="100">
        <v>5.4045861029896169</v>
      </c>
      <c r="BC35" s="100">
        <v>2717.4258925831787</v>
      </c>
      <c r="BD35" s="100">
        <v>8.1621933410446399</v>
      </c>
      <c r="BE35" s="100">
        <v>4103.9508118772437</v>
      </c>
      <c r="BF35" s="100">
        <v>7.5190848126524301</v>
      </c>
      <c r="BG35" s="100">
        <v>3780.595843801641</v>
      </c>
      <c r="BH35" s="100">
        <v>4.0271669200765885</v>
      </c>
      <c r="BI35" s="100">
        <v>2024.8595274145082</v>
      </c>
      <c r="BJ35" s="100">
        <v>11.613213334221152</v>
      </c>
      <c r="BK35" s="100">
        <v>5839.1236644463943</v>
      </c>
      <c r="BL35" s="100">
        <v>6.1915422216703151</v>
      </c>
      <c r="BM35" s="100">
        <v>3113.107429055834</v>
      </c>
      <c r="BN35" s="100">
        <v>2.1971028947470121</v>
      </c>
      <c r="BO35" s="100">
        <v>1104.7033354787975</v>
      </c>
      <c r="BP35" s="100">
        <v>11.235991900493227</v>
      </c>
      <c r="BQ35" s="100">
        <v>5649.4567275679938</v>
      </c>
      <c r="BR35" s="100">
        <v>2.5849535725842157</v>
      </c>
      <c r="BS35" s="100">
        <v>1299.7146562953433</v>
      </c>
      <c r="BT35" s="100">
        <v>11.947622773729872</v>
      </c>
      <c r="BU35" s="100">
        <v>6007.2647306313784</v>
      </c>
      <c r="BV35" s="100">
        <v>5.2324336891212413</v>
      </c>
      <c r="BW35" s="100">
        <v>2630.8676588901594</v>
      </c>
      <c r="BX35" s="100">
        <v>2.7695760033743304</v>
      </c>
      <c r="BY35" s="100">
        <v>1392.5428144966131</v>
      </c>
      <c r="BZ35" s="100">
        <v>13.379146025350686</v>
      </c>
      <c r="CA35" s="100">
        <v>6727.0346215463233</v>
      </c>
      <c r="CB35" s="100">
        <v>5.4056287857053658</v>
      </c>
      <c r="CC35" s="100">
        <v>2717.9501534526576</v>
      </c>
      <c r="CD35" s="100">
        <v>6</v>
      </c>
      <c r="CE35" s="100">
        <v>3016.7999999999993</v>
      </c>
      <c r="CF35" s="100">
        <v>9.8191829145861913</v>
      </c>
      <c r="CG35" s="100">
        <v>4937.085169453936</v>
      </c>
      <c r="CH35" s="100">
        <v>7.9595849963200536</v>
      </c>
      <c r="CI35" s="100">
        <v>4002.0793361497222</v>
      </c>
      <c r="CJ35" s="100">
        <v>5.181871820708964</v>
      </c>
      <c r="CK35" s="100">
        <v>2605.4451514524667</v>
      </c>
      <c r="CL35" s="100">
        <v>8.2897041059318788</v>
      </c>
      <c r="CM35" s="100">
        <v>4168.0632244625476</v>
      </c>
      <c r="CN35" s="100">
        <v>7.3244435291126422</v>
      </c>
      <c r="CO35" s="100">
        <v>3682.7302064378359</v>
      </c>
      <c r="CP35" s="100">
        <v>1.3204572688607932</v>
      </c>
      <c r="CQ35" s="100">
        <v>663.92591478320662</v>
      </c>
      <c r="CR35" s="100">
        <v>6.9084919027934291</v>
      </c>
      <c r="CS35" s="100">
        <v>3473.5897287245352</v>
      </c>
      <c r="CT35" s="100">
        <v>2.4189417520305438</v>
      </c>
      <c r="CU35" s="100">
        <v>1216.2439129209572</v>
      </c>
    </row>
    <row r="36" spans="2:99">
      <c r="C36" s="99" t="s">
        <v>202</v>
      </c>
      <c r="D36" s="100">
        <v>4.3444007106617022</v>
      </c>
      <c r="E36" s="100">
        <v>3305.2200606714227</v>
      </c>
      <c r="F36" s="100">
        <v>8.9387502068928697</v>
      </c>
      <c r="G36" s="100">
        <v>6800.6011574040949</v>
      </c>
      <c r="H36" s="100">
        <v>3.8453533403336477</v>
      </c>
      <c r="I36" s="100">
        <v>2925.5448213258392</v>
      </c>
      <c r="J36" s="100">
        <v>5.0013187955971539</v>
      </c>
      <c r="K36" s="100">
        <v>3805.0033396903145</v>
      </c>
      <c r="L36" s="100">
        <v>7</v>
      </c>
      <c r="M36" s="100">
        <v>5325.5999999999995</v>
      </c>
      <c r="N36" s="100">
        <v>6</v>
      </c>
      <c r="O36" s="100">
        <v>4564.7999999999993</v>
      </c>
      <c r="P36" s="100">
        <v>6.9781468438529703</v>
      </c>
      <c r="Q36" s="100">
        <v>5308.9741188033395</v>
      </c>
      <c r="R36" s="100">
        <v>7.5150706509758267</v>
      </c>
      <c r="S36" s="100">
        <v>5717.465751262409</v>
      </c>
      <c r="T36" s="100">
        <v>3.5670657854196639</v>
      </c>
      <c r="U36" s="100">
        <v>2713.8236495472802</v>
      </c>
      <c r="V36" s="100">
        <v>12.369507266008146</v>
      </c>
      <c r="W36" s="100">
        <v>9410.7211279789972</v>
      </c>
      <c r="X36" s="100">
        <v>3.1507477229737249</v>
      </c>
      <c r="Y36" s="100">
        <v>2397.0888676384097</v>
      </c>
      <c r="Z36" s="100">
        <v>11.411908000595055</v>
      </c>
      <c r="AA36" s="100">
        <v>8682.1796068527165</v>
      </c>
      <c r="AB36" s="100">
        <v>3.0270012164312932</v>
      </c>
      <c r="AC36" s="100">
        <v>2302.9425254609278</v>
      </c>
      <c r="AD36" s="100">
        <v>4.8521815029514483</v>
      </c>
      <c r="AE36" s="100">
        <v>3691.5396874454618</v>
      </c>
      <c r="AF36" s="100">
        <v>9.08826114705038</v>
      </c>
      <c r="AG36" s="100">
        <v>6914.3490806759291</v>
      </c>
      <c r="AH36" s="100">
        <v>3.6813724812129802</v>
      </c>
      <c r="AI36" s="100">
        <v>2800.7881837068353</v>
      </c>
      <c r="AJ36" s="100">
        <v>4.9512207885498354</v>
      </c>
      <c r="AK36" s="100">
        <v>3766.8887759287145</v>
      </c>
      <c r="AL36" s="100">
        <v>7.7061407570935332</v>
      </c>
      <c r="AM36" s="100">
        <v>5862.8318879967601</v>
      </c>
      <c r="AN36" s="100">
        <v>10</v>
      </c>
      <c r="AO36" s="100">
        <v>7608</v>
      </c>
      <c r="AP36" s="100">
        <v>10</v>
      </c>
      <c r="AQ36" s="100">
        <v>7608</v>
      </c>
      <c r="AR36" s="100">
        <v>6.0672398199131727</v>
      </c>
      <c r="AS36" s="100">
        <v>4615.9560549899415</v>
      </c>
      <c r="AT36" s="100">
        <v>6.5096530355391522</v>
      </c>
      <c r="AU36" s="100">
        <v>4952.544029438187</v>
      </c>
      <c r="AV36" s="100">
        <v>3.65991436665343</v>
      </c>
      <c r="AW36" s="100">
        <v>2784.4628501499292</v>
      </c>
      <c r="AX36" s="100">
        <v>9.8729764304326135</v>
      </c>
      <c r="AY36" s="100">
        <v>7511.360468273132</v>
      </c>
      <c r="AZ36" s="100">
        <v>8.7361446980106319</v>
      </c>
      <c r="BA36" s="100">
        <v>6646.458886246488</v>
      </c>
      <c r="BB36" s="100">
        <v>4.5038217524913469</v>
      </c>
      <c r="BC36" s="100">
        <v>3426.5075892954164</v>
      </c>
      <c r="BD36" s="100">
        <v>8.7388356685608581</v>
      </c>
      <c r="BE36" s="100">
        <v>6648.5061766411009</v>
      </c>
      <c r="BF36" s="100">
        <v>7.5139829444030255</v>
      </c>
      <c r="BG36" s="100">
        <v>5716.6382241018218</v>
      </c>
      <c r="BH36" s="100">
        <v>4.0110849815831147</v>
      </c>
      <c r="BI36" s="100">
        <v>3051.6334539884333</v>
      </c>
      <c r="BJ36" s="100">
        <v>10.613213334221152</v>
      </c>
      <c r="BK36" s="100">
        <v>8074.5327046754519</v>
      </c>
      <c r="BL36" s="100">
        <v>6.1915422216703151</v>
      </c>
      <c r="BM36" s="100">
        <v>4710.5253222467754</v>
      </c>
      <c r="BN36" s="100">
        <v>1.7630435496018517</v>
      </c>
      <c r="BO36" s="100">
        <v>1341.3235325370888</v>
      </c>
      <c r="BP36" s="100">
        <v>12.348354800538065</v>
      </c>
      <c r="BQ36" s="100">
        <v>9394.62833224936</v>
      </c>
      <c r="BR36" s="100">
        <v>2.9542326543819608</v>
      </c>
      <c r="BS36" s="100">
        <v>2247.5802034537955</v>
      </c>
      <c r="BT36" s="100">
        <v>11.803872846265278</v>
      </c>
      <c r="BU36" s="100">
        <v>8980.3864614386239</v>
      </c>
      <c r="BV36" s="100">
        <v>4.674211003027259</v>
      </c>
      <c r="BW36" s="100">
        <v>3556.1397311031383</v>
      </c>
      <c r="BX36" s="100">
        <v>2.7871822493259222</v>
      </c>
      <c r="BY36" s="100">
        <v>2120.4882552871613</v>
      </c>
      <c r="BZ36" s="100">
        <v>11.206752772181851</v>
      </c>
      <c r="CA36" s="100">
        <v>8526.0975090759512</v>
      </c>
      <c r="CB36" s="100">
        <v>6.17786146937756</v>
      </c>
      <c r="CC36" s="100">
        <v>4700.1170059024471</v>
      </c>
      <c r="CD36" s="100">
        <v>6</v>
      </c>
      <c r="CE36" s="100">
        <v>4564.7999999999993</v>
      </c>
      <c r="CF36" s="100">
        <v>9.0009176717040091</v>
      </c>
      <c r="CG36" s="100">
        <v>6847.89816463241</v>
      </c>
      <c r="CH36" s="100">
        <v>7.0751866633956029</v>
      </c>
      <c r="CI36" s="100">
        <v>5382.8020135113748</v>
      </c>
      <c r="CJ36" s="100">
        <v>4.3182265172574699</v>
      </c>
      <c r="CK36" s="100">
        <v>3285.3067343294829</v>
      </c>
      <c r="CL36" s="100">
        <v>7.6554570254075722</v>
      </c>
      <c r="CM36" s="100">
        <v>5824.2717049300809</v>
      </c>
      <c r="CN36" s="100">
        <v>6.5668712494064279</v>
      </c>
      <c r="CO36" s="100">
        <v>4996.0756465484101</v>
      </c>
      <c r="CP36" s="100">
        <v>1.3204572688607932</v>
      </c>
      <c r="CQ36" s="100">
        <v>1004.6038901492914</v>
      </c>
      <c r="CR36" s="100">
        <v>6.8332937636953792</v>
      </c>
      <c r="CS36" s="100">
        <v>5198.7698954194439</v>
      </c>
      <c r="CT36" s="100">
        <v>2.2173632726946653</v>
      </c>
      <c r="CU36" s="100">
        <v>1686.9699778661013</v>
      </c>
    </row>
    <row r="37" spans="2:99">
      <c r="B37" s="99" t="s">
        <v>128</v>
      </c>
      <c r="C37" s="99" t="s">
        <v>203</v>
      </c>
      <c r="D37" s="100">
        <v>6.9510411370587226</v>
      </c>
      <c r="E37" s="100">
        <v>5980.6757943253251</v>
      </c>
      <c r="F37" s="100">
        <v>15.547604287354174</v>
      </c>
      <c r="G37" s="100">
        <v>13377.158728839531</v>
      </c>
      <c r="H37" s="100">
        <v>9.9979186848674839</v>
      </c>
      <c r="I37" s="100">
        <v>8602.209236459983</v>
      </c>
      <c r="J37" s="100">
        <v>15.00395638679146</v>
      </c>
      <c r="K37" s="100">
        <v>12909.404075195373</v>
      </c>
      <c r="L37" s="100">
        <v>13</v>
      </c>
      <c r="M37" s="100">
        <v>11185.199999999999</v>
      </c>
      <c r="N37" s="100">
        <v>18</v>
      </c>
      <c r="O37" s="100">
        <v>15487.199999999999</v>
      </c>
      <c r="P37" s="100">
        <v>11.339488621261077</v>
      </c>
      <c r="Q37" s="100">
        <v>9756.4960097330313</v>
      </c>
      <c r="R37" s="100">
        <v>14.19513345184323</v>
      </c>
      <c r="S37" s="100">
        <v>12213.492821965914</v>
      </c>
      <c r="T37" s="100">
        <v>6.6882483476618697</v>
      </c>
      <c r="U37" s="100">
        <v>5754.5688783282721</v>
      </c>
      <c r="V37" s="100">
        <v>17.49582100702758</v>
      </c>
      <c r="W37" s="100">
        <v>15053.404394446528</v>
      </c>
      <c r="X37" s="100">
        <v>6.5452964225297121</v>
      </c>
      <c r="Y37" s="100">
        <v>5631.5730419445645</v>
      </c>
      <c r="Z37" s="100">
        <v>20.378233143197175</v>
      </c>
      <c r="AA37" s="100">
        <v>17533.43179640685</v>
      </c>
      <c r="AB37" s="100">
        <v>8.7535262338482003</v>
      </c>
      <c r="AC37" s="100">
        <v>7531.5339716029912</v>
      </c>
      <c r="AD37" s="100">
        <v>9.129856660592564</v>
      </c>
      <c r="AE37" s="100">
        <v>7855.3286707738416</v>
      </c>
      <c r="AF37" s="100">
        <v>14.566195860287785</v>
      </c>
      <c r="AG37" s="100">
        <v>12532.754918191609</v>
      </c>
      <c r="AH37" s="100">
        <v>6.2583332180620665</v>
      </c>
      <c r="AI37" s="100">
        <v>5384.6699008206015</v>
      </c>
      <c r="AJ37" s="100">
        <v>4.4065529315630876</v>
      </c>
      <c r="AK37" s="100">
        <v>3791.3981423168802</v>
      </c>
      <c r="AL37" s="100">
        <v>16.02368445425612</v>
      </c>
      <c r="AM37" s="100">
        <v>13786.778104441966</v>
      </c>
      <c r="AN37" s="100">
        <v>14</v>
      </c>
      <c r="AO37" s="100">
        <v>12045.6</v>
      </c>
      <c r="AP37" s="100">
        <v>15</v>
      </c>
      <c r="AQ37" s="100">
        <v>12906</v>
      </c>
      <c r="AR37" s="100">
        <v>8.6674854570188185</v>
      </c>
      <c r="AS37" s="100">
        <v>7457.504487218991</v>
      </c>
      <c r="AT37" s="100">
        <v>10.578186182751121</v>
      </c>
      <c r="AU37" s="100">
        <v>9101.4713916390647</v>
      </c>
      <c r="AV37" s="100">
        <v>7.3198287333068599</v>
      </c>
      <c r="AW37" s="100">
        <v>6297.9806421372223</v>
      </c>
      <c r="AX37" s="100">
        <v>21.581984286955077</v>
      </c>
      <c r="AY37" s="100">
        <v>18569.139280496147</v>
      </c>
      <c r="AZ37" s="100">
        <v>10.483373637612756</v>
      </c>
      <c r="BA37" s="100">
        <v>9019.8946778020145</v>
      </c>
      <c r="BB37" s="100">
        <v>12.610700906975772</v>
      </c>
      <c r="BC37" s="100">
        <v>10850.247060361955</v>
      </c>
      <c r="BD37" s="100">
        <v>11.312606641527942</v>
      </c>
      <c r="BE37" s="100">
        <v>9733.3667543706415</v>
      </c>
      <c r="BF37" s="100">
        <v>12.943611699246841</v>
      </c>
      <c r="BG37" s="100">
        <v>11136.683506031981</v>
      </c>
      <c r="BH37" s="100">
        <v>6.4007140678609842</v>
      </c>
      <c r="BI37" s="100">
        <v>5507.1743839875908</v>
      </c>
      <c r="BJ37" s="100">
        <v>14.306606667110577</v>
      </c>
      <c r="BK37" s="100">
        <v>12309.404376381941</v>
      </c>
      <c r="BL37" s="100">
        <v>14.540873116665983</v>
      </c>
      <c r="BM37" s="100">
        <v>12510.967229579412</v>
      </c>
      <c r="BN37" s="100">
        <v>3.0592646585881753</v>
      </c>
      <c r="BO37" s="100">
        <v>2632.191312249266</v>
      </c>
      <c r="BP37" s="100">
        <v>14.674177400269032</v>
      </c>
      <c r="BQ37" s="100">
        <v>12625.662235191476</v>
      </c>
      <c r="BR37" s="100">
        <v>4.8057455905165893</v>
      </c>
      <c r="BS37" s="100">
        <v>4134.8635060804736</v>
      </c>
      <c r="BT37" s="100">
        <v>13.755497898513502</v>
      </c>
      <c r="BU37" s="100">
        <v>11835.230391881018</v>
      </c>
      <c r="BV37" s="100">
        <v>9.6130316000542742</v>
      </c>
      <c r="BW37" s="100">
        <v>8271.0523886866977</v>
      </c>
      <c r="BX37" s="100">
        <v>5.6368855909781459</v>
      </c>
      <c r="BY37" s="100">
        <v>4849.9763624775969</v>
      </c>
      <c r="BZ37" s="100">
        <v>20.379146025350686</v>
      </c>
      <c r="CA37" s="100">
        <v>17534.217240211728</v>
      </c>
      <c r="CB37" s="100">
        <v>8.4945595203941462</v>
      </c>
      <c r="CC37" s="100">
        <v>7308.7190113471233</v>
      </c>
      <c r="CD37" s="100">
        <v>17</v>
      </c>
      <c r="CE37" s="100">
        <v>14626.8</v>
      </c>
      <c r="CF37" s="100">
        <v>17.183570100525834</v>
      </c>
      <c r="CG37" s="100">
        <v>14784.743714492428</v>
      </c>
      <c r="CH37" s="100">
        <v>9.7283816621689549</v>
      </c>
      <c r="CI37" s="100">
        <v>8370.2995821301683</v>
      </c>
      <c r="CJ37" s="100">
        <v>12.95467955177241</v>
      </c>
      <c r="CK37" s="100">
        <v>11146.206286344981</v>
      </c>
      <c r="CL37" s="100">
        <v>12.179848906498973</v>
      </c>
      <c r="CM37" s="100">
        <v>10479.541999151716</v>
      </c>
      <c r="CN37" s="100">
        <v>11.007311849434682</v>
      </c>
      <c r="CO37" s="100">
        <v>9470.6911152535995</v>
      </c>
      <c r="CP37" s="100">
        <v>3.2068247958047831</v>
      </c>
      <c r="CQ37" s="100">
        <v>2759.1520543104352</v>
      </c>
      <c r="CR37" s="100">
        <v>14.040414468608317</v>
      </c>
      <c r="CS37" s="100">
        <v>12080.372608790596</v>
      </c>
      <c r="CT37" s="100">
        <v>2.2173632726946653</v>
      </c>
      <c r="CU37" s="100">
        <v>1907.81935982649</v>
      </c>
    </row>
    <row r="38" spans="2:99">
      <c r="C38" s="99" t="s">
        <v>204</v>
      </c>
      <c r="D38" s="100">
        <v>7.3854812081248928</v>
      </c>
      <c r="E38" s="100">
        <v>9172.7676604911176</v>
      </c>
      <c r="F38" s="100">
        <v>13.625833471261913</v>
      </c>
      <c r="G38" s="100">
        <v>16923.285171307296</v>
      </c>
      <c r="H38" s="100">
        <v>8.4597773487340255</v>
      </c>
      <c r="I38" s="100">
        <v>10507.04346712766</v>
      </c>
      <c r="J38" s="100">
        <v>15.00395638679146</v>
      </c>
      <c r="K38" s="100">
        <v>18634.913832394992</v>
      </c>
      <c r="L38" s="100">
        <v>11</v>
      </c>
      <c r="M38" s="100">
        <v>13662</v>
      </c>
      <c r="N38" s="100">
        <v>16</v>
      </c>
      <c r="O38" s="100">
        <v>19872</v>
      </c>
      <c r="P38" s="100">
        <v>11.339488621261077</v>
      </c>
      <c r="Q38" s="100">
        <v>14083.644867606259</v>
      </c>
      <c r="R38" s="100">
        <v>14.19513345184323</v>
      </c>
      <c r="S38" s="100">
        <v>17630.355747189293</v>
      </c>
      <c r="T38" s="100">
        <v>6.2423651244844125</v>
      </c>
      <c r="U38" s="100">
        <v>7753.0174846096406</v>
      </c>
      <c r="V38" s="100">
        <v>15.501553414425898</v>
      </c>
      <c r="W38" s="100">
        <v>19252.929340716964</v>
      </c>
      <c r="X38" s="100">
        <v>6.1040948930621273</v>
      </c>
      <c r="Y38" s="100">
        <v>7581.2858571831621</v>
      </c>
      <c r="Z38" s="100">
        <v>19.550512286096822</v>
      </c>
      <c r="AA38" s="100">
        <v>24281.736259332254</v>
      </c>
      <c r="AB38" s="100">
        <v>7.9003300023013496</v>
      </c>
      <c r="AC38" s="100">
        <v>9812.2098628582771</v>
      </c>
      <c r="AD38" s="100">
        <v>8.6471915805187631</v>
      </c>
      <c r="AE38" s="100">
        <v>10739.811943004304</v>
      </c>
      <c r="AF38" s="100">
        <v>15.566195860287785</v>
      </c>
      <c r="AG38" s="100">
        <v>19333.215258477427</v>
      </c>
      <c r="AH38" s="100">
        <v>6.2583332180620665</v>
      </c>
      <c r="AI38" s="100">
        <v>7772.849856833087</v>
      </c>
      <c r="AJ38" s="100">
        <v>4.3886197309026675</v>
      </c>
      <c r="AK38" s="100">
        <v>5450.6657057811135</v>
      </c>
      <c r="AL38" s="100">
        <v>14.194298529965474</v>
      </c>
      <c r="AM38" s="100">
        <v>17629.318774217118</v>
      </c>
      <c r="AN38" s="100">
        <v>14</v>
      </c>
      <c r="AO38" s="100">
        <v>17388</v>
      </c>
      <c r="AP38" s="100">
        <v>17</v>
      </c>
      <c r="AQ38" s="100">
        <v>21114</v>
      </c>
      <c r="AR38" s="100">
        <v>9.5342340027206998</v>
      </c>
      <c r="AS38" s="100">
        <v>11841.518631379109</v>
      </c>
      <c r="AT38" s="100">
        <v>8.9507729238663334</v>
      </c>
      <c r="AU38" s="100">
        <v>11116.859971441985</v>
      </c>
      <c r="AV38" s="100">
        <v>7.777318029138538</v>
      </c>
      <c r="AW38" s="100">
        <v>9659.4289921900636</v>
      </c>
      <c r="AX38" s="100">
        <v>19</v>
      </c>
      <c r="AY38" s="100">
        <v>23598</v>
      </c>
      <c r="AZ38" s="100">
        <v>9.6097591678116938</v>
      </c>
      <c r="BA38" s="100">
        <v>11935.320886422123</v>
      </c>
      <c r="BB38" s="100">
        <v>13.511465257474041</v>
      </c>
      <c r="BC38" s="100">
        <v>16781.23984978276</v>
      </c>
      <c r="BD38" s="100">
        <v>10.665738081333295</v>
      </c>
      <c r="BE38" s="100">
        <v>13246.846697015952</v>
      </c>
      <c r="BF38" s="100">
        <v>11.151220756989618</v>
      </c>
      <c r="BG38" s="100">
        <v>13849.816180181106</v>
      </c>
      <c r="BH38" s="100">
        <v>6.7696586890323491</v>
      </c>
      <c r="BI38" s="100">
        <v>8407.9160917781774</v>
      </c>
      <c r="BJ38" s="100">
        <v>13.306606667110577</v>
      </c>
      <c r="BK38" s="100">
        <v>16526.805480551335</v>
      </c>
      <c r="BL38" s="100">
        <v>13.697154948807599</v>
      </c>
      <c r="BM38" s="100">
        <v>17011.866446419037</v>
      </c>
      <c r="BN38" s="100">
        <v>2.843724217627885</v>
      </c>
      <c r="BO38" s="100">
        <v>3531.9054782938333</v>
      </c>
      <c r="BP38" s="100">
        <v>13.674177400269032</v>
      </c>
      <c r="BQ38" s="100">
        <v>16983.328331134137</v>
      </c>
      <c r="BR38" s="100">
        <v>5.543735139984757</v>
      </c>
      <c r="BS38" s="100">
        <v>6885.3190438610682</v>
      </c>
      <c r="BT38" s="100">
        <v>14.645622795037227</v>
      </c>
      <c r="BU38" s="100">
        <v>18189.863511436237</v>
      </c>
      <c r="BV38" s="100">
        <v>7.824785438013901</v>
      </c>
      <c r="BW38" s="100">
        <v>9718.3835140132651</v>
      </c>
      <c r="BX38" s="100">
        <v>5.6720980828813286</v>
      </c>
      <c r="BY38" s="100">
        <v>7044.7458189386098</v>
      </c>
      <c r="BZ38" s="100">
        <v>19.206752772181851</v>
      </c>
      <c r="CA38" s="100">
        <v>23854.786943049858</v>
      </c>
      <c r="CB38" s="100">
        <v>8.4945595203941462</v>
      </c>
      <c r="CC38" s="100">
        <v>10550.24292432953</v>
      </c>
      <c r="CD38" s="100">
        <v>19</v>
      </c>
      <c r="CE38" s="100">
        <v>23598</v>
      </c>
      <c r="CF38" s="100">
        <v>17.183570100525834</v>
      </c>
      <c r="CG38" s="100">
        <v>21341.994064853086</v>
      </c>
      <c r="CH38" s="100">
        <v>8.8439833292445051</v>
      </c>
      <c r="CI38" s="100">
        <v>10984.227294921675</v>
      </c>
      <c r="CJ38" s="100">
        <v>12.091034248320915</v>
      </c>
      <c r="CK38" s="100">
        <v>15017.064536414577</v>
      </c>
      <c r="CL38" s="100">
        <v>12.095186589077723</v>
      </c>
      <c r="CM38" s="100">
        <v>15022.221743634533</v>
      </c>
      <c r="CN38" s="100">
        <v>12.319939204144427</v>
      </c>
      <c r="CO38" s="100">
        <v>15301.36449154738</v>
      </c>
      <c r="CP38" s="100">
        <v>3.2068247958047831</v>
      </c>
      <c r="CQ38" s="100">
        <v>3982.8763963895408</v>
      </c>
      <c r="CR38" s="100">
        <v>12.764209858214167</v>
      </c>
      <c r="CS38" s="100">
        <v>15853.148643901995</v>
      </c>
      <c r="CT38" s="100">
        <v>2.4189417520305438</v>
      </c>
      <c r="CU38" s="100">
        <v>3004.3256560219356</v>
      </c>
    </row>
    <row r="39" spans="2:99">
      <c r="C39" s="99" t="s">
        <v>205</v>
      </c>
      <c r="D39" s="100">
        <v>7.3854812081248928</v>
      </c>
      <c r="E39" s="100">
        <v>10511.016855403348</v>
      </c>
      <c r="F39" s="100">
        <v>13.625833471261913</v>
      </c>
      <c r="G39" s="100">
        <v>19392.286196299956</v>
      </c>
      <c r="H39" s="100">
        <v>8.4597773487340255</v>
      </c>
      <c r="I39" s="100">
        <v>12039.955122718266</v>
      </c>
      <c r="J39" s="100">
        <v>14.170403254191934</v>
      </c>
      <c r="K39" s="100">
        <v>20167.317911365961</v>
      </c>
      <c r="L39" s="100">
        <v>11</v>
      </c>
      <c r="M39" s="100">
        <v>15655.2</v>
      </c>
      <c r="N39" s="100">
        <v>16</v>
      </c>
      <c r="O39" s="100">
        <v>22771.200000000001</v>
      </c>
      <c r="P39" s="100">
        <v>9.5949519102978353</v>
      </c>
      <c r="Q39" s="100">
        <v>13655.535558735879</v>
      </c>
      <c r="R39" s="100">
        <v>15.030141301951653</v>
      </c>
      <c r="S39" s="100">
        <v>21390.897100937593</v>
      </c>
      <c r="T39" s="100">
        <v>6.2423651244844125</v>
      </c>
      <c r="U39" s="100">
        <v>8884.1340451662163</v>
      </c>
      <c r="V39" s="100">
        <v>15.330255607068775</v>
      </c>
      <c r="W39" s="100">
        <v>21818.019779980281</v>
      </c>
      <c r="X39" s="100">
        <v>6.1144843958455652</v>
      </c>
      <c r="Y39" s="100">
        <v>8702.1341921674084</v>
      </c>
      <c r="Z39" s="100">
        <v>17.378233143197175</v>
      </c>
      <c r="AA39" s="100">
        <v>24732.701409398222</v>
      </c>
      <c r="AB39" s="100">
        <v>7.8886687434392613</v>
      </c>
      <c r="AC39" s="100">
        <v>11227.153355662756</v>
      </c>
      <c r="AD39" s="100">
        <v>8.1823771631982218</v>
      </c>
      <c r="AE39" s="100">
        <v>11645.159178663709</v>
      </c>
      <c r="AF39" s="100">
        <v>14.566195860287785</v>
      </c>
      <c r="AG39" s="100">
        <v>20730.609948361576</v>
      </c>
      <c r="AH39" s="100">
        <v>6.2583332180620665</v>
      </c>
      <c r="AI39" s="100">
        <v>8906.8598359459338</v>
      </c>
      <c r="AJ39" s="100">
        <v>4.3706865302422475</v>
      </c>
      <c r="AK39" s="100">
        <v>6220.3610698407665</v>
      </c>
      <c r="AL39" s="100">
        <v>14.194298529965474</v>
      </c>
      <c r="AM39" s="100">
        <v>20201.325667846864</v>
      </c>
      <c r="AN39" s="100">
        <v>15</v>
      </c>
      <c r="AO39" s="100">
        <v>21348</v>
      </c>
      <c r="AP39" s="100">
        <v>17</v>
      </c>
      <c r="AQ39" s="100">
        <v>24194.400000000001</v>
      </c>
      <c r="AR39" s="100">
        <v>8.6674854570188185</v>
      </c>
      <c r="AS39" s="100">
        <v>12335.565302429182</v>
      </c>
      <c r="AT39" s="100">
        <v>9.7644795533087265</v>
      </c>
      <c r="AU39" s="100">
        <v>13896.80730026898</v>
      </c>
      <c r="AV39" s="100">
        <v>6.8623394374751809</v>
      </c>
      <c r="AW39" s="100">
        <v>9766.4814874146778</v>
      </c>
      <c r="AX39" s="100">
        <v>17</v>
      </c>
      <c r="AY39" s="100">
        <v>24194.400000000001</v>
      </c>
      <c r="AZ39" s="100">
        <v>9.6097591678116938</v>
      </c>
      <c r="BA39" s="100">
        <v>13676.609247629603</v>
      </c>
      <c r="BB39" s="100">
        <v>13.511465257474041</v>
      </c>
      <c r="BC39" s="100">
        <v>19229.517354437055</v>
      </c>
      <c r="BD39" s="100">
        <v>10.242238501277512</v>
      </c>
      <c r="BE39" s="100">
        <v>14576.753835018157</v>
      </c>
      <c r="BF39" s="100">
        <v>11.761439075032207</v>
      </c>
      <c r="BG39" s="100">
        <v>16738.880091585837</v>
      </c>
      <c r="BH39" s="100">
        <v>6.3846321293675112</v>
      </c>
      <c r="BI39" s="100">
        <v>9086.6084465158419</v>
      </c>
      <c r="BJ39" s="100">
        <v>14.306606667110577</v>
      </c>
      <c r="BK39" s="100">
        <v>20361.162608631774</v>
      </c>
      <c r="BL39" s="100">
        <v>14.540873116665983</v>
      </c>
      <c r="BM39" s="100">
        <v>20694.570619639027</v>
      </c>
      <c r="BN39" s="100">
        <v>3.2762943311607557</v>
      </c>
      <c r="BO39" s="100">
        <v>4662.8220921079874</v>
      </c>
      <c r="BP39" s="100">
        <v>14.674177400269032</v>
      </c>
      <c r="BQ39" s="100">
        <v>20884.289276062889</v>
      </c>
      <c r="BR39" s="100">
        <v>5.1744560581870109</v>
      </c>
      <c r="BS39" s="100">
        <v>7364.285862011754</v>
      </c>
      <c r="BT39" s="100">
        <v>11.975248105466049</v>
      </c>
      <c r="BU39" s="100">
        <v>17043.173103699282</v>
      </c>
      <c r="BV39" s="100">
        <v>9.5846370741146654</v>
      </c>
      <c r="BW39" s="100">
        <v>13640.855483879992</v>
      </c>
      <c r="BX39" s="100">
        <v>5.6368855909781459</v>
      </c>
      <c r="BY39" s="100">
        <v>8022.4155730800976</v>
      </c>
      <c r="BZ39" s="100">
        <v>20.206752772181851</v>
      </c>
      <c r="CA39" s="100">
        <v>28758.25054536921</v>
      </c>
      <c r="CB39" s="100">
        <v>9.2667922040663395</v>
      </c>
      <c r="CC39" s="100">
        <v>13188.498664827215</v>
      </c>
      <c r="CD39" s="100">
        <v>19</v>
      </c>
      <c r="CE39" s="100">
        <v>27040.799999999999</v>
      </c>
      <c r="CF39" s="100">
        <v>15.54703961476147</v>
      </c>
      <c r="CG39" s="100">
        <v>22126.546779728524</v>
      </c>
      <c r="CH39" s="100">
        <v>9.7283816621689549</v>
      </c>
      <c r="CI39" s="100">
        <v>13845.432781598856</v>
      </c>
      <c r="CJ39" s="100">
        <v>12.091034248320915</v>
      </c>
      <c r="CK39" s="100">
        <v>17207.959942210327</v>
      </c>
      <c r="CL39" s="100">
        <v>11.460939508553414</v>
      </c>
      <c r="CM39" s="100">
        <v>16311.209108573219</v>
      </c>
      <c r="CN39" s="100">
        <v>11.663625526789556</v>
      </c>
      <c r="CO39" s="100">
        <v>16599.671849726896</v>
      </c>
      <c r="CP39" s="100">
        <v>3.2068247958047831</v>
      </c>
      <c r="CQ39" s="100">
        <v>4563.9530493893672</v>
      </c>
      <c r="CR39" s="100">
        <v>12.689011719116118</v>
      </c>
      <c r="CS39" s="100">
        <v>18059.00147864606</v>
      </c>
      <c r="CT39" s="100">
        <v>2.4189417520305438</v>
      </c>
      <c r="CU39" s="100">
        <v>3442.6379014898703</v>
      </c>
    </row>
    <row r="40" spans="2:99">
      <c r="C40" s="99" t="s">
        <v>206</v>
      </c>
      <c r="D40" s="100">
        <v>7.3854812081248928</v>
      </c>
      <c r="E40" s="100">
        <v>5352.9967796489218</v>
      </c>
      <c r="F40" s="100">
        <v>15.625833471261913</v>
      </c>
      <c r="G40" s="100">
        <v>11325.604099970635</v>
      </c>
      <c r="H40" s="100">
        <v>9.2288480168007556</v>
      </c>
      <c r="I40" s="100">
        <v>6689.0690425771872</v>
      </c>
      <c r="J40" s="100">
        <v>16.671062651990511</v>
      </c>
      <c r="K40" s="100">
        <v>12083.186210162721</v>
      </c>
      <c r="L40" s="100">
        <v>11</v>
      </c>
      <c r="M40" s="100">
        <v>7972.7999999999993</v>
      </c>
      <c r="N40" s="100">
        <v>17</v>
      </c>
      <c r="O40" s="100">
        <v>12321.599999999999</v>
      </c>
      <c r="P40" s="100">
        <v>12.211756976742699</v>
      </c>
      <c r="Q40" s="100">
        <v>8851.081456743108</v>
      </c>
      <c r="R40" s="100">
        <v>15.030141301951653</v>
      </c>
      <c r="S40" s="100">
        <v>10893.846415654558</v>
      </c>
      <c r="T40" s="100">
        <v>5.7964819013069544</v>
      </c>
      <c r="U40" s="100">
        <v>4201.2900820672803</v>
      </c>
      <c r="V40" s="100">
        <v>17.324523199670455</v>
      </c>
      <c r="W40" s="100">
        <v>12556.814415121145</v>
      </c>
      <c r="X40" s="100">
        <v>6.976108449213859</v>
      </c>
      <c r="Y40" s="100">
        <v>5056.2834039902045</v>
      </c>
      <c r="Z40" s="100">
        <v>18.550512286096822</v>
      </c>
      <c r="AA40" s="100">
        <v>13445.411304962976</v>
      </c>
      <c r="AB40" s="100">
        <v>8.3210974886437299</v>
      </c>
      <c r="AC40" s="100">
        <v>6031.1314597689752</v>
      </c>
      <c r="AD40" s="100">
        <v>8.2671813639630365</v>
      </c>
      <c r="AE40" s="100">
        <v>5992.0530526004086</v>
      </c>
      <c r="AF40" s="100">
        <v>16.566195860287785</v>
      </c>
      <c r="AG40" s="100">
        <v>12007.178759536586</v>
      </c>
      <c r="AH40" s="100">
        <v>5.8901959699407689</v>
      </c>
      <c r="AI40" s="100">
        <v>4269.2140390130689</v>
      </c>
      <c r="AJ40" s="100">
        <v>4.4065529315630876</v>
      </c>
      <c r="AK40" s="100">
        <v>3193.8695647969257</v>
      </c>
      <c r="AL40" s="100">
        <v>15.02368445425612</v>
      </c>
      <c r="AM40" s="100">
        <v>10889.166492444836</v>
      </c>
      <c r="AN40" s="100">
        <v>16</v>
      </c>
      <c r="AO40" s="100">
        <v>11596.8</v>
      </c>
      <c r="AP40" s="100">
        <v>16</v>
      </c>
      <c r="AQ40" s="100">
        <v>11596.8</v>
      </c>
      <c r="AR40" s="100">
        <v>9.5342340027206998</v>
      </c>
      <c r="AS40" s="100">
        <v>6910.4128051719626</v>
      </c>
      <c r="AT40" s="100">
        <v>11.391892812193516</v>
      </c>
      <c r="AU40" s="100">
        <v>8256.8439102778593</v>
      </c>
      <c r="AV40" s="100">
        <v>7.3198287333068599</v>
      </c>
      <c r="AW40" s="100">
        <v>5305.4118659008118</v>
      </c>
      <c r="AX40" s="100">
        <v>19.654732322824461</v>
      </c>
      <c r="AY40" s="100">
        <v>14245.749987583169</v>
      </c>
      <c r="AZ40" s="100">
        <v>9.6097591678116938</v>
      </c>
      <c r="BA40" s="100">
        <v>6965.1534448299153</v>
      </c>
      <c r="BB40" s="100">
        <v>11.709936556477503</v>
      </c>
      <c r="BC40" s="100">
        <v>8487.3620161348936</v>
      </c>
      <c r="BD40" s="100">
        <v>11.310649031840583</v>
      </c>
      <c r="BE40" s="100">
        <v>8197.9584182780545</v>
      </c>
      <c r="BF40" s="100">
        <v>13.533422544291806</v>
      </c>
      <c r="BG40" s="100">
        <v>9809.0246601027011</v>
      </c>
      <c r="BH40" s="100">
        <v>7.1225213717102394</v>
      </c>
      <c r="BI40" s="100">
        <v>5162.4034902155809</v>
      </c>
      <c r="BJ40" s="100">
        <v>15.469932500499398</v>
      </c>
      <c r="BK40" s="100">
        <v>11212.607076361963</v>
      </c>
      <c r="BL40" s="100">
        <v>15.384591284524371</v>
      </c>
      <c r="BM40" s="100">
        <v>11150.751763023263</v>
      </c>
      <c r="BN40" s="100">
        <v>3.4977916985702047</v>
      </c>
      <c r="BO40" s="100">
        <v>2535.199423123684</v>
      </c>
      <c r="BP40" s="100">
        <v>15.674177400269032</v>
      </c>
      <c r="BQ40" s="100">
        <v>11360.643779714994</v>
      </c>
      <c r="BR40" s="100">
        <v>4.8057455905165893</v>
      </c>
      <c r="BS40" s="100">
        <v>3483.2044040064238</v>
      </c>
      <c r="BT40" s="100">
        <v>14.789372722501819</v>
      </c>
      <c r="BU40" s="100">
        <v>10719.337349269317</v>
      </c>
      <c r="BV40" s="100">
        <v>9.6130316000542742</v>
      </c>
      <c r="BW40" s="100">
        <v>6967.5253037193379</v>
      </c>
      <c r="BX40" s="100">
        <v>6.0691378482878804</v>
      </c>
      <c r="BY40" s="100">
        <v>4398.9111124390556</v>
      </c>
      <c r="BZ40" s="100">
        <v>20.206752772181851</v>
      </c>
      <c r="CA40" s="100">
        <v>14645.854409277405</v>
      </c>
      <c r="CB40" s="100">
        <v>9.2667922040663395</v>
      </c>
      <c r="CC40" s="100">
        <v>6716.5709895072823</v>
      </c>
      <c r="CD40" s="100">
        <v>21</v>
      </c>
      <c r="CE40" s="100">
        <v>15220.8</v>
      </c>
      <c r="CF40" s="100">
        <v>15.54703961476147</v>
      </c>
      <c r="CG40" s="100">
        <v>11268.494312779112</v>
      </c>
      <c r="CH40" s="100">
        <v>10.612779995093405</v>
      </c>
      <c r="CI40" s="100">
        <v>7692.1429404436994</v>
      </c>
      <c r="CJ40" s="100">
        <v>12.091034248320915</v>
      </c>
      <c r="CK40" s="100">
        <v>8763.5816231829976</v>
      </c>
      <c r="CL40" s="100">
        <v>12.095186589077723</v>
      </c>
      <c r="CM40" s="100">
        <v>8766.5912397635329</v>
      </c>
      <c r="CN40" s="100">
        <v>12.319939204144427</v>
      </c>
      <c r="CO40" s="100">
        <v>8929.49193516388</v>
      </c>
      <c r="CP40" s="100">
        <v>3.3954615484991821</v>
      </c>
      <c r="CQ40" s="100">
        <v>2461.0305303522073</v>
      </c>
      <c r="CR40" s="100">
        <v>13.364713093862216</v>
      </c>
      <c r="CS40" s="100">
        <v>9686.7440504313327</v>
      </c>
      <c r="CT40" s="100">
        <v>2.6205202313664224</v>
      </c>
      <c r="CU40" s="100">
        <v>1899.3530636943829</v>
      </c>
    </row>
    <row r="41" spans="2:99">
      <c r="C41" s="99" t="s">
        <v>207</v>
      </c>
      <c r="D41" s="100">
        <v>7.3854812081248928</v>
      </c>
      <c r="E41" s="100">
        <v>4874.4175973624297</v>
      </c>
      <c r="F41" s="100">
        <v>15.625833471261913</v>
      </c>
      <c r="G41" s="100">
        <v>10313.050091032863</v>
      </c>
      <c r="H41" s="100">
        <v>9.9979186848674839</v>
      </c>
      <c r="I41" s="100">
        <v>6598.626332012539</v>
      </c>
      <c r="J41" s="100">
        <v>16.671062651990511</v>
      </c>
      <c r="K41" s="100">
        <v>11002.901350313738</v>
      </c>
      <c r="L41" s="100">
        <v>13</v>
      </c>
      <c r="M41" s="100">
        <v>8580</v>
      </c>
      <c r="N41" s="100">
        <v>16</v>
      </c>
      <c r="O41" s="100">
        <v>10560</v>
      </c>
      <c r="P41" s="100">
        <v>11.339488621261077</v>
      </c>
      <c r="Q41" s="100">
        <v>7484.062490032311</v>
      </c>
      <c r="R41" s="100">
        <v>15.030141301951653</v>
      </c>
      <c r="S41" s="100">
        <v>9919.8932592880919</v>
      </c>
      <c r="T41" s="100">
        <v>6.2423651244844125</v>
      </c>
      <c r="U41" s="100">
        <v>4119.9609821597123</v>
      </c>
      <c r="V41" s="100">
        <v>16.498687210726739</v>
      </c>
      <c r="W41" s="100">
        <v>10889.133559079648</v>
      </c>
      <c r="X41" s="100">
        <v>7.3965309731145679</v>
      </c>
      <c r="Y41" s="100">
        <v>4881.7104422556149</v>
      </c>
      <c r="Z41" s="100">
        <v>18.550512286096822</v>
      </c>
      <c r="AA41" s="100">
        <v>12243.338108823902</v>
      </c>
      <c r="AB41" s="100">
        <v>7.8886687434392613</v>
      </c>
      <c r="AC41" s="100">
        <v>5206.5213706699124</v>
      </c>
      <c r="AD41" s="100">
        <v>8.7409211126602084</v>
      </c>
      <c r="AE41" s="100">
        <v>5769.0079343557372</v>
      </c>
      <c r="AF41" s="100">
        <v>15.566195860287785</v>
      </c>
      <c r="AG41" s="100">
        <v>10273.689267789938</v>
      </c>
      <c r="AH41" s="100">
        <v>6.2583332180620665</v>
      </c>
      <c r="AI41" s="100">
        <v>4130.4999239209637</v>
      </c>
      <c r="AJ41" s="100">
        <v>4.3886197309026675</v>
      </c>
      <c r="AK41" s="100">
        <v>2896.4890223957605</v>
      </c>
      <c r="AL41" s="100">
        <v>15.02368445425612</v>
      </c>
      <c r="AM41" s="100">
        <v>9915.6317398090396</v>
      </c>
      <c r="AN41" s="100">
        <v>15</v>
      </c>
      <c r="AO41" s="100">
        <v>9900</v>
      </c>
      <c r="AP41" s="100">
        <v>17</v>
      </c>
      <c r="AQ41" s="100">
        <v>11220</v>
      </c>
      <c r="AR41" s="100">
        <v>9.5342340027206998</v>
      </c>
      <c r="AS41" s="100">
        <v>6292.5944417956616</v>
      </c>
      <c r="AT41" s="100">
        <v>10.578186182751121</v>
      </c>
      <c r="AU41" s="100">
        <v>6981.6028806157401</v>
      </c>
      <c r="AV41" s="100">
        <v>8.2348073249702178</v>
      </c>
      <c r="AW41" s="100">
        <v>5434.9728344803434</v>
      </c>
      <c r="AX41" s="100">
        <v>19</v>
      </c>
      <c r="AY41" s="100">
        <v>12540</v>
      </c>
      <c r="AZ41" s="100">
        <v>9.6097591678116938</v>
      </c>
      <c r="BA41" s="100">
        <v>6342.4410507557177</v>
      </c>
      <c r="BB41" s="100">
        <v>12.610700906975772</v>
      </c>
      <c r="BC41" s="100">
        <v>8323.0625986040104</v>
      </c>
      <c r="BD41" s="100">
        <v>9.8745018364070738</v>
      </c>
      <c r="BE41" s="100">
        <v>6517.1712120286684</v>
      </c>
      <c r="BF41" s="100">
        <v>11.677436685584906</v>
      </c>
      <c r="BG41" s="100">
        <v>7707.1082124860386</v>
      </c>
      <c r="BH41" s="100">
        <v>6.7535767505388753</v>
      </c>
      <c r="BI41" s="100">
        <v>4457.3606553556574</v>
      </c>
      <c r="BJ41" s="100">
        <v>15.306606667110577</v>
      </c>
      <c r="BK41" s="100">
        <v>10102.360400292981</v>
      </c>
      <c r="BL41" s="100">
        <v>13.67519225291055</v>
      </c>
      <c r="BM41" s="100">
        <v>9025.6268869209634</v>
      </c>
      <c r="BN41" s="100">
        <v>3.2792727943853346</v>
      </c>
      <c r="BO41" s="100">
        <v>2164.3200442943207</v>
      </c>
      <c r="BP41" s="100">
        <v>15.674177400269032</v>
      </c>
      <c r="BQ41" s="100">
        <v>10344.957084177562</v>
      </c>
      <c r="BR41" s="100">
        <v>5.1750246723143345</v>
      </c>
      <c r="BS41" s="100">
        <v>3415.5162837274606</v>
      </c>
      <c r="BT41" s="100">
        <v>13.755497898513502</v>
      </c>
      <c r="BU41" s="100">
        <v>9078.628613018911</v>
      </c>
      <c r="BV41" s="100">
        <v>9.0264143880206849</v>
      </c>
      <c r="BW41" s="100">
        <v>5957.4334960936521</v>
      </c>
      <c r="BX41" s="100">
        <v>6.0691378482878804</v>
      </c>
      <c r="BY41" s="100">
        <v>4005.6309798700013</v>
      </c>
      <c r="BZ41" s="100">
        <v>23.379146025350686</v>
      </c>
      <c r="CA41" s="100">
        <v>15430.236376731453</v>
      </c>
      <c r="CB41" s="100">
        <v>10.039024887738536</v>
      </c>
      <c r="CC41" s="100">
        <v>6625.7564259074343</v>
      </c>
      <c r="CD41" s="100">
        <v>18</v>
      </c>
      <c r="CE41" s="100">
        <v>11880</v>
      </c>
      <c r="CF41" s="100">
        <v>15.54703961476147</v>
      </c>
      <c r="CG41" s="100">
        <v>10261.04614574257</v>
      </c>
      <c r="CH41" s="100">
        <v>8.8439833292445051</v>
      </c>
      <c r="CI41" s="100">
        <v>5837.0289973013732</v>
      </c>
      <c r="CJ41" s="100">
        <v>13.818324855223905</v>
      </c>
      <c r="CK41" s="100">
        <v>9120.0944044477765</v>
      </c>
      <c r="CL41" s="100">
        <v>12.898758304444534</v>
      </c>
      <c r="CM41" s="100">
        <v>8513.1804809333935</v>
      </c>
      <c r="CN41" s="100">
        <v>11.764884129140896</v>
      </c>
      <c r="CO41" s="100">
        <v>7764.8235252329914</v>
      </c>
      <c r="CP41" s="100">
        <v>3.2068247958047831</v>
      </c>
      <c r="CQ41" s="100">
        <v>2116.504365231157</v>
      </c>
      <c r="CR41" s="100">
        <v>14.716115843354414</v>
      </c>
      <c r="CS41" s="100">
        <v>9712.6364566139127</v>
      </c>
      <c r="CT41" s="100">
        <v>2.2173632726946653</v>
      </c>
      <c r="CU41" s="100">
        <v>1463.459759978479</v>
      </c>
    </row>
    <row r="42" spans="2:99">
      <c r="C42" s="99" t="s">
        <v>208</v>
      </c>
      <c r="D42" s="100">
        <v>7.8199212791910631</v>
      </c>
      <c r="E42" s="100">
        <v>6615.6534021956395</v>
      </c>
      <c r="F42" s="100">
        <v>13.625833471261913</v>
      </c>
      <c r="G42" s="100">
        <v>11527.455116687579</v>
      </c>
      <c r="H42" s="100">
        <v>8.4597773487340255</v>
      </c>
      <c r="I42" s="100">
        <v>7156.9716370289852</v>
      </c>
      <c r="J42" s="100">
        <v>16.671062651990511</v>
      </c>
      <c r="K42" s="100">
        <v>14103.719003583972</v>
      </c>
      <c r="L42" s="100">
        <v>13</v>
      </c>
      <c r="M42" s="100">
        <v>10998</v>
      </c>
      <c r="N42" s="100">
        <v>17</v>
      </c>
      <c r="O42" s="100">
        <v>14382</v>
      </c>
      <c r="P42" s="100">
        <v>12.211756976742699</v>
      </c>
      <c r="Q42" s="100">
        <v>10331.146402324322</v>
      </c>
      <c r="R42" s="100">
        <v>15.865149152060081</v>
      </c>
      <c r="S42" s="100">
        <v>13421.916182642828</v>
      </c>
      <c r="T42" s="100">
        <v>5.7964819013069544</v>
      </c>
      <c r="U42" s="100">
        <v>4903.8236885056831</v>
      </c>
      <c r="V42" s="100">
        <v>15.330255607068775</v>
      </c>
      <c r="W42" s="100">
        <v>12969.396243580184</v>
      </c>
      <c r="X42" s="100">
        <v>6.976108449213859</v>
      </c>
      <c r="Y42" s="100">
        <v>5901.7877480349243</v>
      </c>
      <c r="Z42" s="100">
        <v>19.550512286096822</v>
      </c>
      <c r="AA42" s="100">
        <v>16539.73339403791</v>
      </c>
      <c r="AB42" s="100">
        <v>7.8886687434392613</v>
      </c>
      <c r="AC42" s="100">
        <v>6673.8137569496148</v>
      </c>
      <c r="AD42" s="100">
        <v>8.2761066953396671</v>
      </c>
      <c r="AE42" s="100">
        <v>7001.5862642573584</v>
      </c>
      <c r="AF42" s="100">
        <v>15.392174098033585</v>
      </c>
      <c r="AG42" s="100">
        <v>13021.779286936413</v>
      </c>
      <c r="AH42" s="100">
        <v>6.2583332180620665</v>
      </c>
      <c r="AI42" s="100">
        <v>5294.5499024805085</v>
      </c>
      <c r="AJ42" s="100">
        <v>4.4065529315630876</v>
      </c>
      <c r="AK42" s="100">
        <v>3727.9437801023719</v>
      </c>
      <c r="AL42" s="100">
        <v>14.194298529965474</v>
      </c>
      <c r="AM42" s="100">
        <v>12008.376556350791</v>
      </c>
      <c r="AN42" s="100">
        <v>15</v>
      </c>
      <c r="AO42" s="100">
        <v>12690</v>
      </c>
      <c r="AP42" s="100">
        <v>18</v>
      </c>
      <c r="AQ42" s="100">
        <v>15228</v>
      </c>
      <c r="AR42" s="100">
        <v>9.5342340027206998</v>
      </c>
      <c r="AS42" s="100">
        <v>8065.961966301712</v>
      </c>
      <c r="AT42" s="100">
        <v>9.7644795533087265</v>
      </c>
      <c r="AU42" s="100">
        <v>8260.7497020991832</v>
      </c>
      <c r="AV42" s="100">
        <v>6.404850141643502</v>
      </c>
      <c r="AW42" s="100">
        <v>5418.5032198304025</v>
      </c>
      <c r="AX42" s="100">
        <v>19</v>
      </c>
      <c r="AY42" s="100">
        <v>16074</v>
      </c>
      <c r="AZ42" s="100">
        <v>8.7361446980106319</v>
      </c>
      <c r="BA42" s="100">
        <v>7390.7784145169944</v>
      </c>
      <c r="BB42" s="100">
        <v>12.610700906975772</v>
      </c>
      <c r="BC42" s="100">
        <v>10668.652967301503</v>
      </c>
      <c r="BD42" s="100">
        <v>11.382832874206368</v>
      </c>
      <c r="BE42" s="100">
        <v>9629.8766115785875</v>
      </c>
      <c r="BF42" s="100">
        <v>12.943611699246841</v>
      </c>
      <c r="BG42" s="100">
        <v>10950.295497562827</v>
      </c>
      <c r="BH42" s="100">
        <v>6.7535767505388753</v>
      </c>
      <c r="BI42" s="100">
        <v>5713.5259309558887</v>
      </c>
      <c r="BJ42" s="100">
        <v>14.143280833721754</v>
      </c>
      <c r="BK42" s="100">
        <v>11965.215585328604</v>
      </c>
      <c r="BL42" s="100">
        <v>14.540873116665983</v>
      </c>
      <c r="BM42" s="100">
        <v>12301.578656699421</v>
      </c>
      <c r="BN42" s="100">
        <v>3.2762943311607557</v>
      </c>
      <c r="BO42" s="100">
        <v>2771.7450041619995</v>
      </c>
      <c r="BP42" s="100">
        <v>15.674177400269032</v>
      </c>
      <c r="BQ42" s="100">
        <v>13260.354080627601</v>
      </c>
      <c r="BR42" s="100">
        <v>4.8006280633706861</v>
      </c>
      <c r="BS42" s="100">
        <v>4061.3313416116007</v>
      </c>
      <c r="BT42" s="100">
        <v>14.645622795037227</v>
      </c>
      <c r="BU42" s="100">
        <v>12390.196884601493</v>
      </c>
      <c r="BV42" s="100">
        <v>9.6414261259938812</v>
      </c>
      <c r="BW42" s="100">
        <v>8156.6465025908237</v>
      </c>
      <c r="BX42" s="100">
        <v>6.0691378482878804</v>
      </c>
      <c r="BY42" s="100">
        <v>5134.4906196515467</v>
      </c>
      <c r="BZ42" s="100">
        <v>20.206752772181851</v>
      </c>
      <c r="CA42" s="100">
        <v>17094.912845265844</v>
      </c>
      <c r="CB42" s="100">
        <v>9.2667922040663395</v>
      </c>
      <c r="CC42" s="100">
        <v>7839.7062046401234</v>
      </c>
      <c r="CD42" s="100">
        <v>20</v>
      </c>
      <c r="CE42" s="100">
        <v>16920</v>
      </c>
      <c r="CF42" s="100">
        <v>14.728774371879286</v>
      </c>
      <c r="CG42" s="100">
        <v>12460.543118609876</v>
      </c>
      <c r="CH42" s="100">
        <v>9.7283816621689549</v>
      </c>
      <c r="CI42" s="100">
        <v>8230.2108861949364</v>
      </c>
      <c r="CJ42" s="100">
        <v>12.95467955177241</v>
      </c>
      <c r="CK42" s="100">
        <v>10959.658900799459</v>
      </c>
      <c r="CL42" s="100">
        <v>12.179848906498973</v>
      </c>
      <c r="CM42" s="100">
        <v>10304.152174898132</v>
      </c>
      <c r="CN42" s="100">
        <v>12.319939204144427</v>
      </c>
      <c r="CO42" s="100">
        <v>10422.668566706185</v>
      </c>
      <c r="CP42" s="100">
        <v>3.3954615484991821</v>
      </c>
      <c r="CQ42" s="100">
        <v>2872.5604700303079</v>
      </c>
      <c r="CR42" s="100">
        <v>13.364713093862216</v>
      </c>
      <c r="CS42" s="100">
        <v>11306.547277407435</v>
      </c>
      <c r="CT42" s="100">
        <v>2.4189417520305438</v>
      </c>
      <c r="CU42" s="100">
        <v>2046.4247222178401</v>
      </c>
    </row>
    <row r="43" spans="2:99">
      <c r="C43" s="99" t="s">
        <v>209</v>
      </c>
      <c r="D43" s="100">
        <v>7.8199212791910631</v>
      </c>
      <c r="E43" s="100">
        <v>7995.0875158449426</v>
      </c>
      <c r="F43" s="100">
        <v>13.625833471261913</v>
      </c>
      <c r="G43" s="100">
        <v>13931.052141018179</v>
      </c>
      <c r="H43" s="100">
        <v>9.2288480168007556</v>
      </c>
      <c r="I43" s="100">
        <v>9435.5742123770924</v>
      </c>
      <c r="J43" s="100">
        <v>16.671062651990511</v>
      </c>
      <c r="K43" s="100">
        <v>17044.494455395099</v>
      </c>
      <c r="L43" s="100">
        <v>13</v>
      </c>
      <c r="M43" s="100">
        <v>13291.199999999999</v>
      </c>
      <c r="N43" s="100">
        <v>18</v>
      </c>
      <c r="O43" s="100">
        <v>18403.2</v>
      </c>
      <c r="P43" s="100">
        <v>12.211756976742699</v>
      </c>
      <c r="Q43" s="100">
        <v>12485.300333021734</v>
      </c>
      <c r="R43" s="100">
        <v>14.19513345184323</v>
      </c>
      <c r="S43" s="100">
        <v>14513.104441164518</v>
      </c>
      <c r="T43" s="100">
        <v>6.2423651244844125</v>
      </c>
      <c r="U43" s="100">
        <v>6382.1941032728628</v>
      </c>
      <c r="V43" s="100">
        <v>17.49582100702758</v>
      </c>
      <c r="W43" s="100">
        <v>17887.727397584997</v>
      </c>
      <c r="X43" s="100">
        <v>7.4069204758980058</v>
      </c>
      <c r="Y43" s="100">
        <v>7572.8354945581214</v>
      </c>
      <c r="Z43" s="100">
        <v>19.550512286096822</v>
      </c>
      <c r="AA43" s="100">
        <v>19988.443761305389</v>
      </c>
      <c r="AB43" s="100">
        <v>7.877007484577172</v>
      </c>
      <c r="AC43" s="100">
        <v>8053.4524522317006</v>
      </c>
      <c r="AD43" s="100">
        <v>8.6471915805187631</v>
      </c>
      <c r="AE43" s="100">
        <v>8840.8886719223829</v>
      </c>
      <c r="AF43" s="100">
        <v>15.392174098033585</v>
      </c>
      <c r="AG43" s="100">
        <v>15736.958797829537</v>
      </c>
      <c r="AH43" s="100">
        <v>5.8901959699407689</v>
      </c>
      <c r="AI43" s="100">
        <v>6022.1363596674419</v>
      </c>
      <c r="AJ43" s="100">
        <v>4.4065529315630876</v>
      </c>
      <c r="AK43" s="100">
        <v>4505.2597172301003</v>
      </c>
      <c r="AL43" s="100">
        <v>13.02368445425612</v>
      </c>
      <c r="AM43" s="100">
        <v>13315.414986031457</v>
      </c>
      <c r="AN43" s="100">
        <v>14</v>
      </c>
      <c r="AO43" s="100">
        <v>14313.6</v>
      </c>
      <c r="AP43" s="100">
        <v>15</v>
      </c>
      <c r="AQ43" s="100">
        <v>15336</v>
      </c>
      <c r="AR43" s="100">
        <v>8.6674854570188185</v>
      </c>
      <c r="AS43" s="100">
        <v>8861.6371312560404</v>
      </c>
      <c r="AT43" s="100">
        <v>9.7644795533087265</v>
      </c>
      <c r="AU43" s="100">
        <v>9983.2038953028423</v>
      </c>
      <c r="AV43" s="100">
        <v>7.777318029138538</v>
      </c>
      <c r="AW43" s="100">
        <v>7951.5299529912409</v>
      </c>
      <c r="AX43" s="100">
        <v>21.654732322824461</v>
      </c>
      <c r="AY43" s="100">
        <v>22139.798326855729</v>
      </c>
      <c r="AZ43" s="100">
        <v>9.6097591678116938</v>
      </c>
      <c r="BA43" s="100">
        <v>9825.0177731706754</v>
      </c>
      <c r="BB43" s="100">
        <v>11.709936556477503</v>
      </c>
      <c r="BC43" s="100">
        <v>11972.239135342599</v>
      </c>
      <c r="BD43" s="100">
        <v>9.8745018364070738</v>
      </c>
      <c r="BE43" s="100">
        <v>10095.690677542592</v>
      </c>
      <c r="BF43" s="100">
        <v>12.943611699246841</v>
      </c>
      <c r="BG43" s="100">
        <v>13233.548601309969</v>
      </c>
      <c r="BH43" s="100">
        <v>7.1386033102037132</v>
      </c>
      <c r="BI43" s="100">
        <v>7298.5080243522762</v>
      </c>
      <c r="BJ43" s="100">
        <v>15.143280833721754</v>
      </c>
      <c r="BK43" s="100">
        <v>15482.49032439712</v>
      </c>
      <c r="BL43" s="100">
        <v>13.697154948807599</v>
      </c>
      <c r="BM43" s="100">
        <v>14003.971219660889</v>
      </c>
      <c r="BN43" s="100">
        <v>3.2762943311607557</v>
      </c>
      <c r="BO43" s="100">
        <v>3349.6833241787567</v>
      </c>
      <c r="BP43" s="100">
        <v>13.674177400269032</v>
      </c>
      <c r="BQ43" s="100">
        <v>13980.478974035059</v>
      </c>
      <c r="BR43" s="100">
        <v>4.4358978945915206</v>
      </c>
      <c r="BS43" s="100">
        <v>4535.2620074303704</v>
      </c>
      <c r="BT43" s="100">
        <v>13.755497898513502</v>
      </c>
      <c r="BU43" s="100">
        <v>14063.621051440205</v>
      </c>
      <c r="BV43" s="100">
        <v>9.6414261259938812</v>
      </c>
      <c r="BW43" s="100">
        <v>9857.3940712161439</v>
      </c>
      <c r="BX43" s="100">
        <v>5.6544918369297372</v>
      </c>
      <c r="BY43" s="100">
        <v>5781.1524540769633</v>
      </c>
      <c r="BZ43" s="100">
        <v>21.206752772181851</v>
      </c>
      <c r="CA43" s="100">
        <v>21681.784034278724</v>
      </c>
      <c r="CB43" s="100">
        <v>9.2667922040663395</v>
      </c>
      <c r="CC43" s="100">
        <v>9474.3683494374254</v>
      </c>
      <c r="CD43" s="100">
        <v>18</v>
      </c>
      <c r="CE43" s="100">
        <v>18403.2</v>
      </c>
      <c r="CF43" s="100">
        <v>15.54703961476147</v>
      </c>
      <c r="CG43" s="100">
        <v>15895.293302132126</v>
      </c>
      <c r="CH43" s="100">
        <v>9.7283816621689549</v>
      </c>
      <c r="CI43" s="100">
        <v>9946.2974114015396</v>
      </c>
      <c r="CJ43" s="100">
        <v>13.818324855223905</v>
      </c>
      <c r="CK43" s="100">
        <v>14127.85533198092</v>
      </c>
      <c r="CL43" s="100">
        <v>13.617667702390094</v>
      </c>
      <c r="CM43" s="100">
        <v>13922.703458923632</v>
      </c>
      <c r="CN43" s="100">
        <v>12.319939204144427</v>
      </c>
      <c r="CO43" s="100">
        <v>12595.905842317263</v>
      </c>
      <c r="CP43" s="100">
        <v>3.3954615484991821</v>
      </c>
      <c r="CQ43" s="100">
        <v>3471.5198871855637</v>
      </c>
      <c r="CR43" s="100">
        <v>15.46701535719856</v>
      </c>
      <c r="CS43" s="100">
        <v>15813.476501199808</v>
      </c>
      <c r="CT43" s="100">
        <v>2.2173632726946653</v>
      </c>
      <c r="CU43" s="100">
        <v>2267.0322100030257</v>
      </c>
    </row>
    <row r="44" spans="2:99">
      <c r="C44" s="99" t="s">
        <v>210</v>
      </c>
      <c r="D44" s="100">
        <v>7.8199212791910631</v>
      </c>
      <c r="E44" s="100">
        <v>7995.0875158449426</v>
      </c>
      <c r="F44" s="100">
        <v>12.625833471261913</v>
      </c>
      <c r="G44" s="100">
        <v>12908.652141018179</v>
      </c>
      <c r="H44" s="100">
        <v>9.2288480168007556</v>
      </c>
      <c r="I44" s="100">
        <v>9435.5742123770924</v>
      </c>
      <c r="J44" s="100">
        <v>15.00395638679146</v>
      </c>
      <c r="K44" s="100">
        <v>15340.045009855588</v>
      </c>
      <c r="L44" s="100">
        <v>13</v>
      </c>
      <c r="M44" s="100">
        <v>13291.199999999999</v>
      </c>
      <c r="N44" s="100">
        <v>16</v>
      </c>
      <c r="O44" s="100">
        <v>16358.4</v>
      </c>
      <c r="P44" s="100">
        <v>11.339488621261077</v>
      </c>
      <c r="Q44" s="100">
        <v>11593.493166377326</v>
      </c>
      <c r="R44" s="100">
        <v>16.700157002168506</v>
      </c>
      <c r="S44" s="100">
        <v>17074.240519017079</v>
      </c>
      <c r="T44" s="100">
        <v>5.3505986781294954</v>
      </c>
      <c r="U44" s="100">
        <v>5470.4520885195961</v>
      </c>
      <c r="V44" s="100">
        <v>15.330255607068775</v>
      </c>
      <c r="W44" s="100">
        <v>15673.653332667116</v>
      </c>
      <c r="X44" s="100">
        <v>6.5349069197462741</v>
      </c>
      <c r="Y44" s="100">
        <v>6681.2888347485905</v>
      </c>
      <c r="Z44" s="100">
        <v>19.378233143197175</v>
      </c>
      <c r="AA44" s="100">
        <v>19812.305565604791</v>
      </c>
      <c r="AB44" s="100">
        <v>7.9003300023013496</v>
      </c>
      <c r="AC44" s="100">
        <v>8077.2973943528996</v>
      </c>
      <c r="AD44" s="100">
        <v>8.173451831821593</v>
      </c>
      <c r="AE44" s="100">
        <v>8356.5371528543965</v>
      </c>
      <c r="AF44" s="100">
        <v>13.566195860287785</v>
      </c>
      <c r="AG44" s="100">
        <v>13870.07864755823</v>
      </c>
      <c r="AH44" s="100">
        <v>5.5220587218194703</v>
      </c>
      <c r="AI44" s="100">
        <v>5645.7528371882263</v>
      </c>
      <c r="AJ44" s="100">
        <v>3.9874174791992836</v>
      </c>
      <c r="AK44" s="100">
        <v>4076.7356307333475</v>
      </c>
      <c r="AL44" s="100">
        <v>14.02368445425612</v>
      </c>
      <c r="AM44" s="100">
        <v>14337.814986031457</v>
      </c>
      <c r="AN44" s="100">
        <v>15</v>
      </c>
      <c r="AO44" s="100">
        <v>15336</v>
      </c>
      <c r="AP44" s="100">
        <v>18</v>
      </c>
      <c r="AQ44" s="100">
        <v>18403.2</v>
      </c>
      <c r="AR44" s="100">
        <v>9.5342340027206998</v>
      </c>
      <c r="AS44" s="100">
        <v>9747.8008443816434</v>
      </c>
      <c r="AT44" s="100">
        <v>10.578186182751121</v>
      </c>
      <c r="AU44" s="100">
        <v>10815.137553244746</v>
      </c>
      <c r="AV44" s="100">
        <v>7.3198287333068599</v>
      </c>
      <c r="AW44" s="100">
        <v>7483.7928969329332</v>
      </c>
      <c r="AX44" s="100">
        <v>18</v>
      </c>
      <c r="AY44" s="100">
        <v>18403.2</v>
      </c>
      <c r="AZ44" s="100">
        <v>8.7361446980106319</v>
      </c>
      <c r="BA44" s="100">
        <v>8931.8343392460702</v>
      </c>
      <c r="BB44" s="100">
        <v>12.610700906975772</v>
      </c>
      <c r="BC44" s="100">
        <v>12893.18060729203</v>
      </c>
      <c r="BD44" s="100">
        <v>9.8725442267197163</v>
      </c>
      <c r="BE44" s="100">
        <v>10093.689217398238</v>
      </c>
      <c r="BF44" s="100">
        <v>12.356351788326577</v>
      </c>
      <c r="BG44" s="100">
        <v>12633.134068385092</v>
      </c>
      <c r="BH44" s="100">
        <v>6.3846321293675112</v>
      </c>
      <c r="BI44" s="100">
        <v>6527.6478890653434</v>
      </c>
      <c r="BJ44" s="100">
        <v>13.143280833721754</v>
      </c>
      <c r="BK44" s="100">
        <v>13437.690324397121</v>
      </c>
      <c r="BL44" s="100">
        <v>12.853436780949211</v>
      </c>
      <c r="BM44" s="100">
        <v>13141.353764842474</v>
      </c>
      <c r="BN44" s="100">
        <v>3.2792727943853346</v>
      </c>
      <c r="BO44" s="100">
        <v>3352.728504979566</v>
      </c>
      <c r="BP44" s="100">
        <v>15.561814500224195</v>
      </c>
      <c r="BQ44" s="100">
        <v>15910.399145029216</v>
      </c>
      <c r="BR44" s="100">
        <v>5.1699071451684313</v>
      </c>
      <c r="BS44" s="100">
        <v>5285.713065220204</v>
      </c>
      <c r="BT44" s="100">
        <v>12.865373001989774</v>
      </c>
      <c r="BU44" s="100">
        <v>13153.557357234344</v>
      </c>
      <c r="BV44" s="100">
        <v>9.6130316000542742</v>
      </c>
      <c r="BW44" s="100">
        <v>9828.3635078954903</v>
      </c>
      <c r="BX44" s="100">
        <v>6.0691378482878804</v>
      </c>
      <c r="BY44" s="100">
        <v>6205.0865360895286</v>
      </c>
      <c r="BZ44" s="100">
        <v>21.379146025350686</v>
      </c>
      <c r="CA44" s="100">
        <v>21858.03889631854</v>
      </c>
      <c r="CB44" s="100">
        <v>9.2667922040663395</v>
      </c>
      <c r="CC44" s="100">
        <v>9474.3683494374254</v>
      </c>
      <c r="CD44" s="100">
        <v>18</v>
      </c>
      <c r="CE44" s="100">
        <v>18403.2</v>
      </c>
      <c r="CF44" s="100">
        <v>16.365304857643654</v>
      </c>
      <c r="CG44" s="100">
        <v>16731.887686454873</v>
      </c>
      <c r="CH44" s="100">
        <v>9.7283816621689549</v>
      </c>
      <c r="CI44" s="100">
        <v>9946.2974114015396</v>
      </c>
      <c r="CJ44" s="100">
        <v>12.091034248320915</v>
      </c>
      <c r="CK44" s="100">
        <v>12361.873415483302</v>
      </c>
      <c r="CL44" s="100">
        <v>12.898758304444534</v>
      </c>
      <c r="CM44" s="100">
        <v>13187.690490464092</v>
      </c>
      <c r="CN44" s="100">
        <v>11.764884129140896</v>
      </c>
      <c r="CO44" s="100">
        <v>12028.417533633652</v>
      </c>
      <c r="CP44" s="100">
        <v>3.2068247958047831</v>
      </c>
      <c r="CQ44" s="100">
        <v>3278.6576712308101</v>
      </c>
      <c r="CR44" s="100">
        <v>13.439911232960265</v>
      </c>
      <c r="CS44" s="100">
        <v>13740.965244578574</v>
      </c>
      <c r="CT44" s="100">
        <v>2.6205202313664224</v>
      </c>
      <c r="CU44" s="100">
        <v>2679.2198845490302</v>
      </c>
    </row>
    <row r="45" spans="2:99">
      <c r="C45" s="99" t="s">
        <v>211</v>
      </c>
      <c r="D45" s="100">
        <v>7.3854812081248928</v>
      </c>
      <c r="E45" s="100">
        <v>9225.9431251896167</v>
      </c>
      <c r="F45" s="100">
        <v>14.625833471261913</v>
      </c>
      <c r="G45" s="100">
        <v>18270.591172300381</v>
      </c>
      <c r="H45" s="100">
        <v>9.2288480168007556</v>
      </c>
      <c r="I45" s="100">
        <v>11528.676942587505</v>
      </c>
      <c r="J45" s="100">
        <v>16.671062651990511</v>
      </c>
      <c r="K45" s="100">
        <v>20825.491464866547</v>
      </c>
      <c r="L45" s="100">
        <v>11</v>
      </c>
      <c r="M45" s="100">
        <v>13741.2</v>
      </c>
      <c r="N45" s="100">
        <v>18</v>
      </c>
      <c r="O45" s="100">
        <v>22485.600000000002</v>
      </c>
      <c r="P45" s="100">
        <v>10.467220265779456</v>
      </c>
      <c r="Q45" s="100">
        <v>13075.651556011697</v>
      </c>
      <c r="R45" s="100">
        <v>15.865149152060081</v>
      </c>
      <c r="S45" s="100">
        <v>19818.744320753452</v>
      </c>
      <c r="T45" s="100">
        <v>6.2423651244844125</v>
      </c>
      <c r="U45" s="100">
        <v>7797.9625135059287</v>
      </c>
      <c r="V45" s="100">
        <v>15.330255607068775</v>
      </c>
      <c r="W45" s="100">
        <v>19150.555304350313</v>
      </c>
      <c r="X45" s="100">
        <v>6.5349069197462741</v>
      </c>
      <c r="Y45" s="100">
        <v>8163.4057241470464</v>
      </c>
      <c r="Z45" s="100">
        <v>18.378233143197175</v>
      </c>
      <c r="AA45" s="100">
        <v>22958.088842481913</v>
      </c>
      <c r="AB45" s="100">
        <v>8.3094362297816424</v>
      </c>
      <c r="AC45" s="100">
        <v>10380.147738243228</v>
      </c>
      <c r="AD45" s="100">
        <v>8.1823771631982218</v>
      </c>
      <c r="AE45" s="100">
        <v>10221.425552267219</v>
      </c>
      <c r="AF45" s="100">
        <v>15.566195860287785</v>
      </c>
      <c r="AG45" s="100">
        <v>19445.291868671502</v>
      </c>
      <c r="AH45" s="100">
        <v>5.8901959699407689</v>
      </c>
      <c r="AI45" s="100">
        <v>7358.0328056500084</v>
      </c>
      <c r="AJ45" s="100">
        <v>4.4065529315630876</v>
      </c>
      <c r="AK45" s="100">
        <v>5504.6659221086093</v>
      </c>
      <c r="AL45" s="100">
        <v>14.194298529965474</v>
      </c>
      <c r="AM45" s="100">
        <v>17731.517723632871</v>
      </c>
      <c r="AN45" s="100">
        <v>15</v>
      </c>
      <c r="AO45" s="100">
        <v>18738</v>
      </c>
      <c r="AP45" s="100">
        <v>17</v>
      </c>
      <c r="AQ45" s="100">
        <v>21236.400000000001</v>
      </c>
      <c r="AR45" s="100">
        <v>7.8007369113169371</v>
      </c>
      <c r="AS45" s="100">
        <v>9744.6805496171182</v>
      </c>
      <c r="AT45" s="100">
        <v>9.7644795533087265</v>
      </c>
      <c r="AU45" s="100">
        <v>12197.787857993262</v>
      </c>
      <c r="AV45" s="100">
        <v>7.3198287333068599</v>
      </c>
      <c r="AW45" s="100">
        <v>9143.9300536469291</v>
      </c>
      <c r="AX45" s="100">
        <v>18</v>
      </c>
      <c r="AY45" s="100">
        <v>22485.600000000002</v>
      </c>
      <c r="AZ45" s="100">
        <v>9.6097591678116938</v>
      </c>
      <c r="BA45" s="100">
        <v>12004.511152430368</v>
      </c>
      <c r="BB45" s="100">
        <v>12.610700906975772</v>
      </c>
      <c r="BC45" s="100">
        <v>15753.287572994135</v>
      </c>
      <c r="BD45" s="100">
        <v>9.153491824159282</v>
      </c>
      <c r="BE45" s="100">
        <v>11434.541986739776</v>
      </c>
      <c r="BF45" s="100">
        <v>11.082523972290536</v>
      </c>
      <c r="BG45" s="100">
        <v>13844.288946185339</v>
      </c>
      <c r="BH45" s="100">
        <v>6.4007140678609842</v>
      </c>
      <c r="BI45" s="100">
        <v>7995.7720135719419</v>
      </c>
      <c r="BJ45" s="100">
        <v>13.306606667110577</v>
      </c>
      <c r="BK45" s="100">
        <v>16622.613048554533</v>
      </c>
      <c r="BL45" s="100">
        <v>13.67519225291055</v>
      </c>
      <c r="BM45" s="100">
        <v>17083.050162335861</v>
      </c>
      <c r="BN45" s="100">
        <v>3.2762943311607557</v>
      </c>
      <c r="BO45" s="100">
        <v>4092.7468784860162</v>
      </c>
      <c r="BP45" s="100">
        <v>14.674177400269032</v>
      </c>
      <c r="BQ45" s="100">
        <v>18330.982408416075</v>
      </c>
      <c r="BR45" s="100">
        <v>5.1744560581870109</v>
      </c>
      <c r="BS45" s="100">
        <v>6463.9305078872139</v>
      </c>
      <c r="BT45" s="100">
        <v>13.755497898513502</v>
      </c>
      <c r="BU45" s="100">
        <v>17183.367974823068</v>
      </c>
      <c r="BV45" s="100">
        <v>8.9980198620810778</v>
      </c>
      <c r="BW45" s="100">
        <v>11240.326411711683</v>
      </c>
      <c r="BX45" s="100">
        <v>6.0515316023362873</v>
      </c>
      <c r="BY45" s="100">
        <v>7559.5732776384903</v>
      </c>
      <c r="BZ45" s="100">
        <v>18.034359519013016</v>
      </c>
      <c r="CA45" s="100">
        <v>22528.52191115106</v>
      </c>
      <c r="CB45" s="100">
        <v>9.2667922040663395</v>
      </c>
      <c r="CC45" s="100">
        <v>11576.076821319672</v>
      </c>
      <c r="CD45" s="100">
        <v>19</v>
      </c>
      <c r="CE45" s="100">
        <v>23734.799999999999</v>
      </c>
      <c r="CF45" s="100">
        <v>16.365304857643654</v>
      </c>
      <c r="CG45" s="100">
        <v>20443.538828168454</v>
      </c>
      <c r="CH45" s="100">
        <v>7.9595849963200536</v>
      </c>
      <c r="CI45" s="100">
        <v>9943.1135774030117</v>
      </c>
      <c r="CJ45" s="100">
        <v>12.091034248320915</v>
      </c>
      <c r="CK45" s="100">
        <v>15104.119983002487</v>
      </c>
      <c r="CL45" s="100">
        <v>12.898758304444534</v>
      </c>
      <c r="CM45" s="100">
        <v>16113.128873912114</v>
      </c>
      <c r="CN45" s="100">
        <v>12.319939204144427</v>
      </c>
      <c r="CO45" s="100">
        <v>15390.06805381722</v>
      </c>
      <c r="CP45" s="100">
        <v>3.3954615484991821</v>
      </c>
      <c r="CQ45" s="100">
        <v>4241.6105663851786</v>
      </c>
      <c r="CR45" s="100">
        <v>14.791313982452463</v>
      </c>
      <c r="CS45" s="100">
        <v>18477.309426879616</v>
      </c>
      <c r="CT45" s="100">
        <v>2.4189417520305438</v>
      </c>
      <c r="CU45" s="100">
        <v>3021.7420366365554</v>
      </c>
    </row>
    <row r="46" spans="2:99">
      <c r="C46" s="99" t="s">
        <v>212</v>
      </c>
      <c r="D46" s="100">
        <v>6.5166010659925524</v>
      </c>
      <c r="E46" s="100">
        <v>7898.1204919829734</v>
      </c>
      <c r="F46" s="100">
        <v>13.704062655169652</v>
      </c>
      <c r="G46" s="100">
        <v>16609.32393806562</v>
      </c>
      <c r="H46" s="100">
        <v>9.2288480168007556</v>
      </c>
      <c r="I46" s="100">
        <v>11185.363796362515</v>
      </c>
      <c r="J46" s="100">
        <v>15.837509519390984</v>
      </c>
      <c r="K46" s="100">
        <v>19195.061537501871</v>
      </c>
      <c r="L46" s="100">
        <v>12</v>
      </c>
      <c r="M46" s="100">
        <v>14544</v>
      </c>
      <c r="N46" s="100">
        <v>16</v>
      </c>
      <c r="O46" s="100">
        <v>19392</v>
      </c>
      <c r="P46" s="100">
        <v>11.339488621261077</v>
      </c>
      <c r="Q46" s="100">
        <v>13743.460208968427</v>
      </c>
      <c r="R46" s="100">
        <v>15.865149152060081</v>
      </c>
      <c r="S46" s="100">
        <v>19228.560772296816</v>
      </c>
      <c r="T46" s="100">
        <v>6.2423651244844125</v>
      </c>
      <c r="U46" s="100">
        <v>7565.746530875108</v>
      </c>
      <c r="V46" s="100">
        <v>17.49582100702758</v>
      </c>
      <c r="W46" s="100">
        <v>21204.935060517426</v>
      </c>
      <c r="X46" s="100">
        <v>6.965718946430421</v>
      </c>
      <c r="Y46" s="100">
        <v>8442.451363073671</v>
      </c>
      <c r="Z46" s="100">
        <v>18.378233143197175</v>
      </c>
      <c r="AA46" s="100">
        <v>22274.418569554975</v>
      </c>
      <c r="AB46" s="100">
        <v>7.4679012570968784</v>
      </c>
      <c r="AC46" s="100">
        <v>9051.0963236014159</v>
      </c>
      <c r="AD46" s="100">
        <v>8.6516542462070785</v>
      </c>
      <c r="AE46" s="100">
        <v>10485.804946402979</v>
      </c>
      <c r="AF46" s="100">
        <v>14.566195860287785</v>
      </c>
      <c r="AG46" s="100">
        <v>17654.229382668796</v>
      </c>
      <c r="AH46" s="100">
        <v>5.5220587218194703</v>
      </c>
      <c r="AI46" s="100">
        <v>6692.7351708451979</v>
      </c>
      <c r="AJ46" s="100">
        <v>4.8256883839268925</v>
      </c>
      <c r="AK46" s="100">
        <v>5848.7343213193935</v>
      </c>
      <c r="AL46" s="100">
        <v>13.194298529965474</v>
      </c>
      <c r="AM46" s="100">
        <v>15991.489818318154</v>
      </c>
      <c r="AN46" s="100">
        <v>14</v>
      </c>
      <c r="AO46" s="100">
        <v>16968</v>
      </c>
      <c r="AP46" s="100">
        <v>17</v>
      </c>
      <c r="AQ46" s="100">
        <v>20604</v>
      </c>
      <c r="AR46" s="100">
        <v>9.5342340027206998</v>
      </c>
      <c r="AS46" s="100">
        <v>11555.491611297488</v>
      </c>
      <c r="AT46" s="100">
        <v>10.578186182751121</v>
      </c>
      <c r="AU46" s="100">
        <v>12820.761653494359</v>
      </c>
      <c r="AV46" s="100">
        <v>7.777318029138538</v>
      </c>
      <c r="AW46" s="100">
        <v>9426.1094513159078</v>
      </c>
      <c r="AX46" s="100">
        <v>18</v>
      </c>
      <c r="AY46" s="100">
        <v>21816</v>
      </c>
      <c r="AZ46" s="100">
        <v>8.7361446980106319</v>
      </c>
      <c r="BA46" s="100">
        <v>10588.207373988886</v>
      </c>
      <c r="BB46" s="100">
        <v>11.709936556477503</v>
      </c>
      <c r="BC46" s="100">
        <v>14192.443106450733</v>
      </c>
      <c r="BD46" s="100">
        <v>10.593554238967508</v>
      </c>
      <c r="BE46" s="100">
        <v>12839.38773762862</v>
      </c>
      <c r="BF46" s="100">
        <v>12.94106076512214</v>
      </c>
      <c r="BG46" s="100">
        <v>15684.565647328034</v>
      </c>
      <c r="BH46" s="100">
        <v>7.1225213717102394</v>
      </c>
      <c r="BI46" s="100">
        <v>8632.4959025128101</v>
      </c>
      <c r="BJ46" s="100">
        <v>12.143280833721754</v>
      </c>
      <c r="BK46" s="100">
        <v>14717.656370470766</v>
      </c>
      <c r="BL46" s="100">
        <v>14.518910420768934</v>
      </c>
      <c r="BM46" s="100">
        <v>17596.919429971949</v>
      </c>
      <c r="BN46" s="100">
        <v>3.0622431218127546</v>
      </c>
      <c r="BO46" s="100">
        <v>3711.4386636370587</v>
      </c>
      <c r="BP46" s="100">
        <v>14.674177400269032</v>
      </c>
      <c r="BQ46" s="100">
        <v>17785.103009126065</v>
      </c>
      <c r="BR46" s="100">
        <v>4.8051769763892658</v>
      </c>
      <c r="BS46" s="100">
        <v>5823.8744953837904</v>
      </c>
      <c r="BT46" s="100">
        <v>14.645622795037227</v>
      </c>
      <c r="BU46" s="100">
        <v>17750.49482758512</v>
      </c>
      <c r="BV46" s="100">
        <v>9.6130316000542742</v>
      </c>
      <c r="BW46" s="100">
        <v>11650.99429926578</v>
      </c>
      <c r="BX46" s="100">
        <v>5.2574520715231872</v>
      </c>
      <c r="BY46" s="100">
        <v>6372.0319106861025</v>
      </c>
      <c r="BZ46" s="100">
        <v>21.206752772181851</v>
      </c>
      <c r="CA46" s="100">
        <v>25702.584359884404</v>
      </c>
      <c r="CB46" s="100">
        <v>9.2667922040663395</v>
      </c>
      <c r="CC46" s="100">
        <v>11231.352151328403</v>
      </c>
      <c r="CD46" s="100">
        <v>17</v>
      </c>
      <c r="CE46" s="100">
        <v>20604</v>
      </c>
      <c r="CF46" s="100">
        <v>15.54703961476147</v>
      </c>
      <c r="CG46" s="100">
        <v>18843.012013090902</v>
      </c>
      <c r="CH46" s="100">
        <v>7.9595849963200536</v>
      </c>
      <c r="CI46" s="100">
        <v>9647.0170155399046</v>
      </c>
      <c r="CJ46" s="100">
        <v>13.818324855223905</v>
      </c>
      <c r="CK46" s="100">
        <v>16747.809724531373</v>
      </c>
      <c r="CL46" s="100">
        <v>12.814095987023281</v>
      </c>
      <c r="CM46" s="100">
        <v>15530.684336272216</v>
      </c>
      <c r="CN46" s="100">
        <v>10.350998172079807</v>
      </c>
      <c r="CO46" s="100">
        <v>12545.409784560727</v>
      </c>
      <c r="CP46" s="100">
        <v>3.0181880431103845</v>
      </c>
      <c r="CQ46" s="100">
        <v>3658.043908249786</v>
      </c>
      <c r="CR46" s="100">
        <v>13.364713093862216</v>
      </c>
      <c r="CS46" s="100">
        <v>16198.032269761006</v>
      </c>
      <c r="CT46" s="100">
        <v>2.4189417520305438</v>
      </c>
      <c r="CU46" s="100">
        <v>2931.7574034610193</v>
      </c>
    </row>
    <row r="47" spans="2:99">
      <c r="C47" s="99" t="s">
        <v>213</v>
      </c>
      <c r="D47" s="100">
        <v>6.9510411370587226</v>
      </c>
      <c r="E47" s="100">
        <v>10618.410440970903</v>
      </c>
      <c r="F47" s="100">
        <v>13.547604287354174</v>
      </c>
      <c r="G47" s="100">
        <v>20695.320309362236</v>
      </c>
      <c r="H47" s="100">
        <v>8.4597773487340255</v>
      </c>
      <c r="I47" s="100">
        <v>12923.155877926096</v>
      </c>
      <c r="J47" s="100">
        <v>15.00395638679146</v>
      </c>
      <c r="K47" s="100">
        <v>22920.043776462633</v>
      </c>
      <c r="L47" s="100">
        <v>11</v>
      </c>
      <c r="M47" s="100">
        <v>16803.599999999999</v>
      </c>
      <c r="N47" s="100">
        <v>15</v>
      </c>
      <c r="O47" s="100">
        <v>22914</v>
      </c>
      <c r="P47" s="100">
        <v>10.467220265779456</v>
      </c>
      <c r="Q47" s="100">
        <v>15989.725678004697</v>
      </c>
      <c r="R47" s="100">
        <v>15.865149152060081</v>
      </c>
      <c r="S47" s="100">
        <v>24235.601844686978</v>
      </c>
      <c r="T47" s="100">
        <v>5.7964819013069544</v>
      </c>
      <c r="U47" s="100">
        <v>8854.7057524365027</v>
      </c>
      <c r="V47" s="100">
        <v>17.324523199670455</v>
      </c>
      <c r="W47" s="100">
        <v>26464.941639816585</v>
      </c>
      <c r="X47" s="100">
        <v>6.976108449213859</v>
      </c>
      <c r="Y47" s="100">
        <v>10656.703267019091</v>
      </c>
      <c r="Z47" s="100">
        <v>19.378233143197175</v>
      </c>
      <c r="AA47" s="100">
        <v>29602.188949548003</v>
      </c>
      <c r="AB47" s="100">
        <v>7.4562399982347891</v>
      </c>
      <c r="AC47" s="100">
        <v>11390.152221303462</v>
      </c>
      <c r="AD47" s="100">
        <v>7.2348976658038815</v>
      </c>
      <c r="AE47" s="100">
        <v>11052.029674282008</v>
      </c>
      <c r="AF47" s="100">
        <v>14.566195860287785</v>
      </c>
      <c r="AG47" s="100">
        <v>22251.32079617562</v>
      </c>
      <c r="AH47" s="100">
        <v>5.8901959699407689</v>
      </c>
      <c r="AI47" s="100">
        <v>8997.8633636815175</v>
      </c>
      <c r="AJ47" s="100">
        <v>3.9874174791992836</v>
      </c>
      <c r="AK47" s="100">
        <v>6091.1789412248254</v>
      </c>
      <c r="AL47" s="100">
        <v>15.194298529965474</v>
      </c>
      <c r="AM47" s="100">
        <v>23210.810434375257</v>
      </c>
      <c r="AN47" s="100">
        <v>14</v>
      </c>
      <c r="AO47" s="100">
        <v>21386.399999999998</v>
      </c>
      <c r="AP47" s="100">
        <v>15</v>
      </c>
      <c r="AQ47" s="100">
        <v>22914</v>
      </c>
      <c r="AR47" s="100">
        <v>8.6674854570188185</v>
      </c>
      <c r="AS47" s="100">
        <v>13240.450784141945</v>
      </c>
      <c r="AT47" s="100">
        <v>9.7644795533087265</v>
      </c>
      <c r="AU47" s="100">
        <v>14916.218965634409</v>
      </c>
      <c r="AV47" s="100">
        <v>6.404850141643502</v>
      </c>
      <c r="AW47" s="100">
        <v>9784.0490763746129</v>
      </c>
      <c r="AX47" s="100">
        <v>20.581984286955077</v>
      </c>
      <c r="AY47" s="100">
        <v>31441.039196752572</v>
      </c>
      <c r="AZ47" s="100">
        <v>8.7361446980106319</v>
      </c>
      <c r="BA47" s="100">
        <v>13345.33464068104</v>
      </c>
      <c r="BB47" s="100">
        <v>12.610700906975772</v>
      </c>
      <c r="BC47" s="100">
        <v>19264.10670549619</v>
      </c>
      <c r="BD47" s="100">
        <v>9.227633276212428</v>
      </c>
      <c r="BE47" s="100">
        <v>14096.132592742104</v>
      </c>
      <c r="BF47" s="100">
        <v>12.943611699246841</v>
      </c>
      <c r="BG47" s="100">
        <v>19772.661231769471</v>
      </c>
      <c r="BH47" s="100">
        <v>6.0156875081961472</v>
      </c>
      <c r="BI47" s="100">
        <v>9189.5642375204334</v>
      </c>
      <c r="BJ47" s="100">
        <v>13.143280833721754</v>
      </c>
      <c r="BK47" s="100">
        <v>20077.675801593348</v>
      </c>
      <c r="BL47" s="100">
        <v>12.009718613090826</v>
      </c>
      <c r="BM47" s="100">
        <v>18346.046153357544</v>
      </c>
      <c r="BN47" s="100">
        <v>3.2748050995484665</v>
      </c>
      <c r="BO47" s="100">
        <v>5002.5922700702376</v>
      </c>
      <c r="BP47" s="100">
        <v>12.674177400269032</v>
      </c>
      <c r="BQ47" s="100">
        <v>19361.073396650972</v>
      </c>
      <c r="BR47" s="100">
        <v>4.4358978945915206</v>
      </c>
      <c r="BS47" s="100">
        <v>6776.2776237780063</v>
      </c>
      <c r="BT47" s="100">
        <v>11.975248105466049</v>
      </c>
      <c r="BU47" s="100">
        <v>18293.389005909936</v>
      </c>
      <c r="BV47" s="100">
        <v>8.9980198620810778</v>
      </c>
      <c r="BW47" s="100">
        <v>13745.375141315053</v>
      </c>
      <c r="BX47" s="100">
        <v>5.6192793450265528</v>
      </c>
      <c r="BY47" s="100">
        <v>8584.0111274625615</v>
      </c>
      <c r="BZ47" s="100">
        <v>19.206752772181851</v>
      </c>
      <c r="CA47" s="100">
        <v>29340.235534784992</v>
      </c>
      <c r="CB47" s="100">
        <v>8.4945595203941462</v>
      </c>
      <c r="CC47" s="100">
        <v>12976.289123354098</v>
      </c>
      <c r="CD47" s="100">
        <v>17</v>
      </c>
      <c r="CE47" s="100">
        <v>25969.199999999997</v>
      </c>
      <c r="CF47" s="100">
        <v>14.728774371879286</v>
      </c>
      <c r="CG47" s="100">
        <v>22499.675730482795</v>
      </c>
      <c r="CH47" s="100">
        <v>9.7283816621689549</v>
      </c>
      <c r="CI47" s="100">
        <v>14861.075827129294</v>
      </c>
      <c r="CJ47" s="100">
        <v>11.227388944869423</v>
      </c>
      <c r="CK47" s="100">
        <v>17150.95935218253</v>
      </c>
      <c r="CL47" s="100">
        <v>12.095186589077723</v>
      </c>
      <c r="CM47" s="100">
        <v>18476.607033475128</v>
      </c>
      <c r="CN47" s="100">
        <v>11.007311849434682</v>
      </c>
      <c r="CO47" s="100">
        <v>16814.769581196419</v>
      </c>
      <c r="CP47" s="100">
        <v>3.3954615484991821</v>
      </c>
      <c r="CQ47" s="100">
        <v>5186.9070614873499</v>
      </c>
      <c r="CR47" s="100">
        <v>12.689011719116118</v>
      </c>
      <c r="CS47" s="100">
        <v>19383.734302121782</v>
      </c>
      <c r="CT47" s="100">
        <v>2.4189417520305438</v>
      </c>
      <c r="CU47" s="100">
        <v>3695.1754204018584</v>
      </c>
    </row>
    <row r="48" spans="2:99">
      <c r="C48" s="99" t="s">
        <v>214</v>
      </c>
      <c r="D48" s="100">
        <v>7.3854812081248928</v>
      </c>
      <c r="E48" s="100">
        <v>6407.6434961691575</v>
      </c>
      <c r="F48" s="100">
        <v>15.625833471261913</v>
      </c>
      <c r="G48" s="100">
        <v>13556.973119666836</v>
      </c>
      <c r="H48" s="100">
        <v>8.4597773487340255</v>
      </c>
      <c r="I48" s="100">
        <v>7339.7028277616409</v>
      </c>
      <c r="J48" s="100">
        <v>15.837509519390984</v>
      </c>
      <c r="K48" s="100">
        <v>13740.623259023618</v>
      </c>
      <c r="L48" s="100">
        <v>13</v>
      </c>
      <c r="M48" s="100">
        <v>11278.800000000001</v>
      </c>
      <c r="N48" s="100">
        <v>16</v>
      </c>
      <c r="O48" s="100">
        <v>13881.6</v>
      </c>
      <c r="P48" s="100">
        <v>10.467220265779456</v>
      </c>
      <c r="Q48" s="100">
        <v>9081.3603025902557</v>
      </c>
      <c r="R48" s="100">
        <v>15.865149152060081</v>
      </c>
      <c r="S48" s="100">
        <v>13764.603404327327</v>
      </c>
      <c r="T48" s="100">
        <v>5.7964819013069544</v>
      </c>
      <c r="U48" s="100">
        <v>5029.0276975739134</v>
      </c>
      <c r="V48" s="100">
        <v>17.324523199670455</v>
      </c>
      <c r="W48" s="100">
        <v>15030.756328034087</v>
      </c>
      <c r="X48" s="100">
        <v>7.4069204758980058</v>
      </c>
      <c r="Y48" s="100">
        <v>6426.2442048891098</v>
      </c>
      <c r="Z48" s="100">
        <v>19.550512286096822</v>
      </c>
      <c r="AA48" s="100">
        <v>16962.024459417604</v>
      </c>
      <c r="AB48" s="100">
        <v>8.3210974886437299</v>
      </c>
      <c r="AC48" s="100">
        <v>7219.3841811473003</v>
      </c>
      <c r="AD48" s="100">
        <v>9.129856660592564</v>
      </c>
      <c r="AE48" s="100">
        <v>7921.0636387301083</v>
      </c>
      <c r="AF48" s="100">
        <v>14.566195860287785</v>
      </c>
      <c r="AG48" s="100">
        <v>12637.631528385682</v>
      </c>
      <c r="AH48" s="100">
        <v>6.2583332180620665</v>
      </c>
      <c r="AI48" s="100">
        <v>5429.7298999906488</v>
      </c>
      <c r="AJ48" s="100">
        <v>4.8077551832664724</v>
      </c>
      <c r="AK48" s="100">
        <v>4171.2083970019912</v>
      </c>
      <c r="AL48" s="100">
        <v>15.194298529965474</v>
      </c>
      <c r="AM48" s="100">
        <v>13182.573404598046</v>
      </c>
      <c r="AN48" s="100">
        <v>14</v>
      </c>
      <c r="AO48" s="100">
        <v>12146.4</v>
      </c>
      <c r="AP48" s="100">
        <v>16</v>
      </c>
      <c r="AQ48" s="100">
        <v>13881.6</v>
      </c>
      <c r="AR48" s="100">
        <v>9.5342340027206998</v>
      </c>
      <c r="AS48" s="100">
        <v>8271.9014207604796</v>
      </c>
      <c r="AT48" s="100">
        <v>10.578186182751121</v>
      </c>
      <c r="AU48" s="100">
        <v>9177.6343321548738</v>
      </c>
      <c r="AV48" s="100">
        <v>7.3198287333068599</v>
      </c>
      <c r="AW48" s="100">
        <v>6350.6834090170314</v>
      </c>
      <c r="AX48" s="100">
        <v>22</v>
      </c>
      <c r="AY48" s="100">
        <v>19087.2</v>
      </c>
      <c r="AZ48" s="100">
        <v>9.6097591678116938</v>
      </c>
      <c r="BA48" s="100">
        <v>8337.4270539934259</v>
      </c>
      <c r="BB48" s="100">
        <v>12.610700906975772</v>
      </c>
      <c r="BC48" s="100">
        <v>10941.044106892181</v>
      </c>
      <c r="BD48" s="100">
        <v>9.9466856787728606</v>
      </c>
      <c r="BE48" s="100">
        <v>8629.7444949033343</v>
      </c>
      <c r="BF48" s="100">
        <v>12.356351788326577</v>
      </c>
      <c r="BG48" s="100">
        <v>10720.370811552139</v>
      </c>
      <c r="BH48" s="100">
        <v>7.5075479313750781</v>
      </c>
      <c r="BI48" s="100">
        <v>6513.5485852610182</v>
      </c>
      <c r="BJ48" s="100">
        <v>14.306606667110577</v>
      </c>
      <c r="BK48" s="100">
        <v>12412.411944385138</v>
      </c>
      <c r="BL48" s="100">
        <v>13.697154948807599</v>
      </c>
      <c r="BM48" s="100">
        <v>11883.651633585474</v>
      </c>
      <c r="BN48" s="100">
        <v>3.0622431218127546</v>
      </c>
      <c r="BO48" s="100">
        <v>2656.8021324847459</v>
      </c>
      <c r="BP48" s="100">
        <v>15.674177400269032</v>
      </c>
      <c r="BQ48" s="100">
        <v>13598.916312473413</v>
      </c>
      <c r="BR48" s="100">
        <v>5.1699071451684313</v>
      </c>
      <c r="BS48" s="100">
        <v>4485.4114391481307</v>
      </c>
      <c r="BT48" s="100">
        <v>13.61174797104891</v>
      </c>
      <c r="BU48" s="100">
        <v>11809.552539682034</v>
      </c>
      <c r="BV48" s="100">
        <v>9.0264143880206849</v>
      </c>
      <c r="BW48" s="100">
        <v>7831.317123046746</v>
      </c>
      <c r="BX48" s="100">
        <v>5.2046333336684105</v>
      </c>
      <c r="BY48" s="100">
        <v>4515.539880290713</v>
      </c>
      <c r="BZ48" s="100">
        <v>20.379146025350686</v>
      </c>
      <c r="CA48" s="100">
        <v>17680.947091594255</v>
      </c>
      <c r="CB48" s="100">
        <v>9.2667922040663395</v>
      </c>
      <c r="CC48" s="100">
        <v>8039.8689162479568</v>
      </c>
      <c r="CD48" s="100">
        <v>18</v>
      </c>
      <c r="CE48" s="100">
        <v>15616.800000000001</v>
      </c>
      <c r="CF48" s="100">
        <v>18.001835343408018</v>
      </c>
      <c r="CG48" s="100">
        <v>15618.392343940797</v>
      </c>
      <c r="CH48" s="100">
        <v>9.7283816621689549</v>
      </c>
      <c r="CI48" s="100">
        <v>8440.3439300977861</v>
      </c>
      <c r="CJ48" s="100">
        <v>12.091034248320915</v>
      </c>
      <c r="CK48" s="100">
        <v>10490.181313843226</v>
      </c>
      <c r="CL48" s="100">
        <v>12.898758304444534</v>
      </c>
      <c r="CM48" s="100">
        <v>11190.962704936079</v>
      </c>
      <c r="CN48" s="100">
        <v>11.663625526789556</v>
      </c>
      <c r="CO48" s="100">
        <v>10119.361507042619</v>
      </c>
      <c r="CP48" s="100">
        <v>3.2068247958047831</v>
      </c>
      <c r="CQ48" s="100">
        <v>2782.2411928402298</v>
      </c>
      <c r="CR48" s="100">
        <v>15.391817218100512</v>
      </c>
      <c r="CS48" s="100">
        <v>13353.940618424003</v>
      </c>
      <c r="CT48" s="100">
        <v>2.6205202313664224</v>
      </c>
      <c r="CU48" s="100">
        <v>2273.5633527335081</v>
      </c>
    </row>
    <row r="49" spans="2:99">
      <c r="B49" s="99" t="s">
        <v>129</v>
      </c>
      <c r="C49" s="99" t="s">
        <v>215</v>
      </c>
      <c r="D49" s="100">
        <v>5.9559026990890453</v>
      </c>
      <c r="E49" s="100">
        <v>5867.7553391425272</v>
      </c>
      <c r="F49" s="100">
        <v>8.4548662428027601</v>
      </c>
      <c r="G49" s="100">
        <v>8329.734222409279</v>
      </c>
      <c r="H49" s="100">
        <v>7.3009943420850894</v>
      </c>
      <c r="I49" s="100">
        <v>7192.9396258222296</v>
      </c>
      <c r="J49" s="100">
        <v>3.3847755596213416</v>
      </c>
      <c r="K49" s="100">
        <v>3334.6808813389457</v>
      </c>
      <c r="L49" s="100">
        <v>8.6668572948211082</v>
      </c>
      <c r="M49" s="100">
        <v>8538.5878068577549</v>
      </c>
      <c r="N49" s="100">
        <v>8</v>
      </c>
      <c r="O49" s="100">
        <v>7881.5999999999995</v>
      </c>
      <c r="P49" s="100">
        <v>11</v>
      </c>
      <c r="Q49" s="100">
        <v>10837.199999999999</v>
      </c>
      <c r="R49" s="100">
        <v>6.7428096135623461</v>
      </c>
      <c r="S49" s="100">
        <v>6643.0160312816233</v>
      </c>
      <c r="T49" s="100">
        <v>7.1422837045608096</v>
      </c>
      <c r="U49" s="100">
        <v>7036.5779057333093</v>
      </c>
      <c r="V49" s="100">
        <v>8</v>
      </c>
      <c r="W49" s="100">
        <v>7881.5999999999995</v>
      </c>
      <c r="X49" s="100">
        <v>8</v>
      </c>
      <c r="Y49" s="100">
        <v>7881.5999999999995</v>
      </c>
      <c r="Z49" s="100">
        <v>6.8545125009113148</v>
      </c>
      <c r="AA49" s="100">
        <v>6753.0657158978265</v>
      </c>
      <c r="AB49" s="100">
        <v>8</v>
      </c>
      <c r="AC49" s="100">
        <v>7881.5999999999995</v>
      </c>
      <c r="AD49" s="100">
        <v>10</v>
      </c>
      <c r="AE49" s="100">
        <v>9852</v>
      </c>
      <c r="AF49" s="100">
        <v>2.6632922004304933</v>
      </c>
      <c r="AG49" s="100">
        <v>2623.8754758641217</v>
      </c>
      <c r="AH49" s="100">
        <v>2.3522618729670199</v>
      </c>
      <c r="AI49" s="100">
        <v>2317.448397247108</v>
      </c>
      <c r="AJ49" s="100">
        <v>2.0723866081340954</v>
      </c>
      <c r="AK49" s="100">
        <v>2041.7152863337105</v>
      </c>
      <c r="AL49" s="100">
        <v>2.90236963867605</v>
      </c>
      <c r="AM49" s="100">
        <v>2859.4145680236443</v>
      </c>
      <c r="AN49" s="100">
        <v>5.9846070787797307</v>
      </c>
      <c r="AO49" s="100">
        <v>5896.0348940137901</v>
      </c>
      <c r="AP49" s="100">
        <v>3.0149774230050044</v>
      </c>
      <c r="AQ49" s="100">
        <v>2970.3557571445299</v>
      </c>
      <c r="AR49" s="100">
        <v>10.568299473240382</v>
      </c>
      <c r="AS49" s="100">
        <v>10411.888641036423</v>
      </c>
      <c r="AT49" s="100">
        <v>10</v>
      </c>
      <c r="AU49" s="100">
        <v>9852</v>
      </c>
      <c r="AV49" s="100">
        <v>7</v>
      </c>
      <c r="AW49" s="100">
        <v>6896.4</v>
      </c>
      <c r="AX49" s="100">
        <v>4.4254518323883882</v>
      </c>
      <c r="AY49" s="100">
        <v>4359.9551452690393</v>
      </c>
      <c r="AZ49" s="100">
        <v>8.2658534785035744</v>
      </c>
      <c r="BA49" s="100">
        <v>8143.5188470217208</v>
      </c>
      <c r="BB49" s="100">
        <v>3.1124423829026728</v>
      </c>
      <c r="BC49" s="100">
        <v>3066.3782356357133</v>
      </c>
      <c r="BD49" s="100">
        <v>11.128907528077557</v>
      </c>
      <c r="BE49" s="100">
        <v>10964.199696662008</v>
      </c>
      <c r="BF49" s="100">
        <v>11</v>
      </c>
      <c r="BG49" s="100">
        <v>10837.199999999999</v>
      </c>
      <c r="BH49" s="100">
        <v>5.8387910401230112</v>
      </c>
      <c r="BI49" s="100">
        <v>5752.3769327291902</v>
      </c>
      <c r="BJ49" s="100">
        <v>1.9962531162890165</v>
      </c>
      <c r="BK49" s="100">
        <v>1966.7085701679389</v>
      </c>
      <c r="BL49" s="100">
        <v>7.9688303942583962</v>
      </c>
      <c r="BM49" s="100">
        <v>7850.8917044233713</v>
      </c>
      <c r="BN49" s="100">
        <v>3.1154050267705302</v>
      </c>
      <c r="BO49" s="100">
        <v>3069.2970323743261</v>
      </c>
      <c r="BP49" s="100">
        <v>9.6976016270025056</v>
      </c>
      <c r="BQ49" s="100">
        <v>9554.0771229228685</v>
      </c>
      <c r="BR49" s="100">
        <v>8.9181466725395779</v>
      </c>
      <c r="BS49" s="100">
        <v>8786.1581017859917</v>
      </c>
      <c r="BT49" s="100">
        <v>7</v>
      </c>
      <c r="BU49" s="100">
        <v>6896.4</v>
      </c>
      <c r="BV49" s="100">
        <v>2.7811988633957507</v>
      </c>
      <c r="BW49" s="100">
        <v>2740.0371202174933</v>
      </c>
      <c r="BX49" s="100">
        <v>10.421324574768519</v>
      </c>
      <c r="BY49" s="100">
        <v>10267.088971061945</v>
      </c>
      <c r="BZ49" s="100">
        <v>3.0160915677598243</v>
      </c>
      <c r="CA49" s="100">
        <v>2971.4534125569789</v>
      </c>
      <c r="CB49" s="100">
        <v>7.158816208627595</v>
      </c>
      <c r="CC49" s="100">
        <v>7052.8657287399064</v>
      </c>
      <c r="CD49" s="100">
        <v>7</v>
      </c>
      <c r="CE49" s="100">
        <v>6896.4</v>
      </c>
      <c r="CF49" s="100">
        <v>8.2722765786342034</v>
      </c>
      <c r="CG49" s="100">
        <v>8149.8468852704164</v>
      </c>
      <c r="CH49" s="100">
        <v>6.1718018878274998</v>
      </c>
      <c r="CI49" s="100">
        <v>6080.4592198876526</v>
      </c>
      <c r="CJ49" s="100">
        <v>5.5655329869265238</v>
      </c>
      <c r="CK49" s="100">
        <v>5483.1630987200106</v>
      </c>
      <c r="CL49" s="100">
        <v>4.7865715145763366</v>
      </c>
      <c r="CM49" s="100">
        <v>4715.7302561606066</v>
      </c>
      <c r="CN49" s="100">
        <v>2.4329122504357898</v>
      </c>
      <c r="CO49" s="100">
        <v>2396.9051491293399</v>
      </c>
      <c r="CP49" s="100">
        <v>9.960425752167394</v>
      </c>
      <c r="CQ49" s="100">
        <v>9813.011451035316</v>
      </c>
      <c r="CR49" s="100">
        <v>5.9985894702764186</v>
      </c>
      <c r="CS49" s="100">
        <v>5909.8103461163273</v>
      </c>
      <c r="CT49" s="100">
        <v>6.7648764899643883</v>
      </c>
      <c r="CU49" s="100">
        <v>6664.7563179129147</v>
      </c>
    </row>
    <row r="50" spans="2:99">
      <c r="C50" s="99" t="s">
        <v>216</v>
      </c>
      <c r="D50" s="100">
        <v>3.0410804974631911</v>
      </c>
      <c r="E50" s="100">
        <v>857.58470028461988</v>
      </c>
      <c r="F50" s="100">
        <v>9.4693751034464348</v>
      </c>
      <c r="G50" s="100">
        <v>2670.3637791718947</v>
      </c>
      <c r="H50" s="100">
        <v>7.6907066806672955</v>
      </c>
      <c r="I50" s="100">
        <v>2168.7792839481772</v>
      </c>
      <c r="J50" s="100">
        <v>7.5019781933957299</v>
      </c>
      <c r="K50" s="100">
        <v>2115.5578505375956</v>
      </c>
      <c r="L50" s="100">
        <v>8</v>
      </c>
      <c r="M50" s="100">
        <v>2256</v>
      </c>
      <c r="N50" s="100">
        <v>9</v>
      </c>
      <c r="O50" s="100">
        <v>2538</v>
      </c>
      <c r="P50" s="100">
        <v>9.5949519102978353</v>
      </c>
      <c r="Q50" s="100">
        <v>2705.7764387039897</v>
      </c>
      <c r="R50" s="100">
        <v>5.8450549507589766</v>
      </c>
      <c r="S50" s="100">
        <v>1648.3054961140315</v>
      </c>
      <c r="T50" s="100">
        <v>4.012949008597122</v>
      </c>
      <c r="U50" s="100">
        <v>1131.6516204243885</v>
      </c>
      <c r="V50" s="100">
        <v>9.0048572145494763</v>
      </c>
      <c r="W50" s="100">
        <v>2539.3697345029523</v>
      </c>
      <c r="X50" s="100">
        <v>3.4464962134731776</v>
      </c>
      <c r="Y50" s="100">
        <v>971.91193219943602</v>
      </c>
      <c r="Z50" s="100">
        <v>7.8613957144982338</v>
      </c>
      <c r="AA50" s="100">
        <v>2216.9135914885019</v>
      </c>
      <c r="AB50" s="100">
        <v>3.4594299616357636</v>
      </c>
      <c r="AC50" s="100">
        <v>975.55924918128528</v>
      </c>
      <c r="AD50" s="100">
        <v>5.2328211418088113</v>
      </c>
      <c r="AE50" s="100">
        <v>1475.6555619900848</v>
      </c>
      <c r="AF50" s="100">
        <v>9.6960870490167927</v>
      </c>
      <c r="AG50" s="100">
        <v>2734.2965478227356</v>
      </c>
      <c r="AH50" s="100">
        <v>4.0495097293342788</v>
      </c>
      <c r="AI50" s="100">
        <v>1141.9617436722667</v>
      </c>
      <c r="AJ50" s="100">
        <v>4.7898219826060524</v>
      </c>
      <c r="AK50" s="100">
        <v>1350.7297990949069</v>
      </c>
      <c r="AL50" s="100">
        <v>11.853070378546766</v>
      </c>
      <c r="AM50" s="100">
        <v>3342.565846750188</v>
      </c>
      <c r="AN50" s="100">
        <v>8</v>
      </c>
      <c r="AO50" s="100">
        <v>2256</v>
      </c>
      <c r="AP50" s="100">
        <v>9</v>
      </c>
      <c r="AQ50" s="100">
        <v>2538</v>
      </c>
      <c r="AR50" s="100">
        <v>10.400982548422583</v>
      </c>
      <c r="AS50" s="100">
        <v>2933.0770786551684</v>
      </c>
      <c r="AT50" s="100">
        <v>8.1370662944239402</v>
      </c>
      <c r="AU50" s="100">
        <v>2294.6526950275511</v>
      </c>
      <c r="AV50" s="100">
        <v>3.202425070821751</v>
      </c>
      <c r="AW50" s="100">
        <v>903.08386997173375</v>
      </c>
      <c r="AX50" s="100">
        <v>9.363740179346923</v>
      </c>
      <c r="AY50" s="100">
        <v>2640.5747305758323</v>
      </c>
      <c r="AZ50" s="100">
        <v>8.7361446980106319</v>
      </c>
      <c r="BA50" s="100">
        <v>2463.5928048389983</v>
      </c>
      <c r="BB50" s="100">
        <v>9.0076435049826937</v>
      </c>
      <c r="BC50" s="100">
        <v>2540.1554684051198</v>
      </c>
      <c r="BD50" s="100">
        <v>7.6412455669852726</v>
      </c>
      <c r="BE50" s="100">
        <v>2154.8312498898467</v>
      </c>
      <c r="BF50" s="100">
        <v>7.1397093747432887</v>
      </c>
      <c r="BG50" s="100">
        <v>2013.3980436776073</v>
      </c>
      <c r="BH50" s="100">
        <v>2.6791039791603923</v>
      </c>
      <c r="BI50" s="100">
        <v>755.50732212323067</v>
      </c>
      <c r="BJ50" s="100">
        <v>11.653303333555288</v>
      </c>
      <c r="BK50" s="100">
        <v>3286.2315400625912</v>
      </c>
      <c r="BL50" s="100">
        <v>6.8815215182493699</v>
      </c>
      <c r="BM50" s="100">
        <v>1940.5890681463222</v>
      </c>
      <c r="BN50" s="100">
        <v>1.5355892557432453</v>
      </c>
      <c r="BO50" s="100">
        <v>433.03617011959517</v>
      </c>
      <c r="BP50" s="100">
        <v>11.561814500224195</v>
      </c>
      <c r="BQ50" s="100">
        <v>3260.4316890632231</v>
      </c>
      <c r="BR50" s="100">
        <v>4.431348981572941</v>
      </c>
      <c r="BS50" s="100">
        <v>1249.6404128035695</v>
      </c>
      <c r="BT50" s="100">
        <v>7.6959988820481797</v>
      </c>
      <c r="BU50" s="100">
        <v>2170.2716847375868</v>
      </c>
      <c r="BV50" s="100">
        <v>5.345641043554398</v>
      </c>
      <c r="BW50" s="100">
        <v>1507.4707742823402</v>
      </c>
      <c r="BX50" s="100">
        <v>3.8726640698360217</v>
      </c>
      <c r="BY50" s="100">
        <v>1092.091267693758</v>
      </c>
      <c r="BZ50" s="100">
        <v>9.6895730126753428</v>
      </c>
      <c r="CA50" s="100">
        <v>2732.4595895744465</v>
      </c>
      <c r="CB50" s="100">
        <v>5.4056287857053658</v>
      </c>
      <c r="CC50" s="100">
        <v>1524.3873175689132</v>
      </c>
      <c r="CD50" s="100">
        <v>7</v>
      </c>
      <c r="CE50" s="100">
        <v>1974</v>
      </c>
      <c r="CF50" s="100">
        <v>9.8191829145861913</v>
      </c>
      <c r="CG50" s="100">
        <v>2769.0095819133057</v>
      </c>
      <c r="CH50" s="100">
        <v>8.8439833292445051</v>
      </c>
      <c r="CI50" s="100">
        <v>2494.0032988469507</v>
      </c>
      <c r="CJ50" s="100">
        <v>6.0455171241604573</v>
      </c>
      <c r="CK50" s="100">
        <v>1704.8358290132489</v>
      </c>
      <c r="CL50" s="100">
        <v>6.259249088091992</v>
      </c>
      <c r="CM50" s="100">
        <v>1765.1082428419418</v>
      </c>
      <c r="CN50" s="100">
        <v>5.9593196352983773</v>
      </c>
      <c r="CO50" s="100">
        <v>1680.5281371541423</v>
      </c>
      <c r="CP50" s="100">
        <v>1.8863675269439901</v>
      </c>
      <c r="CQ50" s="100">
        <v>531.95564259820526</v>
      </c>
      <c r="CR50" s="100">
        <v>5.7064035543609846</v>
      </c>
      <c r="CS50" s="100">
        <v>1609.2058023297977</v>
      </c>
      <c r="CT50" s="100">
        <v>1.4110493553511505</v>
      </c>
      <c r="CU50" s="100">
        <v>397.91591820902443</v>
      </c>
    </row>
    <row r="51" spans="2:99">
      <c r="C51" s="99" t="s">
        <v>217</v>
      </c>
      <c r="D51" s="100">
        <v>2.6066404263970209</v>
      </c>
      <c r="E51" s="100">
        <v>2227.1135803136144</v>
      </c>
      <c r="F51" s="100">
        <v>10.469375103446435</v>
      </c>
      <c r="G51" s="100">
        <v>8945.0340883846329</v>
      </c>
      <c r="H51" s="100">
        <v>6.9216360126005663</v>
      </c>
      <c r="I51" s="100">
        <v>5913.845809165924</v>
      </c>
      <c r="J51" s="100">
        <v>7.5019781933957299</v>
      </c>
      <c r="K51" s="100">
        <v>6409.6901684373115</v>
      </c>
      <c r="L51" s="100">
        <v>8</v>
      </c>
      <c r="M51" s="100">
        <v>6835.2</v>
      </c>
      <c r="N51" s="100">
        <v>8</v>
      </c>
      <c r="O51" s="100">
        <v>6835.2</v>
      </c>
      <c r="P51" s="100">
        <v>10.467220265779456</v>
      </c>
      <c r="Q51" s="100">
        <v>8943.1929950819667</v>
      </c>
      <c r="R51" s="100">
        <v>5.8450549507589766</v>
      </c>
      <c r="S51" s="100">
        <v>4994.0149499284698</v>
      </c>
      <c r="T51" s="100">
        <v>4.012949008597122</v>
      </c>
      <c r="U51" s="100">
        <v>3428.6636329453809</v>
      </c>
      <c r="V51" s="100">
        <v>8.1790212256057586</v>
      </c>
      <c r="W51" s="100">
        <v>6988.1557351575602</v>
      </c>
      <c r="X51" s="100">
        <v>3.0156841867890303</v>
      </c>
      <c r="Y51" s="100">
        <v>2576.6005691925475</v>
      </c>
      <c r="Z51" s="100">
        <v>6.8613957144982338</v>
      </c>
      <c r="AA51" s="100">
        <v>5862.3764984672907</v>
      </c>
      <c r="AB51" s="100">
        <v>3.4594299616357636</v>
      </c>
      <c r="AC51" s="100">
        <v>2955.7369592215964</v>
      </c>
      <c r="AD51" s="100">
        <v>5.2283584761204978</v>
      </c>
      <c r="AE51" s="100">
        <v>4467.1094819973532</v>
      </c>
      <c r="AF51" s="100">
        <v>8.8701088112709918</v>
      </c>
      <c r="AG51" s="100">
        <v>7578.6209683499355</v>
      </c>
      <c r="AH51" s="100">
        <v>3.6813724812129802</v>
      </c>
      <c r="AI51" s="100">
        <v>3145.36464794837</v>
      </c>
      <c r="AJ51" s="100">
        <v>3.9336178772180221</v>
      </c>
      <c r="AK51" s="100">
        <v>3360.883114295078</v>
      </c>
      <c r="AL51" s="100">
        <v>11.02368445425612</v>
      </c>
      <c r="AM51" s="100">
        <v>9418.6359977164284</v>
      </c>
      <c r="AN51" s="100">
        <v>8</v>
      </c>
      <c r="AO51" s="100">
        <v>6835.2</v>
      </c>
      <c r="AP51" s="100">
        <v>9</v>
      </c>
      <c r="AQ51" s="100">
        <v>7689.5999999999995</v>
      </c>
      <c r="AR51" s="100">
        <v>9.5342340027206998</v>
      </c>
      <c r="AS51" s="100">
        <v>8146.0495319245656</v>
      </c>
      <c r="AT51" s="100">
        <v>7.3233596649815462</v>
      </c>
      <c r="AU51" s="100">
        <v>6257.0784977602325</v>
      </c>
      <c r="AV51" s="100">
        <v>3.202425070821751</v>
      </c>
      <c r="AW51" s="100">
        <v>2736.1519805101038</v>
      </c>
      <c r="AX51" s="100">
        <v>8.363740179346923</v>
      </c>
      <c r="AY51" s="100">
        <v>7145.9796092340111</v>
      </c>
      <c r="AZ51" s="100">
        <v>7.8625302282095673</v>
      </c>
      <c r="BA51" s="100">
        <v>6717.7458269822537</v>
      </c>
      <c r="BB51" s="100">
        <v>9.0076435049826937</v>
      </c>
      <c r="BC51" s="100">
        <v>7696.1306106572138</v>
      </c>
      <c r="BD51" s="100">
        <v>6.9924193971032684</v>
      </c>
      <c r="BE51" s="100">
        <v>5974.3231328850325</v>
      </c>
      <c r="BF51" s="100">
        <v>5.8658815587072475</v>
      </c>
      <c r="BG51" s="100">
        <v>5011.8092037594724</v>
      </c>
      <c r="BH51" s="100">
        <v>3.0480486003317568</v>
      </c>
      <c r="BI51" s="100">
        <v>2604.2527241234529</v>
      </c>
      <c r="BJ51" s="100">
        <v>9.4899775001664661</v>
      </c>
      <c r="BK51" s="100">
        <v>8108.2367761422283</v>
      </c>
      <c r="BL51" s="100">
        <v>6.8815215182493699</v>
      </c>
      <c r="BM51" s="100">
        <v>5879.5719851922613</v>
      </c>
      <c r="BN51" s="100">
        <v>1.3170703515583759</v>
      </c>
      <c r="BO51" s="100">
        <v>1125.3049083714764</v>
      </c>
      <c r="BP51" s="100">
        <v>10.449451600179355</v>
      </c>
      <c r="BQ51" s="100">
        <v>8928.0114471932411</v>
      </c>
      <c r="BR51" s="100">
        <v>4.0620698997751958</v>
      </c>
      <c r="BS51" s="100">
        <v>3470.6325223679273</v>
      </c>
      <c r="BT51" s="100">
        <v>6.805873985524455</v>
      </c>
      <c r="BU51" s="100">
        <v>5814.9387332320939</v>
      </c>
      <c r="BV51" s="100">
        <v>5.3447099716701887</v>
      </c>
      <c r="BW51" s="100">
        <v>4566.5201997950089</v>
      </c>
      <c r="BX51" s="100">
        <v>4.287310081194164</v>
      </c>
      <c r="BY51" s="100">
        <v>3663.0777333722936</v>
      </c>
      <c r="BZ51" s="100">
        <v>8.8619662658441776</v>
      </c>
      <c r="CA51" s="100">
        <v>7571.6639775372651</v>
      </c>
      <c r="CB51" s="100">
        <v>5.4056287857053658</v>
      </c>
      <c r="CC51" s="100">
        <v>4618.5692345066645</v>
      </c>
      <c r="CD51" s="100">
        <v>7</v>
      </c>
      <c r="CE51" s="100">
        <v>5980.8</v>
      </c>
      <c r="CF51" s="100">
        <v>8.182652428821827</v>
      </c>
      <c r="CG51" s="100">
        <v>6991.2582351853689</v>
      </c>
      <c r="CH51" s="100">
        <v>9.7283816621689549</v>
      </c>
      <c r="CI51" s="100">
        <v>8311.9292921571541</v>
      </c>
      <c r="CJ51" s="100">
        <v>5.181871820708964</v>
      </c>
      <c r="CK51" s="100">
        <v>4427.3912836137388</v>
      </c>
      <c r="CL51" s="100">
        <v>4.8214302922008727</v>
      </c>
      <c r="CM51" s="100">
        <v>4119.4300416564256</v>
      </c>
      <c r="CN51" s="100">
        <v>5.8580610329470373</v>
      </c>
      <c r="CO51" s="100">
        <v>5005.1273465499489</v>
      </c>
      <c r="CP51" s="100">
        <v>1.6977307742495911</v>
      </c>
      <c r="CQ51" s="100">
        <v>1450.5411735188507</v>
      </c>
      <c r="CR51" s="100">
        <v>5.7064035543609846</v>
      </c>
      <c r="CS51" s="100">
        <v>4875.5511968460251</v>
      </c>
      <c r="CT51" s="100">
        <v>1.4110493553511505</v>
      </c>
      <c r="CU51" s="100">
        <v>1205.6005692120229</v>
      </c>
    </row>
    <row r="52" spans="2:99">
      <c r="C52" s="99" t="s">
        <v>218</v>
      </c>
      <c r="D52" s="100">
        <v>3.0410804974631911</v>
      </c>
      <c r="E52" s="100">
        <v>1642.1834686301231</v>
      </c>
      <c r="F52" s="100">
        <v>11.547604287354174</v>
      </c>
      <c r="G52" s="100">
        <v>6235.7063151712537</v>
      </c>
      <c r="H52" s="100">
        <v>7.6907066806672955</v>
      </c>
      <c r="I52" s="100">
        <v>4152.9816075603394</v>
      </c>
      <c r="J52" s="100">
        <v>6.6684250607962046</v>
      </c>
      <c r="K52" s="100">
        <v>3600.9495328299504</v>
      </c>
      <c r="L52" s="100">
        <v>9</v>
      </c>
      <c r="M52" s="100">
        <v>4860</v>
      </c>
      <c r="N52" s="100">
        <v>7</v>
      </c>
      <c r="O52" s="100">
        <v>3780</v>
      </c>
      <c r="P52" s="100">
        <v>8.7226835548162143</v>
      </c>
      <c r="Q52" s="100">
        <v>4710.2491196007559</v>
      </c>
      <c r="R52" s="100">
        <v>6.6800628008674021</v>
      </c>
      <c r="S52" s="100">
        <v>3607.2339124683972</v>
      </c>
      <c r="T52" s="100">
        <v>4.4588322317745801</v>
      </c>
      <c r="U52" s="100">
        <v>2407.7694051582735</v>
      </c>
      <c r="V52" s="100">
        <v>9.0048572145494763</v>
      </c>
      <c r="W52" s="100">
        <v>4862.6228958567172</v>
      </c>
      <c r="X52" s="100">
        <v>3.5400017385241198</v>
      </c>
      <c r="Y52" s="100">
        <v>1911.6009388030247</v>
      </c>
      <c r="Z52" s="100">
        <v>7.8613957144982338</v>
      </c>
      <c r="AA52" s="100">
        <v>4245.1536858290465</v>
      </c>
      <c r="AB52" s="100">
        <v>3.4594299616357636</v>
      </c>
      <c r="AC52" s="100">
        <v>1868.0921792833124</v>
      </c>
      <c r="AD52" s="100">
        <v>5.2283584761204978</v>
      </c>
      <c r="AE52" s="100">
        <v>2823.3135771050688</v>
      </c>
      <c r="AF52" s="100">
        <v>9.8701088112709918</v>
      </c>
      <c r="AG52" s="100">
        <v>5329.8587580863359</v>
      </c>
      <c r="AH52" s="100">
        <v>4.0495097293342788</v>
      </c>
      <c r="AI52" s="100">
        <v>2186.7352538405107</v>
      </c>
      <c r="AJ52" s="100">
        <v>4.7898219826060524</v>
      </c>
      <c r="AK52" s="100">
        <v>2586.5038706072683</v>
      </c>
      <c r="AL52" s="100">
        <v>11.02368445425612</v>
      </c>
      <c r="AM52" s="100">
        <v>5952.7896052983051</v>
      </c>
      <c r="AN52" s="100">
        <v>8</v>
      </c>
      <c r="AO52" s="100">
        <v>4320</v>
      </c>
      <c r="AP52" s="100">
        <v>9</v>
      </c>
      <c r="AQ52" s="100">
        <v>4860</v>
      </c>
      <c r="AR52" s="100">
        <v>9.5342340027206998</v>
      </c>
      <c r="AS52" s="100">
        <v>5148.4863614691776</v>
      </c>
      <c r="AT52" s="100">
        <v>7.3233596649815462</v>
      </c>
      <c r="AU52" s="100">
        <v>3954.614219090035</v>
      </c>
      <c r="AV52" s="100">
        <v>3.202425070821751</v>
      </c>
      <c r="AW52" s="100">
        <v>1729.3095382437455</v>
      </c>
      <c r="AX52" s="100">
        <v>9.363740179346923</v>
      </c>
      <c r="AY52" s="100">
        <v>5056.4196968473389</v>
      </c>
      <c r="AZ52" s="100">
        <v>8.7361446980106319</v>
      </c>
      <c r="BA52" s="100">
        <v>4717.5181369257416</v>
      </c>
      <c r="BB52" s="100">
        <v>8.1068791544844245</v>
      </c>
      <c r="BC52" s="100">
        <v>4377.7147434215894</v>
      </c>
      <c r="BD52" s="100">
        <v>7.7134294093510585</v>
      </c>
      <c r="BE52" s="100">
        <v>4165.2518810495712</v>
      </c>
      <c r="BF52" s="100">
        <v>7.0480541829218817</v>
      </c>
      <c r="BG52" s="100">
        <v>3805.9492587778159</v>
      </c>
      <c r="BH52" s="100">
        <v>2.6951859176538657</v>
      </c>
      <c r="BI52" s="100">
        <v>1455.4003955330875</v>
      </c>
      <c r="BJ52" s="100">
        <v>10.653303333555288</v>
      </c>
      <c r="BK52" s="100">
        <v>5752.7838001198552</v>
      </c>
      <c r="BL52" s="100">
        <v>6.037803350390984</v>
      </c>
      <c r="BM52" s="100">
        <v>3260.4138092111316</v>
      </c>
      <c r="BN52" s="100">
        <v>1.3185595831706651</v>
      </c>
      <c r="BO52" s="100">
        <v>712.02217491215913</v>
      </c>
      <c r="BP52" s="100">
        <v>11.561814500224195</v>
      </c>
      <c r="BQ52" s="100">
        <v>6243.3798301210654</v>
      </c>
      <c r="BR52" s="100">
        <v>3.6927908179774511</v>
      </c>
      <c r="BS52" s="100">
        <v>1994.1070417078236</v>
      </c>
      <c r="BT52" s="100">
        <v>6.805873985524455</v>
      </c>
      <c r="BU52" s="100">
        <v>3675.1719521832056</v>
      </c>
      <c r="BV52" s="100">
        <v>5.3639454677682599</v>
      </c>
      <c r="BW52" s="100">
        <v>2896.5305525948602</v>
      </c>
      <c r="BX52" s="100">
        <v>4.287310081194164</v>
      </c>
      <c r="BY52" s="100">
        <v>2315.1474438448486</v>
      </c>
      <c r="BZ52" s="100">
        <v>7.8619662658441785</v>
      </c>
      <c r="CA52" s="100">
        <v>4245.4617835558565</v>
      </c>
      <c r="CB52" s="100">
        <v>5.4056287857053658</v>
      </c>
      <c r="CC52" s="100">
        <v>2919.0395442808976</v>
      </c>
      <c r="CD52" s="100">
        <v>7</v>
      </c>
      <c r="CE52" s="100">
        <v>3780</v>
      </c>
      <c r="CF52" s="100">
        <v>9.0009176717040091</v>
      </c>
      <c r="CG52" s="100">
        <v>4860.4955427201648</v>
      </c>
      <c r="CH52" s="100">
        <v>8.8439833292445051</v>
      </c>
      <c r="CI52" s="100">
        <v>4775.7509977920326</v>
      </c>
      <c r="CJ52" s="100">
        <v>5.181871820708964</v>
      </c>
      <c r="CK52" s="100">
        <v>2798.2107831828407</v>
      </c>
      <c r="CL52" s="100">
        <v>6.3439114055132455</v>
      </c>
      <c r="CM52" s="100">
        <v>3425.7121589771527</v>
      </c>
      <c r="CN52" s="100">
        <v>6.5143747103019107</v>
      </c>
      <c r="CO52" s="100">
        <v>3517.7623435630317</v>
      </c>
      <c r="CP52" s="100">
        <v>1.8863675269439901</v>
      </c>
      <c r="CQ52" s="100">
        <v>1018.6384645497546</v>
      </c>
      <c r="CR52" s="100">
        <v>7.057806303853182</v>
      </c>
      <c r="CS52" s="100">
        <v>3811.2154040807181</v>
      </c>
      <c r="CT52" s="100">
        <v>1.6126278346870293</v>
      </c>
      <c r="CU52" s="100">
        <v>870.81903073099579</v>
      </c>
    </row>
    <row r="53" spans="2:99">
      <c r="C53" s="99" t="s">
        <v>219</v>
      </c>
      <c r="D53" s="100">
        <v>2.6066404263970209</v>
      </c>
      <c r="E53" s="100">
        <v>1060.3813254583081</v>
      </c>
      <c r="F53" s="100">
        <v>10.469375103446435</v>
      </c>
      <c r="G53" s="100">
        <v>4258.9417920820097</v>
      </c>
      <c r="H53" s="100">
        <v>7.6907066806672955</v>
      </c>
      <c r="I53" s="100">
        <v>3128.5794776954558</v>
      </c>
      <c r="J53" s="100">
        <v>6.6684250607962046</v>
      </c>
      <c r="K53" s="100">
        <v>2712.7153147318959</v>
      </c>
      <c r="L53" s="100">
        <v>9</v>
      </c>
      <c r="M53" s="100">
        <v>3661.2000000000003</v>
      </c>
      <c r="N53" s="100">
        <v>8</v>
      </c>
      <c r="O53" s="100">
        <v>3254.4</v>
      </c>
      <c r="P53" s="100">
        <v>8.7226835548162143</v>
      </c>
      <c r="Q53" s="100">
        <v>3548.3876700992359</v>
      </c>
      <c r="R53" s="100">
        <v>5.8450549507589766</v>
      </c>
      <c r="S53" s="100">
        <v>2377.7683539687519</v>
      </c>
      <c r="T53" s="100">
        <v>4.012949008597122</v>
      </c>
      <c r="U53" s="100">
        <v>1632.4676566973092</v>
      </c>
      <c r="V53" s="100">
        <v>9.1761550219066006</v>
      </c>
      <c r="W53" s="100">
        <v>3732.8598629116054</v>
      </c>
      <c r="X53" s="100">
        <v>3.4464962134731776</v>
      </c>
      <c r="Y53" s="100">
        <v>1402.0346596408888</v>
      </c>
      <c r="Z53" s="100">
        <v>9.0336748573978802</v>
      </c>
      <c r="AA53" s="100">
        <v>3674.8989319894577</v>
      </c>
      <c r="AB53" s="100">
        <v>3.4594299616357636</v>
      </c>
      <c r="AC53" s="100">
        <v>1407.2961083934285</v>
      </c>
      <c r="AD53" s="100">
        <v>5.7020982248176679</v>
      </c>
      <c r="AE53" s="100">
        <v>2319.6135578558274</v>
      </c>
      <c r="AF53" s="100">
        <v>10.870108811270992</v>
      </c>
      <c r="AG53" s="100">
        <v>4421.9602644250399</v>
      </c>
      <c r="AH53" s="100">
        <v>4.0495097293342788</v>
      </c>
      <c r="AI53" s="100">
        <v>1647.3405578931847</v>
      </c>
      <c r="AJ53" s="100">
        <v>3.9515510778784431</v>
      </c>
      <c r="AK53" s="100">
        <v>1607.4909784809506</v>
      </c>
      <c r="AL53" s="100">
        <v>13.02368445425612</v>
      </c>
      <c r="AM53" s="100">
        <v>5298.0348359913896</v>
      </c>
      <c r="AN53" s="100">
        <v>9</v>
      </c>
      <c r="AO53" s="100">
        <v>3661.2000000000003</v>
      </c>
      <c r="AP53" s="100">
        <v>9</v>
      </c>
      <c r="AQ53" s="100">
        <v>3661.2000000000003</v>
      </c>
      <c r="AR53" s="100">
        <v>9.5342340027206998</v>
      </c>
      <c r="AS53" s="100">
        <v>3878.526392306781</v>
      </c>
      <c r="AT53" s="100">
        <v>7.3233596649815462</v>
      </c>
      <c r="AU53" s="100">
        <v>2979.1427117144931</v>
      </c>
      <c r="AV53" s="100">
        <v>3.202425070821751</v>
      </c>
      <c r="AW53" s="100">
        <v>1302.7465188102883</v>
      </c>
      <c r="AX53" s="100">
        <v>10.363740179346923</v>
      </c>
      <c r="AY53" s="100">
        <v>4215.9695049583288</v>
      </c>
      <c r="AZ53" s="100">
        <v>7.8625302282095673</v>
      </c>
      <c r="BA53" s="100">
        <v>3198.4772968356519</v>
      </c>
      <c r="BB53" s="100">
        <v>9.0076435049826937</v>
      </c>
      <c r="BC53" s="100">
        <v>3664.3093778269599</v>
      </c>
      <c r="BD53" s="100">
        <v>6.994377006790625</v>
      </c>
      <c r="BE53" s="100">
        <v>2845.3125663624264</v>
      </c>
      <c r="BF53" s="100">
        <v>6.5447966614489177</v>
      </c>
      <c r="BG53" s="100">
        <v>2662.4232818774199</v>
      </c>
      <c r="BH53" s="100">
        <v>2.6791039791603923</v>
      </c>
      <c r="BI53" s="100">
        <v>1089.8594987224476</v>
      </c>
      <c r="BJ53" s="100">
        <v>9.6533033335552876</v>
      </c>
      <c r="BK53" s="100">
        <v>3926.963796090291</v>
      </c>
      <c r="BL53" s="100">
        <v>6.037803350390984</v>
      </c>
      <c r="BM53" s="100">
        <v>2456.1784029390524</v>
      </c>
      <c r="BN53" s="100">
        <v>1.5355892557432453</v>
      </c>
      <c r="BO53" s="100">
        <v>624.67770923635226</v>
      </c>
      <c r="BP53" s="100">
        <v>11.561814500224195</v>
      </c>
      <c r="BQ53" s="100">
        <v>4703.3461386912022</v>
      </c>
      <c r="BR53" s="100">
        <v>3.6927908179774511</v>
      </c>
      <c r="BS53" s="100">
        <v>1502.2273047532271</v>
      </c>
      <c r="BT53" s="100">
        <v>6.805873985524455</v>
      </c>
      <c r="BU53" s="100">
        <v>2768.6295373113485</v>
      </c>
      <c r="BV53" s="100">
        <v>5.36487653965247</v>
      </c>
      <c r="BW53" s="100">
        <v>2182.4317763306249</v>
      </c>
      <c r="BX53" s="100">
        <v>4.7195623385038985</v>
      </c>
      <c r="BY53" s="100">
        <v>1919.9179593033859</v>
      </c>
      <c r="BZ53" s="100">
        <v>8.8619662658441776</v>
      </c>
      <c r="CA53" s="100">
        <v>3605.0478769454116</v>
      </c>
      <c r="CB53" s="100">
        <v>6.17786146937756</v>
      </c>
      <c r="CC53" s="100">
        <v>2513.1540457427914</v>
      </c>
      <c r="CD53" s="100">
        <v>7</v>
      </c>
      <c r="CE53" s="100">
        <v>2847.6</v>
      </c>
      <c r="CF53" s="100">
        <v>9.0009176717040091</v>
      </c>
      <c r="CG53" s="100">
        <v>3661.5733088491911</v>
      </c>
      <c r="CH53" s="100">
        <v>9.7283816621689549</v>
      </c>
      <c r="CI53" s="100">
        <v>3957.5056601703309</v>
      </c>
      <c r="CJ53" s="100">
        <v>6.0455171241604573</v>
      </c>
      <c r="CK53" s="100">
        <v>2459.3163661084741</v>
      </c>
      <c r="CL53" s="100">
        <v>5.6250020075676845</v>
      </c>
      <c r="CM53" s="100">
        <v>2288.2508166785342</v>
      </c>
      <c r="CN53" s="100">
        <v>6.6156333126532516</v>
      </c>
      <c r="CO53" s="100">
        <v>2691.239631587343</v>
      </c>
      <c r="CP53" s="100">
        <v>1.6977307742495911</v>
      </c>
      <c r="CQ53" s="100">
        <v>690.63687896473368</v>
      </c>
      <c r="CR53" s="100">
        <v>5.7816016934590353</v>
      </c>
      <c r="CS53" s="100">
        <v>2351.9555688991354</v>
      </c>
      <c r="CT53" s="100">
        <v>1.6126278346870293</v>
      </c>
      <c r="CU53" s="100">
        <v>656.01700315068354</v>
      </c>
    </row>
    <row r="54" spans="2:99">
      <c r="C54" s="99" t="s">
        <v>220</v>
      </c>
      <c r="D54" s="100">
        <v>3.0410804974631911</v>
      </c>
      <c r="E54" s="100">
        <v>1018.1537505506764</v>
      </c>
      <c r="F54" s="100">
        <v>10.469375103446435</v>
      </c>
      <c r="G54" s="100">
        <v>3505.1467846338664</v>
      </c>
      <c r="H54" s="100">
        <v>8.4597773487340255</v>
      </c>
      <c r="I54" s="100">
        <v>2832.3334563561521</v>
      </c>
      <c r="J54" s="100">
        <v>6.6684250607962046</v>
      </c>
      <c r="K54" s="100">
        <v>2232.5887103545692</v>
      </c>
      <c r="L54" s="100">
        <v>9</v>
      </c>
      <c r="M54" s="100">
        <v>3013.2000000000003</v>
      </c>
      <c r="N54" s="100">
        <v>8</v>
      </c>
      <c r="O54" s="100">
        <v>2678.4</v>
      </c>
      <c r="P54" s="100">
        <v>8.7226835548162143</v>
      </c>
      <c r="Q54" s="100">
        <v>2920.3544541524689</v>
      </c>
      <c r="R54" s="100">
        <v>5.8450549507589766</v>
      </c>
      <c r="S54" s="100">
        <v>1956.9243975141055</v>
      </c>
      <c r="T54" s="100">
        <v>4.4588322317745801</v>
      </c>
      <c r="U54" s="100">
        <v>1492.8170311981294</v>
      </c>
      <c r="V54" s="100">
        <v>8.1790212256057586</v>
      </c>
      <c r="W54" s="100">
        <v>2738.3363063328079</v>
      </c>
      <c r="X54" s="100">
        <v>3.4464962134731776</v>
      </c>
      <c r="Y54" s="100">
        <v>1153.8869322708199</v>
      </c>
      <c r="Z54" s="100">
        <v>8.0336748573978802</v>
      </c>
      <c r="AA54" s="100">
        <v>2689.6743422568102</v>
      </c>
      <c r="AB54" s="100">
        <v>3.8918587068402344</v>
      </c>
      <c r="AC54" s="100">
        <v>1302.9942950501106</v>
      </c>
      <c r="AD54" s="100">
        <v>5.7110235561942968</v>
      </c>
      <c r="AE54" s="100">
        <v>1912.0506866138505</v>
      </c>
      <c r="AF54" s="100">
        <v>9.8701088112709918</v>
      </c>
      <c r="AG54" s="100">
        <v>3304.512430013528</v>
      </c>
      <c r="AH54" s="100">
        <v>4.0495097293342788</v>
      </c>
      <c r="AI54" s="100">
        <v>1355.7758573811166</v>
      </c>
      <c r="AJ54" s="100">
        <v>4.3527533295818275</v>
      </c>
      <c r="AK54" s="100">
        <v>1457.3018147439959</v>
      </c>
      <c r="AL54" s="100">
        <v>12.02368445425612</v>
      </c>
      <c r="AM54" s="100">
        <v>4025.5295552849493</v>
      </c>
      <c r="AN54" s="100">
        <v>7</v>
      </c>
      <c r="AO54" s="100">
        <v>2343.6</v>
      </c>
      <c r="AP54" s="100">
        <v>9</v>
      </c>
      <c r="AQ54" s="100">
        <v>3013.2000000000003</v>
      </c>
      <c r="AR54" s="100">
        <v>8.6674854570188185</v>
      </c>
      <c r="AS54" s="100">
        <v>2901.8741310099003</v>
      </c>
      <c r="AT54" s="100">
        <v>8.1370662944239402</v>
      </c>
      <c r="AU54" s="100">
        <v>2724.2897953731353</v>
      </c>
      <c r="AV54" s="100">
        <v>3.65991436665343</v>
      </c>
      <c r="AW54" s="100">
        <v>1225.3393299555685</v>
      </c>
      <c r="AX54" s="100">
        <v>8.363740179346923</v>
      </c>
      <c r="AY54" s="100">
        <v>2800.1802120453499</v>
      </c>
      <c r="AZ54" s="100">
        <v>8.7361446980106319</v>
      </c>
      <c r="BA54" s="100">
        <v>2924.8612448939598</v>
      </c>
      <c r="BB54" s="100">
        <v>9.0076435049826937</v>
      </c>
      <c r="BC54" s="100">
        <v>3015.7590454682058</v>
      </c>
      <c r="BD54" s="100">
        <v>6.994377006790625</v>
      </c>
      <c r="BE54" s="100">
        <v>2341.7174218735013</v>
      </c>
      <c r="BF54" s="100">
        <v>6.4582433378769162</v>
      </c>
      <c r="BG54" s="100">
        <v>2162.2198695211914</v>
      </c>
      <c r="BH54" s="100">
        <v>3.0641305388252302</v>
      </c>
      <c r="BI54" s="100">
        <v>1025.8709043986871</v>
      </c>
      <c r="BJ54" s="100">
        <v>10.653303333555288</v>
      </c>
      <c r="BK54" s="100">
        <v>3566.7259560743105</v>
      </c>
      <c r="BL54" s="100">
        <v>6.037803350390984</v>
      </c>
      <c r="BM54" s="100">
        <v>2021.4565617109015</v>
      </c>
      <c r="BN54" s="100">
        <v>1.3170703515583759</v>
      </c>
      <c r="BO54" s="100">
        <v>440.95515370174428</v>
      </c>
      <c r="BP54" s="100">
        <v>10.561814500224195</v>
      </c>
      <c r="BQ54" s="100">
        <v>3536.0954946750603</v>
      </c>
      <c r="BR54" s="100">
        <v>4.0620698997751958</v>
      </c>
      <c r="BS54" s="100">
        <v>1359.9810024447356</v>
      </c>
      <c r="BT54" s="100">
        <v>7.6959988820481797</v>
      </c>
      <c r="BU54" s="100">
        <v>2576.6204257097306</v>
      </c>
      <c r="BV54" s="100">
        <v>5.36487653965247</v>
      </c>
      <c r="BW54" s="100">
        <v>1796.160665475647</v>
      </c>
      <c r="BX54" s="100">
        <v>3.8550578238844295</v>
      </c>
      <c r="BY54" s="100">
        <v>1290.6733594365071</v>
      </c>
      <c r="BZ54" s="100">
        <v>8.8619662658441776</v>
      </c>
      <c r="CA54" s="100">
        <v>2966.9863058046308</v>
      </c>
      <c r="CB54" s="100">
        <v>5.4056287857053658</v>
      </c>
      <c r="CC54" s="100">
        <v>1809.8045174541564</v>
      </c>
      <c r="CD54" s="100">
        <v>7</v>
      </c>
      <c r="CE54" s="100">
        <v>2343.6</v>
      </c>
      <c r="CF54" s="100">
        <v>9.0009176717040091</v>
      </c>
      <c r="CG54" s="100">
        <v>3013.5072364865023</v>
      </c>
      <c r="CH54" s="100">
        <v>8.8439833292445051</v>
      </c>
      <c r="CI54" s="100">
        <v>2960.9656186310604</v>
      </c>
      <c r="CJ54" s="100">
        <v>6.0455171241604573</v>
      </c>
      <c r="CK54" s="100">
        <v>2024.0391331689211</v>
      </c>
      <c r="CL54" s="100">
        <v>5.6250020075676845</v>
      </c>
      <c r="CM54" s="100">
        <v>1883.2506721336608</v>
      </c>
      <c r="CN54" s="100">
        <v>7.1706883876567833</v>
      </c>
      <c r="CO54" s="100">
        <v>2400.7464721874912</v>
      </c>
      <c r="CP54" s="100">
        <v>1.8863675269439901</v>
      </c>
      <c r="CQ54" s="100">
        <v>631.55584802084786</v>
      </c>
      <c r="CR54" s="100">
        <v>7.057806303853182</v>
      </c>
      <c r="CS54" s="100">
        <v>2362.9535505300455</v>
      </c>
      <c r="CT54" s="100">
        <v>1.4110493553511505</v>
      </c>
      <c r="CU54" s="100">
        <v>472.41932417156522</v>
      </c>
    </row>
    <row r="55" spans="2:99">
      <c r="C55" s="99" t="s">
        <v>221</v>
      </c>
      <c r="D55" s="100">
        <v>2.6066404263970209</v>
      </c>
      <c r="E55" s="100">
        <v>1729.7665869570631</v>
      </c>
      <c r="F55" s="100">
        <v>10.469375103446435</v>
      </c>
      <c r="G55" s="100">
        <v>6947.4773186470547</v>
      </c>
      <c r="H55" s="100">
        <v>7.6907066806672955</v>
      </c>
      <c r="I55" s="100">
        <v>5103.5529532908176</v>
      </c>
      <c r="J55" s="100">
        <v>7.5019781933957299</v>
      </c>
      <c r="K55" s="100">
        <v>4978.3127291374067</v>
      </c>
      <c r="L55" s="100">
        <v>9</v>
      </c>
      <c r="M55" s="100">
        <v>5972.4000000000005</v>
      </c>
      <c r="N55" s="100">
        <v>7</v>
      </c>
      <c r="O55" s="100">
        <v>4645.2</v>
      </c>
      <c r="P55" s="100">
        <v>9.5949519102978353</v>
      </c>
      <c r="Q55" s="100">
        <v>6367.210087673644</v>
      </c>
      <c r="R55" s="100">
        <v>5.8450549507589766</v>
      </c>
      <c r="S55" s="100">
        <v>3878.7784653236572</v>
      </c>
      <c r="T55" s="100">
        <v>4.4588322317745801</v>
      </c>
      <c r="U55" s="100">
        <v>2958.8810690056116</v>
      </c>
      <c r="V55" s="100">
        <v>8.0077234182486343</v>
      </c>
      <c r="W55" s="100">
        <v>5313.9252603497935</v>
      </c>
      <c r="X55" s="100">
        <v>3.5400017385241198</v>
      </c>
      <c r="Y55" s="100">
        <v>2349.1451536846062</v>
      </c>
      <c r="Z55" s="100">
        <v>7.8613957144982338</v>
      </c>
      <c r="AA55" s="100">
        <v>5216.8221961410281</v>
      </c>
      <c r="AB55" s="100">
        <v>3.4594299616357636</v>
      </c>
      <c r="AC55" s="100">
        <v>2295.6777225414926</v>
      </c>
      <c r="AD55" s="100">
        <v>5.2328211418088113</v>
      </c>
      <c r="AE55" s="100">
        <v>3472.5001097043273</v>
      </c>
      <c r="AF55" s="100">
        <v>9.6960870490167927</v>
      </c>
      <c r="AG55" s="100">
        <v>6434.3233657275441</v>
      </c>
      <c r="AH55" s="100">
        <v>3.6813724812129802</v>
      </c>
      <c r="AI55" s="100">
        <v>2442.9587785329336</v>
      </c>
      <c r="AJ55" s="100">
        <v>3.9336178772180221</v>
      </c>
      <c r="AK55" s="100">
        <v>2610.3488233218795</v>
      </c>
      <c r="AL55" s="100">
        <v>12.02368445425612</v>
      </c>
      <c r="AM55" s="100">
        <v>7978.9170038443617</v>
      </c>
      <c r="AN55" s="100">
        <v>8</v>
      </c>
      <c r="AO55" s="100">
        <v>5308.8</v>
      </c>
      <c r="AP55" s="100">
        <v>9</v>
      </c>
      <c r="AQ55" s="100">
        <v>5972.4000000000005</v>
      </c>
      <c r="AR55" s="100">
        <v>8.6674854570188185</v>
      </c>
      <c r="AS55" s="100">
        <v>5751.7433492776881</v>
      </c>
      <c r="AT55" s="100">
        <v>8.1370662944239402</v>
      </c>
      <c r="AU55" s="100">
        <v>5399.7571929797268</v>
      </c>
      <c r="AV55" s="100">
        <v>3.65991436665343</v>
      </c>
      <c r="AW55" s="100">
        <v>2428.7191737112162</v>
      </c>
      <c r="AX55" s="100">
        <v>9.363740179346923</v>
      </c>
      <c r="AY55" s="100">
        <v>6213.7779830146183</v>
      </c>
      <c r="AZ55" s="100">
        <v>9.6097591678116938</v>
      </c>
      <c r="BA55" s="100">
        <v>6377.0361837598402</v>
      </c>
      <c r="BB55" s="100">
        <v>9.0076435049826937</v>
      </c>
      <c r="BC55" s="100">
        <v>5977.4722299065161</v>
      </c>
      <c r="BD55" s="100">
        <v>6.9221931644248391</v>
      </c>
      <c r="BE55" s="100">
        <v>4593.5673839123237</v>
      </c>
      <c r="BF55" s="100">
        <v>6.4556924037522139</v>
      </c>
      <c r="BG55" s="100">
        <v>4283.9974791299692</v>
      </c>
      <c r="BH55" s="100">
        <v>3.0641305388252302</v>
      </c>
      <c r="BI55" s="100">
        <v>2033.3570255644229</v>
      </c>
      <c r="BJ55" s="100">
        <v>10.653303333555288</v>
      </c>
      <c r="BK55" s="100">
        <v>7069.5320921472894</v>
      </c>
      <c r="BL55" s="100">
        <v>6.037803350390984</v>
      </c>
      <c r="BM55" s="100">
        <v>4006.6863033194572</v>
      </c>
      <c r="BN55" s="100">
        <v>1.5341000241309561</v>
      </c>
      <c r="BO55" s="100">
        <v>1018.0287760133025</v>
      </c>
      <c r="BP55" s="100">
        <v>10.561814500224195</v>
      </c>
      <c r="BQ55" s="100">
        <v>7008.8201023487754</v>
      </c>
      <c r="BR55" s="100">
        <v>4.0620698997751958</v>
      </c>
      <c r="BS55" s="100">
        <v>2695.5895854908199</v>
      </c>
      <c r="BT55" s="100">
        <v>7.6959988820481797</v>
      </c>
      <c r="BU55" s="100">
        <v>5107.0648581271726</v>
      </c>
      <c r="BV55" s="100">
        <v>5.3639454677682599</v>
      </c>
      <c r="BW55" s="100">
        <v>3559.5142124110175</v>
      </c>
      <c r="BX55" s="100">
        <v>4.3049163271457562</v>
      </c>
      <c r="BY55" s="100">
        <v>2856.7424746939241</v>
      </c>
      <c r="BZ55" s="100">
        <v>9.6895730126753428</v>
      </c>
      <c r="CA55" s="100">
        <v>6430.0006512113578</v>
      </c>
      <c r="CB55" s="100">
        <v>5.4056287857053658</v>
      </c>
      <c r="CC55" s="100">
        <v>3587.1752621940809</v>
      </c>
      <c r="CD55" s="100">
        <v>6</v>
      </c>
      <c r="CE55" s="100">
        <v>3981.6000000000004</v>
      </c>
      <c r="CF55" s="100">
        <v>9.8191829145861913</v>
      </c>
      <c r="CG55" s="100">
        <v>6516.0097821193967</v>
      </c>
      <c r="CH55" s="100">
        <v>7.9595849963200536</v>
      </c>
      <c r="CI55" s="100">
        <v>5281.9806035579877</v>
      </c>
      <c r="CJ55" s="100">
        <v>6.0455171241604573</v>
      </c>
      <c r="CK55" s="100">
        <v>4011.8051635928796</v>
      </c>
      <c r="CL55" s="100">
        <v>4.8214302922008727</v>
      </c>
      <c r="CM55" s="100">
        <v>3199.501141904499</v>
      </c>
      <c r="CN55" s="100">
        <v>6.5143747103019107</v>
      </c>
      <c r="CO55" s="100">
        <v>4322.9390577563481</v>
      </c>
      <c r="CP55" s="100">
        <v>1.6977307742495911</v>
      </c>
      <c r="CQ55" s="100">
        <v>1126.6141417920287</v>
      </c>
      <c r="CR55" s="100">
        <v>5.7816016934590353</v>
      </c>
      <c r="CS55" s="100">
        <v>3836.6708837794158</v>
      </c>
      <c r="CT55" s="100">
        <v>1.4110493553511505</v>
      </c>
      <c r="CU55" s="100">
        <v>936.37235221102355</v>
      </c>
    </row>
    <row r="56" spans="2:99">
      <c r="C56" s="99" t="s">
        <v>222</v>
      </c>
      <c r="D56" s="100">
        <v>5.8163597951269335</v>
      </c>
      <c r="E56" s="100">
        <v>5709.338774896597</v>
      </c>
      <c r="F56" s="100">
        <v>7.9562854309617661</v>
      </c>
      <c r="G56" s="100">
        <v>7809.8897790320689</v>
      </c>
      <c r="H56" s="100">
        <v>4.8991983586031314</v>
      </c>
      <c r="I56" s="100">
        <v>4809.0531088048328</v>
      </c>
      <c r="J56" s="100">
        <v>5.6769136120641654</v>
      </c>
      <c r="K56" s="100">
        <v>5572.4584016021845</v>
      </c>
      <c r="L56" s="100">
        <v>7.5270430398545107</v>
      </c>
      <c r="M56" s="100">
        <v>7388.5454479211867</v>
      </c>
      <c r="N56" s="100">
        <v>3.5485066980134103</v>
      </c>
      <c r="O56" s="100">
        <v>3483.2141747699634</v>
      </c>
      <c r="P56" s="100">
        <v>11.567634968878385</v>
      </c>
      <c r="Q56" s="100">
        <v>11354.790485451022</v>
      </c>
      <c r="R56" s="100">
        <v>4.4398948107812286</v>
      </c>
      <c r="S56" s="100">
        <v>4358.2007462628535</v>
      </c>
      <c r="T56" s="100">
        <v>9.8547680850870201</v>
      </c>
      <c r="U56" s="100">
        <v>9673.4403523214187</v>
      </c>
      <c r="V56" s="100">
        <v>8.1368033979796852</v>
      </c>
      <c r="W56" s="100">
        <v>7987.0862154568586</v>
      </c>
      <c r="X56" s="100">
        <v>6.0910970605585204</v>
      </c>
      <c r="Y56" s="100">
        <v>5979.0208746442431</v>
      </c>
      <c r="Z56" s="100">
        <v>3.305001137815629</v>
      </c>
      <c r="AA56" s="100">
        <v>3244.1891168798211</v>
      </c>
      <c r="AB56" s="100">
        <v>6.8845655691255203</v>
      </c>
      <c r="AC56" s="100">
        <v>6757.8895626536105</v>
      </c>
      <c r="AD56" s="100">
        <v>9.5411418205993286</v>
      </c>
      <c r="AE56" s="100">
        <v>9365.5848111002997</v>
      </c>
      <c r="AF56" s="100">
        <v>1.8850996847929364</v>
      </c>
      <c r="AG56" s="100">
        <v>1850.4138505927463</v>
      </c>
      <c r="AH56" s="100">
        <v>2.1256488539721063</v>
      </c>
      <c r="AI56" s="100">
        <v>2086.5369150590195</v>
      </c>
      <c r="AJ56" s="100">
        <v>2.2241888670701511</v>
      </c>
      <c r="AK56" s="100">
        <v>2183.2637919160602</v>
      </c>
      <c r="AL56" s="100">
        <v>1.7583901514533655</v>
      </c>
      <c r="AM56" s="100">
        <v>1726.0357726666234</v>
      </c>
      <c r="AN56" s="100">
        <v>5.6272115411313086</v>
      </c>
      <c r="AO56" s="100">
        <v>5523.6708487744918</v>
      </c>
      <c r="AP56" s="100">
        <v>6.7641596571493521</v>
      </c>
      <c r="AQ56" s="100">
        <v>6639.6991194578031</v>
      </c>
      <c r="AR56" s="100">
        <v>8.4242536084101065</v>
      </c>
      <c r="AS56" s="100">
        <v>8269.2473420153601</v>
      </c>
      <c r="AT56" s="100">
        <v>8.1473350492034253</v>
      </c>
      <c r="AU56" s="100">
        <v>7997.4240842980817</v>
      </c>
      <c r="AV56" s="100">
        <v>5.8739820061310395</v>
      </c>
      <c r="AW56" s="100">
        <v>5765.9007372182277</v>
      </c>
      <c r="AX56" s="100">
        <v>1.7676448364610147</v>
      </c>
      <c r="AY56" s="100">
        <v>1735.1201714701319</v>
      </c>
      <c r="AZ56" s="100">
        <v>6.8047722209113264</v>
      </c>
      <c r="BA56" s="100">
        <v>6679.5644120465577</v>
      </c>
      <c r="BB56" s="100">
        <v>5.3211639465338658</v>
      </c>
      <c r="BC56" s="100">
        <v>5223.2545299176418</v>
      </c>
      <c r="BD56" s="100">
        <v>7.0369160363719407</v>
      </c>
      <c r="BE56" s="100">
        <v>6907.4367813026965</v>
      </c>
      <c r="BF56" s="100">
        <v>2.5127820841085189</v>
      </c>
      <c r="BG56" s="100">
        <v>2466.5468937609221</v>
      </c>
      <c r="BH56" s="100">
        <v>7.7218906619497689</v>
      </c>
      <c r="BI56" s="100">
        <v>7579.8078737698925</v>
      </c>
      <c r="BJ56" s="100">
        <v>3.5457539445775708</v>
      </c>
      <c r="BK56" s="100">
        <v>3480.5120719973434</v>
      </c>
      <c r="BL56" s="100">
        <v>6.2676966560052083</v>
      </c>
      <c r="BM56" s="100">
        <v>6152.3710375347118</v>
      </c>
      <c r="BN56" s="100">
        <v>6.5999600347887197</v>
      </c>
      <c r="BO56" s="100">
        <v>6478.520770148607</v>
      </c>
      <c r="BP56" s="100">
        <v>7.0131442812954683</v>
      </c>
      <c r="BQ56" s="100">
        <v>6884.1024265196311</v>
      </c>
      <c r="BR56" s="100">
        <v>8.322883065870494</v>
      </c>
      <c r="BS56" s="100">
        <v>8169.7420174584759</v>
      </c>
      <c r="BT56" s="100">
        <v>5.9122252728908959</v>
      </c>
      <c r="BU56" s="100">
        <v>5803.4403278697027</v>
      </c>
      <c r="BV56" s="100">
        <v>5.3402161100218288</v>
      </c>
      <c r="BW56" s="100">
        <v>5241.9561335974267</v>
      </c>
      <c r="BX56" s="100">
        <v>7.1886679545936429</v>
      </c>
      <c r="BY56" s="100">
        <v>7056.3964642291194</v>
      </c>
      <c r="BZ56" s="100">
        <v>6.8047911575545914</v>
      </c>
      <c r="CA56" s="100">
        <v>6679.5830002555867</v>
      </c>
      <c r="CB56" s="100">
        <v>4.3081924061081311</v>
      </c>
      <c r="CC56" s="100">
        <v>4228.9216658357409</v>
      </c>
      <c r="CD56" s="100">
        <v>4.115425189176948</v>
      </c>
      <c r="CE56" s="100">
        <v>4039.7013656960917</v>
      </c>
      <c r="CF56" s="100">
        <v>7.2515681486497519</v>
      </c>
      <c r="CG56" s="100">
        <v>7118.139294714596</v>
      </c>
      <c r="CH56" s="100">
        <v>2.9434955921909163</v>
      </c>
      <c r="CI56" s="100">
        <v>2889.3352732946032</v>
      </c>
      <c r="CJ56" s="100">
        <v>6.6989497845026111</v>
      </c>
      <c r="CK56" s="100">
        <v>6575.6891084677627</v>
      </c>
      <c r="CL56" s="100">
        <v>5.6733120612359045</v>
      </c>
      <c r="CM56" s="100">
        <v>5568.9231193091637</v>
      </c>
      <c r="CN56" s="100">
        <v>1.3846014300145999</v>
      </c>
      <c r="CO56" s="100">
        <v>1359.1247637023312</v>
      </c>
      <c r="CP56" s="100">
        <v>8.6518952756284442</v>
      </c>
      <c r="CQ56" s="100">
        <v>8492.7004025568804</v>
      </c>
      <c r="CR56" s="100">
        <v>2.4200510014090462</v>
      </c>
      <c r="CS56" s="100">
        <v>2375.5220629831197</v>
      </c>
      <c r="CT56" s="100">
        <v>7.6417374247768155</v>
      </c>
      <c r="CU56" s="100">
        <v>7501.1294561609211</v>
      </c>
    </row>
    <row r="57" spans="2:99">
      <c r="C57" s="99" t="s">
        <v>223</v>
      </c>
      <c r="D57" s="100">
        <v>2.1722003553308511</v>
      </c>
      <c r="E57" s="100">
        <v>3065.4091414428972</v>
      </c>
      <c r="F57" s="100">
        <v>8.4693751034464348</v>
      </c>
      <c r="G57" s="100">
        <v>11951.982145983609</v>
      </c>
      <c r="H57" s="100">
        <v>6.9216360126005663</v>
      </c>
      <c r="I57" s="100">
        <v>9767.812740981919</v>
      </c>
      <c r="J57" s="100">
        <v>6.6684250607962046</v>
      </c>
      <c r="K57" s="100">
        <v>9410.4814457956036</v>
      </c>
      <c r="L57" s="100">
        <v>8</v>
      </c>
      <c r="M57" s="100">
        <v>11289.6</v>
      </c>
      <c r="N57" s="100">
        <v>7</v>
      </c>
      <c r="O57" s="100">
        <v>9878.4</v>
      </c>
      <c r="P57" s="100">
        <v>8.7226835548162143</v>
      </c>
      <c r="Q57" s="100">
        <v>12309.451032556643</v>
      </c>
      <c r="R57" s="100">
        <v>5.010047100650552</v>
      </c>
      <c r="S57" s="100">
        <v>7070.1784684380591</v>
      </c>
      <c r="T57" s="100">
        <v>4.012949008597122</v>
      </c>
      <c r="U57" s="100">
        <v>5663.073640932259</v>
      </c>
      <c r="V57" s="100">
        <v>8.1790212256057586</v>
      </c>
      <c r="W57" s="100">
        <v>11542.234753574847</v>
      </c>
      <c r="X57" s="100">
        <v>3.0156841867890303</v>
      </c>
      <c r="Y57" s="100">
        <v>4255.73352439668</v>
      </c>
      <c r="Z57" s="100">
        <v>6.8613957144982338</v>
      </c>
      <c r="AA57" s="100">
        <v>9682.8016322999083</v>
      </c>
      <c r="AB57" s="100">
        <v>3.4594299616357636</v>
      </c>
      <c r="AC57" s="100">
        <v>4881.9475618603901</v>
      </c>
      <c r="AD57" s="100">
        <v>5.2283584761204978</v>
      </c>
      <c r="AE57" s="100">
        <v>7378.2594815012462</v>
      </c>
      <c r="AF57" s="100">
        <v>9.6960870490167927</v>
      </c>
      <c r="AG57" s="100">
        <v>13683.118043572498</v>
      </c>
      <c r="AH57" s="100">
        <v>3.3132352330916826</v>
      </c>
      <c r="AI57" s="100">
        <v>4675.6375609389825</v>
      </c>
      <c r="AJ57" s="100">
        <v>4.3527533295818275</v>
      </c>
      <c r="AK57" s="100">
        <v>6142.6054987058751</v>
      </c>
      <c r="AL57" s="100">
        <v>11.853070378546766</v>
      </c>
      <c r="AM57" s="100">
        <v>16727.052918205198</v>
      </c>
      <c r="AN57" s="100">
        <v>8</v>
      </c>
      <c r="AO57" s="100">
        <v>11289.6</v>
      </c>
      <c r="AP57" s="100">
        <v>9</v>
      </c>
      <c r="AQ57" s="100">
        <v>12700.800000000001</v>
      </c>
      <c r="AR57" s="100">
        <v>8.6674854570188185</v>
      </c>
      <c r="AS57" s="100">
        <v>12231.555476944957</v>
      </c>
      <c r="AT57" s="100">
        <v>7.3233596649815462</v>
      </c>
      <c r="AU57" s="100">
        <v>10334.725159221958</v>
      </c>
      <c r="AV57" s="100">
        <v>2.7449357749900725</v>
      </c>
      <c r="AW57" s="100">
        <v>3873.6533656659903</v>
      </c>
      <c r="AX57" s="100">
        <v>8.2909921434775384</v>
      </c>
      <c r="AY57" s="100">
        <v>11700.248112875503</v>
      </c>
      <c r="AZ57" s="100">
        <v>8.7361446980106319</v>
      </c>
      <c r="BA57" s="100">
        <v>12328.447397832604</v>
      </c>
      <c r="BB57" s="100">
        <v>7.2061148039861562</v>
      </c>
      <c r="BC57" s="100">
        <v>10169.269211385264</v>
      </c>
      <c r="BD57" s="100">
        <v>6.9202355547374808</v>
      </c>
      <c r="BE57" s="100">
        <v>9765.836414845533</v>
      </c>
      <c r="BF57" s="100">
        <v>5.8658815587072475</v>
      </c>
      <c r="BG57" s="100">
        <v>8277.9320556476687</v>
      </c>
      <c r="BH57" s="100">
        <v>2.6791039791603923</v>
      </c>
      <c r="BI57" s="100">
        <v>3780.7515353911458</v>
      </c>
      <c r="BJ57" s="100">
        <v>9.6533033335552876</v>
      </c>
      <c r="BK57" s="100">
        <v>13622.741664313222</v>
      </c>
      <c r="BL57" s="100">
        <v>6.037803350390984</v>
      </c>
      <c r="BM57" s="100">
        <v>8520.5480880717569</v>
      </c>
      <c r="BN57" s="100">
        <v>1.3185595831706651</v>
      </c>
      <c r="BO57" s="100">
        <v>1860.7512837704428</v>
      </c>
      <c r="BP57" s="100">
        <v>9.5618145002241945</v>
      </c>
      <c r="BQ57" s="100">
        <v>13493.632622716385</v>
      </c>
      <c r="BR57" s="100">
        <v>3.6927908179774511</v>
      </c>
      <c r="BS57" s="100">
        <v>5211.2664023297793</v>
      </c>
      <c r="BT57" s="100">
        <v>5.9157490890007276</v>
      </c>
      <c r="BU57" s="100">
        <v>8348.3051143978264</v>
      </c>
      <c r="BV57" s="100">
        <v>4.171475547603011</v>
      </c>
      <c r="BW57" s="100">
        <v>5886.7862927773695</v>
      </c>
      <c r="BX57" s="100">
        <v>3.8726640698360217</v>
      </c>
      <c r="BY57" s="100">
        <v>5465.103535352594</v>
      </c>
      <c r="BZ57" s="100">
        <v>7.6895730126753428</v>
      </c>
      <c r="CA57" s="100">
        <v>10851.525435487443</v>
      </c>
      <c r="CB57" s="100">
        <v>5.4056287857053658</v>
      </c>
      <c r="CC57" s="100">
        <v>7628.423342387412</v>
      </c>
      <c r="CD57" s="100">
        <v>6</v>
      </c>
      <c r="CE57" s="100">
        <v>8467.2000000000007</v>
      </c>
      <c r="CF57" s="100">
        <v>9.0009176717040091</v>
      </c>
      <c r="CG57" s="100">
        <v>12702.095018308699</v>
      </c>
      <c r="CH57" s="100">
        <v>8.8439833292445051</v>
      </c>
      <c r="CI57" s="100">
        <v>12480.629274229846</v>
      </c>
      <c r="CJ57" s="100">
        <v>5.181871820708964</v>
      </c>
      <c r="CK57" s="100">
        <v>7312.6575133844899</v>
      </c>
      <c r="CL57" s="100">
        <v>4.9060926096221253</v>
      </c>
      <c r="CM57" s="100">
        <v>6923.4778906987431</v>
      </c>
      <c r="CN57" s="100">
        <v>6.6156333126532516</v>
      </c>
      <c r="CO57" s="100">
        <v>9335.9817308162692</v>
      </c>
      <c r="CP57" s="100">
        <v>1.6977307742495911</v>
      </c>
      <c r="CQ57" s="100">
        <v>2395.8376686210231</v>
      </c>
      <c r="CR57" s="100">
        <v>6.3821049291070837</v>
      </c>
      <c r="CS57" s="100">
        <v>9006.4264759559173</v>
      </c>
      <c r="CT57" s="100">
        <v>1.2094708760152719</v>
      </c>
      <c r="CU57" s="100">
        <v>1706.8053002327517</v>
      </c>
    </row>
    <row r="58" spans="2:99">
      <c r="C58" s="99" t="s">
        <v>224</v>
      </c>
      <c r="D58" s="100">
        <v>5.9559026990890453</v>
      </c>
      <c r="E58" s="100">
        <v>7011.2886573676242</v>
      </c>
      <c r="F58" s="100">
        <v>9.3506957063869756</v>
      </c>
      <c r="G58" s="100">
        <v>11007.638985558748</v>
      </c>
      <c r="H58" s="100">
        <v>7.2964330340165411</v>
      </c>
      <c r="I58" s="100">
        <v>8589.360967644272</v>
      </c>
      <c r="J58" s="100">
        <v>3.1524403227925277</v>
      </c>
      <c r="K58" s="100">
        <v>3711.052747991364</v>
      </c>
      <c r="L58" s="100">
        <v>8.8335716185263848</v>
      </c>
      <c r="M58" s="100">
        <v>10398.880509329261</v>
      </c>
      <c r="N58" s="100">
        <v>7</v>
      </c>
      <c r="O58" s="100">
        <v>8240.4</v>
      </c>
      <c r="P58" s="100">
        <v>10</v>
      </c>
      <c r="Q58" s="100">
        <v>11772</v>
      </c>
      <c r="R58" s="100">
        <v>6.7428096135623461</v>
      </c>
      <c r="S58" s="100">
        <v>7937.6354770855942</v>
      </c>
      <c r="T58" s="100">
        <v>6.4280553341047275</v>
      </c>
      <c r="U58" s="100">
        <v>7567.1067393080857</v>
      </c>
      <c r="V58" s="100">
        <v>7</v>
      </c>
      <c r="W58" s="100">
        <v>8240.4</v>
      </c>
      <c r="X58" s="100">
        <v>7</v>
      </c>
      <c r="Y58" s="100">
        <v>8240.4</v>
      </c>
      <c r="Z58" s="100">
        <v>5.8752964293525549</v>
      </c>
      <c r="AA58" s="100">
        <v>6916.3989566338278</v>
      </c>
      <c r="AB58" s="100">
        <v>7</v>
      </c>
      <c r="AC58" s="100">
        <v>8240.4</v>
      </c>
      <c r="AD58" s="100">
        <v>10</v>
      </c>
      <c r="AE58" s="100">
        <v>11772</v>
      </c>
      <c r="AF58" s="100">
        <v>2.3720964571078156</v>
      </c>
      <c r="AG58" s="100">
        <v>2792.4319493073208</v>
      </c>
      <c r="AH58" s="100">
        <v>2.1233279556411824</v>
      </c>
      <c r="AI58" s="100">
        <v>2499.5816693808001</v>
      </c>
      <c r="AJ58" s="100">
        <v>2.2855260931126073</v>
      </c>
      <c r="AK58" s="100">
        <v>2690.5213168121613</v>
      </c>
      <c r="AL58" s="100">
        <v>2.6470072791515946</v>
      </c>
      <c r="AM58" s="100">
        <v>3116.0569690172574</v>
      </c>
      <c r="AN58" s="100">
        <v>6.0850798994012996</v>
      </c>
      <c r="AO58" s="100">
        <v>7163.3560575752099</v>
      </c>
      <c r="AP58" s="100">
        <v>2.4154386607900116</v>
      </c>
      <c r="AQ58" s="100">
        <v>2843.4543914820019</v>
      </c>
      <c r="AR58" s="100">
        <v>10.568299473240382</v>
      </c>
      <c r="AS58" s="100">
        <v>12441.002139898577</v>
      </c>
      <c r="AT58" s="100">
        <v>8</v>
      </c>
      <c r="AU58" s="100">
        <v>9417.6</v>
      </c>
      <c r="AV58" s="100">
        <v>7</v>
      </c>
      <c r="AW58" s="100">
        <v>8240.4</v>
      </c>
      <c r="AX58" s="100">
        <v>4.4254518323883882</v>
      </c>
      <c r="AY58" s="100">
        <v>5209.6418970876111</v>
      </c>
      <c r="AZ58" s="100">
        <v>7.4392681306532173</v>
      </c>
      <c r="BA58" s="100">
        <v>8757.5064434049673</v>
      </c>
      <c r="BB58" s="100">
        <v>2.7648617610398141</v>
      </c>
      <c r="BC58" s="100">
        <v>3254.7952650960692</v>
      </c>
      <c r="BD58" s="100">
        <v>8.9676350240664764</v>
      </c>
      <c r="BE58" s="100">
        <v>10556.699950331056</v>
      </c>
      <c r="BF58" s="100">
        <v>10</v>
      </c>
      <c r="BG58" s="100">
        <v>11772</v>
      </c>
      <c r="BH58" s="100">
        <v>5.8387910401230112</v>
      </c>
      <c r="BI58" s="100">
        <v>6873.4248124328087</v>
      </c>
      <c r="BJ58" s="100">
        <v>1.9962531162890165</v>
      </c>
      <c r="BK58" s="100">
        <v>2349.9891684954305</v>
      </c>
      <c r="BL58" s="100">
        <v>8.1303021266347955</v>
      </c>
      <c r="BM58" s="100">
        <v>9570.9916634744823</v>
      </c>
      <c r="BN58" s="100">
        <v>3.1154050267705302</v>
      </c>
      <c r="BO58" s="100">
        <v>3667.4547975142682</v>
      </c>
      <c r="BP58" s="100">
        <v>10.697601627002506</v>
      </c>
      <c r="BQ58" s="100">
        <v>12593.21663530735</v>
      </c>
      <c r="BR58" s="100">
        <v>10.899957044215039</v>
      </c>
      <c r="BS58" s="100">
        <v>12831.429432449944</v>
      </c>
      <c r="BT58" s="100">
        <v>7</v>
      </c>
      <c r="BU58" s="100">
        <v>8240.4</v>
      </c>
      <c r="BV58" s="100">
        <v>2.4800226896013213</v>
      </c>
      <c r="BW58" s="100">
        <v>2919.4827101986757</v>
      </c>
      <c r="BX58" s="100">
        <v>9.4213245747685193</v>
      </c>
      <c r="BY58" s="100">
        <v>11090.783289417501</v>
      </c>
      <c r="BZ58" s="100">
        <v>3.4469617917255135</v>
      </c>
      <c r="CA58" s="100">
        <v>4057.7634212192747</v>
      </c>
      <c r="CB58" s="100">
        <v>6.136128178823653</v>
      </c>
      <c r="CC58" s="100">
        <v>7223.4500921112049</v>
      </c>
      <c r="CD58" s="100">
        <v>7</v>
      </c>
      <c r="CE58" s="100">
        <v>8240.4</v>
      </c>
      <c r="CF58" s="100">
        <v>8.2722765786342034</v>
      </c>
      <c r="CG58" s="100">
        <v>9738.1239883681847</v>
      </c>
      <c r="CH58" s="100">
        <v>6.1718018878274998</v>
      </c>
      <c r="CI58" s="100">
        <v>7265.4451823505333</v>
      </c>
      <c r="CJ58" s="100">
        <v>5.5655329869265238</v>
      </c>
      <c r="CK58" s="100">
        <v>6551.7454322099038</v>
      </c>
      <c r="CL58" s="100">
        <v>5.5843334336723922</v>
      </c>
      <c r="CM58" s="100">
        <v>6573.87731811914</v>
      </c>
      <c r="CN58" s="100">
        <v>2.2114619564974687</v>
      </c>
      <c r="CO58" s="100">
        <v>2603.3330151888204</v>
      </c>
      <c r="CP58" s="100">
        <v>9.018705196409746</v>
      </c>
      <c r="CQ58" s="100">
        <v>10616.819757213554</v>
      </c>
      <c r="CR58" s="100">
        <v>6.6429720797315381</v>
      </c>
      <c r="CS58" s="100">
        <v>7820.1067322599674</v>
      </c>
      <c r="CT58" s="100">
        <v>5.9855095586747975</v>
      </c>
      <c r="CU58" s="100">
        <v>7046.141852471972</v>
      </c>
    </row>
    <row r="59" spans="2:99">
      <c r="C59" s="99" t="s">
        <v>225</v>
      </c>
      <c r="D59" s="100">
        <v>3.0410804974631911</v>
      </c>
      <c r="E59" s="100">
        <v>923.27203902982467</v>
      </c>
      <c r="F59" s="100">
        <v>11.469375103446435</v>
      </c>
      <c r="G59" s="100">
        <v>3482.1022814063372</v>
      </c>
      <c r="H59" s="100">
        <v>7.6907066806672955</v>
      </c>
      <c r="I59" s="100">
        <v>2334.8985482505905</v>
      </c>
      <c r="J59" s="100">
        <v>7.5019781933957299</v>
      </c>
      <c r="K59" s="100">
        <v>2277.6005795149435</v>
      </c>
      <c r="L59" s="100">
        <v>9</v>
      </c>
      <c r="M59" s="100">
        <v>2732.3999999999996</v>
      </c>
      <c r="N59" s="100">
        <v>8</v>
      </c>
      <c r="O59" s="100">
        <v>2428.7999999999997</v>
      </c>
      <c r="P59" s="100">
        <v>10.467220265779456</v>
      </c>
      <c r="Q59" s="100">
        <v>3177.8480726906428</v>
      </c>
      <c r="R59" s="100">
        <v>5.8450549507589766</v>
      </c>
      <c r="S59" s="100">
        <v>1774.5586830504251</v>
      </c>
      <c r="T59" s="100">
        <v>4.012949008597122</v>
      </c>
      <c r="U59" s="100">
        <v>1218.3313190100862</v>
      </c>
      <c r="V59" s="100">
        <v>8.0077234182486343</v>
      </c>
      <c r="W59" s="100">
        <v>2431.1448297802849</v>
      </c>
      <c r="X59" s="100">
        <v>3.4464962134731776</v>
      </c>
      <c r="Y59" s="100">
        <v>1046.3562504104566</v>
      </c>
      <c r="Z59" s="100">
        <v>7.8613957144982338</v>
      </c>
      <c r="AA59" s="100">
        <v>2386.7197389216635</v>
      </c>
      <c r="AB59" s="100">
        <v>3.8918587068402344</v>
      </c>
      <c r="AC59" s="100">
        <v>1181.568303396695</v>
      </c>
      <c r="AD59" s="100">
        <v>5.317625342573626</v>
      </c>
      <c r="AE59" s="100">
        <v>1614.4310540053527</v>
      </c>
      <c r="AF59" s="100">
        <v>10.870108811270992</v>
      </c>
      <c r="AG59" s="100">
        <v>3300.1650351018729</v>
      </c>
      <c r="AH59" s="100">
        <v>3.6813724812129802</v>
      </c>
      <c r="AI59" s="100">
        <v>1117.6646852962606</v>
      </c>
      <c r="AJ59" s="100">
        <v>4.3706865302422475</v>
      </c>
      <c r="AK59" s="100">
        <v>1326.9404305815463</v>
      </c>
      <c r="AL59" s="100">
        <v>10.853070378546766</v>
      </c>
      <c r="AM59" s="100">
        <v>3294.9921669267978</v>
      </c>
      <c r="AN59" s="100">
        <v>8</v>
      </c>
      <c r="AO59" s="100">
        <v>2428.7999999999997</v>
      </c>
      <c r="AP59" s="100">
        <v>10</v>
      </c>
      <c r="AQ59" s="100">
        <v>3035.9999999999995</v>
      </c>
      <c r="AR59" s="100">
        <v>9.5342340027206998</v>
      </c>
      <c r="AS59" s="100">
        <v>2894.5934432260042</v>
      </c>
      <c r="AT59" s="100">
        <v>7.3233596649815462</v>
      </c>
      <c r="AU59" s="100">
        <v>2223.3719942883972</v>
      </c>
      <c r="AV59" s="100">
        <v>3.202425070821751</v>
      </c>
      <c r="AW59" s="100">
        <v>972.25625150148346</v>
      </c>
      <c r="AX59" s="100">
        <v>8.363740179346923</v>
      </c>
      <c r="AY59" s="100">
        <v>2539.2315184497256</v>
      </c>
      <c r="AZ59" s="100">
        <v>8.7361446980106319</v>
      </c>
      <c r="BA59" s="100">
        <v>2652.2935303160275</v>
      </c>
      <c r="BB59" s="100">
        <v>9.0076435049826937</v>
      </c>
      <c r="BC59" s="100">
        <v>2734.7205681127457</v>
      </c>
      <c r="BD59" s="100">
        <v>7.7134294093510585</v>
      </c>
      <c r="BE59" s="100">
        <v>2341.7971686789811</v>
      </c>
      <c r="BF59" s="100">
        <v>7.0480541829218817</v>
      </c>
      <c r="BG59" s="100">
        <v>2139.7892499350833</v>
      </c>
      <c r="BH59" s="100">
        <v>3.0641305388252302</v>
      </c>
      <c r="BI59" s="100">
        <v>930.27003158733976</v>
      </c>
      <c r="BJ59" s="100">
        <v>9.6533033335552876</v>
      </c>
      <c r="BK59" s="100">
        <v>2930.7428920673851</v>
      </c>
      <c r="BL59" s="100">
        <v>6.8815215182493699</v>
      </c>
      <c r="BM59" s="100">
        <v>2089.2299329405087</v>
      </c>
      <c r="BN59" s="100">
        <v>1.3185595831706651</v>
      </c>
      <c r="BO59" s="100">
        <v>400.31468945061391</v>
      </c>
      <c r="BP59" s="100">
        <v>12.561814500224195</v>
      </c>
      <c r="BQ59" s="100">
        <v>3813.7668822680648</v>
      </c>
      <c r="BR59" s="100">
        <v>4.0620698997751958</v>
      </c>
      <c r="BS59" s="100">
        <v>1233.2444215717494</v>
      </c>
      <c r="BT59" s="100">
        <v>7.6959988820481797</v>
      </c>
      <c r="BU59" s="100">
        <v>2336.5052605898272</v>
      </c>
      <c r="BV59" s="100">
        <v>5.3639454677682599</v>
      </c>
      <c r="BW59" s="100">
        <v>1628.4938440144435</v>
      </c>
      <c r="BX59" s="100">
        <v>3.8550578238844295</v>
      </c>
      <c r="BY59" s="100">
        <v>1170.3955553313126</v>
      </c>
      <c r="BZ59" s="100">
        <v>8.8619662658441776</v>
      </c>
      <c r="CA59" s="100">
        <v>2690.4929583102921</v>
      </c>
      <c r="CB59" s="100">
        <v>6.17786146937756</v>
      </c>
      <c r="CC59" s="100">
        <v>1875.598742103027</v>
      </c>
      <c r="CD59" s="100">
        <v>6</v>
      </c>
      <c r="CE59" s="100">
        <v>1821.6</v>
      </c>
      <c r="CF59" s="100">
        <v>9.0009176717040091</v>
      </c>
      <c r="CG59" s="100">
        <v>2732.678605129337</v>
      </c>
      <c r="CH59" s="100">
        <v>9.7283816621689549</v>
      </c>
      <c r="CI59" s="100">
        <v>2953.5366726344946</v>
      </c>
      <c r="CJ59" s="100">
        <v>6.0455171241604573</v>
      </c>
      <c r="CK59" s="100">
        <v>1835.4189988951146</v>
      </c>
      <c r="CL59" s="100">
        <v>5.6250020075676845</v>
      </c>
      <c r="CM59" s="100">
        <v>1707.7506094975488</v>
      </c>
      <c r="CN59" s="100">
        <v>6.5143747103019107</v>
      </c>
      <c r="CO59" s="100">
        <v>1977.76416204766</v>
      </c>
      <c r="CP59" s="100">
        <v>1.8863675269439901</v>
      </c>
      <c r="CQ59" s="100">
        <v>572.70118118019536</v>
      </c>
      <c r="CR59" s="100">
        <v>7.057806303853182</v>
      </c>
      <c r="CS59" s="100">
        <v>2142.7499938498258</v>
      </c>
      <c r="CT59" s="100">
        <v>1.6126278346870293</v>
      </c>
      <c r="CU59" s="100">
        <v>489.59381061098202</v>
      </c>
    </row>
    <row r="60" spans="2:99">
      <c r="C60" s="99" t="s">
        <v>226</v>
      </c>
      <c r="D60" s="100">
        <v>2.6066404263970209</v>
      </c>
      <c r="E60" s="100">
        <v>1698.486901840299</v>
      </c>
      <c r="F60" s="100">
        <v>10.469375103446435</v>
      </c>
      <c r="G60" s="100">
        <v>6821.8448174056975</v>
      </c>
      <c r="H60" s="100">
        <v>7.6907066806672955</v>
      </c>
      <c r="I60" s="100">
        <v>5011.2644731228102</v>
      </c>
      <c r="J60" s="100">
        <v>6.6684250607962046</v>
      </c>
      <c r="K60" s="100">
        <v>4345.1457696148073</v>
      </c>
      <c r="L60" s="100">
        <v>9</v>
      </c>
      <c r="M60" s="100">
        <v>5864.4000000000005</v>
      </c>
      <c r="N60" s="100">
        <v>8</v>
      </c>
      <c r="O60" s="100">
        <v>5212.8</v>
      </c>
      <c r="P60" s="100">
        <v>10.467220265779456</v>
      </c>
      <c r="Q60" s="100">
        <v>6820.4407251818939</v>
      </c>
      <c r="R60" s="100">
        <v>5.8450549507589766</v>
      </c>
      <c r="S60" s="100">
        <v>3808.6378059145495</v>
      </c>
      <c r="T60" s="100">
        <v>4.012949008597122</v>
      </c>
      <c r="U60" s="100">
        <v>2614.8375740018846</v>
      </c>
      <c r="V60" s="100">
        <v>9.1761550219066006</v>
      </c>
      <c r="W60" s="100">
        <v>5979.1826122743414</v>
      </c>
      <c r="X60" s="100">
        <v>3.0156841867890303</v>
      </c>
      <c r="Y60" s="100">
        <v>1965.0198161117321</v>
      </c>
      <c r="Z60" s="100">
        <v>7.8613957144982338</v>
      </c>
      <c r="AA60" s="100">
        <v>5122.4854475670491</v>
      </c>
      <c r="AB60" s="100">
        <v>3.8918587068402344</v>
      </c>
      <c r="AC60" s="100">
        <v>2535.9351333770969</v>
      </c>
      <c r="AD60" s="100">
        <v>4.7635440587999556</v>
      </c>
      <c r="AE60" s="100">
        <v>3103.925308714051</v>
      </c>
      <c r="AF60" s="100">
        <v>9.8701088112709918</v>
      </c>
      <c r="AG60" s="100">
        <v>6431.3629014241787</v>
      </c>
      <c r="AH60" s="100">
        <v>3.6813724812129802</v>
      </c>
      <c r="AI60" s="100">
        <v>2398.7823087583779</v>
      </c>
      <c r="AJ60" s="100">
        <v>4.3527533295818275</v>
      </c>
      <c r="AK60" s="100">
        <v>2836.254069555519</v>
      </c>
      <c r="AL60" s="100">
        <v>11.02368445425612</v>
      </c>
      <c r="AM60" s="100">
        <v>7183.0327903932885</v>
      </c>
      <c r="AN60" s="100">
        <v>9</v>
      </c>
      <c r="AO60" s="100">
        <v>5864.4000000000005</v>
      </c>
      <c r="AP60" s="100">
        <v>10</v>
      </c>
      <c r="AQ60" s="100">
        <v>6516</v>
      </c>
      <c r="AR60" s="100">
        <v>10.400982548422583</v>
      </c>
      <c r="AS60" s="100">
        <v>6777.2802285521557</v>
      </c>
      <c r="AT60" s="100">
        <v>7.3233596649815462</v>
      </c>
      <c r="AU60" s="100">
        <v>4771.9011577019755</v>
      </c>
      <c r="AV60" s="100">
        <v>3.65991436665343</v>
      </c>
      <c r="AW60" s="100">
        <v>2384.8002013113751</v>
      </c>
      <c r="AX60" s="100">
        <v>9.363740179346923</v>
      </c>
      <c r="AY60" s="100">
        <v>6101.4131008624554</v>
      </c>
      <c r="AZ60" s="100">
        <v>7.8625302282095673</v>
      </c>
      <c r="BA60" s="100">
        <v>5123.2246967013543</v>
      </c>
      <c r="BB60" s="100">
        <v>8.1068791544844245</v>
      </c>
      <c r="BC60" s="100">
        <v>5282.4424570620513</v>
      </c>
      <c r="BD60" s="100">
        <v>6.9924193971032684</v>
      </c>
      <c r="BE60" s="100">
        <v>4556.26047915249</v>
      </c>
      <c r="BF60" s="100">
        <v>5.8658815587072475</v>
      </c>
      <c r="BG60" s="100">
        <v>3822.2084236536425</v>
      </c>
      <c r="BH60" s="100">
        <v>3.0641305388252302</v>
      </c>
      <c r="BI60" s="100">
        <v>1996.5874590985202</v>
      </c>
      <c r="BJ60" s="100">
        <v>10.653303333555288</v>
      </c>
      <c r="BK60" s="100">
        <v>6941.6924521446253</v>
      </c>
      <c r="BL60" s="100">
        <v>6.8815215182493699</v>
      </c>
      <c r="BM60" s="100">
        <v>4483.9994212912898</v>
      </c>
      <c r="BN60" s="100">
        <v>1.5355892557432453</v>
      </c>
      <c r="BO60" s="100">
        <v>1000.5899590422987</v>
      </c>
      <c r="BP60" s="100">
        <v>10.561814500224195</v>
      </c>
      <c r="BQ60" s="100">
        <v>6882.0783283460851</v>
      </c>
      <c r="BR60" s="100">
        <v>4.0620698997751958</v>
      </c>
      <c r="BS60" s="100">
        <v>2646.8447466935177</v>
      </c>
      <c r="BT60" s="100">
        <v>7.6959988820481797</v>
      </c>
      <c r="BU60" s="100">
        <v>5014.7128715425943</v>
      </c>
      <c r="BV60" s="100">
        <v>5.345641043554398</v>
      </c>
      <c r="BW60" s="100">
        <v>3483.2197039800458</v>
      </c>
      <c r="BX60" s="100">
        <v>4.287310081194164</v>
      </c>
      <c r="BY60" s="100">
        <v>2793.6112489061175</v>
      </c>
      <c r="BZ60" s="100">
        <v>7.8619662658441785</v>
      </c>
      <c r="CA60" s="100">
        <v>5122.8572188240669</v>
      </c>
      <c r="CB60" s="100">
        <v>6.17786146937756</v>
      </c>
      <c r="CC60" s="100">
        <v>4025.4945334464182</v>
      </c>
      <c r="CD60" s="100">
        <v>7</v>
      </c>
      <c r="CE60" s="100">
        <v>4561.2</v>
      </c>
      <c r="CF60" s="100">
        <v>8.182652428821827</v>
      </c>
      <c r="CG60" s="100">
        <v>5331.8163226203023</v>
      </c>
      <c r="CH60" s="100">
        <v>7.9595849963200536</v>
      </c>
      <c r="CI60" s="100">
        <v>5186.4655836021475</v>
      </c>
      <c r="CJ60" s="100">
        <v>5.181871820708964</v>
      </c>
      <c r="CK60" s="100">
        <v>3376.507678373961</v>
      </c>
      <c r="CL60" s="100">
        <v>5.5403396901464328</v>
      </c>
      <c r="CM60" s="100">
        <v>3610.0853420994158</v>
      </c>
      <c r="CN60" s="100">
        <v>5.9593196352983773</v>
      </c>
      <c r="CO60" s="100">
        <v>3883.0926743604227</v>
      </c>
      <c r="CP60" s="100">
        <v>1.6977307742495911</v>
      </c>
      <c r="CQ60" s="100">
        <v>1106.2413725010335</v>
      </c>
      <c r="CR60" s="100">
        <v>5.7816016934590353</v>
      </c>
      <c r="CS60" s="100">
        <v>3767.2916634579074</v>
      </c>
      <c r="CT60" s="100">
        <v>1.4110493553511505</v>
      </c>
      <c r="CU60" s="100">
        <v>919.43975994680966</v>
      </c>
    </row>
    <row r="61" spans="2:99">
      <c r="C61" s="99" t="s">
        <v>227</v>
      </c>
      <c r="D61" s="100">
        <v>2.6066404263970209</v>
      </c>
      <c r="E61" s="100">
        <v>2480.479029759405</v>
      </c>
      <c r="F61" s="100">
        <v>9.4693751034464348</v>
      </c>
      <c r="G61" s="100">
        <v>9011.0573484396264</v>
      </c>
      <c r="H61" s="100">
        <v>8.4597773487340255</v>
      </c>
      <c r="I61" s="100">
        <v>8050.3241250552983</v>
      </c>
      <c r="J61" s="100">
        <v>7.5019781933957299</v>
      </c>
      <c r="K61" s="100">
        <v>7138.8824488353757</v>
      </c>
      <c r="L61" s="100">
        <v>8</v>
      </c>
      <c r="M61" s="100">
        <v>7612.7999999999993</v>
      </c>
      <c r="N61" s="100">
        <v>7</v>
      </c>
      <c r="O61" s="100">
        <v>6661.1999999999989</v>
      </c>
      <c r="P61" s="100">
        <v>10.467220265779456</v>
      </c>
      <c r="Q61" s="100">
        <v>9960.6068049157293</v>
      </c>
      <c r="R61" s="100">
        <v>5.8450549507589766</v>
      </c>
      <c r="S61" s="100">
        <v>5562.1542911422421</v>
      </c>
      <c r="T61" s="100">
        <v>4.012949008597122</v>
      </c>
      <c r="U61" s="100">
        <v>3818.7222765810211</v>
      </c>
      <c r="V61" s="100">
        <v>8.0077234182486343</v>
      </c>
      <c r="W61" s="100">
        <v>7620.1496048053996</v>
      </c>
      <c r="X61" s="100">
        <v>3.1091897118399729</v>
      </c>
      <c r="Y61" s="100">
        <v>2958.704929786918</v>
      </c>
      <c r="Z61" s="100">
        <v>8.0336748573978802</v>
      </c>
      <c r="AA61" s="100">
        <v>7644.8449942998222</v>
      </c>
      <c r="AB61" s="100">
        <v>3.0270012164312932</v>
      </c>
      <c r="AC61" s="100">
        <v>2880.4943575560183</v>
      </c>
      <c r="AD61" s="100">
        <v>5.7020982248176679</v>
      </c>
      <c r="AE61" s="100">
        <v>5426.1166707364919</v>
      </c>
      <c r="AF61" s="100">
        <v>8.8701088112709918</v>
      </c>
      <c r="AG61" s="100">
        <v>8440.7955448054745</v>
      </c>
      <c r="AH61" s="100">
        <v>4.0495097293342788</v>
      </c>
      <c r="AI61" s="100">
        <v>3853.5134584344992</v>
      </c>
      <c r="AJ61" s="100">
        <v>4.3527533295818275</v>
      </c>
      <c r="AK61" s="100">
        <v>4142.0800684300666</v>
      </c>
      <c r="AL61" s="100">
        <v>10.853070378546766</v>
      </c>
      <c r="AM61" s="100">
        <v>10327.781772225102</v>
      </c>
      <c r="AN61" s="100">
        <v>7</v>
      </c>
      <c r="AO61" s="100">
        <v>6661.1999999999989</v>
      </c>
      <c r="AP61" s="100">
        <v>10</v>
      </c>
      <c r="AQ61" s="100">
        <v>9516</v>
      </c>
      <c r="AR61" s="100">
        <v>9.5342340027206998</v>
      </c>
      <c r="AS61" s="100">
        <v>9072.7770769890176</v>
      </c>
      <c r="AT61" s="100">
        <v>7.3233596649815462</v>
      </c>
      <c r="AU61" s="100">
        <v>6968.9090571964389</v>
      </c>
      <c r="AV61" s="100">
        <v>3.65991436665343</v>
      </c>
      <c r="AW61" s="100">
        <v>3482.7745113074038</v>
      </c>
      <c r="AX61" s="100">
        <v>9.363740179346923</v>
      </c>
      <c r="AY61" s="100">
        <v>8910.5351546665315</v>
      </c>
      <c r="AZ61" s="100">
        <v>7.8625302282095673</v>
      </c>
      <c r="BA61" s="100">
        <v>7481.9837651642238</v>
      </c>
      <c r="BB61" s="100">
        <v>8.1068791544844245</v>
      </c>
      <c r="BC61" s="100">
        <v>7714.5062034073781</v>
      </c>
      <c r="BD61" s="100">
        <v>6.2753246042301916</v>
      </c>
      <c r="BE61" s="100">
        <v>5971.5988933854496</v>
      </c>
      <c r="BF61" s="100">
        <v>6.4556924037522139</v>
      </c>
      <c r="BG61" s="100">
        <v>6143.2368914106064</v>
      </c>
      <c r="BH61" s="100">
        <v>2.6791039791603923</v>
      </c>
      <c r="BI61" s="100">
        <v>2549.4353465690292</v>
      </c>
      <c r="BJ61" s="100">
        <v>9.6533033335552876</v>
      </c>
      <c r="BK61" s="100">
        <v>9186.0834522112109</v>
      </c>
      <c r="BL61" s="100">
        <v>6.037803350390984</v>
      </c>
      <c r="BM61" s="100">
        <v>5745.5736682320603</v>
      </c>
      <c r="BN61" s="100">
        <v>1.3170703515583759</v>
      </c>
      <c r="BO61" s="100">
        <v>1253.3241465429503</v>
      </c>
      <c r="BP61" s="100">
        <v>10.449451600179355</v>
      </c>
      <c r="BQ61" s="100">
        <v>9943.6981427306728</v>
      </c>
      <c r="BR61" s="100">
        <v>4.0620698997751958</v>
      </c>
      <c r="BS61" s="100">
        <v>3865.4657166260758</v>
      </c>
      <c r="BT61" s="100">
        <v>6.805873985524455</v>
      </c>
      <c r="BU61" s="100">
        <v>6476.4696846250708</v>
      </c>
      <c r="BV61" s="100">
        <v>4.7773282557346715</v>
      </c>
      <c r="BW61" s="100">
        <v>4546.1055681571133</v>
      </c>
      <c r="BX61" s="100">
        <v>3.8726640698360217</v>
      </c>
      <c r="BY61" s="100">
        <v>3685.2271288559577</v>
      </c>
      <c r="BZ61" s="100">
        <v>7.6895730126753428</v>
      </c>
      <c r="CA61" s="100">
        <v>7317.3976788618556</v>
      </c>
      <c r="CB61" s="100">
        <v>5.4056287857053658</v>
      </c>
      <c r="CC61" s="100">
        <v>5143.9963524772256</v>
      </c>
      <c r="CD61" s="100">
        <v>7</v>
      </c>
      <c r="CE61" s="100">
        <v>6661.1999999999989</v>
      </c>
      <c r="CF61" s="100">
        <v>9.0009176717040091</v>
      </c>
      <c r="CG61" s="100">
        <v>8565.2732563935351</v>
      </c>
      <c r="CH61" s="100">
        <v>9.7283816621689549</v>
      </c>
      <c r="CI61" s="100">
        <v>9257.5279897199762</v>
      </c>
      <c r="CJ61" s="100">
        <v>5.181871820708964</v>
      </c>
      <c r="CK61" s="100">
        <v>4931.0692245866494</v>
      </c>
      <c r="CL61" s="100">
        <v>5.6250020075676845</v>
      </c>
      <c r="CM61" s="100">
        <v>5352.7519104014082</v>
      </c>
      <c r="CN61" s="100">
        <v>6.6156333126532516</v>
      </c>
      <c r="CO61" s="100">
        <v>6295.4366603208337</v>
      </c>
      <c r="CP61" s="100">
        <v>1.6977307742495911</v>
      </c>
      <c r="CQ61" s="100">
        <v>1615.5606047759106</v>
      </c>
      <c r="CR61" s="100">
        <v>6.3821049291070837</v>
      </c>
      <c r="CS61" s="100">
        <v>6073.2110505383007</v>
      </c>
      <c r="CT61" s="100">
        <v>1.4110493553511505</v>
      </c>
      <c r="CU61" s="100">
        <v>1342.7545665521548</v>
      </c>
    </row>
    <row r="62" spans="2:99">
      <c r="C62" s="99" t="s">
        <v>228</v>
      </c>
      <c r="D62" s="100">
        <v>5.1158929628937324</v>
      </c>
      <c r="E62" s="100">
        <v>8539.4485336622183</v>
      </c>
      <c r="F62" s="100">
        <v>7.2271041269283831</v>
      </c>
      <c r="G62" s="100">
        <v>12063.482208668858</v>
      </c>
      <c r="H62" s="100">
        <v>4.3817108783131236</v>
      </c>
      <c r="I62" s="100">
        <v>7313.9517980802657</v>
      </c>
      <c r="J62" s="100">
        <v>5.5606012656288089</v>
      </c>
      <c r="K62" s="100">
        <v>9281.7556325876085</v>
      </c>
      <c r="L62" s="100">
        <v>7.5270430398545107</v>
      </c>
      <c r="M62" s="100">
        <v>12564.14024212515</v>
      </c>
      <c r="N62" s="100">
        <v>3.5485066980134103</v>
      </c>
      <c r="O62" s="100">
        <v>5923.1673803239846</v>
      </c>
      <c r="P62" s="100">
        <v>9.685327871429493</v>
      </c>
      <c r="Q62" s="100">
        <v>16166.749282990109</v>
      </c>
      <c r="R62" s="100">
        <v>4.4320426460003812</v>
      </c>
      <c r="S62" s="100">
        <v>7397.9655847038366</v>
      </c>
      <c r="T62" s="100">
        <v>8.8547680850870201</v>
      </c>
      <c r="U62" s="100">
        <v>14780.378887627254</v>
      </c>
      <c r="V62" s="100">
        <v>7.1172600554111591</v>
      </c>
      <c r="W62" s="100">
        <v>11880.130484492307</v>
      </c>
      <c r="X62" s="100">
        <v>5.4068708978646978</v>
      </c>
      <c r="Y62" s="100">
        <v>9025.1489027157531</v>
      </c>
      <c r="Z62" s="100">
        <v>3.3263362195344275</v>
      </c>
      <c r="AA62" s="100">
        <v>5552.3204176468662</v>
      </c>
      <c r="AB62" s="100">
        <v>5.9642903364806532</v>
      </c>
      <c r="AC62" s="100">
        <v>9955.593429653507</v>
      </c>
      <c r="AD62" s="100">
        <v>10.541141820599329</v>
      </c>
      <c r="AE62" s="100">
        <v>17595.273926944399</v>
      </c>
      <c r="AF62" s="100">
        <v>1.6823357713484712</v>
      </c>
      <c r="AG62" s="100">
        <v>2808.1548695348683</v>
      </c>
      <c r="AH62" s="100">
        <v>1.9130839685748957</v>
      </c>
      <c r="AI62" s="100">
        <v>3193.3197603452159</v>
      </c>
      <c r="AJ62" s="100">
        <v>2.0017699803631359</v>
      </c>
      <c r="AK62" s="100">
        <v>3341.3544512221465</v>
      </c>
      <c r="AL62" s="100">
        <v>1.7583901514533655</v>
      </c>
      <c r="AM62" s="100">
        <v>2935.1048408059578</v>
      </c>
      <c r="AN62" s="100">
        <v>4.9598522580570883</v>
      </c>
      <c r="AO62" s="100">
        <v>8278.9853891488929</v>
      </c>
      <c r="AP62" s="100">
        <v>6.0953140873239366</v>
      </c>
      <c r="AQ62" s="100">
        <v>10174.298274561115</v>
      </c>
      <c r="AR62" s="100">
        <v>7.6391779843635996</v>
      </c>
      <c r="AS62" s="100">
        <v>12751.31589149972</v>
      </c>
      <c r="AT62" s="100">
        <v>8.1429504044813612</v>
      </c>
      <c r="AU62" s="100">
        <v>13592.212815160288</v>
      </c>
      <c r="AV62" s="100">
        <v>5.1912945073132519</v>
      </c>
      <c r="AW62" s="100">
        <v>8665.30879160728</v>
      </c>
      <c r="AX62" s="100">
        <v>1.3748348728030115</v>
      </c>
      <c r="AY62" s="100">
        <v>2294.8743696827869</v>
      </c>
      <c r="AZ62" s="100">
        <v>6.05581375208941</v>
      </c>
      <c r="BA62" s="100">
        <v>10108.364314987643</v>
      </c>
      <c r="BB62" s="100">
        <v>5.9320057006514588</v>
      </c>
      <c r="BC62" s="100">
        <v>9901.703915527416</v>
      </c>
      <c r="BD62" s="100">
        <v>6.3349849219351082</v>
      </c>
      <c r="BE62" s="100">
        <v>10574.356831694084</v>
      </c>
      <c r="BF62" s="100">
        <v>2.0610497399703909</v>
      </c>
      <c r="BG62" s="100">
        <v>3440.3042259585764</v>
      </c>
      <c r="BH62" s="100">
        <v>7.6187634245283729</v>
      </c>
      <c r="BI62" s="100">
        <v>12717.23990822276</v>
      </c>
      <c r="BJ62" s="100">
        <v>2.8366031556620563</v>
      </c>
      <c r="BK62" s="100">
        <v>4734.8579874311044</v>
      </c>
      <c r="BL62" s="100">
        <v>5.3522031028146957</v>
      </c>
      <c r="BM62" s="100">
        <v>8933.8974192182905</v>
      </c>
      <c r="BN62" s="100">
        <v>6.5999600347887197</v>
      </c>
      <c r="BO62" s="100">
        <v>11016.653290069331</v>
      </c>
      <c r="BP62" s="100">
        <v>6.9730168949631697</v>
      </c>
      <c r="BQ62" s="100">
        <v>11639.359801072524</v>
      </c>
      <c r="BR62" s="100">
        <v>7.6359002817594694</v>
      </c>
      <c r="BS62" s="100">
        <v>12745.844750312906</v>
      </c>
      <c r="BT62" s="100">
        <v>5.9027852089347821</v>
      </c>
      <c r="BU62" s="100">
        <v>9852.9290707539385</v>
      </c>
      <c r="BV62" s="100">
        <v>5.8676840276596582</v>
      </c>
      <c r="BW62" s="100">
        <v>9794.3381789695013</v>
      </c>
      <c r="BX62" s="100">
        <v>6.5206938420159064</v>
      </c>
      <c r="BY62" s="100">
        <v>10884.342161092951</v>
      </c>
      <c r="BZ62" s="100">
        <v>6.0241883114558075</v>
      </c>
      <c r="CA62" s="100">
        <v>10055.575129482035</v>
      </c>
      <c r="CB62" s="100">
        <v>3.7746637220140573</v>
      </c>
      <c r="CC62" s="100">
        <v>6300.6686847858646</v>
      </c>
      <c r="CD62" s="100">
        <v>4.1135522061024075</v>
      </c>
      <c r="CE62" s="100">
        <v>6866.3413424261389</v>
      </c>
      <c r="CF62" s="100">
        <v>6.6388878360240096</v>
      </c>
      <c r="CG62" s="100">
        <v>11081.631575891277</v>
      </c>
      <c r="CH62" s="100">
        <v>2.6552292305539358</v>
      </c>
      <c r="CI62" s="100">
        <v>4432.1086316406299</v>
      </c>
      <c r="CJ62" s="100">
        <v>6.4992498460732939</v>
      </c>
      <c r="CK62" s="100">
        <v>10848.547843065542</v>
      </c>
      <c r="CL62" s="100">
        <v>4.9141582371611694</v>
      </c>
      <c r="CM62" s="100">
        <v>8202.7129294694241</v>
      </c>
      <c r="CN62" s="100">
        <v>1.2215614974033866</v>
      </c>
      <c r="CO62" s="100">
        <v>2039.030451465733</v>
      </c>
      <c r="CP62" s="100">
        <v>7.8933940841934085</v>
      </c>
      <c r="CQ62" s="100">
        <v>13175.653405335637</v>
      </c>
      <c r="CR62" s="100">
        <v>2.1534391456793562</v>
      </c>
      <c r="CS62" s="100">
        <v>3594.5206219679817</v>
      </c>
      <c r="CT62" s="100">
        <v>6.5133899398214519</v>
      </c>
      <c r="CU62" s="100">
        <v>10872.150487549969</v>
      </c>
    </row>
    <row r="63" spans="2:99">
      <c r="C63" s="99" t="s">
        <v>229</v>
      </c>
      <c r="D63" s="100">
        <v>2.6066404263970209</v>
      </c>
      <c r="E63" s="100">
        <v>2073.84312324147</v>
      </c>
      <c r="F63" s="100">
        <v>10.469375103446435</v>
      </c>
      <c r="G63" s="100">
        <v>8329.434832301984</v>
      </c>
      <c r="H63" s="100">
        <v>6.9216360126005663</v>
      </c>
      <c r="I63" s="100">
        <v>5506.8536116250107</v>
      </c>
      <c r="J63" s="100">
        <v>5.8348719281966792</v>
      </c>
      <c r="K63" s="100">
        <v>4642.2241060732786</v>
      </c>
      <c r="L63" s="100">
        <v>8</v>
      </c>
      <c r="M63" s="100">
        <v>6364.8</v>
      </c>
      <c r="N63" s="100">
        <v>8</v>
      </c>
      <c r="O63" s="100">
        <v>6364.8</v>
      </c>
      <c r="P63" s="100">
        <v>9.5949519102978353</v>
      </c>
      <c r="Q63" s="100">
        <v>7633.7437398329585</v>
      </c>
      <c r="R63" s="100">
        <v>5.8450549507589766</v>
      </c>
      <c r="S63" s="100">
        <v>4650.3257188238422</v>
      </c>
      <c r="T63" s="100">
        <v>4.4588322317745801</v>
      </c>
      <c r="U63" s="100">
        <v>3547.4469235998558</v>
      </c>
      <c r="V63" s="100">
        <v>9.1761550219066006</v>
      </c>
      <c r="W63" s="100">
        <v>7300.548935428892</v>
      </c>
      <c r="X63" s="100">
        <v>3.0156841867890303</v>
      </c>
      <c r="Y63" s="100">
        <v>2399.2783390093527</v>
      </c>
      <c r="Z63" s="100">
        <v>8.0336748573978802</v>
      </c>
      <c r="AA63" s="100">
        <v>6391.591716545754</v>
      </c>
      <c r="AB63" s="100">
        <v>3.4594299616357636</v>
      </c>
      <c r="AC63" s="100">
        <v>2752.3224774774135</v>
      </c>
      <c r="AD63" s="100">
        <v>5.2328211418088113</v>
      </c>
      <c r="AE63" s="100">
        <v>4163.2325004230906</v>
      </c>
      <c r="AF63" s="100">
        <v>9.8701088112709918</v>
      </c>
      <c r="AG63" s="100">
        <v>7852.6585702472012</v>
      </c>
      <c r="AH63" s="100">
        <v>3.3132352330916826</v>
      </c>
      <c r="AI63" s="100">
        <v>2636.0099514477429</v>
      </c>
      <c r="AJ63" s="100">
        <v>4.3527533295818275</v>
      </c>
      <c r="AK63" s="100">
        <v>3463.0505490153018</v>
      </c>
      <c r="AL63" s="100">
        <v>10.853070378546766</v>
      </c>
      <c r="AM63" s="100">
        <v>8634.7027931718076</v>
      </c>
      <c r="AN63" s="100">
        <v>8</v>
      </c>
      <c r="AO63" s="100">
        <v>6364.8</v>
      </c>
      <c r="AP63" s="100">
        <v>9</v>
      </c>
      <c r="AQ63" s="100">
        <v>7160.4000000000005</v>
      </c>
      <c r="AR63" s="100">
        <v>9.5342340027206998</v>
      </c>
      <c r="AS63" s="100">
        <v>7585.4365725645894</v>
      </c>
      <c r="AT63" s="100">
        <v>8.1370662944239402</v>
      </c>
      <c r="AU63" s="100">
        <v>6473.8499438436875</v>
      </c>
      <c r="AV63" s="100">
        <v>3.202425070821751</v>
      </c>
      <c r="AW63" s="100">
        <v>2547.8493863457852</v>
      </c>
      <c r="AX63" s="100">
        <v>8.363740179346923</v>
      </c>
      <c r="AY63" s="100">
        <v>6654.1916866884121</v>
      </c>
      <c r="AZ63" s="100">
        <v>8.7361446980106319</v>
      </c>
      <c r="BA63" s="100">
        <v>6950.4767217372591</v>
      </c>
      <c r="BB63" s="100">
        <v>8.1068791544844245</v>
      </c>
      <c r="BC63" s="100">
        <v>6449.8330553078085</v>
      </c>
      <c r="BD63" s="100">
        <v>6.9202355547374808</v>
      </c>
      <c r="BE63" s="100">
        <v>5505.7394073491396</v>
      </c>
      <c r="BF63" s="100">
        <v>7.0455032487971794</v>
      </c>
      <c r="BG63" s="100">
        <v>5605.4023847430362</v>
      </c>
      <c r="BH63" s="100">
        <v>2.6791039791603923</v>
      </c>
      <c r="BI63" s="100">
        <v>2131.4951258200081</v>
      </c>
      <c r="BJ63" s="100">
        <v>10.489977500166466</v>
      </c>
      <c r="BK63" s="100">
        <v>8345.8260991324405</v>
      </c>
      <c r="BL63" s="100">
        <v>6.9034842141464168</v>
      </c>
      <c r="BM63" s="100">
        <v>5492.4120407748896</v>
      </c>
      <c r="BN63" s="100">
        <v>1.3185595831706651</v>
      </c>
      <c r="BO63" s="100">
        <v>1049.0460043705812</v>
      </c>
      <c r="BP63" s="100">
        <v>10.561814500224195</v>
      </c>
      <c r="BQ63" s="100">
        <v>8402.9796163783685</v>
      </c>
      <c r="BR63" s="100">
        <v>4.0620698997751958</v>
      </c>
      <c r="BS63" s="100">
        <v>3231.7828122611459</v>
      </c>
      <c r="BT63" s="100">
        <v>6.805873985524455</v>
      </c>
      <c r="BU63" s="100">
        <v>5414.7533428832567</v>
      </c>
      <c r="BV63" s="100">
        <v>5.3639454677682599</v>
      </c>
      <c r="BW63" s="100">
        <v>4267.5550141564281</v>
      </c>
      <c r="BX63" s="100">
        <v>3.8550578238844295</v>
      </c>
      <c r="BY63" s="100">
        <v>3067.0840046824524</v>
      </c>
      <c r="BZ63" s="100">
        <v>7.6895730126753428</v>
      </c>
      <c r="CA63" s="100">
        <v>6117.8242888845025</v>
      </c>
      <c r="CB63" s="100">
        <v>6.17786146937756</v>
      </c>
      <c r="CC63" s="100">
        <v>4915.1065850367868</v>
      </c>
      <c r="CD63" s="100">
        <v>7</v>
      </c>
      <c r="CE63" s="100">
        <v>5569.2</v>
      </c>
      <c r="CF63" s="100">
        <v>9.0009176717040091</v>
      </c>
      <c r="CG63" s="100">
        <v>7161.1300996077098</v>
      </c>
      <c r="CH63" s="100">
        <v>8.8439833292445051</v>
      </c>
      <c r="CI63" s="100">
        <v>7036.2731367469287</v>
      </c>
      <c r="CJ63" s="100">
        <v>6.0455171241604573</v>
      </c>
      <c r="CK63" s="100">
        <v>4809.8134239820602</v>
      </c>
      <c r="CL63" s="100">
        <v>5.6250020075676845</v>
      </c>
      <c r="CM63" s="100">
        <v>4475.2515972208503</v>
      </c>
      <c r="CN63" s="100">
        <v>7.1706883876567833</v>
      </c>
      <c r="CO63" s="100">
        <v>5704.9996812197369</v>
      </c>
      <c r="CP63" s="100">
        <v>1.6977307742495911</v>
      </c>
      <c r="CQ63" s="100">
        <v>1350.7146039929746</v>
      </c>
      <c r="CR63" s="100">
        <v>6.4573030682051336</v>
      </c>
      <c r="CS63" s="100">
        <v>5137.4303210640046</v>
      </c>
      <c r="CT63" s="100">
        <v>1.4110493553511505</v>
      </c>
      <c r="CU63" s="100">
        <v>1122.6308671173754</v>
      </c>
    </row>
    <row r="64" spans="2:99">
      <c r="C64" s="99" t="s">
        <v>230</v>
      </c>
      <c r="D64" s="100">
        <v>2.6066404263970209</v>
      </c>
      <c r="E64" s="100">
        <v>2630.6215183198728</v>
      </c>
      <c r="F64" s="100">
        <v>9.4693751034464348</v>
      </c>
      <c r="G64" s="100">
        <v>9556.4933543981406</v>
      </c>
      <c r="H64" s="100">
        <v>7.6907066806672955</v>
      </c>
      <c r="I64" s="100">
        <v>7761.4611821294329</v>
      </c>
      <c r="J64" s="100">
        <v>6.6684250607962046</v>
      </c>
      <c r="K64" s="100">
        <v>6729.7745713555287</v>
      </c>
      <c r="L64" s="100">
        <v>8</v>
      </c>
      <c r="M64" s="100">
        <v>8073.5999999999985</v>
      </c>
      <c r="N64" s="100">
        <v>7</v>
      </c>
      <c r="O64" s="100">
        <v>7064.3999999999987</v>
      </c>
      <c r="P64" s="100">
        <v>9.5949519102978353</v>
      </c>
      <c r="Q64" s="100">
        <v>9683.2254678725731</v>
      </c>
      <c r="R64" s="100">
        <v>5.8450549507589766</v>
      </c>
      <c r="S64" s="100">
        <v>5898.829456305958</v>
      </c>
      <c r="T64" s="100">
        <v>4.012949008597122</v>
      </c>
      <c r="U64" s="100">
        <v>4049.8681394762148</v>
      </c>
      <c r="V64" s="100">
        <v>8.0077234182486343</v>
      </c>
      <c r="W64" s="100">
        <v>8081.3944736965204</v>
      </c>
      <c r="X64" s="100">
        <v>3.1091897118399729</v>
      </c>
      <c r="Y64" s="100">
        <v>3137.7942571889002</v>
      </c>
      <c r="Z64" s="100">
        <v>8.0336748573978802</v>
      </c>
      <c r="AA64" s="100">
        <v>8107.5846660859397</v>
      </c>
      <c r="AB64" s="100">
        <v>3.0270012164312932</v>
      </c>
      <c r="AC64" s="100">
        <v>3054.8496276224605</v>
      </c>
      <c r="AD64" s="100">
        <v>4.7546187274233276</v>
      </c>
      <c r="AE64" s="100">
        <v>4798.3612197156217</v>
      </c>
      <c r="AF64" s="100">
        <v>10.696087049016793</v>
      </c>
      <c r="AG64" s="100">
        <v>10794.491049867745</v>
      </c>
      <c r="AH64" s="100">
        <v>4.0495097293342788</v>
      </c>
      <c r="AI64" s="100">
        <v>4086.7652188441534</v>
      </c>
      <c r="AJ64" s="100">
        <v>3.9515510778784431</v>
      </c>
      <c r="AK64" s="100">
        <v>3987.9053477949242</v>
      </c>
      <c r="AL64" s="100">
        <v>12.02368445425612</v>
      </c>
      <c r="AM64" s="100">
        <v>12134.302351235274</v>
      </c>
      <c r="AN64" s="100">
        <v>7</v>
      </c>
      <c r="AO64" s="100">
        <v>7064.3999999999987</v>
      </c>
      <c r="AP64" s="100">
        <v>8</v>
      </c>
      <c r="AQ64" s="100">
        <v>8073.5999999999985</v>
      </c>
      <c r="AR64" s="100">
        <v>8.6674854570188185</v>
      </c>
      <c r="AS64" s="100">
        <v>8747.2263232233909</v>
      </c>
      <c r="AT64" s="100">
        <v>7.3233596649815462</v>
      </c>
      <c r="AU64" s="100">
        <v>7390.7345738993754</v>
      </c>
      <c r="AV64" s="100">
        <v>3.202425070821751</v>
      </c>
      <c r="AW64" s="100">
        <v>3231.8873814733106</v>
      </c>
      <c r="AX64" s="100">
        <v>8.363740179346923</v>
      </c>
      <c r="AY64" s="100">
        <v>8440.686588996914</v>
      </c>
      <c r="AZ64" s="100">
        <v>7.8625302282095673</v>
      </c>
      <c r="BA64" s="100">
        <v>7934.8655063090937</v>
      </c>
      <c r="BB64" s="100">
        <v>8.1068791544844245</v>
      </c>
      <c r="BC64" s="100">
        <v>8181.4624427056797</v>
      </c>
      <c r="BD64" s="100">
        <v>7.711471799663701</v>
      </c>
      <c r="BE64" s="100">
        <v>7782.4173402206061</v>
      </c>
      <c r="BF64" s="100">
        <v>6.3665881460555092</v>
      </c>
      <c r="BG64" s="100">
        <v>6425.1607569992184</v>
      </c>
      <c r="BH64" s="100">
        <v>3.0641305388252302</v>
      </c>
      <c r="BI64" s="100">
        <v>3092.3205397824217</v>
      </c>
      <c r="BJ64" s="100">
        <v>8.6533033335552876</v>
      </c>
      <c r="BK64" s="100">
        <v>8732.913724223994</v>
      </c>
      <c r="BL64" s="100">
        <v>6.037803350390984</v>
      </c>
      <c r="BM64" s="100">
        <v>6093.3511412145799</v>
      </c>
      <c r="BN64" s="100">
        <v>1.5355892557432453</v>
      </c>
      <c r="BO64" s="100">
        <v>1549.7166768960828</v>
      </c>
      <c r="BP64" s="100">
        <v>9.5618145002241945</v>
      </c>
      <c r="BQ64" s="100">
        <v>9649.7831936262555</v>
      </c>
      <c r="BR64" s="100">
        <v>4.0620698997751958</v>
      </c>
      <c r="BS64" s="100">
        <v>4099.4409428531271</v>
      </c>
      <c r="BT64" s="100">
        <v>6.805873985524455</v>
      </c>
      <c r="BU64" s="100">
        <v>6868.4880261912785</v>
      </c>
      <c r="BV64" s="100">
        <v>4.7773282557346715</v>
      </c>
      <c r="BW64" s="100">
        <v>4821.2796756874295</v>
      </c>
      <c r="BX64" s="100">
        <v>3.8550578238844295</v>
      </c>
      <c r="BY64" s="100">
        <v>3890.5243558641655</v>
      </c>
      <c r="BZ64" s="100">
        <v>7.8619662658441785</v>
      </c>
      <c r="CA64" s="100">
        <v>7934.2963554899434</v>
      </c>
      <c r="CB64" s="100">
        <v>5.4056287857053658</v>
      </c>
      <c r="CC64" s="100">
        <v>5455.3605705338541</v>
      </c>
      <c r="CD64" s="100">
        <v>6</v>
      </c>
      <c r="CE64" s="100">
        <v>6055.1999999999989</v>
      </c>
      <c r="CF64" s="100">
        <v>8.182652428821827</v>
      </c>
      <c r="CG64" s="100">
        <v>8257.9328311669869</v>
      </c>
      <c r="CH64" s="100">
        <v>7.9595849963200536</v>
      </c>
      <c r="CI64" s="100">
        <v>8032.8131782861965</v>
      </c>
      <c r="CJ64" s="100">
        <v>5.181871820708964</v>
      </c>
      <c r="CK64" s="100">
        <v>5229.5450414594852</v>
      </c>
      <c r="CL64" s="100">
        <v>4.8214302922008727</v>
      </c>
      <c r="CM64" s="100">
        <v>4865.78745088912</v>
      </c>
      <c r="CN64" s="100">
        <v>6.5143747103019107</v>
      </c>
      <c r="CO64" s="100">
        <v>6574.306957636687</v>
      </c>
      <c r="CP64" s="100">
        <v>1.6977307742495911</v>
      </c>
      <c r="CQ64" s="100">
        <v>1713.3498973726871</v>
      </c>
      <c r="CR64" s="100">
        <v>5.7064035543609846</v>
      </c>
      <c r="CS64" s="100">
        <v>5758.9024670611043</v>
      </c>
      <c r="CT64" s="100">
        <v>1.2094708760152719</v>
      </c>
      <c r="CU64" s="100">
        <v>1220.5980080746122</v>
      </c>
    </row>
    <row r="65" spans="2:99">
      <c r="C65" s="99" t="s">
        <v>231</v>
      </c>
      <c r="D65" s="100">
        <v>2.1722003553308511</v>
      </c>
      <c r="E65" s="100">
        <v>2228.6775645694534</v>
      </c>
      <c r="F65" s="100">
        <v>10.469375103446435</v>
      </c>
      <c r="G65" s="100">
        <v>10741.578856136042</v>
      </c>
      <c r="H65" s="100">
        <v>7.6907066806672955</v>
      </c>
      <c r="I65" s="100">
        <v>7890.6650543646456</v>
      </c>
      <c r="J65" s="100">
        <v>5.8348719281966792</v>
      </c>
      <c r="K65" s="100">
        <v>5986.5785983297928</v>
      </c>
      <c r="L65" s="100">
        <v>7</v>
      </c>
      <c r="M65" s="100">
        <v>7182</v>
      </c>
      <c r="N65" s="100">
        <v>7</v>
      </c>
      <c r="O65" s="100">
        <v>7182</v>
      </c>
      <c r="P65" s="100">
        <v>9.5949519102978353</v>
      </c>
      <c r="Q65" s="100">
        <v>9844.420659965579</v>
      </c>
      <c r="R65" s="100">
        <v>5.8450549507589766</v>
      </c>
      <c r="S65" s="100">
        <v>5997.0263794787097</v>
      </c>
      <c r="T65" s="100">
        <v>4.012949008597122</v>
      </c>
      <c r="U65" s="100">
        <v>4117.2856828206468</v>
      </c>
      <c r="V65" s="100">
        <v>8.1790212256057586</v>
      </c>
      <c r="W65" s="100">
        <v>8391.6757774715079</v>
      </c>
      <c r="X65" s="100">
        <v>3.0156841867890303</v>
      </c>
      <c r="Y65" s="100">
        <v>3094.0919756455451</v>
      </c>
      <c r="Z65" s="100">
        <v>7.0336748573978811</v>
      </c>
      <c r="AA65" s="100">
        <v>7216.5504036902257</v>
      </c>
      <c r="AB65" s="100">
        <v>3.4594299616357636</v>
      </c>
      <c r="AC65" s="100">
        <v>3549.3751406382935</v>
      </c>
      <c r="AD65" s="100">
        <v>4.7590813931116411</v>
      </c>
      <c r="AE65" s="100">
        <v>4882.8175093325435</v>
      </c>
      <c r="AF65" s="100">
        <v>9.8701088112709918</v>
      </c>
      <c r="AG65" s="100">
        <v>10126.731640364038</v>
      </c>
      <c r="AH65" s="100">
        <v>3.6813724812129802</v>
      </c>
      <c r="AI65" s="100">
        <v>3777.0881657245177</v>
      </c>
      <c r="AJ65" s="100">
        <v>4.3348201289214074</v>
      </c>
      <c r="AK65" s="100">
        <v>4447.525452273364</v>
      </c>
      <c r="AL65" s="100">
        <v>11.853070378546766</v>
      </c>
      <c r="AM65" s="100">
        <v>12161.250208388981</v>
      </c>
      <c r="AN65" s="100">
        <v>8</v>
      </c>
      <c r="AO65" s="100">
        <v>8208</v>
      </c>
      <c r="AP65" s="100">
        <v>9</v>
      </c>
      <c r="AQ65" s="100">
        <v>9234</v>
      </c>
      <c r="AR65" s="100">
        <v>8.6674854570188185</v>
      </c>
      <c r="AS65" s="100">
        <v>8892.8400789013085</v>
      </c>
      <c r="AT65" s="100">
        <v>7.3233596649815462</v>
      </c>
      <c r="AU65" s="100">
        <v>7513.7670162710665</v>
      </c>
      <c r="AV65" s="100">
        <v>3.202425070821751</v>
      </c>
      <c r="AW65" s="100">
        <v>3285.6881226631167</v>
      </c>
      <c r="AX65" s="100">
        <v>8.2909921434775384</v>
      </c>
      <c r="AY65" s="100">
        <v>8506.5579392079544</v>
      </c>
      <c r="AZ65" s="100">
        <v>8.7361446980106319</v>
      </c>
      <c r="BA65" s="100">
        <v>8963.2844601589077</v>
      </c>
      <c r="BB65" s="100">
        <v>7.2061148039861562</v>
      </c>
      <c r="BC65" s="100">
        <v>7393.4737888897962</v>
      </c>
      <c r="BD65" s="100">
        <v>7.711471799663701</v>
      </c>
      <c r="BE65" s="100">
        <v>7911.9700664549573</v>
      </c>
      <c r="BF65" s="100">
        <v>5.7793282351352451</v>
      </c>
      <c r="BG65" s="100">
        <v>5929.5907692487617</v>
      </c>
      <c r="BH65" s="100">
        <v>2.6791039791603923</v>
      </c>
      <c r="BI65" s="100">
        <v>2748.7606826185624</v>
      </c>
      <c r="BJ65" s="100">
        <v>9.6533033335552876</v>
      </c>
      <c r="BK65" s="100">
        <v>9904.2892202277253</v>
      </c>
      <c r="BL65" s="100">
        <v>6.037803350390984</v>
      </c>
      <c r="BM65" s="100">
        <v>6194.78623750115</v>
      </c>
      <c r="BN65" s="100">
        <v>1.3170703515583759</v>
      </c>
      <c r="BO65" s="100">
        <v>1351.3141806988938</v>
      </c>
      <c r="BP65" s="100">
        <v>9.5618145002241945</v>
      </c>
      <c r="BQ65" s="100">
        <v>9810.4216772300242</v>
      </c>
      <c r="BR65" s="100">
        <v>3.6927908179774511</v>
      </c>
      <c r="BS65" s="100">
        <v>3788.803379244865</v>
      </c>
      <c r="BT65" s="100">
        <v>6.805873985524455</v>
      </c>
      <c r="BU65" s="100">
        <v>6982.8267091480911</v>
      </c>
      <c r="BV65" s="100">
        <v>4.7773282557346715</v>
      </c>
      <c r="BW65" s="100">
        <v>4901.5387903837727</v>
      </c>
      <c r="BX65" s="100">
        <v>4.287310081194164</v>
      </c>
      <c r="BY65" s="100">
        <v>4398.7801433052118</v>
      </c>
      <c r="BZ65" s="100">
        <v>8.8619662658441776</v>
      </c>
      <c r="CA65" s="100">
        <v>9092.3773887561256</v>
      </c>
      <c r="CB65" s="100">
        <v>5.4056287857053658</v>
      </c>
      <c r="CC65" s="100">
        <v>5546.1751341337049</v>
      </c>
      <c r="CD65" s="100">
        <v>7</v>
      </c>
      <c r="CE65" s="100">
        <v>7182</v>
      </c>
      <c r="CF65" s="100">
        <v>8.182652428821827</v>
      </c>
      <c r="CG65" s="100">
        <v>8395.4013919711942</v>
      </c>
      <c r="CH65" s="100">
        <v>7.9595849963200536</v>
      </c>
      <c r="CI65" s="100">
        <v>8166.5342062243753</v>
      </c>
      <c r="CJ65" s="100">
        <v>6.0455171241604573</v>
      </c>
      <c r="CK65" s="100">
        <v>6202.7005693886294</v>
      </c>
      <c r="CL65" s="100">
        <v>5.5403396901464328</v>
      </c>
      <c r="CM65" s="100">
        <v>5684.3885220902403</v>
      </c>
      <c r="CN65" s="100">
        <v>5.8580610329470373</v>
      </c>
      <c r="CO65" s="100">
        <v>6010.3706198036607</v>
      </c>
      <c r="CP65" s="100">
        <v>1.6977307742495911</v>
      </c>
      <c r="CQ65" s="100">
        <v>1741.8717743800805</v>
      </c>
      <c r="CR65" s="100">
        <v>6.3821049291070837</v>
      </c>
      <c r="CS65" s="100">
        <v>6548.0396572638683</v>
      </c>
      <c r="CT65" s="100">
        <v>1.2094708760152719</v>
      </c>
      <c r="CU65" s="100">
        <v>1240.9171187916691</v>
      </c>
    </row>
    <row r="66" spans="2:99">
      <c r="C66" s="99" t="s">
        <v>232</v>
      </c>
      <c r="D66" s="100">
        <v>2.6066404263970209</v>
      </c>
      <c r="E66" s="100">
        <v>3102.9447635830134</v>
      </c>
      <c r="F66" s="100">
        <v>10.469375103446435</v>
      </c>
      <c r="G66" s="100">
        <v>12462.744123142635</v>
      </c>
      <c r="H66" s="100">
        <v>7.6907066806672955</v>
      </c>
      <c r="I66" s="100">
        <v>9155.0172326663469</v>
      </c>
      <c r="J66" s="100">
        <v>6.6684250607962046</v>
      </c>
      <c r="K66" s="100">
        <v>7938.0931923718008</v>
      </c>
      <c r="L66" s="100">
        <v>8</v>
      </c>
      <c r="M66" s="100">
        <v>9523.1999999999989</v>
      </c>
      <c r="N66" s="100">
        <v>7</v>
      </c>
      <c r="O66" s="100">
        <v>8332.7999999999993</v>
      </c>
      <c r="P66" s="100">
        <v>8.7226835548162143</v>
      </c>
      <c r="Q66" s="100">
        <v>10383.48250365322</v>
      </c>
      <c r="R66" s="100">
        <v>5.8450549507589766</v>
      </c>
      <c r="S66" s="100">
        <v>6957.953413383485</v>
      </c>
      <c r="T66" s="100">
        <v>3.5670657854196639</v>
      </c>
      <c r="U66" s="100">
        <v>4246.2351109635674</v>
      </c>
      <c r="V66" s="100">
        <v>8.0077234182486343</v>
      </c>
      <c r="W66" s="100">
        <v>9532.3939570831735</v>
      </c>
      <c r="X66" s="100">
        <v>3.0156841867890303</v>
      </c>
      <c r="Y66" s="100">
        <v>3589.8704559536613</v>
      </c>
      <c r="Z66" s="100">
        <v>6.8613957144982338</v>
      </c>
      <c r="AA66" s="100">
        <v>8167.8054585386963</v>
      </c>
      <c r="AB66" s="100">
        <v>3.4594299616357636</v>
      </c>
      <c r="AC66" s="100">
        <v>4118.1054263312126</v>
      </c>
      <c r="AD66" s="100">
        <v>4.7546187274233276</v>
      </c>
      <c r="AE66" s="100">
        <v>5659.8981331247287</v>
      </c>
      <c r="AF66" s="100">
        <v>9.6960870490167927</v>
      </c>
      <c r="AG66" s="100">
        <v>11542.222023149588</v>
      </c>
      <c r="AH66" s="100">
        <v>3.3132352330916826</v>
      </c>
      <c r="AI66" s="100">
        <v>3944.0752214723384</v>
      </c>
      <c r="AJ66" s="100">
        <v>4.3527533295818275</v>
      </c>
      <c r="AK66" s="100">
        <v>5181.5175635342066</v>
      </c>
      <c r="AL66" s="100">
        <v>11.02368445425612</v>
      </c>
      <c r="AM66" s="100">
        <v>13122.593974346484</v>
      </c>
      <c r="AN66" s="100">
        <v>7</v>
      </c>
      <c r="AO66" s="100">
        <v>8332.7999999999993</v>
      </c>
      <c r="AP66" s="100">
        <v>9</v>
      </c>
      <c r="AQ66" s="100">
        <v>10713.599999999999</v>
      </c>
      <c r="AR66" s="100">
        <v>9.5342340027206998</v>
      </c>
      <c r="AS66" s="100">
        <v>11349.552156838719</v>
      </c>
      <c r="AT66" s="100">
        <v>6.5096530355391522</v>
      </c>
      <c r="AU66" s="100">
        <v>7749.0909735058058</v>
      </c>
      <c r="AV66" s="100">
        <v>2.7449357749900725</v>
      </c>
      <c r="AW66" s="100">
        <v>3267.5715465481817</v>
      </c>
      <c r="AX66" s="100">
        <v>8.2909921434775384</v>
      </c>
      <c r="AY66" s="100">
        <v>9869.5970475956601</v>
      </c>
      <c r="AZ66" s="100">
        <v>8.7361446980106319</v>
      </c>
      <c r="BA66" s="100">
        <v>10399.506648511855</v>
      </c>
      <c r="BB66" s="100">
        <v>8.1068791544844245</v>
      </c>
      <c r="BC66" s="100">
        <v>9650.4289454982572</v>
      </c>
      <c r="BD66" s="100">
        <v>7.7134294093510585</v>
      </c>
      <c r="BE66" s="100">
        <v>9182.0663688914992</v>
      </c>
      <c r="BF66" s="100">
        <v>6.4556924037522139</v>
      </c>
      <c r="BG66" s="100">
        <v>7684.8562374266348</v>
      </c>
      <c r="BH66" s="100">
        <v>2.6791039791603923</v>
      </c>
      <c r="BI66" s="100">
        <v>3189.2053767925308</v>
      </c>
      <c r="BJ66" s="100">
        <v>9.6533033335552876</v>
      </c>
      <c r="BK66" s="100">
        <v>11491.292288264212</v>
      </c>
      <c r="BL66" s="100">
        <v>6.0597660462880309</v>
      </c>
      <c r="BM66" s="100">
        <v>7213.5455015012712</v>
      </c>
      <c r="BN66" s="100">
        <v>1.5355892557432453</v>
      </c>
      <c r="BO66" s="100">
        <v>1827.965450036759</v>
      </c>
      <c r="BP66" s="100">
        <v>11.561814500224195</v>
      </c>
      <c r="BQ66" s="100">
        <v>13763.183981066879</v>
      </c>
      <c r="BR66" s="100">
        <v>3.6927908179774511</v>
      </c>
      <c r="BS66" s="100">
        <v>4395.8981897203575</v>
      </c>
      <c r="BT66" s="100">
        <v>5.9157490890007276</v>
      </c>
      <c r="BU66" s="100">
        <v>7042.1077155464654</v>
      </c>
      <c r="BV66" s="100">
        <v>4.7580927596366003</v>
      </c>
      <c r="BW66" s="100">
        <v>5664.0336210714086</v>
      </c>
      <c r="BX66" s="100">
        <v>3.8726640698360217</v>
      </c>
      <c r="BY66" s="100">
        <v>4610.0193087327998</v>
      </c>
      <c r="BZ66" s="100">
        <v>7.8619662658441785</v>
      </c>
      <c r="CA66" s="100">
        <v>9358.8846428609086</v>
      </c>
      <c r="CB66" s="100">
        <v>5.4056287857053658</v>
      </c>
      <c r="CC66" s="100">
        <v>6434.8605065036663</v>
      </c>
      <c r="CD66" s="100">
        <v>6</v>
      </c>
      <c r="CE66" s="100">
        <v>7142.4</v>
      </c>
      <c r="CF66" s="100">
        <v>8.182652428821827</v>
      </c>
      <c r="CG66" s="100">
        <v>9740.6294512695022</v>
      </c>
      <c r="CH66" s="100">
        <v>8.8439833292445051</v>
      </c>
      <c r="CI66" s="100">
        <v>10527.877755132658</v>
      </c>
      <c r="CJ66" s="100">
        <v>5.181871820708964</v>
      </c>
      <c r="CK66" s="100">
        <v>6168.5002153719497</v>
      </c>
      <c r="CL66" s="100">
        <v>4.9060926096221253</v>
      </c>
      <c r="CM66" s="100">
        <v>5840.2126424941771</v>
      </c>
      <c r="CN66" s="100">
        <v>6.5143747103019107</v>
      </c>
      <c r="CO66" s="100">
        <v>7754.7116551433937</v>
      </c>
      <c r="CP66" s="100">
        <v>1.5090940215551922</v>
      </c>
      <c r="CQ66" s="100">
        <v>1796.4255232593007</v>
      </c>
      <c r="CR66" s="100">
        <v>5.7064035543609846</v>
      </c>
      <c r="CS66" s="100">
        <v>6792.9027911113153</v>
      </c>
      <c r="CT66" s="100">
        <v>1.2094708760152719</v>
      </c>
      <c r="CU66" s="100">
        <v>1439.7541308085795</v>
      </c>
    </row>
    <row r="67" spans="2:99">
      <c r="C67" s="99" t="s">
        <v>233</v>
      </c>
      <c r="D67" s="100">
        <v>2.6066404263970209</v>
      </c>
      <c r="E67" s="100">
        <v>2927.7785269291339</v>
      </c>
      <c r="F67" s="100">
        <v>9.4693751034464348</v>
      </c>
      <c r="G67" s="100">
        <v>10636.002116191035</v>
      </c>
      <c r="H67" s="100">
        <v>7.6907066806672955</v>
      </c>
      <c r="I67" s="100">
        <v>8638.2017437255072</v>
      </c>
      <c r="J67" s="100">
        <v>5.8348719281966792</v>
      </c>
      <c r="K67" s="100">
        <v>6553.7281497505101</v>
      </c>
      <c r="L67" s="100">
        <v>9</v>
      </c>
      <c r="M67" s="100">
        <v>10108.800000000001</v>
      </c>
      <c r="N67" s="100">
        <v>7</v>
      </c>
      <c r="O67" s="100">
        <v>7862.4000000000005</v>
      </c>
      <c r="P67" s="100">
        <v>8.7226835548162143</v>
      </c>
      <c r="Q67" s="100">
        <v>9797.3181687695724</v>
      </c>
      <c r="R67" s="100">
        <v>5.8450549507589766</v>
      </c>
      <c r="S67" s="100">
        <v>6565.1657206924829</v>
      </c>
      <c r="T67" s="100">
        <v>4.012949008597122</v>
      </c>
      <c r="U67" s="100">
        <v>4507.3443264562875</v>
      </c>
      <c r="V67" s="100">
        <v>9.1761550219066006</v>
      </c>
      <c r="W67" s="100">
        <v>10306.657320605495</v>
      </c>
      <c r="X67" s="100">
        <v>3.4464962134731776</v>
      </c>
      <c r="Y67" s="100">
        <v>3871.1045469730734</v>
      </c>
      <c r="Z67" s="100">
        <v>8.0336748573978802</v>
      </c>
      <c r="AA67" s="100">
        <v>9023.4235998292988</v>
      </c>
      <c r="AB67" s="100">
        <v>3.4594299616357636</v>
      </c>
      <c r="AC67" s="100">
        <v>3885.6317329092899</v>
      </c>
      <c r="AD67" s="100">
        <v>5.2328211418088113</v>
      </c>
      <c r="AE67" s="100">
        <v>5877.5047064796572</v>
      </c>
      <c r="AF67" s="100">
        <v>9.8701088112709918</v>
      </c>
      <c r="AG67" s="100">
        <v>11086.106216819579</v>
      </c>
      <c r="AH67" s="100">
        <v>3.6813724812129802</v>
      </c>
      <c r="AI67" s="100">
        <v>4134.9175708984194</v>
      </c>
      <c r="AJ67" s="100">
        <v>3.9515510778784431</v>
      </c>
      <c r="AK67" s="100">
        <v>4438.3821706730678</v>
      </c>
      <c r="AL67" s="100">
        <v>10.853070378546766</v>
      </c>
      <c r="AM67" s="100">
        <v>12190.168649183728</v>
      </c>
      <c r="AN67" s="100">
        <v>8</v>
      </c>
      <c r="AO67" s="100">
        <v>8985.6</v>
      </c>
      <c r="AP67" s="100">
        <v>8</v>
      </c>
      <c r="AQ67" s="100">
        <v>8985.6</v>
      </c>
      <c r="AR67" s="100">
        <v>8.6674854570188185</v>
      </c>
      <c r="AS67" s="100">
        <v>9735.3196653235373</v>
      </c>
      <c r="AT67" s="100">
        <v>7.3233596649815462</v>
      </c>
      <c r="AU67" s="100">
        <v>8225.5975757072738</v>
      </c>
      <c r="AV67" s="100">
        <v>3.202425070821751</v>
      </c>
      <c r="AW67" s="100">
        <v>3596.963839546991</v>
      </c>
      <c r="AX67" s="100">
        <v>7.3637401793469222</v>
      </c>
      <c r="AY67" s="100">
        <v>8270.9529694424637</v>
      </c>
      <c r="AZ67" s="100">
        <v>8.7361446980106319</v>
      </c>
      <c r="BA67" s="100">
        <v>9812.4377248055425</v>
      </c>
      <c r="BB67" s="100">
        <v>7.2061148039861562</v>
      </c>
      <c r="BC67" s="100">
        <v>8093.9081478372509</v>
      </c>
      <c r="BD67" s="100">
        <v>6.2031407618644057</v>
      </c>
      <c r="BE67" s="100">
        <v>6967.3677037261004</v>
      </c>
      <c r="BF67" s="100">
        <v>6.4582433378769162</v>
      </c>
      <c r="BG67" s="100">
        <v>7253.8989171033527</v>
      </c>
      <c r="BH67" s="100">
        <v>2.6791039791603923</v>
      </c>
      <c r="BI67" s="100">
        <v>3009.1695893929527</v>
      </c>
      <c r="BJ67" s="100">
        <v>8.6533033335552876</v>
      </c>
      <c r="BK67" s="100">
        <v>9719.3903042493002</v>
      </c>
      <c r="BL67" s="100">
        <v>6.037803350390984</v>
      </c>
      <c r="BM67" s="100">
        <v>6781.6607231591533</v>
      </c>
      <c r="BN67" s="100">
        <v>1.5355892557432453</v>
      </c>
      <c r="BO67" s="100">
        <v>1724.7738520508133</v>
      </c>
      <c r="BP67" s="100">
        <v>10.449451600179355</v>
      </c>
      <c r="BQ67" s="100">
        <v>11736.824037321452</v>
      </c>
      <c r="BR67" s="100">
        <v>3.323511736179706</v>
      </c>
      <c r="BS67" s="100">
        <v>3732.968382077046</v>
      </c>
      <c r="BT67" s="100">
        <v>6.805873985524455</v>
      </c>
      <c r="BU67" s="100">
        <v>7644.3576605410681</v>
      </c>
      <c r="BV67" s="100">
        <v>5.345641043554398</v>
      </c>
      <c r="BW67" s="100">
        <v>6004.2240201203003</v>
      </c>
      <c r="BX67" s="100">
        <v>3.8726640698360217</v>
      </c>
      <c r="BY67" s="100">
        <v>4349.7762832398193</v>
      </c>
      <c r="BZ67" s="100">
        <v>8.8619662658441776</v>
      </c>
      <c r="CA67" s="100">
        <v>9953.7605097961805</v>
      </c>
      <c r="CB67" s="100">
        <v>5.4056287857053658</v>
      </c>
      <c r="CC67" s="100">
        <v>6071.6022521042669</v>
      </c>
      <c r="CD67" s="100">
        <v>6</v>
      </c>
      <c r="CE67" s="100">
        <v>6739.2000000000007</v>
      </c>
      <c r="CF67" s="100">
        <v>9.0009176717040091</v>
      </c>
      <c r="CG67" s="100">
        <v>10109.830728857944</v>
      </c>
      <c r="CH67" s="100">
        <v>7.9595849963200536</v>
      </c>
      <c r="CI67" s="100">
        <v>8940.2058678666854</v>
      </c>
      <c r="CJ67" s="100">
        <v>6.0455171241604573</v>
      </c>
      <c r="CK67" s="100">
        <v>6790.3248338570256</v>
      </c>
      <c r="CL67" s="100">
        <v>4.8214302922008727</v>
      </c>
      <c r="CM67" s="100">
        <v>5415.4305042000206</v>
      </c>
      <c r="CN67" s="100">
        <v>6.6156333126532516</v>
      </c>
      <c r="CO67" s="100">
        <v>7430.679336772133</v>
      </c>
      <c r="CP67" s="100">
        <v>1.5090940215551922</v>
      </c>
      <c r="CQ67" s="100">
        <v>1695.014405010792</v>
      </c>
      <c r="CR67" s="100">
        <v>6.3821049291070837</v>
      </c>
      <c r="CS67" s="100">
        <v>7168.3802563730769</v>
      </c>
      <c r="CT67" s="100">
        <v>1.4110493553511505</v>
      </c>
      <c r="CU67" s="100">
        <v>1584.8906359304124</v>
      </c>
    </row>
    <row r="68" spans="2:99">
      <c r="C68" s="99" t="s">
        <v>234</v>
      </c>
      <c r="D68" s="100">
        <v>2.6066404263970209</v>
      </c>
      <c r="E68" s="100">
        <v>2693.1808885534019</v>
      </c>
      <c r="F68" s="100">
        <v>10.469375103446435</v>
      </c>
      <c r="G68" s="100">
        <v>10816.958356880858</v>
      </c>
      <c r="H68" s="100">
        <v>6.9216360126005663</v>
      </c>
      <c r="I68" s="100">
        <v>7151.4343282189056</v>
      </c>
      <c r="J68" s="100">
        <v>6.6684250607962046</v>
      </c>
      <c r="K68" s="100">
        <v>6889.8167728146391</v>
      </c>
      <c r="L68" s="100">
        <v>8</v>
      </c>
      <c r="M68" s="100">
        <v>8265.6</v>
      </c>
      <c r="N68" s="100">
        <v>8</v>
      </c>
      <c r="O68" s="100">
        <v>8265.6</v>
      </c>
      <c r="P68" s="100">
        <v>8.7226835548162143</v>
      </c>
      <c r="Q68" s="100">
        <v>9012.2766488361121</v>
      </c>
      <c r="R68" s="100">
        <v>5.010047100650552</v>
      </c>
      <c r="S68" s="100">
        <v>5176.3806643921507</v>
      </c>
      <c r="T68" s="100">
        <v>4.012949008597122</v>
      </c>
      <c r="U68" s="100">
        <v>4146.1789156825471</v>
      </c>
      <c r="V68" s="100">
        <v>8.1790212256057586</v>
      </c>
      <c r="W68" s="100">
        <v>8450.5647302958696</v>
      </c>
      <c r="X68" s="100">
        <v>3.4464962134731776</v>
      </c>
      <c r="Y68" s="100">
        <v>3560.9198877604872</v>
      </c>
      <c r="Z68" s="100">
        <v>7.0336748573978811</v>
      </c>
      <c r="AA68" s="100">
        <v>7267.1928626634908</v>
      </c>
      <c r="AB68" s="100">
        <v>3.4594299616357636</v>
      </c>
      <c r="AC68" s="100">
        <v>3574.283036362071</v>
      </c>
      <c r="AD68" s="100">
        <v>4.7546187274233276</v>
      </c>
      <c r="AE68" s="100">
        <v>4912.4720691737821</v>
      </c>
      <c r="AF68" s="100">
        <v>9.8701088112709918</v>
      </c>
      <c r="AG68" s="100">
        <v>10197.79642380519</v>
      </c>
      <c r="AH68" s="100">
        <v>3.6813724812129802</v>
      </c>
      <c r="AI68" s="100">
        <v>3803.5940475892512</v>
      </c>
      <c r="AJ68" s="100">
        <v>3.9515510778784431</v>
      </c>
      <c r="AK68" s="100">
        <v>4082.7425736640075</v>
      </c>
      <c r="AL68" s="100">
        <v>11.853070378546766</v>
      </c>
      <c r="AM68" s="100">
        <v>12246.59231511452</v>
      </c>
      <c r="AN68" s="100">
        <v>8</v>
      </c>
      <c r="AO68" s="100">
        <v>8265.6</v>
      </c>
      <c r="AP68" s="100">
        <v>9</v>
      </c>
      <c r="AQ68" s="100">
        <v>9298.8000000000011</v>
      </c>
      <c r="AR68" s="100">
        <v>8.6674854570188185</v>
      </c>
      <c r="AS68" s="100">
        <v>8955.2459741918428</v>
      </c>
      <c r="AT68" s="100">
        <v>7.3233596649815462</v>
      </c>
      <c r="AU68" s="100">
        <v>7566.4952058589342</v>
      </c>
      <c r="AV68" s="100">
        <v>3.202425070821751</v>
      </c>
      <c r="AW68" s="100">
        <v>3308.7455831730331</v>
      </c>
      <c r="AX68" s="100">
        <v>9.363740179346923</v>
      </c>
      <c r="AY68" s="100">
        <v>9674.6163533012405</v>
      </c>
      <c r="AZ68" s="100">
        <v>8.7361446980106319</v>
      </c>
      <c r="BA68" s="100">
        <v>9026.1847019845845</v>
      </c>
      <c r="BB68" s="100">
        <v>7.2061148039861562</v>
      </c>
      <c r="BC68" s="100">
        <v>7445.3578154784973</v>
      </c>
      <c r="BD68" s="100">
        <v>7.711471799663701</v>
      </c>
      <c r="BE68" s="100">
        <v>7967.4926634125359</v>
      </c>
      <c r="BF68" s="100">
        <v>5.8658815587072475</v>
      </c>
      <c r="BG68" s="100">
        <v>6060.6288264563282</v>
      </c>
      <c r="BH68" s="100">
        <v>2.6791039791603923</v>
      </c>
      <c r="BI68" s="100">
        <v>2768.0502312685176</v>
      </c>
      <c r="BJ68" s="100">
        <v>10.653303333555288</v>
      </c>
      <c r="BK68" s="100">
        <v>11006.993004229324</v>
      </c>
      <c r="BL68" s="100">
        <v>6.037803350390984</v>
      </c>
      <c r="BM68" s="100">
        <v>6238.2584216239648</v>
      </c>
      <c r="BN68" s="100">
        <v>1.5326107925186667</v>
      </c>
      <c r="BO68" s="100">
        <v>1583.4934708302865</v>
      </c>
      <c r="BP68" s="100">
        <v>10.561814500224195</v>
      </c>
      <c r="BQ68" s="100">
        <v>10912.466741631639</v>
      </c>
      <c r="BR68" s="100">
        <v>3.6927908179774511</v>
      </c>
      <c r="BS68" s="100">
        <v>3815.3914731343025</v>
      </c>
      <c r="BT68" s="100">
        <v>5.9157490890007276</v>
      </c>
      <c r="BU68" s="100">
        <v>6112.1519587555522</v>
      </c>
      <c r="BV68" s="100">
        <v>5.3447099716701887</v>
      </c>
      <c r="BW68" s="100">
        <v>5522.1543427296392</v>
      </c>
      <c r="BX68" s="100">
        <v>3.8726640698360217</v>
      </c>
      <c r="BY68" s="100">
        <v>4001.2365169545778</v>
      </c>
      <c r="BZ68" s="100">
        <v>8.8619662658441776</v>
      </c>
      <c r="CA68" s="100">
        <v>9156.1835458702044</v>
      </c>
      <c r="CB68" s="100">
        <v>5.4056287857053658</v>
      </c>
      <c r="CC68" s="100">
        <v>5585.0956613907838</v>
      </c>
      <c r="CD68" s="100">
        <v>7</v>
      </c>
      <c r="CE68" s="100">
        <v>7232.4000000000005</v>
      </c>
      <c r="CF68" s="100">
        <v>9.0009176717040091</v>
      </c>
      <c r="CG68" s="100">
        <v>9299.7481384045823</v>
      </c>
      <c r="CH68" s="100">
        <v>8.8439833292445051</v>
      </c>
      <c r="CI68" s="100">
        <v>9137.6035757754235</v>
      </c>
      <c r="CJ68" s="100">
        <v>6.0455171241604573</v>
      </c>
      <c r="CK68" s="100">
        <v>6246.2282926825847</v>
      </c>
      <c r="CL68" s="100">
        <v>5.6250020075676845</v>
      </c>
      <c r="CM68" s="100">
        <v>5811.7520742189317</v>
      </c>
      <c r="CN68" s="100">
        <v>6.5143747103019107</v>
      </c>
      <c r="CO68" s="100">
        <v>6730.651950683934</v>
      </c>
      <c r="CP68" s="100">
        <v>1.6977307742495911</v>
      </c>
      <c r="CQ68" s="100">
        <v>1754.0954359546777</v>
      </c>
      <c r="CR68" s="100">
        <v>6.3821049291070837</v>
      </c>
      <c r="CS68" s="100">
        <v>6593.9908127534391</v>
      </c>
      <c r="CT68" s="100">
        <v>1.4110493553511505</v>
      </c>
      <c r="CU68" s="100">
        <v>1457.8961939488088</v>
      </c>
    </row>
    <row r="69" spans="2:99">
      <c r="C69" s="99" t="s">
        <v>235</v>
      </c>
      <c r="D69" s="100">
        <v>2.6066404263970209</v>
      </c>
      <c r="E69" s="100">
        <v>1976.8760993795006</v>
      </c>
      <c r="F69" s="100">
        <v>10.469375103446435</v>
      </c>
      <c r="G69" s="100">
        <v>7939.9740784537762</v>
      </c>
      <c r="H69" s="100">
        <v>6.9216360126005663</v>
      </c>
      <c r="I69" s="100">
        <v>5249.3687519562691</v>
      </c>
      <c r="J69" s="100">
        <v>7.5019781933957299</v>
      </c>
      <c r="K69" s="100">
        <v>5689.5002618713215</v>
      </c>
      <c r="L69" s="100">
        <v>7</v>
      </c>
      <c r="M69" s="100">
        <v>5308.8</v>
      </c>
      <c r="N69" s="100">
        <v>8</v>
      </c>
      <c r="O69" s="100">
        <v>6067.2</v>
      </c>
      <c r="P69" s="100">
        <v>9.5949519102978353</v>
      </c>
      <c r="Q69" s="100">
        <v>7276.8115287698784</v>
      </c>
      <c r="R69" s="100">
        <v>5.8450549507589766</v>
      </c>
      <c r="S69" s="100">
        <v>4432.8896746556075</v>
      </c>
      <c r="T69" s="100">
        <v>4.4588322317745801</v>
      </c>
      <c r="U69" s="100">
        <v>3381.5783645778415</v>
      </c>
      <c r="V69" s="100">
        <v>9.1761550219066006</v>
      </c>
      <c r="W69" s="100">
        <v>6959.1959686139653</v>
      </c>
      <c r="X69" s="100">
        <v>3.4464962134731776</v>
      </c>
      <c r="Y69" s="100">
        <v>2613.8227282980579</v>
      </c>
      <c r="Z69" s="100">
        <v>8.0336748573978802</v>
      </c>
      <c r="AA69" s="100">
        <v>6092.7390118505518</v>
      </c>
      <c r="AB69" s="100">
        <v>3.4594299616357636</v>
      </c>
      <c r="AC69" s="100">
        <v>2623.6316829045631</v>
      </c>
      <c r="AD69" s="100">
        <v>4.7590813931116411</v>
      </c>
      <c r="AE69" s="100">
        <v>3609.2873285358687</v>
      </c>
      <c r="AF69" s="100">
        <v>9.8701088112709918</v>
      </c>
      <c r="AG69" s="100">
        <v>7485.4905224679196</v>
      </c>
      <c r="AH69" s="100">
        <v>3.3132352330916826</v>
      </c>
      <c r="AI69" s="100">
        <v>2512.757600776732</v>
      </c>
      <c r="AJ69" s="100">
        <v>4.7898219826060524</v>
      </c>
      <c r="AK69" s="100">
        <v>3632.6009916084299</v>
      </c>
      <c r="AL69" s="100">
        <v>12.02368445425612</v>
      </c>
      <c r="AM69" s="100">
        <v>9118.7622901078412</v>
      </c>
      <c r="AN69" s="100">
        <v>8</v>
      </c>
      <c r="AO69" s="100">
        <v>6067.2</v>
      </c>
      <c r="AP69" s="100">
        <v>9</v>
      </c>
      <c r="AQ69" s="100">
        <v>6825.5999999999995</v>
      </c>
      <c r="AR69" s="100">
        <v>9.5342340027206998</v>
      </c>
      <c r="AS69" s="100">
        <v>7230.7630676633789</v>
      </c>
      <c r="AT69" s="100">
        <v>8.1370662944239402</v>
      </c>
      <c r="AU69" s="100">
        <v>6171.1510776911164</v>
      </c>
      <c r="AV69" s="100">
        <v>3.65991436665343</v>
      </c>
      <c r="AW69" s="100">
        <v>2775.6790556699611</v>
      </c>
      <c r="AX69" s="100">
        <v>8.363740179346923</v>
      </c>
      <c r="AY69" s="100">
        <v>6343.0605520167064</v>
      </c>
      <c r="AZ69" s="100">
        <v>9.6097591678116938</v>
      </c>
      <c r="BA69" s="100">
        <v>7288.0413528683885</v>
      </c>
      <c r="BB69" s="100">
        <v>8.1068791544844245</v>
      </c>
      <c r="BC69" s="100">
        <v>6148.2571507609873</v>
      </c>
      <c r="BD69" s="100">
        <v>6.9202355547374808</v>
      </c>
      <c r="BE69" s="100">
        <v>5248.3066447129049</v>
      </c>
      <c r="BF69" s="100">
        <v>6.3691390801802115</v>
      </c>
      <c r="BG69" s="100">
        <v>4830.3550784086719</v>
      </c>
      <c r="BH69" s="100">
        <v>2.6791039791603923</v>
      </c>
      <c r="BI69" s="100">
        <v>2031.8324577952415</v>
      </c>
      <c r="BJ69" s="100">
        <v>9.6533033335552876</v>
      </c>
      <c r="BK69" s="100">
        <v>7321.0652481683301</v>
      </c>
      <c r="BL69" s="100">
        <v>6.037803350390984</v>
      </c>
      <c r="BM69" s="100">
        <v>4579.0700609365222</v>
      </c>
      <c r="BN69" s="100">
        <v>1.5355892557432453</v>
      </c>
      <c r="BO69" s="100">
        <v>1164.5908915556772</v>
      </c>
      <c r="BP69" s="100">
        <v>10.561814500224195</v>
      </c>
      <c r="BQ69" s="100">
        <v>8010.0801169700289</v>
      </c>
      <c r="BR69" s="100">
        <v>3.6927908179774511</v>
      </c>
      <c r="BS69" s="100">
        <v>2800.6125563540991</v>
      </c>
      <c r="BT69" s="100">
        <v>6.805873985524455</v>
      </c>
      <c r="BU69" s="100">
        <v>5161.5748306217465</v>
      </c>
      <c r="BV69" s="100">
        <v>4.7782593276188807</v>
      </c>
      <c r="BW69" s="100">
        <v>3623.8318740661589</v>
      </c>
      <c r="BX69" s="100">
        <v>4.287310081194164</v>
      </c>
      <c r="BY69" s="100">
        <v>3251.4959655776538</v>
      </c>
      <c r="BZ69" s="100">
        <v>8.8619662658441776</v>
      </c>
      <c r="CA69" s="100">
        <v>6720.9152160162239</v>
      </c>
      <c r="CB69" s="100">
        <v>6.17786146937756</v>
      </c>
      <c r="CC69" s="100">
        <v>4685.2901383759418</v>
      </c>
      <c r="CD69" s="100">
        <v>6</v>
      </c>
      <c r="CE69" s="100">
        <v>4550.3999999999996</v>
      </c>
      <c r="CF69" s="100">
        <v>8.182652428821827</v>
      </c>
      <c r="CG69" s="100">
        <v>6205.7236020184737</v>
      </c>
      <c r="CH69" s="100">
        <v>8.8439833292445051</v>
      </c>
      <c r="CI69" s="100">
        <v>6707.2769568990325</v>
      </c>
      <c r="CJ69" s="100">
        <v>6.0455171241604573</v>
      </c>
      <c r="CK69" s="100">
        <v>4584.9201869632907</v>
      </c>
      <c r="CL69" s="100">
        <v>5.6250020075676845</v>
      </c>
      <c r="CM69" s="100">
        <v>4266.0015225393317</v>
      </c>
      <c r="CN69" s="100">
        <v>5.9593196352983773</v>
      </c>
      <c r="CO69" s="100">
        <v>4519.5480114102893</v>
      </c>
      <c r="CP69" s="100">
        <v>1.6977307742495911</v>
      </c>
      <c r="CQ69" s="100">
        <v>1287.5590191908898</v>
      </c>
      <c r="CR69" s="100">
        <v>6.4573030682051336</v>
      </c>
      <c r="CS69" s="100">
        <v>4897.2186469267735</v>
      </c>
      <c r="CT69" s="100">
        <v>1.6126278346870293</v>
      </c>
      <c r="CU69" s="100">
        <v>1223.016949826643</v>
      </c>
    </row>
    <row r="70" spans="2:99">
      <c r="C70" s="99" t="s">
        <v>236</v>
      </c>
      <c r="D70" s="100">
        <v>2.6066404263970209</v>
      </c>
      <c r="E70" s="100">
        <v>1395.0739562076853</v>
      </c>
      <c r="F70" s="100">
        <v>10.547604287354174</v>
      </c>
      <c r="G70" s="100">
        <v>5645.077814591953</v>
      </c>
      <c r="H70" s="100">
        <v>8.4597773487340255</v>
      </c>
      <c r="I70" s="100">
        <v>4527.6728370424498</v>
      </c>
      <c r="J70" s="100">
        <v>6.6684250607962046</v>
      </c>
      <c r="K70" s="100">
        <v>3568.941092538128</v>
      </c>
      <c r="L70" s="100">
        <v>8</v>
      </c>
      <c r="M70" s="100">
        <v>4281.5999999999995</v>
      </c>
      <c r="N70" s="100">
        <v>8</v>
      </c>
      <c r="O70" s="100">
        <v>4281.5999999999995</v>
      </c>
      <c r="P70" s="100">
        <v>8.7226835548162143</v>
      </c>
      <c r="Q70" s="100">
        <v>4668.3802385376375</v>
      </c>
      <c r="R70" s="100">
        <v>5.8450549507589766</v>
      </c>
      <c r="S70" s="100">
        <v>3128.2734096462041</v>
      </c>
      <c r="T70" s="100">
        <v>4.4588322317745801</v>
      </c>
      <c r="U70" s="100">
        <v>2386.3670104457551</v>
      </c>
      <c r="V70" s="100">
        <v>8.0077234182486343</v>
      </c>
      <c r="W70" s="100">
        <v>4285.7335734466687</v>
      </c>
      <c r="X70" s="100">
        <v>3.4464962134731776</v>
      </c>
      <c r="Y70" s="100">
        <v>1844.5647734508443</v>
      </c>
      <c r="Z70" s="100">
        <v>8.0336748573978802</v>
      </c>
      <c r="AA70" s="100">
        <v>4299.622783679345</v>
      </c>
      <c r="AB70" s="100">
        <v>3.8918587068402344</v>
      </c>
      <c r="AC70" s="100">
        <v>2082.9227799008931</v>
      </c>
      <c r="AD70" s="100">
        <v>5.7020982248176679</v>
      </c>
      <c r="AE70" s="100">
        <v>3051.7629699224153</v>
      </c>
      <c r="AF70" s="100">
        <v>9.8701088112709918</v>
      </c>
      <c r="AG70" s="100">
        <v>5282.482235792234</v>
      </c>
      <c r="AH70" s="100">
        <v>3.6813724812129802</v>
      </c>
      <c r="AI70" s="100">
        <v>1970.2705519451868</v>
      </c>
      <c r="AJ70" s="100">
        <v>4.7898219826060524</v>
      </c>
      <c r="AK70" s="100">
        <v>2563.512725090759</v>
      </c>
      <c r="AL70" s="100">
        <v>11.853070378546766</v>
      </c>
      <c r="AM70" s="100">
        <v>6343.7632665982283</v>
      </c>
      <c r="AN70" s="100">
        <v>8</v>
      </c>
      <c r="AO70" s="100">
        <v>4281.5999999999995</v>
      </c>
      <c r="AP70" s="100">
        <v>9</v>
      </c>
      <c r="AQ70" s="100">
        <v>4816.7999999999993</v>
      </c>
      <c r="AR70" s="100">
        <v>8.6674854570188185</v>
      </c>
      <c r="AS70" s="100">
        <v>4638.8382165964713</v>
      </c>
      <c r="AT70" s="100">
        <v>7.3233596649815462</v>
      </c>
      <c r="AU70" s="100">
        <v>3919.4620926981229</v>
      </c>
      <c r="AV70" s="100">
        <v>3.65991436665343</v>
      </c>
      <c r="AW70" s="100">
        <v>1958.7861690329155</v>
      </c>
      <c r="AX70" s="100">
        <v>9.363740179346923</v>
      </c>
      <c r="AY70" s="100">
        <v>5011.473743986473</v>
      </c>
      <c r="AZ70" s="100">
        <v>8.7361446980106319</v>
      </c>
      <c r="BA70" s="100">
        <v>4675.5846423752891</v>
      </c>
      <c r="BB70" s="100">
        <v>8.1068791544844245</v>
      </c>
      <c r="BC70" s="100">
        <v>4338.8017234800636</v>
      </c>
      <c r="BD70" s="100">
        <v>7.7134294093510585</v>
      </c>
      <c r="BE70" s="100">
        <v>4128.2274198846862</v>
      </c>
      <c r="BF70" s="100">
        <v>6.4556924037522139</v>
      </c>
      <c r="BG70" s="100">
        <v>3455.0865744881844</v>
      </c>
      <c r="BH70" s="100">
        <v>2.6791039791603923</v>
      </c>
      <c r="BI70" s="100">
        <v>1433.8564496466417</v>
      </c>
      <c r="BJ70" s="100">
        <v>10.653303333555288</v>
      </c>
      <c r="BK70" s="100">
        <v>5701.6479441187894</v>
      </c>
      <c r="BL70" s="100">
        <v>6.037803350390984</v>
      </c>
      <c r="BM70" s="100">
        <v>3231.4323531292544</v>
      </c>
      <c r="BN70" s="100">
        <v>1.5355892557432453</v>
      </c>
      <c r="BO70" s="100">
        <v>821.84736967378478</v>
      </c>
      <c r="BP70" s="100">
        <v>10.449451600179355</v>
      </c>
      <c r="BQ70" s="100">
        <v>5592.5464964159901</v>
      </c>
      <c r="BR70" s="100">
        <v>4.0620698997751958</v>
      </c>
      <c r="BS70" s="100">
        <v>2174.0198103596845</v>
      </c>
      <c r="BT70" s="100">
        <v>5.9157490890007276</v>
      </c>
      <c r="BU70" s="100">
        <v>3166.1089124331888</v>
      </c>
      <c r="BV70" s="100">
        <v>5.3639454677682599</v>
      </c>
      <c r="BW70" s="100">
        <v>2870.7836143495724</v>
      </c>
      <c r="BX70" s="100">
        <v>3.8726640698360217</v>
      </c>
      <c r="BY70" s="100">
        <v>2072.6498101762386</v>
      </c>
      <c r="BZ70" s="100">
        <v>9.8619662658441776</v>
      </c>
      <c r="CA70" s="100">
        <v>5278.1243454798032</v>
      </c>
      <c r="CB70" s="100">
        <v>5.4056287857053658</v>
      </c>
      <c r="CC70" s="100">
        <v>2893.0925261095113</v>
      </c>
      <c r="CD70" s="100">
        <v>7</v>
      </c>
      <c r="CE70" s="100">
        <v>3746.3999999999996</v>
      </c>
      <c r="CF70" s="100">
        <v>9.8191829145861913</v>
      </c>
      <c r="CG70" s="100">
        <v>5255.2266958865293</v>
      </c>
      <c r="CH70" s="100">
        <v>8.8439833292445051</v>
      </c>
      <c r="CI70" s="100">
        <v>4733.2998778116589</v>
      </c>
      <c r="CJ70" s="100">
        <v>5.181871820708964</v>
      </c>
      <c r="CK70" s="100">
        <v>2773.3377984434374</v>
      </c>
      <c r="CL70" s="100">
        <v>6.259249088091992</v>
      </c>
      <c r="CM70" s="100">
        <v>3349.9501119468337</v>
      </c>
      <c r="CN70" s="100">
        <v>5.8580610329470373</v>
      </c>
      <c r="CO70" s="100">
        <v>3135.2342648332537</v>
      </c>
      <c r="CP70" s="100">
        <v>1.6977307742495911</v>
      </c>
      <c r="CQ70" s="100">
        <v>908.62551037838102</v>
      </c>
      <c r="CR70" s="100">
        <v>6.3821049291070837</v>
      </c>
      <c r="CS70" s="100">
        <v>3415.7025580581108</v>
      </c>
      <c r="CT70" s="100">
        <v>1.4110493553511505</v>
      </c>
      <c r="CU70" s="100">
        <v>755.19361498393562</v>
      </c>
    </row>
    <row r="71" spans="2:99">
      <c r="B71" s="99" t="s">
        <v>130</v>
      </c>
      <c r="C71" s="99" t="s">
        <v>237</v>
      </c>
      <c r="D71" s="100">
        <v>5.2379976327187947</v>
      </c>
      <c r="E71" s="100">
        <v>2954.2306648534004</v>
      </c>
      <c r="F71" s="100">
        <v>6.5324069587860549</v>
      </c>
      <c r="G71" s="100">
        <v>3684.277524755335</v>
      </c>
      <c r="H71" s="100">
        <v>5.2587724615736251</v>
      </c>
      <c r="I71" s="100">
        <v>2965.9476683275248</v>
      </c>
      <c r="J71" s="100">
        <v>3.2338748674907993</v>
      </c>
      <c r="K71" s="100">
        <v>1823.9054252648109</v>
      </c>
      <c r="L71" s="100">
        <v>5.6668572948211073</v>
      </c>
      <c r="M71" s="100">
        <v>3196.1075142791046</v>
      </c>
      <c r="N71" s="100">
        <v>5</v>
      </c>
      <c r="O71" s="100">
        <v>2820</v>
      </c>
      <c r="P71" s="100">
        <v>6</v>
      </c>
      <c r="Q71" s="100">
        <v>3384</v>
      </c>
      <c r="R71" s="100">
        <v>7.706068129785538</v>
      </c>
      <c r="S71" s="100">
        <v>4346.2224251990438</v>
      </c>
      <c r="T71" s="100">
        <v>4.2853702227364856</v>
      </c>
      <c r="U71" s="100">
        <v>2416.9488056233777</v>
      </c>
      <c r="V71" s="100">
        <v>5</v>
      </c>
      <c r="W71" s="100">
        <v>2820</v>
      </c>
      <c r="X71" s="100">
        <v>6</v>
      </c>
      <c r="Y71" s="100">
        <v>3384</v>
      </c>
      <c r="Z71" s="100">
        <v>4.8960803577937959</v>
      </c>
      <c r="AA71" s="100">
        <v>2761.3893217957011</v>
      </c>
      <c r="AB71" s="100">
        <v>6</v>
      </c>
      <c r="AC71" s="100">
        <v>3384</v>
      </c>
      <c r="AD71" s="100">
        <v>7</v>
      </c>
      <c r="AE71" s="100">
        <v>3948</v>
      </c>
      <c r="AF71" s="100">
        <v>2.1234312243115356</v>
      </c>
      <c r="AG71" s="100">
        <v>1197.6152105117062</v>
      </c>
      <c r="AH71" s="100">
        <v>1.9213609096190476</v>
      </c>
      <c r="AI71" s="100">
        <v>1083.6475530251428</v>
      </c>
      <c r="AJ71" s="100">
        <v>2.0415603594685985</v>
      </c>
      <c r="AK71" s="100">
        <v>1151.4400427402895</v>
      </c>
      <c r="AL71" s="100">
        <v>1.8809202005782268</v>
      </c>
      <c r="AM71" s="100">
        <v>1060.8389931261199</v>
      </c>
      <c r="AN71" s="100">
        <v>6.0593788392901766</v>
      </c>
      <c r="AO71" s="100">
        <v>3417.4896653596597</v>
      </c>
      <c r="AP71" s="100">
        <v>1.5478171393392666</v>
      </c>
      <c r="AQ71" s="100">
        <v>872.96886658734638</v>
      </c>
      <c r="AR71" s="100">
        <v>4.5682994732403817</v>
      </c>
      <c r="AS71" s="100">
        <v>2576.5209029075754</v>
      </c>
      <c r="AT71" s="100">
        <v>5</v>
      </c>
      <c r="AU71" s="100">
        <v>2820</v>
      </c>
      <c r="AV71" s="100">
        <v>6</v>
      </c>
      <c r="AW71" s="100">
        <v>3384</v>
      </c>
      <c r="AX71" s="100">
        <v>3.4420180918576353</v>
      </c>
      <c r="AY71" s="100">
        <v>1941.2982038077064</v>
      </c>
      <c r="AZ71" s="100">
        <v>5.7860974349525023</v>
      </c>
      <c r="BA71" s="100">
        <v>3263.3589533132113</v>
      </c>
      <c r="BB71" s="100">
        <v>1.7694695370404023</v>
      </c>
      <c r="BC71" s="100">
        <v>997.98081889078696</v>
      </c>
      <c r="BD71" s="100">
        <v>6.8063625200553979</v>
      </c>
      <c r="BE71" s="100">
        <v>3838.7884613112442</v>
      </c>
      <c r="BF71" s="100">
        <v>7</v>
      </c>
      <c r="BG71" s="100">
        <v>3948</v>
      </c>
      <c r="BH71" s="100">
        <v>6.6729040458548692</v>
      </c>
      <c r="BI71" s="100">
        <v>3763.5178818621462</v>
      </c>
      <c r="BJ71" s="100">
        <v>1.6093742432068818</v>
      </c>
      <c r="BK71" s="100">
        <v>907.68707316868131</v>
      </c>
      <c r="BL71" s="100">
        <v>8.1303021266347955</v>
      </c>
      <c r="BM71" s="100">
        <v>4585.4903994220249</v>
      </c>
      <c r="BN71" s="100">
        <v>3.6346391978989518</v>
      </c>
      <c r="BO71" s="100">
        <v>2049.9365076150088</v>
      </c>
      <c r="BP71" s="100">
        <v>10.837121952403006</v>
      </c>
      <c r="BQ71" s="100">
        <v>6112.1367811552955</v>
      </c>
      <c r="BR71" s="100">
        <v>5.945431115026385</v>
      </c>
      <c r="BS71" s="100">
        <v>3353.2231488748812</v>
      </c>
      <c r="BT71" s="100">
        <v>5</v>
      </c>
      <c r="BU71" s="100">
        <v>2820</v>
      </c>
      <c r="BV71" s="100">
        <v>1.930630316446881</v>
      </c>
      <c r="BW71" s="100">
        <v>1088.8754984760408</v>
      </c>
      <c r="BX71" s="100">
        <v>8.3370596598148161</v>
      </c>
      <c r="BY71" s="100">
        <v>4702.1016481355564</v>
      </c>
      <c r="BZ71" s="100">
        <v>3.4469617917255135</v>
      </c>
      <c r="CA71" s="100">
        <v>1944.0864505331897</v>
      </c>
      <c r="CB71" s="100">
        <v>5.0907521192157681</v>
      </c>
      <c r="CC71" s="100">
        <v>2871.1841952376931</v>
      </c>
      <c r="CD71" s="100">
        <v>8</v>
      </c>
      <c r="CE71" s="100">
        <v>4512</v>
      </c>
      <c r="CF71" s="100">
        <v>6.7682262916098033</v>
      </c>
      <c r="CG71" s="100">
        <v>3817.2796284679289</v>
      </c>
      <c r="CH71" s="100">
        <v>6.1718018878274998</v>
      </c>
      <c r="CI71" s="100">
        <v>3480.8962647347098</v>
      </c>
      <c r="CJ71" s="100">
        <v>7.4207106492353656</v>
      </c>
      <c r="CK71" s="100">
        <v>4185.2808061687465</v>
      </c>
      <c r="CL71" s="100">
        <v>6.3820953527684487</v>
      </c>
      <c r="CM71" s="100">
        <v>3599.5017789614053</v>
      </c>
      <c r="CN71" s="100">
        <v>1.8635641666866007</v>
      </c>
      <c r="CO71" s="100">
        <v>1051.0501900112429</v>
      </c>
      <c r="CP71" s="100">
        <v>5.6135791589930761</v>
      </c>
      <c r="CQ71" s="100">
        <v>3166.0586456720948</v>
      </c>
      <c r="CR71" s="100">
        <v>5.9808101066725872</v>
      </c>
      <c r="CS71" s="100">
        <v>3373.1769001633393</v>
      </c>
      <c r="CT71" s="100">
        <v>5.5262240952939718</v>
      </c>
      <c r="CU71" s="100">
        <v>3116.7903897458</v>
      </c>
    </row>
    <row r="72" spans="2:99">
      <c r="C72" s="99" t="s">
        <v>238</v>
      </c>
      <c r="D72" s="100">
        <v>6.2194299361412693</v>
      </c>
      <c r="E72" s="100">
        <v>462.72558724891036</v>
      </c>
      <c r="F72" s="100">
        <v>6.5324069587860549</v>
      </c>
      <c r="G72" s="100">
        <v>486.01107773368244</v>
      </c>
      <c r="H72" s="100">
        <v>5.358775560792461</v>
      </c>
      <c r="I72" s="100">
        <v>398.69290172295905</v>
      </c>
      <c r="J72" s="100">
        <v>3.7186038579021234</v>
      </c>
      <c r="K72" s="100">
        <v>276.66412702791797</v>
      </c>
      <c r="L72" s="100">
        <v>5.6668572948211073</v>
      </c>
      <c r="M72" s="100">
        <v>421.61418273469036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8.6693266460087308</v>
      </c>
      <c r="S72" s="100">
        <v>644.99790246304951</v>
      </c>
      <c r="T72" s="100">
        <v>4.2853702227364856</v>
      </c>
      <c r="U72" s="100">
        <v>318.83154457159452</v>
      </c>
      <c r="V72" s="100">
        <v>5</v>
      </c>
      <c r="W72" s="100">
        <v>371.99999999999994</v>
      </c>
      <c r="X72" s="100">
        <v>7</v>
      </c>
      <c r="Y72" s="100">
        <v>520.79999999999995</v>
      </c>
      <c r="Z72" s="100">
        <v>4.8960803577937959</v>
      </c>
      <c r="AA72" s="100">
        <v>364.26837861985837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2.4288038044763454</v>
      </c>
      <c r="AG72" s="100">
        <v>180.70300305304008</v>
      </c>
      <c r="AH72" s="100">
        <v>2.1502948269448852</v>
      </c>
      <c r="AI72" s="100">
        <v>159.98193512469945</v>
      </c>
      <c r="AJ72" s="100">
        <v>2.0711053505784425</v>
      </c>
      <c r="AK72" s="100">
        <v>154.0902380830361</v>
      </c>
      <c r="AL72" s="100">
        <v>1.6307458234930508</v>
      </c>
      <c r="AM72" s="100">
        <v>121.32748926788297</v>
      </c>
      <c r="AN72" s="100">
        <v>6.0593788392901766</v>
      </c>
      <c r="AO72" s="100">
        <v>450.8177856431891</v>
      </c>
      <c r="AP72" s="100">
        <v>1.8562283264117838</v>
      </c>
      <c r="AQ72" s="100">
        <v>138.10338748503671</v>
      </c>
      <c r="AR72" s="100">
        <v>6.7103743415504775</v>
      </c>
      <c r="AS72" s="100">
        <v>499.25185101135548</v>
      </c>
      <c r="AT72" s="100">
        <v>5</v>
      </c>
      <c r="AU72" s="100">
        <v>371.99999999999994</v>
      </c>
      <c r="AV72" s="100">
        <v>6</v>
      </c>
      <c r="AW72" s="100">
        <v>446.4</v>
      </c>
      <c r="AX72" s="100">
        <v>3.4420180918576353</v>
      </c>
      <c r="AY72" s="100">
        <v>256.08614603420801</v>
      </c>
      <c r="AZ72" s="100">
        <v>6.6126827828028603</v>
      </c>
      <c r="BA72" s="100">
        <v>491.98359904053274</v>
      </c>
      <c r="BB72" s="100">
        <v>1.7694695370404023</v>
      </c>
      <c r="BC72" s="100">
        <v>131.64853355580593</v>
      </c>
      <c r="BD72" s="100">
        <v>6.8063625200553979</v>
      </c>
      <c r="BE72" s="100">
        <v>506.39337149212156</v>
      </c>
      <c r="BF72" s="100">
        <v>9</v>
      </c>
      <c r="BG72" s="100">
        <v>669.59999999999991</v>
      </c>
      <c r="BH72" s="100">
        <v>7.5070170515867281</v>
      </c>
      <c r="BI72" s="100">
        <v>558.52206863805247</v>
      </c>
      <c r="BJ72" s="100">
        <v>1.4090616121237765</v>
      </c>
      <c r="BK72" s="100">
        <v>104.83418394200896</v>
      </c>
      <c r="BL72" s="100">
        <v>6.9688303942583962</v>
      </c>
      <c r="BM72" s="100">
        <v>518.48098133282463</v>
      </c>
      <c r="BN72" s="100">
        <v>4.6731075401557955</v>
      </c>
      <c r="BO72" s="100">
        <v>347.67920098759117</v>
      </c>
      <c r="BP72" s="100">
        <v>11.697601627002506</v>
      </c>
      <c r="BQ72" s="100">
        <v>870.30156104898629</v>
      </c>
      <c r="BR72" s="100">
        <v>6.9363363008641157</v>
      </c>
      <c r="BS72" s="100">
        <v>516.0634207842902</v>
      </c>
      <c r="BT72" s="100">
        <v>6</v>
      </c>
      <c r="BU72" s="100">
        <v>446.4</v>
      </c>
      <c r="BV72" s="100">
        <v>1.6382808050581885</v>
      </c>
      <c r="BW72" s="100">
        <v>121.88809189632921</v>
      </c>
      <c r="BX72" s="100">
        <v>8.3370596598148161</v>
      </c>
      <c r="BY72" s="100">
        <v>620.27723869022225</v>
      </c>
      <c r="BZ72" s="100">
        <v>3.8778320156912027</v>
      </c>
      <c r="CA72" s="100">
        <v>288.51070196742546</v>
      </c>
      <c r="CB72" s="100">
        <v>5.113440149019711</v>
      </c>
      <c r="CC72" s="100">
        <v>380.43994708706646</v>
      </c>
      <c r="CD72" s="100">
        <v>10</v>
      </c>
      <c r="CE72" s="100">
        <v>743.99999999999989</v>
      </c>
      <c r="CF72" s="100">
        <v>6.7682262916098033</v>
      </c>
      <c r="CG72" s="100">
        <v>503.55603609576929</v>
      </c>
      <c r="CH72" s="100">
        <v>6.8575576531416669</v>
      </c>
      <c r="CI72" s="100">
        <v>510.20228939373993</v>
      </c>
      <c r="CJ72" s="100">
        <v>6.4931218180809447</v>
      </c>
      <c r="CK72" s="100">
        <v>483.08826326522222</v>
      </c>
      <c r="CL72" s="100">
        <v>6.3820953527684487</v>
      </c>
      <c r="CM72" s="100">
        <v>474.82789424597252</v>
      </c>
      <c r="CN72" s="100">
        <v>2.0965096875224258</v>
      </c>
      <c r="CO72" s="100">
        <v>155.98032075166847</v>
      </c>
      <c r="CP72" s="100">
        <v>5.6135791589930761</v>
      </c>
      <c r="CQ72" s="100">
        <v>417.65028942908481</v>
      </c>
      <c r="CR72" s="100">
        <v>6.6887118877455247</v>
      </c>
      <c r="CS72" s="100">
        <v>497.640164448267</v>
      </c>
      <c r="CT72" s="100">
        <v>5.6035984071209537</v>
      </c>
      <c r="CU72" s="100">
        <v>416.90772148979892</v>
      </c>
    </row>
    <row r="73" spans="2:99">
      <c r="C73" s="99" t="s">
        <v>239</v>
      </c>
      <c r="D73" s="100">
        <v>5.2379976327187947</v>
      </c>
      <c r="E73" s="100">
        <v>2929.0882762163496</v>
      </c>
      <c r="F73" s="100">
        <v>6.5978071372101921</v>
      </c>
      <c r="G73" s="100">
        <v>3689.493751127939</v>
      </c>
      <c r="H73" s="100">
        <v>5.2587724615736251</v>
      </c>
      <c r="I73" s="100">
        <v>2940.7055605119708</v>
      </c>
      <c r="J73" s="100">
        <v>3.7113218098859795</v>
      </c>
      <c r="K73" s="100">
        <v>2075.3711560882393</v>
      </c>
      <c r="L73" s="100">
        <v>6.6668572948211073</v>
      </c>
      <c r="M73" s="100">
        <v>3728.1065992639628</v>
      </c>
      <c r="N73" s="100">
        <v>5</v>
      </c>
      <c r="O73" s="100">
        <v>2795.9999999999995</v>
      </c>
      <c r="P73" s="100">
        <v>6</v>
      </c>
      <c r="Q73" s="100">
        <v>3355.2</v>
      </c>
      <c r="R73" s="100">
        <v>8.6693266460087308</v>
      </c>
      <c r="S73" s="100">
        <v>4847.8874604480816</v>
      </c>
      <c r="T73" s="100">
        <v>4.2853702227364856</v>
      </c>
      <c r="U73" s="100">
        <v>2396.3790285542423</v>
      </c>
      <c r="V73" s="100">
        <v>5</v>
      </c>
      <c r="W73" s="100">
        <v>2795.9999999999995</v>
      </c>
      <c r="X73" s="100">
        <v>6</v>
      </c>
      <c r="Y73" s="100">
        <v>3355.2</v>
      </c>
      <c r="Z73" s="100">
        <v>3.9168642862350369</v>
      </c>
      <c r="AA73" s="100">
        <v>2190.3105088626326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2.4288038044763454</v>
      </c>
      <c r="AG73" s="100">
        <v>1358.1870874631722</v>
      </c>
      <c r="AH73" s="100">
        <v>2.1502948269448852</v>
      </c>
      <c r="AI73" s="100">
        <v>1202.4448672275796</v>
      </c>
      <c r="AJ73" s="100">
        <v>1.8284208744900861</v>
      </c>
      <c r="AK73" s="100">
        <v>1022.452953014856</v>
      </c>
      <c r="AL73" s="100">
        <v>1.8809202005782268</v>
      </c>
      <c r="AM73" s="100">
        <v>1051.8105761633444</v>
      </c>
      <c r="AN73" s="100">
        <v>5.9631895286871295</v>
      </c>
      <c r="AO73" s="100">
        <v>3334.6155844418422</v>
      </c>
      <c r="AP73" s="100">
        <v>1.8504671224351033</v>
      </c>
      <c r="AQ73" s="100">
        <v>1034.7812148657097</v>
      </c>
      <c r="AR73" s="100">
        <v>4.7103743415504775</v>
      </c>
      <c r="AS73" s="100">
        <v>2634.0413317950265</v>
      </c>
      <c r="AT73" s="100">
        <v>6</v>
      </c>
      <c r="AU73" s="100">
        <v>3355.2</v>
      </c>
      <c r="AV73" s="100">
        <v>6</v>
      </c>
      <c r="AW73" s="100">
        <v>3355.2</v>
      </c>
      <c r="AX73" s="100">
        <v>3.4420180918576353</v>
      </c>
      <c r="AY73" s="100">
        <v>1924.7765169667894</v>
      </c>
      <c r="AZ73" s="100">
        <v>6.6126827828028603</v>
      </c>
      <c r="BA73" s="100">
        <v>3697.8122121433589</v>
      </c>
      <c r="BB73" s="100">
        <v>1.7694695370404023</v>
      </c>
      <c r="BC73" s="100">
        <v>989.48736511299285</v>
      </c>
      <c r="BD73" s="100">
        <v>5.9676350240664773</v>
      </c>
      <c r="BE73" s="100">
        <v>3337.1015054579739</v>
      </c>
      <c r="BF73" s="100">
        <v>7</v>
      </c>
      <c r="BG73" s="100">
        <v>3914.3999999999996</v>
      </c>
      <c r="BH73" s="100">
        <v>7.5070170515867281</v>
      </c>
      <c r="BI73" s="100">
        <v>4197.9239352472978</v>
      </c>
      <c r="BJ73" s="100">
        <v>1.6093742432068818</v>
      </c>
      <c r="BK73" s="100">
        <v>899.96207680128816</v>
      </c>
      <c r="BL73" s="100">
        <v>6.9688303942583962</v>
      </c>
      <c r="BM73" s="100">
        <v>3896.9699564692946</v>
      </c>
      <c r="BN73" s="100">
        <v>4.1538733690273739</v>
      </c>
      <c r="BO73" s="100">
        <v>2322.8459879601073</v>
      </c>
      <c r="BP73" s="100">
        <v>8.837121952403006</v>
      </c>
      <c r="BQ73" s="100">
        <v>4941.7185957837601</v>
      </c>
      <c r="BR73" s="100">
        <v>6.9363363008641157</v>
      </c>
      <c r="BS73" s="100">
        <v>3878.799259443213</v>
      </c>
      <c r="BT73" s="100">
        <v>6</v>
      </c>
      <c r="BU73" s="100">
        <v>3355.2</v>
      </c>
      <c r="BV73" s="100">
        <v>1.9394569788526173</v>
      </c>
      <c r="BW73" s="100">
        <v>1084.5443425743833</v>
      </c>
      <c r="BX73" s="100">
        <v>8.3370596598148161</v>
      </c>
      <c r="BY73" s="100">
        <v>4662.0837617684447</v>
      </c>
      <c r="BZ73" s="100">
        <v>3.8778320156912027</v>
      </c>
      <c r="CA73" s="100">
        <v>2168.4836631745202</v>
      </c>
      <c r="CB73" s="100">
        <v>5.113440149019711</v>
      </c>
      <c r="CC73" s="100">
        <v>2859.4357313318219</v>
      </c>
      <c r="CD73" s="100">
        <v>9</v>
      </c>
      <c r="CE73" s="100">
        <v>5032.7999999999993</v>
      </c>
      <c r="CF73" s="100">
        <v>6.7682262916098033</v>
      </c>
      <c r="CG73" s="100">
        <v>3784.7921422682016</v>
      </c>
      <c r="CH73" s="100">
        <v>6.1718018878274998</v>
      </c>
      <c r="CI73" s="100">
        <v>3451.2716156731376</v>
      </c>
      <c r="CJ73" s="100">
        <v>7.4207106492353656</v>
      </c>
      <c r="CK73" s="100">
        <v>4149.6613950524161</v>
      </c>
      <c r="CL73" s="100">
        <v>6.3820953527684487</v>
      </c>
      <c r="CM73" s="100">
        <v>3568.8677212681159</v>
      </c>
      <c r="CN73" s="100">
        <v>1.8635641666866007</v>
      </c>
      <c r="CO73" s="100">
        <v>1042.105082011147</v>
      </c>
      <c r="CP73" s="100">
        <v>5.6135791589930761</v>
      </c>
      <c r="CQ73" s="100">
        <v>3139.1134657089278</v>
      </c>
      <c r="CR73" s="100">
        <v>5.9808101066725872</v>
      </c>
      <c r="CS73" s="100">
        <v>3344.4690116513102</v>
      </c>
      <c r="CT73" s="100">
        <v>5.5262240952939718</v>
      </c>
      <c r="CU73" s="100">
        <v>3090.2645140883888</v>
      </c>
    </row>
    <row r="74" spans="2:99">
      <c r="C74" s="99" t="s">
        <v>240</v>
      </c>
      <c r="D74" s="100">
        <v>6.1642905835401978</v>
      </c>
      <c r="E74" s="100">
        <v>2485.4419632834079</v>
      </c>
      <c r="F74" s="100">
        <v>5.6365774952018404</v>
      </c>
      <c r="G74" s="100">
        <v>2272.668046065382</v>
      </c>
      <c r="H74" s="100">
        <v>5.2587724615736251</v>
      </c>
      <c r="I74" s="100">
        <v>2120.3370565064856</v>
      </c>
      <c r="J74" s="100">
        <v>3.6371693132038523</v>
      </c>
      <c r="K74" s="100">
        <v>1466.5066670837932</v>
      </c>
      <c r="L74" s="100">
        <v>6.6668572948211073</v>
      </c>
      <c r="M74" s="100">
        <v>2688.0768612718703</v>
      </c>
      <c r="N74" s="100">
        <v>5</v>
      </c>
      <c r="O74" s="100">
        <v>2016</v>
      </c>
      <c r="P74" s="100">
        <v>5</v>
      </c>
      <c r="Q74" s="100">
        <v>2016</v>
      </c>
      <c r="R74" s="100">
        <v>8.6693266460087308</v>
      </c>
      <c r="S74" s="100">
        <v>3495.47250367072</v>
      </c>
      <c r="T74" s="100">
        <v>4.9995985931925659</v>
      </c>
      <c r="U74" s="100">
        <v>2015.8381527752426</v>
      </c>
      <c r="V74" s="100">
        <v>5</v>
      </c>
      <c r="W74" s="100">
        <v>2016</v>
      </c>
      <c r="X74" s="100">
        <v>6</v>
      </c>
      <c r="Y74" s="100">
        <v>2419.1999999999998</v>
      </c>
      <c r="Z74" s="100">
        <v>4.8960803577937959</v>
      </c>
      <c r="AA74" s="100">
        <v>1974.0996002624584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2.4288038044763454</v>
      </c>
      <c r="AG74" s="100">
        <v>979.29369396486243</v>
      </c>
      <c r="AH74" s="100">
        <v>2.1502948269448852</v>
      </c>
      <c r="AI74" s="100">
        <v>866.99887422417771</v>
      </c>
      <c r="AJ74" s="100">
        <v>2.0723866081340954</v>
      </c>
      <c r="AK74" s="100">
        <v>835.5862803996672</v>
      </c>
      <c r="AL74" s="100">
        <v>1.6203698586144912</v>
      </c>
      <c r="AM74" s="100">
        <v>653.33312699336284</v>
      </c>
      <c r="AN74" s="100">
        <v>6.0593788392901766</v>
      </c>
      <c r="AO74" s="100">
        <v>2443.141548001799</v>
      </c>
      <c r="AP74" s="100">
        <v>1.8562283264117838</v>
      </c>
      <c r="AQ74" s="100">
        <v>748.43126120923125</v>
      </c>
      <c r="AR74" s="100">
        <v>5.5682994732403817</v>
      </c>
      <c r="AS74" s="100">
        <v>2245.138347610522</v>
      </c>
      <c r="AT74" s="100">
        <v>5</v>
      </c>
      <c r="AU74" s="100">
        <v>2016</v>
      </c>
      <c r="AV74" s="100">
        <v>6</v>
      </c>
      <c r="AW74" s="100">
        <v>2419.1999999999998</v>
      </c>
      <c r="AX74" s="100">
        <v>3.4420180918576353</v>
      </c>
      <c r="AY74" s="100">
        <v>1387.8216946369985</v>
      </c>
      <c r="AZ74" s="100">
        <v>6.6126827828028603</v>
      </c>
      <c r="BA74" s="100">
        <v>2666.233698026113</v>
      </c>
      <c r="BB74" s="100">
        <v>1.4376721290405985</v>
      </c>
      <c r="BC74" s="100">
        <v>579.66940242916928</v>
      </c>
      <c r="BD74" s="100">
        <v>6.8063625200553979</v>
      </c>
      <c r="BE74" s="100">
        <v>2744.3253680863363</v>
      </c>
      <c r="BF74" s="100">
        <v>8</v>
      </c>
      <c r="BG74" s="100">
        <v>3225.6</v>
      </c>
      <c r="BH74" s="100">
        <v>7.5070170515867281</v>
      </c>
      <c r="BI74" s="100">
        <v>3026.8292751997687</v>
      </c>
      <c r="BJ74" s="100">
        <v>1.6093742432068818</v>
      </c>
      <c r="BK74" s="100">
        <v>648.89969486101472</v>
      </c>
      <c r="BL74" s="100">
        <v>6.9688303942583962</v>
      </c>
      <c r="BM74" s="100">
        <v>2809.8324149649852</v>
      </c>
      <c r="BN74" s="100">
        <v>4.1538733690273739</v>
      </c>
      <c r="BO74" s="100">
        <v>1674.8417423918372</v>
      </c>
      <c r="BP74" s="100">
        <v>9.6976016270025056</v>
      </c>
      <c r="BQ74" s="100">
        <v>3910.07297600741</v>
      </c>
      <c r="BR74" s="100">
        <v>6.9363363008641157</v>
      </c>
      <c r="BS74" s="100">
        <v>2796.7307965084115</v>
      </c>
      <c r="BT74" s="100">
        <v>5</v>
      </c>
      <c r="BU74" s="100">
        <v>2016</v>
      </c>
      <c r="BV74" s="100">
        <v>1.6382808050581885</v>
      </c>
      <c r="BW74" s="100">
        <v>660.55482059946155</v>
      </c>
      <c r="BX74" s="100">
        <v>8.3370596598148161</v>
      </c>
      <c r="BY74" s="100">
        <v>3361.502454837334</v>
      </c>
      <c r="BZ74" s="100">
        <v>3.8778320156912027</v>
      </c>
      <c r="CA74" s="100">
        <v>1563.5418687266929</v>
      </c>
      <c r="CB74" s="100">
        <v>5.113440149019711</v>
      </c>
      <c r="CC74" s="100">
        <v>2061.7390680847475</v>
      </c>
      <c r="CD74" s="100">
        <v>9</v>
      </c>
      <c r="CE74" s="100">
        <v>3628.7999999999997</v>
      </c>
      <c r="CF74" s="100">
        <v>6.0162011480976032</v>
      </c>
      <c r="CG74" s="100">
        <v>2425.7323029129534</v>
      </c>
      <c r="CH74" s="100">
        <v>6.1718018878274998</v>
      </c>
      <c r="CI74" s="100">
        <v>2488.4705211720479</v>
      </c>
      <c r="CJ74" s="100">
        <v>6.4931218180809447</v>
      </c>
      <c r="CK74" s="100">
        <v>2618.026717050237</v>
      </c>
      <c r="CL74" s="100">
        <v>7.1798572718645044</v>
      </c>
      <c r="CM74" s="100">
        <v>2894.9184520157683</v>
      </c>
      <c r="CN74" s="100">
        <v>1.8635641666866007</v>
      </c>
      <c r="CO74" s="100">
        <v>751.38907200803737</v>
      </c>
      <c r="CP74" s="100">
        <v>5.6135791589930761</v>
      </c>
      <c r="CQ74" s="100">
        <v>2263.3951169060083</v>
      </c>
      <c r="CR74" s="100">
        <v>6.6251927161277058</v>
      </c>
      <c r="CS74" s="100">
        <v>2671.2777031426908</v>
      </c>
      <c r="CT74" s="100">
        <v>5.5212140091044324</v>
      </c>
      <c r="CU74" s="100">
        <v>2226.1534884709072</v>
      </c>
    </row>
    <row r="75" spans="2:99">
      <c r="C75" s="99" t="s">
        <v>241</v>
      </c>
      <c r="D75" s="100">
        <v>6.1642905835401978</v>
      </c>
      <c r="E75" s="100">
        <v>3964.8717033330549</v>
      </c>
      <c r="F75" s="100">
        <v>5.6365774952018404</v>
      </c>
      <c r="G75" s="100">
        <v>3625.4466449138235</v>
      </c>
      <c r="H75" s="100">
        <v>4.4932330957461302</v>
      </c>
      <c r="I75" s="100">
        <v>2890.0475271839105</v>
      </c>
      <c r="J75" s="100">
        <v>3.6408103372119243</v>
      </c>
      <c r="K75" s="100">
        <v>2341.7692088947097</v>
      </c>
      <c r="L75" s="100">
        <v>5.6668572948211073</v>
      </c>
      <c r="M75" s="100">
        <v>3644.9226120289359</v>
      </c>
      <c r="N75" s="100">
        <v>5</v>
      </c>
      <c r="O75" s="100">
        <v>3215.9999999999995</v>
      </c>
      <c r="P75" s="100">
        <v>5</v>
      </c>
      <c r="Q75" s="100">
        <v>3215.9999999999995</v>
      </c>
      <c r="R75" s="100">
        <v>7.706068129785538</v>
      </c>
      <c r="S75" s="100">
        <v>4956.5430210780578</v>
      </c>
      <c r="T75" s="100">
        <v>4.2853702227364856</v>
      </c>
      <c r="U75" s="100">
        <v>2756.3501272641074</v>
      </c>
      <c r="V75" s="100">
        <v>5</v>
      </c>
      <c r="W75" s="100">
        <v>3215.9999999999995</v>
      </c>
      <c r="X75" s="100">
        <v>6</v>
      </c>
      <c r="Y75" s="100">
        <v>3859.2</v>
      </c>
      <c r="Z75" s="100">
        <v>4.8960803577937959</v>
      </c>
      <c r="AA75" s="100">
        <v>3149.1588861329692</v>
      </c>
      <c r="AB75" s="100">
        <v>6</v>
      </c>
      <c r="AC75" s="100">
        <v>3859.2</v>
      </c>
      <c r="AD75" s="100">
        <v>6</v>
      </c>
      <c r="AE75" s="100">
        <v>3859.2</v>
      </c>
      <c r="AF75" s="100">
        <v>2.4217153860552787</v>
      </c>
      <c r="AG75" s="100">
        <v>1557.647336310755</v>
      </c>
      <c r="AH75" s="100">
        <v>2.1502948269448852</v>
      </c>
      <c r="AI75" s="100">
        <v>1383.0696326909499</v>
      </c>
      <c r="AJ75" s="100">
        <v>1.8605283807112352</v>
      </c>
      <c r="AK75" s="100">
        <v>1196.6918544734663</v>
      </c>
      <c r="AL75" s="100">
        <v>1.8861081830175066</v>
      </c>
      <c r="AM75" s="100">
        <v>1213.1447833168602</v>
      </c>
      <c r="AN75" s="100">
        <v>6.0593788392901766</v>
      </c>
      <c r="AO75" s="100">
        <v>3897.392469431441</v>
      </c>
      <c r="AP75" s="100">
        <v>1.8504671224351033</v>
      </c>
      <c r="AQ75" s="100">
        <v>1190.2204531502582</v>
      </c>
      <c r="AR75" s="100">
        <v>4.5682994732403817</v>
      </c>
      <c r="AS75" s="100">
        <v>2938.3302211882133</v>
      </c>
      <c r="AT75" s="100">
        <v>6</v>
      </c>
      <c r="AU75" s="100">
        <v>3859.2</v>
      </c>
      <c r="AV75" s="100">
        <v>6</v>
      </c>
      <c r="AW75" s="100">
        <v>3859.2</v>
      </c>
      <c r="AX75" s="100">
        <v>3.4420180918576353</v>
      </c>
      <c r="AY75" s="100">
        <v>2213.9060366828307</v>
      </c>
      <c r="AZ75" s="100">
        <v>5.7860974349525023</v>
      </c>
      <c r="BA75" s="100">
        <v>3721.617870161449</v>
      </c>
      <c r="BB75" s="100">
        <v>1.7773611439719299</v>
      </c>
      <c r="BC75" s="100">
        <v>1143.1986878027451</v>
      </c>
      <c r="BD75" s="100">
        <v>5.9676350240664773</v>
      </c>
      <c r="BE75" s="100">
        <v>3838.3828474795578</v>
      </c>
      <c r="BF75" s="100">
        <v>7</v>
      </c>
      <c r="BG75" s="100">
        <v>4502.3999999999996</v>
      </c>
      <c r="BH75" s="100">
        <v>7.5070170515867281</v>
      </c>
      <c r="BI75" s="100">
        <v>4828.5133675805828</v>
      </c>
      <c r="BJ75" s="100">
        <v>1.6025010486648437</v>
      </c>
      <c r="BK75" s="100">
        <v>1030.7286745012273</v>
      </c>
      <c r="BL75" s="100">
        <v>7.9688303942583962</v>
      </c>
      <c r="BM75" s="100">
        <v>5125.551709587</v>
      </c>
      <c r="BN75" s="100">
        <v>3.6346391978989518</v>
      </c>
      <c r="BO75" s="100">
        <v>2337.7999320886056</v>
      </c>
      <c r="BP75" s="100">
        <v>8.6976016270025056</v>
      </c>
      <c r="BQ75" s="100">
        <v>5594.297366488011</v>
      </c>
      <c r="BR75" s="100">
        <v>6.9363363008641157</v>
      </c>
      <c r="BS75" s="100">
        <v>4461.4515087157988</v>
      </c>
      <c r="BT75" s="100">
        <v>6</v>
      </c>
      <c r="BU75" s="100">
        <v>3859.2</v>
      </c>
      <c r="BV75" s="100">
        <v>1.6471074674639246</v>
      </c>
      <c r="BW75" s="100">
        <v>1059.4195230727962</v>
      </c>
      <c r="BX75" s="100">
        <v>8.3370596598148161</v>
      </c>
      <c r="BY75" s="100">
        <v>5362.3967731928888</v>
      </c>
      <c r="BZ75" s="100">
        <v>3.8778320156912027</v>
      </c>
      <c r="CA75" s="100">
        <v>2494.2215524925814</v>
      </c>
      <c r="CB75" s="100">
        <v>4.113440149019711</v>
      </c>
      <c r="CC75" s="100">
        <v>2645.7647038494779</v>
      </c>
      <c r="CD75" s="100">
        <v>9</v>
      </c>
      <c r="CE75" s="100">
        <v>5788.7999999999993</v>
      </c>
      <c r="CF75" s="100">
        <v>6.0162011480976032</v>
      </c>
      <c r="CG75" s="100">
        <v>3869.6205784563781</v>
      </c>
      <c r="CH75" s="100">
        <v>6.1718018878274998</v>
      </c>
      <c r="CI75" s="100">
        <v>3969.7029742506475</v>
      </c>
      <c r="CJ75" s="100">
        <v>7.4207106492353656</v>
      </c>
      <c r="CK75" s="100">
        <v>4773.0010895881869</v>
      </c>
      <c r="CL75" s="100">
        <v>5.5843334336723922</v>
      </c>
      <c r="CM75" s="100">
        <v>3591.8432645380822</v>
      </c>
      <c r="CN75" s="100">
        <v>2.0130021163541567</v>
      </c>
      <c r="CO75" s="100">
        <v>1294.7629612389935</v>
      </c>
      <c r="CP75" s="100">
        <v>5.6135791589930761</v>
      </c>
      <c r="CQ75" s="100">
        <v>3610.6541150643461</v>
      </c>
      <c r="CR75" s="100">
        <v>6.6887118877455247</v>
      </c>
      <c r="CS75" s="100">
        <v>4302.1794861979206</v>
      </c>
      <c r="CT75" s="100">
        <v>5.5262240952939718</v>
      </c>
      <c r="CU75" s="100">
        <v>3554.4673380930822</v>
      </c>
    </row>
    <row r="76" spans="2:99">
      <c r="C76" s="99" t="s">
        <v>242</v>
      </c>
      <c r="D76" s="100">
        <v>6.2194299361412693</v>
      </c>
      <c r="E76" s="100">
        <v>4843.69203426682</v>
      </c>
      <c r="F76" s="100">
        <v>5.6365774952018404</v>
      </c>
      <c r="G76" s="100">
        <v>4389.7665532631927</v>
      </c>
      <c r="H76" s="100">
        <v>5.2587724615736251</v>
      </c>
      <c r="I76" s="100">
        <v>4095.5319930735391</v>
      </c>
      <c r="J76" s="100">
        <v>3.7113218098859795</v>
      </c>
      <c r="K76" s="100">
        <v>2890.3774255392004</v>
      </c>
      <c r="L76" s="100">
        <v>6.6668572948211073</v>
      </c>
      <c r="M76" s="100">
        <v>5192.1484612066779</v>
      </c>
      <c r="N76" s="100">
        <v>5</v>
      </c>
      <c r="O76" s="100">
        <v>3894</v>
      </c>
      <c r="P76" s="100">
        <v>5</v>
      </c>
      <c r="Q76" s="100">
        <v>3894</v>
      </c>
      <c r="R76" s="100">
        <v>8.6693266460087308</v>
      </c>
      <c r="S76" s="100">
        <v>6751.6715919115995</v>
      </c>
      <c r="T76" s="100">
        <v>4.2853702227364856</v>
      </c>
      <c r="U76" s="100">
        <v>3337.4463294671746</v>
      </c>
      <c r="V76" s="100">
        <v>4</v>
      </c>
      <c r="W76" s="100">
        <v>3115.2</v>
      </c>
      <c r="X76" s="100">
        <v>6</v>
      </c>
      <c r="Y76" s="100">
        <v>4672.7999999999993</v>
      </c>
      <c r="Z76" s="100">
        <v>3.9168642862350369</v>
      </c>
      <c r="AA76" s="100">
        <v>3050.4539061198466</v>
      </c>
      <c r="AB76" s="100">
        <v>6</v>
      </c>
      <c r="AC76" s="100">
        <v>4672.7999999999993</v>
      </c>
      <c r="AD76" s="100">
        <v>6</v>
      </c>
      <c r="AE76" s="100">
        <v>4672.7999999999993</v>
      </c>
      <c r="AF76" s="100">
        <v>2.1305196427326019</v>
      </c>
      <c r="AG76" s="100">
        <v>1659.2486977601502</v>
      </c>
      <c r="AH76" s="100">
        <v>1.9123719525178129</v>
      </c>
      <c r="AI76" s="100">
        <v>1489.3552766208727</v>
      </c>
      <c r="AJ76" s="100">
        <v>2.0711053505784425</v>
      </c>
      <c r="AK76" s="100">
        <v>1612.9768470304909</v>
      </c>
      <c r="AL76" s="100">
        <v>1.8861081830175066</v>
      </c>
      <c r="AM76" s="100">
        <v>1468.9010529340339</v>
      </c>
      <c r="AN76" s="100">
        <v>5.2658854929027612</v>
      </c>
      <c r="AO76" s="100">
        <v>4101.0716218726702</v>
      </c>
      <c r="AP76" s="100">
        <v>1.5593395472926279</v>
      </c>
      <c r="AQ76" s="100">
        <v>1214.4136394314985</v>
      </c>
      <c r="AR76" s="100">
        <v>5.5682994732403817</v>
      </c>
      <c r="AS76" s="100">
        <v>4336.5916297596086</v>
      </c>
      <c r="AT76" s="100">
        <v>5</v>
      </c>
      <c r="AU76" s="100">
        <v>3894</v>
      </c>
      <c r="AV76" s="100">
        <v>6</v>
      </c>
      <c r="AW76" s="100">
        <v>4672.7999999999993</v>
      </c>
      <c r="AX76" s="100">
        <v>3.4420180918576353</v>
      </c>
      <c r="AY76" s="100">
        <v>2680.6436899387263</v>
      </c>
      <c r="AZ76" s="100">
        <v>5.7860974349525023</v>
      </c>
      <c r="BA76" s="100">
        <v>4506.2126823410081</v>
      </c>
      <c r="BB76" s="100">
        <v>1.4376721290405985</v>
      </c>
      <c r="BC76" s="100">
        <v>1119.659054096818</v>
      </c>
      <c r="BD76" s="100">
        <v>5.8063625200553979</v>
      </c>
      <c r="BE76" s="100">
        <v>4521.9951306191433</v>
      </c>
      <c r="BF76" s="100">
        <v>7</v>
      </c>
      <c r="BG76" s="100">
        <v>5451.5999999999995</v>
      </c>
      <c r="BH76" s="100">
        <v>6.6729040458548692</v>
      </c>
      <c r="BI76" s="100">
        <v>5196.8576709117715</v>
      </c>
      <c r="BJ76" s="100">
        <v>1.4159348066658144</v>
      </c>
      <c r="BK76" s="100">
        <v>1102.7300274313361</v>
      </c>
      <c r="BL76" s="100">
        <v>7.9688303942583962</v>
      </c>
      <c r="BM76" s="100">
        <v>6206.1251110484391</v>
      </c>
      <c r="BN76" s="100">
        <v>4.1538733690273739</v>
      </c>
      <c r="BO76" s="100">
        <v>3235.0365797985187</v>
      </c>
      <c r="BP76" s="100">
        <v>9.837121952403006</v>
      </c>
      <c r="BQ76" s="100">
        <v>7661.1505765314605</v>
      </c>
      <c r="BR76" s="100">
        <v>5.945431115026385</v>
      </c>
      <c r="BS76" s="100">
        <v>4630.3017523825483</v>
      </c>
      <c r="BT76" s="100">
        <v>6</v>
      </c>
      <c r="BU76" s="100">
        <v>4672.7999999999993</v>
      </c>
      <c r="BV76" s="100">
        <v>1.9394569788526173</v>
      </c>
      <c r="BW76" s="100">
        <v>1510.4490951304183</v>
      </c>
      <c r="BX76" s="100">
        <v>7.3370596598148161</v>
      </c>
      <c r="BY76" s="100">
        <v>5714.1020630637786</v>
      </c>
      <c r="BZ76" s="100">
        <v>3.4469617917255135</v>
      </c>
      <c r="CA76" s="100">
        <v>2684.4938433958296</v>
      </c>
      <c r="CB76" s="100">
        <v>4.113440149019711</v>
      </c>
      <c r="CC76" s="100">
        <v>3203.5471880565506</v>
      </c>
      <c r="CD76" s="100">
        <v>9</v>
      </c>
      <c r="CE76" s="100">
        <v>7009.2</v>
      </c>
      <c r="CF76" s="100">
        <v>6.0162011480976032</v>
      </c>
      <c r="CG76" s="100">
        <v>4685.4174541384127</v>
      </c>
      <c r="CH76" s="100">
        <v>5.4860461225133337</v>
      </c>
      <c r="CI76" s="100">
        <v>4272.532720213384</v>
      </c>
      <c r="CJ76" s="100">
        <v>6.4931218180809447</v>
      </c>
      <c r="CK76" s="100">
        <v>5056.8432719214397</v>
      </c>
      <c r="CL76" s="100">
        <v>5.5843334336723922</v>
      </c>
      <c r="CM76" s="100">
        <v>4349.0788781440588</v>
      </c>
      <c r="CN76" s="100">
        <v>1.8635641666866007</v>
      </c>
      <c r="CO76" s="100">
        <v>1451.3437730155247</v>
      </c>
      <c r="CP76" s="100">
        <v>5.4683505033100781</v>
      </c>
      <c r="CQ76" s="100">
        <v>4258.751371977889</v>
      </c>
      <c r="CR76" s="100">
        <v>5.9808101066725872</v>
      </c>
      <c r="CS76" s="100">
        <v>4657.8549110766107</v>
      </c>
      <c r="CT76" s="100">
        <v>5.5262240952939718</v>
      </c>
      <c r="CU76" s="100">
        <v>4303.8233254149454</v>
      </c>
    </row>
    <row r="77" spans="2:99">
      <c r="C77" s="99" t="s">
        <v>243</v>
      </c>
      <c r="D77" s="100">
        <v>6.2194299361412693</v>
      </c>
      <c r="E77" s="100">
        <v>1731.4892942217293</v>
      </c>
      <c r="F77" s="100">
        <v>5.6365774952018404</v>
      </c>
      <c r="G77" s="100">
        <v>1569.2231746641921</v>
      </c>
      <c r="H77" s="100">
        <v>5.2587724615736251</v>
      </c>
      <c r="I77" s="100">
        <v>1464.0422533020972</v>
      </c>
      <c r="J77" s="100">
        <v>3.6371693132038523</v>
      </c>
      <c r="K77" s="100">
        <v>1012.5879367959524</v>
      </c>
      <c r="L77" s="100">
        <v>5.6668572948211073</v>
      </c>
      <c r="M77" s="100">
        <v>1577.6530708781961</v>
      </c>
      <c r="N77" s="100">
        <v>5</v>
      </c>
      <c r="O77" s="100">
        <v>1392</v>
      </c>
      <c r="P77" s="100">
        <v>6</v>
      </c>
      <c r="Q77" s="100">
        <v>1670.3999999999999</v>
      </c>
      <c r="R77" s="100">
        <v>7.706068129785538</v>
      </c>
      <c r="S77" s="100">
        <v>2145.3693673322937</v>
      </c>
      <c r="T77" s="100">
        <v>4.9995985931925659</v>
      </c>
      <c r="U77" s="100">
        <v>1391.8882483448103</v>
      </c>
      <c r="V77" s="100">
        <v>5</v>
      </c>
      <c r="W77" s="100">
        <v>1392</v>
      </c>
      <c r="X77" s="100">
        <v>7</v>
      </c>
      <c r="Y77" s="100">
        <v>1948.7999999999997</v>
      </c>
      <c r="Z77" s="100">
        <v>4.8960803577937959</v>
      </c>
      <c r="AA77" s="100">
        <v>1363.0687716097927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2.4217153860552787</v>
      </c>
      <c r="AG77" s="100">
        <v>674.2055634777895</v>
      </c>
      <c r="AH77" s="100">
        <v>1.9213609096190476</v>
      </c>
      <c r="AI77" s="100">
        <v>534.90687723794281</v>
      </c>
      <c r="AJ77" s="100">
        <v>2.0711053505784425</v>
      </c>
      <c r="AK77" s="100">
        <v>576.59572960103833</v>
      </c>
      <c r="AL77" s="100">
        <v>1.6203698586144912</v>
      </c>
      <c r="AM77" s="100">
        <v>451.1109686382743</v>
      </c>
      <c r="AN77" s="100">
        <v>6.6604935644714969</v>
      </c>
      <c r="AO77" s="100">
        <v>1854.2814083488645</v>
      </c>
      <c r="AP77" s="100">
        <v>1.5478171393392666</v>
      </c>
      <c r="AQ77" s="100">
        <v>430.91229159205176</v>
      </c>
      <c r="AR77" s="100">
        <v>5.7103743415504775</v>
      </c>
      <c r="AS77" s="100">
        <v>1589.7682166876527</v>
      </c>
      <c r="AT77" s="100">
        <v>5</v>
      </c>
      <c r="AU77" s="100">
        <v>1392</v>
      </c>
      <c r="AV77" s="100">
        <v>7</v>
      </c>
      <c r="AW77" s="100">
        <v>1948.7999999999997</v>
      </c>
      <c r="AX77" s="100">
        <v>3.4420180918576353</v>
      </c>
      <c r="AY77" s="100">
        <v>958.25783677316554</v>
      </c>
      <c r="AZ77" s="100">
        <v>5.7860974349525023</v>
      </c>
      <c r="BA77" s="100">
        <v>1610.8495258907765</v>
      </c>
      <c r="BB77" s="100">
        <v>1.7852527509034575</v>
      </c>
      <c r="BC77" s="100">
        <v>497.01436585152254</v>
      </c>
      <c r="BD77" s="100">
        <v>6.9676350240664773</v>
      </c>
      <c r="BE77" s="100">
        <v>1939.7895907001071</v>
      </c>
      <c r="BF77" s="100">
        <v>7</v>
      </c>
      <c r="BG77" s="100">
        <v>1948.7999999999997</v>
      </c>
      <c r="BH77" s="100">
        <v>6.6729040458548692</v>
      </c>
      <c r="BI77" s="100">
        <v>1857.7364863659955</v>
      </c>
      <c r="BJ77" s="100">
        <v>1.6093742432068818</v>
      </c>
      <c r="BK77" s="100">
        <v>448.04978930879588</v>
      </c>
      <c r="BL77" s="100">
        <v>8.1303021266347955</v>
      </c>
      <c r="BM77" s="100">
        <v>2263.476112055127</v>
      </c>
      <c r="BN77" s="100">
        <v>4.1538733690273739</v>
      </c>
      <c r="BO77" s="100">
        <v>1156.4383459372209</v>
      </c>
      <c r="BP77" s="100">
        <v>10.697601627002506</v>
      </c>
      <c r="BQ77" s="100">
        <v>2978.2122929574975</v>
      </c>
      <c r="BR77" s="100">
        <v>5.945431115026385</v>
      </c>
      <c r="BS77" s="100">
        <v>1655.2080224233455</v>
      </c>
      <c r="BT77" s="100">
        <v>6</v>
      </c>
      <c r="BU77" s="100">
        <v>1670.3999999999999</v>
      </c>
      <c r="BV77" s="100">
        <v>1.9482836412583537</v>
      </c>
      <c r="BW77" s="100">
        <v>542.40216572632562</v>
      </c>
      <c r="BX77" s="100">
        <v>9.3370596598148161</v>
      </c>
      <c r="BY77" s="100">
        <v>2599.4374092924445</v>
      </c>
      <c r="BZ77" s="100">
        <v>3.4469617917255135</v>
      </c>
      <c r="CA77" s="100">
        <v>959.63416281638285</v>
      </c>
      <c r="CB77" s="100">
        <v>6.113440149019711</v>
      </c>
      <c r="CC77" s="100">
        <v>1701.9817374870875</v>
      </c>
      <c r="CD77" s="100">
        <v>10</v>
      </c>
      <c r="CE77" s="100">
        <v>2784</v>
      </c>
      <c r="CF77" s="100">
        <v>6.7682262916098033</v>
      </c>
      <c r="CG77" s="100">
        <v>1884.2741995841691</v>
      </c>
      <c r="CH77" s="100">
        <v>6.8575576531416669</v>
      </c>
      <c r="CI77" s="100">
        <v>1909.1440506346398</v>
      </c>
      <c r="CJ77" s="100">
        <v>7.4207106492353656</v>
      </c>
      <c r="CK77" s="100">
        <v>2065.9258447471257</v>
      </c>
      <c r="CL77" s="100">
        <v>5.5843334336723922</v>
      </c>
      <c r="CM77" s="100">
        <v>1554.6784279343938</v>
      </c>
      <c r="CN77" s="100">
        <v>1.8635641666866007</v>
      </c>
      <c r="CO77" s="100">
        <v>518.81626400554956</v>
      </c>
      <c r="CP77" s="100">
        <v>5.4683505033100781</v>
      </c>
      <c r="CQ77" s="100">
        <v>1522.3887801215255</v>
      </c>
      <c r="CR77" s="100">
        <v>5.9808101066725872</v>
      </c>
      <c r="CS77" s="100">
        <v>1665.0575336976481</v>
      </c>
      <c r="CT77" s="100">
        <v>6.4430863726850172</v>
      </c>
      <c r="CU77" s="100">
        <v>1793.7552461555085</v>
      </c>
    </row>
    <row r="78" spans="2:99">
      <c r="C78" s="99" t="s">
        <v>244</v>
      </c>
      <c r="D78" s="100">
        <v>6.1642905835401978</v>
      </c>
      <c r="E78" s="100">
        <v>3402.6884021141891</v>
      </c>
      <c r="F78" s="100">
        <v>5.7019776736259766</v>
      </c>
      <c r="G78" s="100">
        <v>3147.4916758415393</v>
      </c>
      <c r="H78" s="100">
        <v>5.2587724615736251</v>
      </c>
      <c r="I78" s="100">
        <v>2902.8423987886413</v>
      </c>
      <c r="J78" s="100">
        <v>4.0368227349088324</v>
      </c>
      <c r="K78" s="100">
        <v>2228.3261496696755</v>
      </c>
      <c r="L78" s="100">
        <v>6.6668572948211073</v>
      </c>
      <c r="M78" s="100">
        <v>3680.105226741251</v>
      </c>
      <c r="N78" s="100">
        <v>5</v>
      </c>
      <c r="O78" s="100">
        <v>2760</v>
      </c>
      <c r="P78" s="100">
        <v>5</v>
      </c>
      <c r="Q78" s="100">
        <v>2760</v>
      </c>
      <c r="R78" s="100">
        <v>8.6693266460087308</v>
      </c>
      <c r="S78" s="100">
        <v>4785.468308596819</v>
      </c>
      <c r="T78" s="100">
        <v>4.9995985931925659</v>
      </c>
      <c r="U78" s="100">
        <v>2759.7784234422966</v>
      </c>
      <c r="V78" s="100">
        <v>4</v>
      </c>
      <c r="W78" s="100">
        <v>2208</v>
      </c>
      <c r="X78" s="100">
        <v>6</v>
      </c>
      <c r="Y78" s="100">
        <v>3312</v>
      </c>
      <c r="Z78" s="100">
        <v>4.8960803577937959</v>
      </c>
      <c r="AA78" s="100">
        <v>2702.6363575021755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2.4217153860552787</v>
      </c>
      <c r="AG78" s="100">
        <v>1336.7868931025139</v>
      </c>
      <c r="AH78" s="100">
        <v>2.1413058698436509</v>
      </c>
      <c r="AI78" s="100">
        <v>1182.0008401536952</v>
      </c>
      <c r="AJ78" s="100">
        <v>2.0711053505784425</v>
      </c>
      <c r="AK78" s="100">
        <v>1143.2501535193003</v>
      </c>
      <c r="AL78" s="100">
        <v>1.8809202005782268</v>
      </c>
      <c r="AM78" s="100">
        <v>1038.2679507191813</v>
      </c>
      <c r="AN78" s="100">
        <v>5.9631895286871295</v>
      </c>
      <c r="AO78" s="100">
        <v>3291.6806198352956</v>
      </c>
      <c r="AP78" s="100">
        <v>1.8504671224351033</v>
      </c>
      <c r="AQ78" s="100">
        <v>1021.457851584177</v>
      </c>
      <c r="AR78" s="100">
        <v>5.5682994732403817</v>
      </c>
      <c r="AS78" s="100">
        <v>3073.7013092286907</v>
      </c>
      <c r="AT78" s="100">
        <v>6</v>
      </c>
      <c r="AU78" s="100">
        <v>3312</v>
      </c>
      <c r="AV78" s="100">
        <v>5</v>
      </c>
      <c r="AW78" s="100">
        <v>2760</v>
      </c>
      <c r="AX78" s="100">
        <v>3.4420180918576353</v>
      </c>
      <c r="AY78" s="100">
        <v>1899.9939867054147</v>
      </c>
      <c r="AZ78" s="100">
        <v>5.7860974349525023</v>
      </c>
      <c r="BA78" s="100">
        <v>3193.9257840937812</v>
      </c>
      <c r="BB78" s="100">
        <v>1.7773611439719299</v>
      </c>
      <c r="BC78" s="100">
        <v>981.10335147250532</v>
      </c>
      <c r="BD78" s="100">
        <v>6.9676350240664773</v>
      </c>
      <c r="BE78" s="100">
        <v>3846.1345332846954</v>
      </c>
      <c r="BF78" s="100">
        <v>7</v>
      </c>
      <c r="BG78" s="100">
        <v>3864</v>
      </c>
      <c r="BH78" s="100">
        <v>7.5070170515867281</v>
      </c>
      <c r="BI78" s="100">
        <v>4143.8734124758739</v>
      </c>
      <c r="BJ78" s="100">
        <v>1.4228080012078526</v>
      </c>
      <c r="BK78" s="100">
        <v>785.3900166667346</v>
      </c>
      <c r="BL78" s="100">
        <v>6.9688303942583962</v>
      </c>
      <c r="BM78" s="100">
        <v>3846.7943776306347</v>
      </c>
      <c r="BN78" s="100">
        <v>3.6346391978989518</v>
      </c>
      <c r="BO78" s="100">
        <v>2006.3208372402214</v>
      </c>
      <c r="BP78" s="100">
        <v>8.837121952403006</v>
      </c>
      <c r="BQ78" s="100">
        <v>4878.0913177264592</v>
      </c>
      <c r="BR78" s="100">
        <v>5.945431115026385</v>
      </c>
      <c r="BS78" s="100">
        <v>3281.8779754945645</v>
      </c>
      <c r="BT78" s="100">
        <v>5</v>
      </c>
      <c r="BU78" s="100">
        <v>2760</v>
      </c>
      <c r="BV78" s="100">
        <v>1.6471074674639246</v>
      </c>
      <c r="BW78" s="100">
        <v>909.20332204008639</v>
      </c>
      <c r="BX78" s="100">
        <v>7.3370596598148161</v>
      </c>
      <c r="BY78" s="100">
        <v>4050.0569322177785</v>
      </c>
      <c r="BZ78" s="100">
        <v>3.8778320156912027</v>
      </c>
      <c r="CA78" s="100">
        <v>2140.563272661544</v>
      </c>
      <c r="CB78" s="100">
        <v>5.113440149019711</v>
      </c>
      <c r="CC78" s="100">
        <v>2822.6189622588804</v>
      </c>
      <c r="CD78" s="100">
        <v>10</v>
      </c>
      <c r="CE78" s="100">
        <v>5520</v>
      </c>
      <c r="CF78" s="100">
        <v>6.7682262916098033</v>
      </c>
      <c r="CG78" s="100">
        <v>3736.0609129686113</v>
      </c>
      <c r="CH78" s="100">
        <v>6.1718018878274998</v>
      </c>
      <c r="CI78" s="100">
        <v>3406.8346420807798</v>
      </c>
      <c r="CJ78" s="100">
        <v>6.4931218180809447</v>
      </c>
      <c r="CK78" s="100">
        <v>3584.2032435806814</v>
      </c>
      <c r="CL78" s="100">
        <v>6.3820953527684487</v>
      </c>
      <c r="CM78" s="100">
        <v>3522.9166347281839</v>
      </c>
      <c r="CN78" s="100">
        <v>2.0015068894566523</v>
      </c>
      <c r="CO78" s="100">
        <v>1104.8318029800721</v>
      </c>
      <c r="CP78" s="100">
        <v>5.6135791589930761</v>
      </c>
      <c r="CQ78" s="100">
        <v>3098.6956957641778</v>
      </c>
      <c r="CR78" s="100">
        <v>5.9808101066725872</v>
      </c>
      <c r="CS78" s="100">
        <v>3301.407178883268</v>
      </c>
      <c r="CT78" s="100">
        <v>5.6536992690163475</v>
      </c>
      <c r="CU78" s="100">
        <v>3120.841996497024</v>
      </c>
    </row>
    <row r="79" spans="2:99">
      <c r="C79" s="99" t="s">
        <v>245</v>
      </c>
      <c r="D79" s="100">
        <v>6.1642905835401978</v>
      </c>
      <c r="E79" s="100">
        <v>4667.6008298566376</v>
      </c>
      <c r="F79" s="100">
        <v>6.5324069587860549</v>
      </c>
      <c r="G79" s="100">
        <v>4946.3385491928002</v>
      </c>
      <c r="H79" s="100">
        <v>5.2587724615736251</v>
      </c>
      <c r="I79" s="100">
        <v>3981.9425079035486</v>
      </c>
      <c r="J79" s="100">
        <v>3.3080273641729265</v>
      </c>
      <c r="K79" s="100">
        <v>2504.8383201517399</v>
      </c>
      <c r="L79" s="100">
        <v>5.6668572948211073</v>
      </c>
      <c r="M79" s="100">
        <v>4290.9443436385418</v>
      </c>
      <c r="N79" s="100">
        <v>5</v>
      </c>
      <c r="O79" s="100">
        <v>3785.9999999999995</v>
      </c>
      <c r="P79" s="100">
        <v>6</v>
      </c>
      <c r="Q79" s="100">
        <v>4543.2</v>
      </c>
      <c r="R79" s="100">
        <v>7.706068129785538</v>
      </c>
      <c r="S79" s="100">
        <v>5835.0347878736093</v>
      </c>
      <c r="T79" s="100">
        <v>4.2853702227364856</v>
      </c>
      <c r="U79" s="100">
        <v>3244.8823326560664</v>
      </c>
      <c r="V79" s="100">
        <v>5</v>
      </c>
      <c r="W79" s="100">
        <v>3785.9999999999995</v>
      </c>
      <c r="X79" s="100">
        <v>6</v>
      </c>
      <c r="Y79" s="100">
        <v>4543.2</v>
      </c>
      <c r="Z79" s="100">
        <v>3.9168642862350369</v>
      </c>
      <c r="AA79" s="100">
        <v>2965.8496375371697</v>
      </c>
      <c r="AB79" s="100">
        <v>5</v>
      </c>
      <c r="AC79" s="100">
        <v>3785.9999999999995</v>
      </c>
      <c r="AD79" s="100">
        <v>6</v>
      </c>
      <c r="AE79" s="100">
        <v>4543.2</v>
      </c>
      <c r="AF79" s="100">
        <v>2.1305196427326019</v>
      </c>
      <c r="AG79" s="100">
        <v>1613.229473477126</v>
      </c>
      <c r="AH79" s="100">
        <v>2.1413058698436509</v>
      </c>
      <c r="AI79" s="100">
        <v>1621.3968046456123</v>
      </c>
      <c r="AJ79" s="100">
        <v>2.0402791019129456</v>
      </c>
      <c r="AK79" s="100">
        <v>1544.8993359684823</v>
      </c>
      <c r="AL79" s="100">
        <v>1.6203698586144912</v>
      </c>
      <c r="AM79" s="100">
        <v>1226.9440569428928</v>
      </c>
      <c r="AN79" s="100">
        <v>6.0593788392901766</v>
      </c>
      <c r="AO79" s="100">
        <v>4588.1616571105214</v>
      </c>
      <c r="AP79" s="100">
        <v>1.8504671224351033</v>
      </c>
      <c r="AQ79" s="100">
        <v>1401.1737051078601</v>
      </c>
      <c r="AR79" s="100">
        <v>4.5682994732403817</v>
      </c>
      <c r="AS79" s="100">
        <v>3459.1163611376169</v>
      </c>
      <c r="AT79" s="100">
        <v>5</v>
      </c>
      <c r="AU79" s="100">
        <v>3785.9999999999995</v>
      </c>
      <c r="AV79" s="100">
        <v>6</v>
      </c>
      <c r="AW79" s="100">
        <v>4543.2</v>
      </c>
      <c r="AX79" s="100">
        <v>3.4420180918576353</v>
      </c>
      <c r="AY79" s="100">
        <v>2606.2960991546011</v>
      </c>
      <c r="AZ79" s="100">
        <v>6.6126827828028603</v>
      </c>
      <c r="BA79" s="100">
        <v>5007.1234031383256</v>
      </c>
      <c r="BB79" s="100">
        <v>1.4376721290405985</v>
      </c>
      <c r="BC79" s="100">
        <v>1088.605336109541</v>
      </c>
      <c r="BD79" s="100">
        <v>5.8063625200553979</v>
      </c>
      <c r="BE79" s="100">
        <v>4396.5777001859469</v>
      </c>
      <c r="BF79" s="100">
        <v>7</v>
      </c>
      <c r="BG79" s="100">
        <v>5300.4</v>
      </c>
      <c r="BH79" s="100">
        <v>6.6729040458548692</v>
      </c>
      <c r="BI79" s="100">
        <v>5052.7229435213067</v>
      </c>
      <c r="BJ79" s="100">
        <v>1.61624743774892</v>
      </c>
      <c r="BK79" s="100">
        <v>1223.8225598634822</v>
      </c>
      <c r="BL79" s="100">
        <v>7.9688303942583962</v>
      </c>
      <c r="BM79" s="100">
        <v>6033.9983745324571</v>
      </c>
      <c r="BN79" s="100">
        <v>4.1538733690273739</v>
      </c>
      <c r="BO79" s="100">
        <v>3145.3129150275272</v>
      </c>
      <c r="BP79" s="100">
        <v>10.837121952403006</v>
      </c>
      <c r="BQ79" s="100">
        <v>8205.8687423595547</v>
      </c>
      <c r="BR79" s="100">
        <v>5.945431115026385</v>
      </c>
      <c r="BS79" s="100">
        <v>4501.8804402979786</v>
      </c>
      <c r="BT79" s="100">
        <v>6</v>
      </c>
      <c r="BU79" s="100">
        <v>4543.2</v>
      </c>
      <c r="BV79" s="100">
        <v>1.6206274802467158</v>
      </c>
      <c r="BW79" s="100">
        <v>1227.1391280428131</v>
      </c>
      <c r="BX79" s="100">
        <v>8.3370596598148161</v>
      </c>
      <c r="BY79" s="100">
        <v>6312.8215744117779</v>
      </c>
      <c r="BZ79" s="100">
        <v>3.4469617917255135</v>
      </c>
      <c r="CA79" s="100">
        <v>2610.0394686945588</v>
      </c>
      <c r="CB79" s="100">
        <v>5.113440149019711</v>
      </c>
      <c r="CC79" s="100">
        <v>3871.8968808377249</v>
      </c>
      <c r="CD79" s="100">
        <v>9</v>
      </c>
      <c r="CE79" s="100">
        <v>6814.7999999999993</v>
      </c>
      <c r="CF79" s="100">
        <v>6.0162011480976032</v>
      </c>
      <c r="CG79" s="100">
        <v>4555.4675093395044</v>
      </c>
      <c r="CH79" s="100">
        <v>6.1718018878274998</v>
      </c>
      <c r="CI79" s="100">
        <v>4673.2883894629822</v>
      </c>
      <c r="CJ79" s="100">
        <v>6.4931218180809447</v>
      </c>
      <c r="CK79" s="100">
        <v>4916.5918406508908</v>
      </c>
      <c r="CL79" s="100">
        <v>6.3820953527684487</v>
      </c>
      <c r="CM79" s="100">
        <v>4832.5226011162686</v>
      </c>
      <c r="CN79" s="100">
        <v>2.0244973432516606</v>
      </c>
      <c r="CO79" s="100">
        <v>1532.9493883101572</v>
      </c>
      <c r="CP79" s="100">
        <v>5.6135791589930761</v>
      </c>
      <c r="CQ79" s="100">
        <v>4250.6021391895565</v>
      </c>
      <c r="CR79" s="100">
        <v>6.6887118877455247</v>
      </c>
      <c r="CS79" s="100">
        <v>5064.6926414009113</v>
      </c>
      <c r="CT79" s="100">
        <v>5.4711131472090377</v>
      </c>
      <c r="CU79" s="100">
        <v>4142.7268750666826</v>
      </c>
    </row>
    <row r="80" spans="2:99">
      <c r="C80" s="99" t="s">
        <v>246</v>
      </c>
      <c r="D80" s="100">
        <v>6.2194299361412693</v>
      </c>
      <c r="E80" s="100">
        <v>5007.88498458095</v>
      </c>
      <c r="F80" s="100">
        <v>5.6365774952018404</v>
      </c>
      <c r="G80" s="100">
        <v>4538.5721991365217</v>
      </c>
      <c r="H80" s="100">
        <v>5.2587724615736251</v>
      </c>
      <c r="I80" s="100">
        <v>4234.363586059083</v>
      </c>
      <c r="J80" s="100">
        <v>3.2375158914988713</v>
      </c>
      <c r="K80" s="100">
        <v>2606.8477958348908</v>
      </c>
      <c r="L80" s="100">
        <v>5.6668572948211073</v>
      </c>
      <c r="M80" s="100">
        <v>4562.9534937899552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7.706068129785538</v>
      </c>
      <c r="S80" s="100">
        <v>6204.926058103315</v>
      </c>
      <c r="T80" s="100">
        <v>4.2853702227364856</v>
      </c>
      <c r="U80" s="100">
        <v>3450.5801033474181</v>
      </c>
      <c r="V80" s="100">
        <v>4</v>
      </c>
      <c r="W80" s="100">
        <v>3220.7999999999997</v>
      </c>
      <c r="X80" s="100">
        <v>6</v>
      </c>
      <c r="Y80" s="100">
        <v>4831.2</v>
      </c>
      <c r="Z80" s="100">
        <v>3.9168642862350369</v>
      </c>
      <c r="AA80" s="100">
        <v>3153.8591232764516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2.1376080611536676</v>
      </c>
      <c r="AG80" s="100">
        <v>1721.2020108409331</v>
      </c>
      <c r="AH80" s="100">
        <v>1.9213609096190476</v>
      </c>
      <c r="AI80" s="100">
        <v>1547.079804425257</v>
      </c>
      <c r="AJ80" s="100">
        <v>2.0723866081340954</v>
      </c>
      <c r="AK80" s="100">
        <v>1668.6856968695733</v>
      </c>
      <c r="AL80" s="100">
        <v>1.625557841053771</v>
      </c>
      <c r="AM80" s="100">
        <v>1308.8991736164962</v>
      </c>
      <c r="AN80" s="100">
        <v>6.756682875074544</v>
      </c>
      <c r="AO80" s="100">
        <v>5440.4810510100224</v>
      </c>
      <c r="AP80" s="100">
        <v>1.5535783433159474</v>
      </c>
      <c r="AQ80" s="100">
        <v>1250.9412820380007</v>
      </c>
      <c r="AR80" s="100">
        <v>4.5682994732403817</v>
      </c>
      <c r="AS80" s="100">
        <v>3678.394735853155</v>
      </c>
      <c r="AT80" s="100">
        <v>5</v>
      </c>
      <c r="AU80" s="100">
        <v>4025.9999999999995</v>
      </c>
      <c r="AV80" s="100">
        <v>6</v>
      </c>
      <c r="AW80" s="100">
        <v>4831.2</v>
      </c>
      <c r="AX80" s="100">
        <v>2.9503012215922588</v>
      </c>
      <c r="AY80" s="100">
        <v>2375.5825436260866</v>
      </c>
      <c r="AZ80" s="100">
        <v>6.6126827828028603</v>
      </c>
      <c r="BA80" s="100">
        <v>5324.5321767128626</v>
      </c>
      <c r="BB80" s="100">
        <v>1.7694695370404023</v>
      </c>
      <c r="BC80" s="100">
        <v>1424.7768712249319</v>
      </c>
      <c r="BD80" s="100">
        <v>5.9676350240664773</v>
      </c>
      <c r="BE80" s="100">
        <v>4805.1397213783275</v>
      </c>
      <c r="BF80" s="100">
        <v>7</v>
      </c>
      <c r="BG80" s="100">
        <v>5636.4</v>
      </c>
      <c r="BH80" s="100">
        <v>7.5070170515867281</v>
      </c>
      <c r="BI80" s="100">
        <v>6044.6501299376332</v>
      </c>
      <c r="BJ80" s="100">
        <v>1.4159348066658144</v>
      </c>
      <c r="BK80" s="100">
        <v>1140.1107063273137</v>
      </c>
      <c r="BL80" s="100">
        <v>6.9688303942583962</v>
      </c>
      <c r="BM80" s="100">
        <v>5611.3022334568604</v>
      </c>
      <c r="BN80" s="100">
        <v>3.6346391978989518</v>
      </c>
      <c r="BO80" s="100">
        <v>2926.6114821482356</v>
      </c>
      <c r="BP80" s="100">
        <v>9.6976016270025056</v>
      </c>
      <c r="BQ80" s="100">
        <v>7808.5088300624166</v>
      </c>
      <c r="BR80" s="100">
        <v>5.945431115026385</v>
      </c>
      <c r="BS80" s="100">
        <v>4787.2611338192446</v>
      </c>
      <c r="BT80" s="100">
        <v>6</v>
      </c>
      <c r="BU80" s="100">
        <v>4831.2</v>
      </c>
      <c r="BV80" s="100">
        <v>1.6471074674639246</v>
      </c>
      <c r="BW80" s="100">
        <v>1326.2509328019519</v>
      </c>
      <c r="BX80" s="100">
        <v>8.3370596598148161</v>
      </c>
      <c r="BY80" s="100">
        <v>6713.0004380828896</v>
      </c>
      <c r="BZ80" s="100">
        <v>3.4469617917255135</v>
      </c>
      <c r="CA80" s="100">
        <v>2775.4936346973832</v>
      </c>
      <c r="CB80" s="100">
        <v>5.113440149019711</v>
      </c>
      <c r="CC80" s="100">
        <v>4117.3420079906709</v>
      </c>
      <c r="CD80" s="100">
        <v>9</v>
      </c>
      <c r="CE80" s="100">
        <v>7246.7999999999993</v>
      </c>
      <c r="CF80" s="100">
        <v>6.0162011480976032</v>
      </c>
      <c r="CG80" s="100">
        <v>4844.2451644481898</v>
      </c>
      <c r="CH80" s="100">
        <v>6.1718018878274998</v>
      </c>
      <c r="CI80" s="100">
        <v>4969.5348800787024</v>
      </c>
      <c r="CJ80" s="100">
        <v>6.4931218180809447</v>
      </c>
      <c r="CK80" s="100">
        <v>5228.2616879187763</v>
      </c>
      <c r="CL80" s="100">
        <v>6.3820953527684487</v>
      </c>
      <c r="CM80" s="100">
        <v>5138.8631780491542</v>
      </c>
      <c r="CN80" s="100">
        <v>2.0244973432516606</v>
      </c>
      <c r="CO80" s="100">
        <v>1630.125260786237</v>
      </c>
      <c r="CP80" s="100">
        <v>5.6135791589930761</v>
      </c>
      <c r="CQ80" s="100">
        <v>4520.0539388212246</v>
      </c>
      <c r="CR80" s="100">
        <v>6.6887118877455247</v>
      </c>
      <c r="CS80" s="100">
        <v>5385.7508120126959</v>
      </c>
      <c r="CT80" s="100">
        <v>5.5212140091044324</v>
      </c>
      <c r="CU80" s="100">
        <v>4445.6815201308882</v>
      </c>
    </row>
    <row r="81" spans="2:99">
      <c r="C81" s="99" t="s">
        <v>247</v>
      </c>
      <c r="D81" s="100">
        <v>5.2379976327187947</v>
      </c>
      <c r="E81" s="100">
        <v>3947.3550160168838</v>
      </c>
      <c r="F81" s="100">
        <v>5.6365774952018404</v>
      </c>
      <c r="G81" s="100">
        <v>4247.7248003841069</v>
      </c>
      <c r="H81" s="100">
        <v>5.2587724615736251</v>
      </c>
      <c r="I81" s="100">
        <v>3963.0109270418839</v>
      </c>
      <c r="J81" s="100">
        <v>3.2338748674907993</v>
      </c>
      <c r="K81" s="100">
        <v>2437.0481001410662</v>
      </c>
      <c r="L81" s="100">
        <v>5.6668572948211073</v>
      </c>
      <c r="M81" s="100">
        <v>4270.5436573771867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8.6693266460087308</v>
      </c>
      <c r="S81" s="100">
        <v>6533.2045604321802</v>
      </c>
      <c r="T81" s="100">
        <v>4.2853702227364856</v>
      </c>
      <c r="U81" s="100">
        <v>3229.4549998542157</v>
      </c>
      <c r="V81" s="100">
        <v>5</v>
      </c>
      <c r="W81" s="100">
        <v>3768</v>
      </c>
      <c r="X81" s="100">
        <v>7</v>
      </c>
      <c r="Y81" s="100">
        <v>5275.2</v>
      </c>
      <c r="Z81" s="100">
        <v>4.8960803577937959</v>
      </c>
      <c r="AA81" s="100">
        <v>3689.6861576334045</v>
      </c>
      <c r="AB81" s="100">
        <v>5</v>
      </c>
      <c r="AC81" s="100">
        <v>3768</v>
      </c>
      <c r="AD81" s="100">
        <v>6</v>
      </c>
      <c r="AE81" s="100">
        <v>4521.6000000000004</v>
      </c>
      <c r="AF81" s="100">
        <v>2.4217153860552787</v>
      </c>
      <c r="AG81" s="100">
        <v>1825.0047149312581</v>
      </c>
      <c r="AH81" s="100">
        <v>2.1502948269448852</v>
      </c>
      <c r="AI81" s="100">
        <v>1620.4621815856656</v>
      </c>
      <c r="AJ81" s="100">
        <v>2.0723866081340954</v>
      </c>
      <c r="AK81" s="100">
        <v>1561.7505478898543</v>
      </c>
      <c r="AL81" s="100">
        <v>1.9899332299531671</v>
      </c>
      <c r="AM81" s="100">
        <v>1499.6136820927068</v>
      </c>
      <c r="AN81" s="100">
        <v>6.0593788392901766</v>
      </c>
      <c r="AO81" s="100">
        <v>4566.3478932890775</v>
      </c>
      <c r="AP81" s="100">
        <v>1.5535783433159474</v>
      </c>
      <c r="AQ81" s="100">
        <v>1170.776639522898</v>
      </c>
      <c r="AR81" s="100">
        <v>5.5682994732403817</v>
      </c>
      <c r="AS81" s="100">
        <v>4196.2704830339517</v>
      </c>
      <c r="AT81" s="100">
        <v>5</v>
      </c>
      <c r="AU81" s="100">
        <v>3768</v>
      </c>
      <c r="AV81" s="100">
        <v>6</v>
      </c>
      <c r="AW81" s="100">
        <v>4521.6000000000004</v>
      </c>
      <c r="AX81" s="100">
        <v>2.9503012215922588</v>
      </c>
      <c r="AY81" s="100">
        <v>2223.3470005919262</v>
      </c>
      <c r="AZ81" s="100">
        <v>5.7860974349525023</v>
      </c>
      <c r="BA81" s="100">
        <v>4360.4030269802061</v>
      </c>
      <c r="BB81" s="100">
        <v>1.7694695370404023</v>
      </c>
      <c r="BC81" s="100">
        <v>1333.4722431136472</v>
      </c>
      <c r="BD81" s="100">
        <v>5.9676350240664773</v>
      </c>
      <c r="BE81" s="100">
        <v>4497.2097541364974</v>
      </c>
      <c r="BF81" s="100">
        <v>7</v>
      </c>
      <c r="BG81" s="100">
        <v>5275.2</v>
      </c>
      <c r="BH81" s="100">
        <v>6.6729040458548692</v>
      </c>
      <c r="BI81" s="100">
        <v>5028.7004889562295</v>
      </c>
      <c r="BJ81" s="100">
        <v>1.6025010486648437</v>
      </c>
      <c r="BK81" s="100">
        <v>1207.6447902738262</v>
      </c>
      <c r="BL81" s="100">
        <v>7.9688303942583962</v>
      </c>
      <c r="BM81" s="100">
        <v>6005.3105851131277</v>
      </c>
      <c r="BN81" s="100">
        <v>3.6346391978989518</v>
      </c>
      <c r="BO81" s="100">
        <v>2739.0640995366502</v>
      </c>
      <c r="BP81" s="100">
        <v>9.837121952403006</v>
      </c>
      <c r="BQ81" s="100">
        <v>7413.2551033309055</v>
      </c>
      <c r="BR81" s="100">
        <v>6.9363363008641157</v>
      </c>
      <c r="BS81" s="100">
        <v>5227.2230363311974</v>
      </c>
      <c r="BT81" s="100">
        <v>6</v>
      </c>
      <c r="BU81" s="100">
        <v>4521.6000000000004</v>
      </c>
      <c r="BV81" s="100">
        <v>1.930630316446881</v>
      </c>
      <c r="BW81" s="100">
        <v>1454.9230064743695</v>
      </c>
      <c r="BX81" s="100">
        <v>8.3370596598148161</v>
      </c>
      <c r="BY81" s="100">
        <v>6282.8081596364455</v>
      </c>
      <c r="BZ81" s="100">
        <v>3.4469617917255135</v>
      </c>
      <c r="CA81" s="100">
        <v>2597.6304062443469</v>
      </c>
      <c r="CB81" s="100">
        <v>5.113440149019711</v>
      </c>
      <c r="CC81" s="100">
        <v>3853.4884963012541</v>
      </c>
      <c r="CD81" s="100">
        <v>9</v>
      </c>
      <c r="CE81" s="100">
        <v>6782.4000000000005</v>
      </c>
      <c r="CF81" s="100">
        <v>6.0162011480976032</v>
      </c>
      <c r="CG81" s="100">
        <v>4533.8091852063535</v>
      </c>
      <c r="CH81" s="100">
        <v>6.8575576531416669</v>
      </c>
      <c r="CI81" s="100">
        <v>5167.85544740756</v>
      </c>
      <c r="CJ81" s="100">
        <v>6.4931218180809447</v>
      </c>
      <c r="CK81" s="100">
        <v>4893.2166021058001</v>
      </c>
      <c r="CL81" s="100">
        <v>6.3820953527684487</v>
      </c>
      <c r="CM81" s="100">
        <v>4809.5470578463028</v>
      </c>
      <c r="CN81" s="100">
        <v>1.8635641666866007</v>
      </c>
      <c r="CO81" s="100">
        <v>1404.3819560150223</v>
      </c>
      <c r="CP81" s="100">
        <v>4.5199090583310593</v>
      </c>
      <c r="CQ81" s="100">
        <v>3406.2034663582863</v>
      </c>
      <c r="CR81" s="100">
        <v>5.9172909350547691</v>
      </c>
      <c r="CS81" s="100">
        <v>4459.2704486572738</v>
      </c>
      <c r="CT81" s="100">
        <v>5.6587093552058869</v>
      </c>
      <c r="CU81" s="100">
        <v>4264.4033700831569</v>
      </c>
    </row>
    <row r="82" spans="2:99">
      <c r="C82" s="99" t="s">
        <v>248</v>
      </c>
      <c r="D82" s="100">
        <v>6.2194299361412693</v>
      </c>
      <c r="E82" s="100">
        <v>3164.4459515086774</v>
      </c>
      <c r="F82" s="100">
        <v>6.5324069587860549</v>
      </c>
      <c r="G82" s="100">
        <v>3323.6886606303442</v>
      </c>
      <c r="H82" s="100">
        <v>5.1587693623547892</v>
      </c>
      <c r="I82" s="100">
        <v>2624.7818515661161</v>
      </c>
      <c r="J82" s="100">
        <v>3.2375158914988713</v>
      </c>
      <c r="K82" s="100">
        <v>1647.2480855946253</v>
      </c>
      <c r="L82" s="100">
        <v>5.6668572948211073</v>
      </c>
      <c r="M82" s="100">
        <v>2883.2969916049788</v>
      </c>
      <c r="N82" s="100">
        <v>5</v>
      </c>
      <c r="O82" s="100">
        <v>2543.9999999999995</v>
      </c>
      <c r="P82" s="100">
        <v>6</v>
      </c>
      <c r="Q82" s="100">
        <v>3052.7999999999993</v>
      </c>
      <c r="R82" s="100">
        <v>8.6693266460087308</v>
      </c>
      <c r="S82" s="100">
        <v>4410.9533974892411</v>
      </c>
      <c r="T82" s="100">
        <v>4.2853702227364856</v>
      </c>
      <c r="U82" s="100">
        <v>2180.3963693283235</v>
      </c>
      <c r="V82" s="100">
        <v>4</v>
      </c>
      <c r="W82" s="100">
        <v>2035.1999999999996</v>
      </c>
      <c r="X82" s="100">
        <v>6</v>
      </c>
      <c r="Y82" s="100">
        <v>3052.7999999999993</v>
      </c>
      <c r="Z82" s="100">
        <v>3.9168642862350369</v>
      </c>
      <c r="AA82" s="100">
        <v>1992.9005488363864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2.1234312243115356</v>
      </c>
      <c r="AG82" s="100">
        <v>1080.4018069297092</v>
      </c>
      <c r="AH82" s="100">
        <v>2.1502948269448852</v>
      </c>
      <c r="AI82" s="100">
        <v>1094.0700079495573</v>
      </c>
      <c r="AJ82" s="100">
        <v>2.0723866081340954</v>
      </c>
      <c r="AK82" s="100">
        <v>1054.4303062186275</v>
      </c>
      <c r="AL82" s="100">
        <v>1.625557841053771</v>
      </c>
      <c r="AM82" s="100">
        <v>827.0838295281585</v>
      </c>
      <c r="AN82" s="100">
        <v>5.9631895286871295</v>
      </c>
      <c r="AO82" s="100">
        <v>3034.070832196011</v>
      </c>
      <c r="AP82" s="100">
        <v>1.8447059184584225</v>
      </c>
      <c r="AQ82" s="100">
        <v>938.58637131164517</v>
      </c>
      <c r="AR82" s="100">
        <v>5.5682994732403817</v>
      </c>
      <c r="AS82" s="100">
        <v>2833.1507719847054</v>
      </c>
      <c r="AT82" s="100">
        <v>6</v>
      </c>
      <c r="AU82" s="100">
        <v>3052.7999999999993</v>
      </c>
      <c r="AV82" s="100">
        <v>6</v>
      </c>
      <c r="AW82" s="100">
        <v>3052.7999999999993</v>
      </c>
      <c r="AX82" s="100">
        <v>3.4420180918576353</v>
      </c>
      <c r="AY82" s="100">
        <v>1751.2988051371644</v>
      </c>
      <c r="AZ82" s="100">
        <v>6.6126827828028603</v>
      </c>
      <c r="BA82" s="100">
        <v>3364.5329998900947</v>
      </c>
      <c r="BB82" s="100">
        <v>1.7773611439719299</v>
      </c>
      <c r="BC82" s="100">
        <v>904.32135005291775</v>
      </c>
      <c r="BD82" s="100">
        <v>5.8063625200553979</v>
      </c>
      <c r="BE82" s="100">
        <v>2954.2772502041857</v>
      </c>
      <c r="BF82" s="100">
        <v>8</v>
      </c>
      <c r="BG82" s="100">
        <v>4070.3999999999992</v>
      </c>
      <c r="BH82" s="100">
        <v>7.5070170515867281</v>
      </c>
      <c r="BI82" s="100">
        <v>3819.5702758473267</v>
      </c>
      <c r="BJ82" s="100">
        <v>1.4228080012078526</v>
      </c>
      <c r="BK82" s="100">
        <v>723.92471101455521</v>
      </c>
      <c r="BL82" s="100">
        <v>7.9688303942583962</v>
      </c>
      <c r="BM82" s="100">
        <v>4054.5409045986712</v>
      </c>
      <c r="BN82" s="100">
        <v>4.1538733690273739</v>
      </c>
      <c r="BO82" s="100">
        <v>2113.4907701611273</v>
      </c>
      <c r="BP82" s="100">
        <v>10.697601627002506</v>
      </c>
      <c r="BQ82" s="100">
        <v>5442.939707818874</v>
      </c>
      <c r="BR82" s="100">
        <v>5.945431115026385</v>
      </c>
      <c r="BS82" s="100">
        <v>3025.035351325424</v>
      </c>
      <c r="BT82" s="100">
        <v>5</v>
      </c>
      <c r="BU82" s="100">
        <v>2543.9999999999995</v>
      </c>
      <c r="BV82" s="100">
        <v>1.9394569788526173</v>
      </c>
      <c r="BW82" s="100">
        <v>986.79571084021143</v>
      </c>
      <c r="BX82" s="100">
        <v>9.3370596598148161</v>
      </c>
      <c r="BY82" s="100">
        <v>4750.6959549137773</v>
      </c>
      <c r="BZ82" s="100">
        <v>3.4469617917255135</v>
      </c>
      <c r="CA82" s="100">
        <v>1753.8141596299408</v>
      </c>
      <c r="CB82" s="100">
        <v>5.113440149019711</v>
      </c>
      <c r="CC82" s="100">
        <v>2601.7183478212282</v>
      </c>
      <c r="CD82" s="100">
        <v>8</v>
      </c>
      <c r="CE82" s="100">
        <v>4070.3999999999992</v>
      </c>
      <c r="CF82" s="100">
        <v>6.0162011480976032</v>
      </c>
      <c r="CG82" s="100">
        <v>3061.04314415206</v>
      </c>
      <c r="CH82" s="100">
        <v>6.1718018878274998</v>
      </c>
      <c r="CI82" s="100">
        <v>3140.2128005266313</v>
      </c>
      <c r="CJ82" s="100">
        <v>6.4931218180809447</v>
      </c>
      <c r="CK82" s="100">
        <v>3303.700381039584</v>
      </c>
      <c r="CL82" s="100">
        <v>6.3820953527684487</v>
      </c>
      <c r="CM82" s="100">
        <v>3247.2101154885859</v>
      </c>
      <c r="CN82" s="100">
        <v>2.0130021163541567</v>
      </c>
      <c r="CO82" s="100">
        <v>1024.2154768009948</v>
      </c>
      <c r="CP82" s="100">
        <v>5.4683505033100781</v>
      </c>
      <c r="CQ82" s="100">
        <v>2782.2967360841672</v>
      </c>
      <c r="CR82" s="100">
        <v>5.9172909350547691</v>
      </c>
      <c r="CS82" s="100">
        <v>3010.717627755866</v>
      </c>
      <c r="CT82" s="100">
        <v>5.5262240952939718</v>
      </c>
      <c r="CU82" s="100">
        <v>2811.7428196855722</v>
      </c>
    </row>
    <row r="83" spans="2:99">
      <c r="C83" s="99" t="s">
        <v>249</v>
      </c>
      <c r="D83" s="100">
        <v>5.2379976327187947</v>
      </c>
      <c r="E83" s="100">
        <v>4506.7731631912511</v>
      </c>
      <c r="F83" s="100">
        <v>5.6365774952018404</v>
      </c>
      <c r="G83" s="100">
        <v>4849.7112768716634</v>
      </c>
      <c r="H83" s="100">
        <v>4.593236194964966</v>
      </c>
      <c r="I83" s="100">
        <v>3952.0204221478566</v>
      </c>
      <c r="J83" s="100">
        <v>3.6371693132038523</v>
      </c>
      <c r="K83" s="100">
        <v>3129.4204770805945</v>
      </c>
      <c r="L83" s="100">
        <v>5.5001429711158307</v>
      </c>
      <c r="M83" s="100">
        <v>4732.3230123480607</v>
      </c>
      <c r="N83" s="100">
        <v>5</v>
      </c>
      <c r="O83" s="100">
        <v>4302</v>
      </c>
      <c r="P83" s="100">
        <v>6</v>
      </c>
      <c r="Q83" s="100">
        <v>5162.3999999999996</v>
      </c>
      <c r="R83" s="100">
        <v>8.6693266460087308</v>
      </c>
      <c r="S83" s="100">
        <v>7459.0886462259114</v>
      </c>
      <c r="T83" s="100">
        <v>4.2853702227364856</v>
      </c>
      <c r="U83" s="100">
        <v>3687.1325396424722</v>
      </c>
      <c r="V83" s="100">
        <v>5</v>
      </c>
      <c r="W83" s="100">
        <v>4302</v>
      </c>
      <c r="X83" s="100">
        <v>6</v>
      </c>
      <c r="Y83" s="100">
        <v>5162.3999999999996</v>
      </c>
      <c r="Z83" s="100">
        <v>3.9168642862350369</v>
      </c>
      <c r="AA83" s="100">
        <v>3370.0700318766258</v>
      </c>
      <c r="AB83" s="100">
        <v>5</v>
      </c>
      <c r="AC83" s="100">
        <v>4302</v>
      </c>
      <c r="AD83" s="100">
        <v>7</v>
      </c>
      <c r="AE83" s="100">
        <v>6022.8</v>
      </c>
      <c r="AF83" s="100">
        <v>2.4146269676342129</v>
      </c>
      <c r="AG83" s="100">
        <v>2077.5450429524767</v>
      </c>
      <c r="AH83" s="100">
        <v>2.1413058698436509</v>
      </c>
      <c r="AI83" s="100">
        <v>1842.3795704134773</v>
      </c>
      <c r="AJ83" s="100">
        <v>1.85796586559993</v>
      </c>
      <c r="AK83" s="100">
        <v>1598.5938307621798</v>
      </c>
      <c r="AL83" s="100">
        <v>1.6203698586144912</v>
      </c>
      <c r="AM83" s="100">
        <v>1394.1662263519081</v>
      </c>
      <c r="AN83" s="100">
        <v>5.2658854929027612</v>
      </c>
      <c r="AO83" s="100">
        <v>4530.7678780935357</v>
      </c>
      <c r="AP83" s="100">
        <v>1.8504671224351033</v>
      </c>
      <c r="AQ83" s="100">
        <v>1592.1419121431627</v>
      </c>
      <c r="AR83" s="100">
        <v>5.5682994732403817</v>
      </c>
      <c r="AS83" s="100">
        <v>4790.9648667760239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2.9503012215922588</v>
      </c>
      <c r="AY83" s="100">
        <v>2538.4391710579794</v>
      </c>
      <c r="AZ83" s="100">
        <v>5.7860974349525023</v>
      </c>
      <c r="BA83" s="100">
        <v>4978.3582330331328</v>
      </c>
      <c r="BB83" s="100">
        <v>1.7694695370404023</v>
      </c>
      <c r="BC83" s="100">
        <v>1522.4515896695621</v>
      </c>
      <c r="BD83" s="100">
        <v>5.9676350240664773</v>
      </c>
      <c r="BE83" s="100">
        <v>5134.5531747067971</v>
      </c>
      <c r="BF83" s="100">
        <v>8</v>
      </c>
      <c r="BG83" s="100">
        <v>6883.2</v>
      </c>
      <c r="BH83" s="100">
        <v>6.6729040458548692</v>
      </c>
      <c r="BI83" s="100">
        <v>5741.3666410535288</v>
      </c>
      <c r="BJ83" s="100">
        <v>1.4228080012078526</v>
      </c>
      <c r="BK83" s="100">
        <v>1224.1840042392364</v>
      </c>
      <c r="BL83" s="100">
        <v>6.9688303942583962</v>
      </c>
      <c r="BM83" s="100">
        <v>5995.9816712199236</v>
      </c>
      <c r="BN83" s="100">
        <v>4.1538733690273739</v>
      </c>
      <c r="BO83" s="100">
        <v>3573.9926467111522</v>
      </c>
      <c r="BP83" s="100">
        <v>9.837121952403006</v>
      </c>
      <c r="BQ83" s="100">
        <v>8463.8597278475463</v>
      </c>
      <c r="BR83" s="100">
        <v>6.9363363008641157</v>
      </c>
      <c r="BS83" s="100">
        <v>5968.0237532634847</v>
      </c>
      <c r="BT83" s="100">
        <v>5</v>
      </c>
      <c r="BU83" s="100">
        <v>4302</v>
      </c>
      <c r="BV83" s="100">
        <v>1.9394569788526173</v>
      </c>
      <c r="BW83" s="100">
        <v>1668.7087846047918</v>
      </c>
      <c r="BX83" s="100">
        <v>7.3370596598148161</v>
      </c>
      <c r="BY83" s="100">
        <v>6312.8061313046674</v>
      </c>
      <c r="BZ83" s="100">
        <v>3.0160915677598243</v>
      </c>
      <c r="CA83" s="100">
        <v>2595.0451849005526</v>
      </c>
      <c r="CB83" s="100">
        <v>5.113440149019711</v>
      </c>
      <c r="CC83" s="100">
        <v>4399.6039042165594</v>
      </c>
      <c r="CD83" s="100">
        <v>8</v>
      </c>
      <c r="CE83" s="100">
        <v>6883.2</v>
      </c>
      <c r="CF83" s="100">
        <v>6.7682262916098033</v>
      </c>
      <c r="CG83" s="100">
        <v>5823.3819013010743</v>
      </c>
      <c r="CH83" s="100">
        <v>6.1718018878274998</v>
      </c>
      <c r="CI83" s="100">
        <v>5310.2183442867808</v>
      </c>
      <c r="CJ83" s="100">
        <v>6.4931218180809447</v>
      </c>
      <c r="CK83" s="100">
        <v>5586.6820122768449</v>
      </c>
      <c r="CL83" s="100">
        <v>5.5843334336723922</v>
      </c>
      <c r="CM83" s="100">
        <v>4804.7604863317265</v>
      </c>
      <c r="CN83" s="100">
        <v>2.0015068894566523</v>
      </c>
      <c r="CO83" s="100">
        <v>1722.0965276885036</v>
      </c>
      <c r="CP83" s="100">
        <v>5.6135791589930761</v>
      </c>
      <c r="CQ83" s="100">
        <v>4829.9235083976428</v>
      </c>
      <c r="CR83" s="100">
        <v>5.9172909350547691</v>
      </c>
      <c r="CS83" s="100">
        <v>5091.237120521123</v>
      </c>
      <c r="CT83" s="100">
        <v>5.5262240952939718</v>
      </c>
      <c r="CU83" s="100">
        <v>4754.7632115909337</v>
      </c>
    </row>
    <row r="84" spans="2:99">
      <c r="C84" s="99" t="s">
        <v>250</v>
      </c>
      <c r="D84" s="100">
        <v>6.2194299361412693</v>
      </c>
      <c r="E84" s="100">
        <v>4858.6186661135589</v>
      </c>
      <c r="F84" s="100">
        <v>6.5324069587860549</v>
      </c>
      <c r="G84" s="100">
        <v>5103.1163162036655</v>
      </c>
      <c r="H84" s="100">
        <v>5.1587693623547892</v>
      </c>
      <c r="I84" s="100">
        <v>4030.0306258715609</v>
      </c>
      <c r="J84" s="100">
        <v>3.7149628338940515</v>
      </c>
      <c r="K84" s="100">
        <v>2902.1289658380329</v>
      </c>
      <c r="L84" s="100">
        <v>6.6668572948211073</v>
      </c>
      <c r="M84" s="100">
        <v>5208.1489187142488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7.706068129785538</v>
      </c>
      <c r="S84" s="100">
        <v>6019.9804229884621</v>
      </c>
      <c r="T84" s="100">
        <v>4.2853702227364856</v>
      </c>
      <c r="U84" s="100">
        <v>3347.731218001742</v>
      </c>
      <c r="V84" s="100">
        <v>4</v>
      </c>
      <c r="W84" s="100">
        <v>3124.7999999999997</v>
      </c>
      <c r="X84" s="100">
        <v>7</v>
      </c>
      <c r="Y84" s="100">
        <v>5468.4</v>
      </c>
      <c r="Z84" s="100">
        <v>3.9168642862350369</v>
      </c>
      <c r="AA84" s="100">
        <v>3059.8543804068104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2.4146269676342129</v>
      </c>
      <c r="AG84" s="100">
        <v>1886.3065871158469</v>
      </c>
      <c r="AH84" s="100">
        <v>2.1413058698436509</v>
      </c>
      <c r="AI84" s="100">
        <v>1672.7881455218599</v>
      </c>
      <c r="AJ84" s="100">
        <v>1.8605283807112352</v>
      </c>
      <c r="AK84" s="100">
        <v>1453.4447710116167</v>
      </c>
      <c r="AL84" s="100">
        <v>1.625557841053771</v>
      </c>
      <c r="AM84" s="100">
        <v>1269.8857854312057</v>
      </c>
      <c r="AN84" s="100">
        <v>5.9631895286871295</v>
      </c>
      <c r="AO84" s="100">
        <v>4658.4436598103848</v>
      </c>
      <c r="AP84" s="100">
        <v>1.5535783433159474</v>
      </c>
      <c r="AQ84" s="100">
        <v>1213.6554017984179</v>
      </c>
      <c r="AR84" s="100">
        <v>4.7103743415504775</v>
      </c>
      <c r="AS84" s="100">
        <v>3679.7444356192327</v>
      </c>
      <c r="AT84" s="100">
        <v>5</v>
      </c>
      <c r="AU84" s="100">
        <v>3905.9999999999995</v>
      </c>
      <c r="AV84" s="100">
        <v>6</v>
      </c>
      <c r="AW84" s="100">
        <v>4687.2</v>
      </c>
      <c r="AX84" s="100">
        <v>2.9503012215922588</v>
      </c>
      <c r="AY84" s="100">
        <v>2304.7753143078726</v>
      </c>
      <c r="AZ84" s="100">
        <v>6.6126827828028603</v>
      </c>
      <c r="BA84" s="100">
        <v>5165.8277899255936</v>
      </c>
      <c r="BB84" s="100">
        <v>1.7773611439719299</v>
      </c>
      <c r="BC84" s="100">
        <v>1388.4745256708716</v>
      </c>
      <c r="BD84" s="100">
        <v>6.8063625200553979</v>
      </c>
      <c r="BE84" s="100">
        <v>5317.1304006672763</v>
      </c>
      <c r="BF84" s="100">
        <v>7</v>
      </c>
      <c r="BG84" s="100">
        <v>5468.4</v>
      </c>
      <c r="BH84" s="100">
        <v>6.6729040458548692</v>
      </c>
      <c r="BI84" s="100">
        <v>5212.8726406218229</v>
      </c>
      <c r="BJ84" s="100">
        <v>1.61624743774892</v>
      </c>
      <c r="BK84" s="100">
        <v>1262.6124983694563</v>
      </c>
      <c r="BL84" s="100">
        <v>6.9688303942583962</v>
      </c>
      <c r="BM84" s="100">
        <v>5444.0503039946589</v>
      </c>
      <c r="BN84" s="100">
        <v>3.6346391978989518</v>
      </c>
      <c r="BO84" s="100">
        <v>2839.3801413986607</v>
      </c>
      <c r="BP84" s="100">
        <v>9.6976016270025056</v>
      </c>
      <c r="BQ84" s="100">
        <v>7575.7663910143565</v>
      </c>
      <c r="BR84" s="100">
        <v>5.945431115026385</v>
      </c>
      <c r="BS84" s="100">
        <v>4644.5707870586111</v>
      </c>
      <c r="BT84" s="100">
        <v>6</v>
      </c>
      <c r="BU84" s="100">
        <v>4687.2</v>
      </c>
      <c r="BV84" s="100">
        <v>1.6206274802467158</v>
      </c>
      <c r="BW84" s="100">
        <v>1266.0341875687343</v>
      </c>
      <c r="BX84" s="100">
        <v>8.3370596598148161</v>
      </c>
      <c r="BY84" s="100">
        <v>6512.9110062473337</v>
      </c>
      <c r="BZ84" s="100">
        <v>3.4469617917255135</v>
      </c>
      <c r="CA84" s="100">
        <v>2692.766551695971</v>
      </c>
      <c r="CB84" s="100">
        <v>5.113440149019711</v>
      </c>
      <c r="CC84" s="100">
        <v>3994.6194444141979</v>
      </c>
      <c r="CD84" s="100">
        <v>9</v>
      </c>
      <c r="CE84" s="100">
        <v>7030.7999999999993</v>
      </c>
      <c r="CF84" s="100">
        <v>6.7682262916098033</v>
      </c>
      <c r="CG84" s="100">
        <v>5287.3383790055777</v>
      </c>
      <c r="CH84" s="100">
        <v>6.8575576531416669</v>
      </c>
      <c r="CI84" s="100">
        <v>5357.1240386342697</v>
      </c>
      <c r="CJ84" s="100">
        <v>5.5655329869265238</v>
      </c>
      <c r="CK84" s="100">
        <v>4347.7943693870002</v>
      </c>
      <c r="CL84" s="100">
        <v>5.5843334336723922</v>
      </c>
      <c r="CM84" s="100">
        <v>4362.481278384872</v>
      </c>
      <c r="CN84" s="100">
        <v>2.2459476371899818</v>
      </c>
      <c r="CO84" s="100">
        <v>1754.5342941728136</v>
      </c>
      <c r="CP84" s="100">
        <v>5.4683505033100781</v>
      </c>
      <c r="CQ84" s="100">
        <v>4271.8754131858323</v>
      </c>
      <c r="CR84" s="100">
        <v>6.6251927161277058</v>
      </c>
      <c r="CS84" s="100">
        <v>5175.6005498389632</v>
      </c>
      <c r="CT84" s="100">
        <v>5.5262240952939718</v>
      </c>
      <c r="CU84" s="100">
        <v>4317.0862632436501</v>
      </c>
    </row>
    <row r="85" spans="2:99">
      <c r="C85" s="99" t="s">
        <v>251</v>
      </c>
      <c r="D85" s="100">
        <v>6.2194299361412693</v>
      </c>
      <c r="E85" s="100">
        <v>932.91449042119041</v>
      </c>
      <c r="F85" s="100">
        <v>5.6365774952018404</v>
      </c>
      <c r="G85" s="100">
        <v>845.48662428027603</v>
      </c>
      <c r="H85" s="100">
        <v>5.924308728182285</v>
      </c>
      <c r="I85" s="100">
        <v>888.64630922734273</v>
      </c>
      <c r="J85" s="100">
        <v>4.1182572796071044</v>
      </c>
      <c r="K85" s="100">
        <v>617.73859194106569</v>
      </c>
      <c r="L85" s="100">
        <v>6.6668572948211073</v>
      </c>
      <c r="M85" s="100">
        <v>1000.0285942231661</v>
      </c>
      <c r="N85" s="100">
        <v>5</v>
      </c>
      <c r="O85" s="100">
        <v>750</v>
      </c>
      <c r="P85" s="100">
        <v>6</v>
      </c>
      <c r="Q85" s="100">
        <v>900</v>
      </c>
      <c r="R85" s="100">
        <v>8.6693266460087308</v>
      </c>
      <c r="S85" s="100">
        <v>1300.3989969013096</v>
      </c>
      <c r="T85" s="100">
        <v>4.9995985931925659</v>
      </c>
      <c r="U85" s="100">
        <v>749.93978897888485</v>
      </c>
      <c r="V85" s="100">
        <v>5</v>
      </c>
      <c r="W85" s="100">
        <v>750</v>
      </c>
      <c r="X85" s="100">
        <v>7</v>
      </c>
      <c r="Y85" s="100">
        <v>1050</v>
      </c>
      <c r="Z85" s="100">
        <v>4.8960803577937959</v>
      </c>
      <c r="AA85" s="100">
        <v>734.41205366906934</v>
      </c>
      <c r="AB85" s="100">
        <v>6</v>
      </c>
      <c r="AC85" s="100">
        <v>900</v>
      </c>
      <c r="AD85" s="100">
        <v>7</v>
      </c>
      <c r="AE85" s="100">
        <v>1050</v>
      </c>
      <c r="AF85" s="100">
        <v>2.1234312243115356</v>
      </c>
      <c r="AG85" s="100">
        <v>318.51468364673036</v>
      </c>
      <c r="AH85" s="100">
        <v>2.1502948269448852</v>
      </c>
      <c r="AI85" s="100">
        <v>322.54422404173278</v>
      </c>
      <c r="AJ85" s="100">
        <v>2.0711053505784425</v>
      </c>
      <c r="AK85" s="100">
        <v>310.66580258676635</v>
      </c>
      <c r="AL85" s="100">
        <v>1.625557841053771</v>
      </c>
      <c r="AM85" s="100">
        <v>243.83367615806566</v>
      </c>
      <c r="AN85" s="100">
        <v>5.9631895286871295</v>
      </c>
      <c r="AO85" s="100">
        <v>894.47842930306945</v>
      </c>
      <c r="AP85" s="100">
        <v>1.8504671224351033</v>
      </c>
      <c r="AQ85" s="100">
        <v>277.57006836526551</v>
      </c>
      <c r="AR85" s="100">
        <v>5.5682994732403817</v>
      </c>
      <c r="AS85" s="100">
        <v>835.2449209860572</v>
      </c>
      <c r="AT85" s="100">
        <v>5</v>
      </c>
      <c r="AU85" s="100">
        <v>750</v>
      </c>
      <c r="AV85" s="100">
        <v>7</v>
      </c>
      <c r="AW85" s="100">
        <v>1050</v>
      </c>
      <c r="AX85" s="100">
        <v>3.4420180918576353</v>
      </c>
      <c r="AY85" s="100">
        <v>516.30271377864528</v>
      </c>
      <c r="AZ85" s="100">
        <v>6.6126827828028603</v>
      </c>
      <c r="BA85" s="100">
        <v>991.90241742042906</v>
      </c>
      <c r="BB85" s="100">
        <v>1.7773611439719299</v>
      </c>
      <c r="BC85" s="100">
        <v>266.60417159578947</v>
      </c>
      <c r="BD85" s="100">
        <v>6.9676350240664773</v>
      </c>
      <c r="BE85" s="100">
        <v>1045.1452536099716</v>
      </c>
      <c r="BF85" s="100">
        <v>8</v>
      </c>
      <c r="BG85" s="100">
        <v>1200</v>
      </c>
      <c r="BH85" s="100">
        <v>8.3411300573185869</v>
      </c>
      <c r="BI85" s="100">
        <v>1251.1695085977881</v>
      </c>
      <c r="BJ85" s="100">
        <v>1.61624743774892</v>
      </c>
      <c r="BK85" s="100">
        <v>242.43711566233799</v>
      </c>
      <c r="BL85" s="100">
        <v>7.9688303942583962</v>
      </c>
      <c r="BM85" s="100">
        <v>1195.3245591387595</v>
      </c>
      <c r="BN85" s="100">
        <v>4.1538733690273739</v>
      </c>
      <c r="BO85" s="100">
        <v>623.08100535410608</v>
      </c>
      <c r="BP85" s="100">
        <v>10.837121952403006</v>
      </c>
      <c r="BQ85" s="100">
        <v>1625.5682928604508</v>
      </c>
      <c r="BR85" s="100">
        <v>6.9363363008641157</v>
      </c>
      <c r="BS85" s="100">
        <v>1040.4504451296173</v>
      </c>
      <c r="BT85" s="100">
        <v>6</v>
      </c>
      <c r="BU85" s="100">
        <v>900</v>
      </c>
      <c r="BV85" s="100">
        <v>1.9394569788526173</v>
      </c>
      <c r="BW85" s="100">
        <v>290.91854682789261</v>
      </c>
      <c r="BX85" s="100">
        <v>8.3370596598148161</v>
      </c>
      <c r="BY85" s="100">
        <v>1250.5589489722224</v>
      </c>
      <c r="BZ85" s="100">
        <v>3.8778320156912027</v>
      </c>
      <c r="CA85" s="100">
        <v>581.67480235368043</v>
      </c>
      <c r="CB85" s="100">
        <v>5.113440149019711</v>
      </c>
      <c r="CC85" s="100">
        <v>767.01602235295661</v>
      </c>
      <c r="CD85" s="100">
        <v>9</v>
      </c>
      <c r="CE85" s="100">
        <v>1350</v>
      </c>
      <c r="CF85" s="100">
        <v>6.7682262916098033</v>
      </c>
      <c r="CG85" s="100">
        <v>1015.2339437414705</v>
      </c>
      <c r="CH85" s="100">
        <v>6.1718018878274998</v>
      </c>
      <c r="CI85" s="100">
        <v>925.77028317412498</v>
      </c>
      <c r="CJ85" s="100">
        <v>6.4931218180809447</v>
      </c>
      <c r="CK85" s="100">
        <v>973.9682727121417</v>
      </c>
      <c r="CL85" s="100">
        <v>6.3820953527684487</v>
      </c>
      <c r="CM85" s="100">
        <v>957.31430291526726</v>
      </c>
      <c r="CN85" s="100">
        <v>2.2459476371899818</v>
      </c>
      <c r="CO85" s="100">
        <v>336.89214557849726</v>
      </c>
      <c r="CP85" s="100">
        <v>6.5620206039720941</v>
      </c>
      <c r="CQ85" s="100">
        <v>984.30309059581407</v>
      </c>
      <c r="CR85" s="100">
        <v>6.6251927161277058</v>
      </c>
      <c r="CS85" s="100">
        <v>993.77890741915587</v>
      </c>
      <c r="CT85" s="100">
        <v>6.4330662003059391</v>
      </c>
      <c r="CU85" s="100">
        <v>964.95993004589081</v>
      </c>
    </row>
    <row r="86" spans="2:99">
      <c r="C86" s="99" t="s">
        <v>252</v>
      </c>
      <c r="D86" s="100">
        <v>5.2379976327187947</v>
      </c>
      <c r="E86" s="100">
        <v>2828.5187216681493</v>
      </c>
      <c r="F86" s="100">
        <v>6.5324069587860549</v>
      </c>
      <c r="G86" s="100">
        <v>3527.4997577444697</v>
      </c>
      <c r="H86" s="100">
        <v>5.2587724615736251</v>
      </c>
      <c r="I86" s="100">
        <v>2839.7371292497573</v>
      </c>
      <c r="J86" s="100">
        <v>3.6335282891957794</v>
      </c>
      <c r="K86" s="100">
        <v>1962.1052761657209</v>
      </c>
      <c r="L86" s="100">
        <v>6.6668572948211073</v>
      </c>
      <c r="M86" s="100">
        <v>3600.1029392033979</v>
      </c>
      <c r="N86" s="100">
        <v>6</v>
      </c>
      <c r="O86" s="100">
        <v>3240</v>
      </c>
      <c r="P86" s="100">
        <v>6</v>
      </c>
      <c r="Q86" s="100">
        <v>3240</v>
      </c>
      <c r="R86" s="100">
        <v>7.706068129785538</v>
      </c>
      <c r="S86" s="100">
        <v>4161.2767900841909</v>
      </c>
      <c r="T86" s="100">
        <v>4.2853702227364856</v>
      </c>
      <c r="U86" s="100">
        <v>2314.099920277702</v>
      </c>
      <c r="V86" s="100">
        <v>5</v>
      </c>
      <c r="W86" s="100">
        <v>2700</v>
      </c>
      <c r="X86" s="100">
        <v>6</v>
      </c>
      <c r="Y86" s="100">
        <v>3240</v>
      </c>
      <c r="Z86" s="100">
        <v>4.8960803577937959</v>
      </c>
      <c r="AA86" s="100">
        <v>2643.88339320865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2.1234312243115356</v>
      </c>
      <c r="AG86" s="100">
        <v>1146.6528611282292</v>
      </c>
      <c r="AH86" s="100">
        <v>2.1413058698436509</v>
      </c>
      <c r="AI86" s="100">
        <v>1156.3051697155715</v>
      </c>
      <c r="AJ86" s="100">
        <v>2.0711053505784425</v>
      </c>
      <c r="AK86" s="100">
        <v>1118.396889312359</v>
      </c>
      <c r="AL86" s="100">
        <v>1.6203698586144912</v>
      </c>
      <c r="AM86" s="100">
        <v>874.99972365182532</v>
      </c>
      <c r="AN86" s="100">
        <v>5.9631895286871295</v>
      </c>
      <c r="AO86" s="100">
        <v>3220.1223454910501</v>
      </c>
      <c r="AP86" s="100">
        <v>1.8504671224351033</v>
      </c>
      <c r="AQ86" s="100">
        <v>999.25224611495571</v>
      </c>
      <c r="AR86" s="100">
        <v>5.5682994732403817</v>
      </c>
      <c r="AS86" s="100">
        <v>3006.8817155498059</v>
      </c>
      <c r="AT86" s="100">
        <v>5</v>
      </c>
      <c r="AU86" s="100">
        <v>2700</v>
      </c>
      <c r="AV86" s="100">
        <v>6</v>
      </c>
      <c r="AW86" s="100">
        <v>3240</v>
      </c>
      <c r="AX86" s="100">
        <v>2.9503012215922588</v>
      </c>
      <c r="AY86" s="100">
        <v>1593.1626596598198</v>
      </c>
      <c r="AZ86" s="100">
        <v>5.7860974349525023</v>
      </c>
      <c r="BA86" s="100">
        <v>3124.4926148743511</v>
      </c>
      <c r="BB86" s="100">
        <v>1.7773611439719299</v>
      </c>
      <c r="BC86" s="100">
        <v>959.7750177448421</v>
      </c>
      <c r="BD86" s="100">
        <v>5.9676350240664773</v>
      </c>
      <c r="BE86" s="100">
        <v>3222.5229129958975</v>
      </c>
      <c r="BF86" s="100">
        <v>7</v>
      </c>
      <c r="BG86" s="100">
        <v>3780</v>
      </c>
      <c r="BH86" s="100">
        <v>7.5070170515867281</v>
      </c>
      <c r="BI86" s="100">
        <v>4053.7892078568329</v>
      </c>
      <c r="BJ86" s="100">
        <v>1.6093742432068818</v>
      </c>
      <c r="BK86" s="100">
        <v>869.06209133171615</v>
      </c>
      <c r="BL86" s="100">
        <v>6.9688303942583962</v>
      </c>
      <c r="BM86" s="100">
        <v>3763.1684128995339</v>
      </c>
      <c r="BN86" s="100">
        <v>4.1538733690273739</v>
      </c>
      <c r="BO86" s="100">
        <v>2243.0916192747818</v>
      </c>
      <c r="BP86" s="100">
        <v>10.697601627002506</v>
      </c>
      <c r="BQ86" s="100">
        <v>5776.7048785813531</v>
      </c>
      <c r="BR86" s="100">
        <v>5.945431115026385</v>
      </c>
      <c r="BS86" s="100">
        <v>3210.5328021142477</v>
      </c>
      <c r="BT86" s="100">
        <v>5</v>
      </c>
      <c r="BU86" s="100">
        <v>2700</v>
      </c>
      <c r="BV86" s="100">
        <v>1.930630316446881</v>
      </c>
      <c r="BW86" s="100">
        <v>1042.5403708813158</v>
      </c>
      <c r="BX86" s="100">
        <v>9.3370596598148161</v>
      </c>
      <c r="BY86" s="100">
        <v>5042.0122163000005</v>
      </c>
      <c r="BZ86" s="100">
        <v>3.4469617917255135</v>
      </c>
      <c r="CA86" s="100">
        <v>1861.3593675317773</v>
      </c>
      <c r="CB86" s="100">
        <v>5.113440149019711</v>
      </c>
      <c r="CC86" s="100">
        <v>2761.2576804706441</v>
      </c>
      <c r="CD86" s="100">
        <v>9</v>
      </c>
      <c r="CE86" s="100">
        <v>4860</v>
      </c>
      <c r="CF86" s="100">
        <v>6.7682262916098033</v>
      </c>
      <c r="CG86" s="100">
        <v>3654.8421974692938</v>
      </c>
      <c r="CH86" s="100">
        <v>6.1718018878274998</v>
      </c>
      <c r="CI86" s="100">
        <v>3332.7730194268497</v>
      </c>
      <c r="CJ86" s="100">
        <v>6.4931218180809447</v>
      </c>
      <c r="CK86" s="100">
        <v>3506.28578176371</v>
      </c>
      <c r="CL86" s="100">
        <v>5.5843334336723922</v>
      </c>
      <c r="CM86" s="100">
        <v>3015.5400541830918</v>
      </c>
      <c r="CN86" s="100">
        <v>2.2574428640874857</v>
      </c>
      <c r="CO86" s="100">
        <v>1219.0191466072422</v>
      </c>
      <c r="CP86" s="100">
        <v>5.4683505033100781</v>
      </c>
      <c r="CQ86" s="100">
        <v>2952.9092717874423</v>
      </c>
      <c r="CR86" s="100">
        <v>5.9172909350547691</v>
      </c>
      <c r="CS86" s="100">
        <v>3195.3371049295752</v>
      </c>
      <c r="CT86" s="100">
        <v>6.3055910265835635</v>
      </c>
      <c r="CU86" s="100">
        <v>3405.0191543551241</v>
      </c>
    </row>
    <row r="87" spans="2:99">
      <c r="B87" s="99" t="s">
        <v>131</v>
      </c>
      <c r="C87" s="99" t="s">
        <v>253</v>
      </c>
      <c r="D87" s="100">
        <v>5.6919308659190939</v>
      </c>
      <c r="E87" s="100">
        <v>6113.1337499971069</v>
      </c>
      <c r="F87" s="100">
        <v>5.7687415188616162</v>
      </c>
      <c r="G87" s="100">
        <v>6195.6283912573763</v>
      </c>
      <c r="H87" s="100">
        <v>3.6720359481385194</v>
      </c>
      <c r="I87" s="100">
        <v>3943.7666083007698</v>
      </c>
      <c r="J87" s="100">
        <v>5.0496793081295719</v>
      </c>
      <c r="K87" s="100">
        <v>5423.3555769311606</v>
      </c>
      <c r="L87" s="100">
        <v>5.9478523996952548</v>
      </c>
      <c r="M87" s="100">
        <v>6387.9934772727038</v>
      </c>
      <c r="N87" s="100">
        <v>1.964469669810071</v>
      </c>
      <c r="O87" s="100">
        <v>2109.8404253760164</v>
      </c>
      <c r="P87" s="100">
        <v>6.4252733506817439</v>
      </c>
      <c r="Q87" s="100">
        <v>6900.743578632193</v>
      </c>
      <c r="R87" s="100">
        <v>4.6101285060142452</v>
      </c>
      <c r="S87" s="100">
        <v>4951.2780154592992</v>
      </c>
      <c r="T87" s="100">
        <v>8.0257217021044234</v>
      </c>
      <c r="U87" s="100">
        <v>8619.6251080601505</v>
      </c>
      <c r="V87" s="100">
        <v>5</v>
      </c>
      <c r="W87" s="100">
        <v>5370</v>
      </c>
      <c r="X87" s="100">
        <v>4.6241863023495311</v>
      </c>
      <c r="Y87" s="100">
        <v>4966.3760887233966</v>
      </c>
      <c r="Z87" s="100">
        <v>1.9861038808948668</v>
      </c>
      <c r="AA87" s="100">
        <v>2133.0755680810871</v>
      </c>
      <c r="AB87" s="100">
        <v>6.4588130180380556</v>
      </c>
      <c r="AC87" s="100">
        <v>6936.7651813728717</v>
      </c>
      <c r="AD87" s="100">
        <v>8.6493701847191939</v>
      </c>
      <c r="AE87" s="100">
        <v>9289.4235783884142</v>
      </c>
      <c r="AF87" s="100">
        <v>1.7124480032448464</v>
      </c>
      <c r="AG87" s="100">
        <v>1839.1691554849649</v>
      </c>
      <c r="AH87" s="100">
        <v>1.0628244269860532</v>
      </c>
      <c r="AI87" s="100">
        <v>1141.4734345830211</v>
      </c>
      <c r="AJ87" s="100">
        <v>1.5569322069491058</v>
      </c>
      <c r="AK87" s="100">
        <v>1672.1451902633396</v>
      </c>
      <c r="AL87" s="100">
        <v>0.87919507572668276</v>
      </c>
      <c r="AM87" s="100">
        <v>944.25551133045724</v>
      </c>
      <c r="AN87" s="100">
        <v>5.684878996438818</v>
      </c>
      <c r="AO87" s="100">
        <v>6105.5600421752906</v>
      </c>
      <c r="AP87" s="100">
        <v>3.9341607253021604</v>
      </c>
      <c r="AQ87" s="100">
        <v>4225.2886189745204</v>
      </c>
      <c r="AR87" s="100">
        <v>4.5974660237651834</v>
      </c>
      <c r="AS87" s="100">
        <v>4937.6785095238074</v>
      </c>
      <c r="AT87" s="100">
        <v>6.2431744563376785</v>
      </c>
      <c r="AU87" s="100">
        <v>6705.1693661066665</v>
      </c>
      <c r="AV87" s="100">
        <v>7.5398800825843351</v>
      </c>
      <c r="AW87" s="100">
        <v>8097.8312086955757</v>
      </c>
      <c r="AX87" s="100">
        <v>1.571239854632013</v>
      </c>
      <c r="AY87" s="100">
        <v>1687.5116038747819</v>
      </c>
      <c r="AZ87" s="100">
        <v>4.7406765539878375</v>
      </c>
      <c r="BA87" s="100">
        <v>5091.4866189829372</v>
      </c>
      <c r="BB87" s="100">
        <v>4.1850202514693322</v>
      </c>
      <c r="BC87" s="100">
        <v>4494.7117500780632</v>
      </c>
      <c r="BD87" s="100">
        <v>6.310515151311634</v>
      </c>
      <c r="BE87" s="100">
        <v>6777.4932725086946</v>
      </c>
      <c r="BF87" s="100">
        <v>1.6093173958322633</v>
      </c>
      <c r="BG87" s="100">
        <v>1728.4068831238508</v>
      </c>
      <c r="BH87" s="100">
        <v>6.5156361871069777</v>
      </c>
      <c r="BI87" s="100">
        <v>6997.7932649528939</v>
      </c>
      <c r="BJ87" s="100">
        <v>1.7728769722887854</v>
      </c>
      <c r="BK87" s="100">
        <v>1904.0698682381555</v>
      </c>
      <c r="BL87" s="100">
        <v>6.0286762979774364</v>
      </c>
      <c r="BM87" s="100">
        <v>6474.7983440277667</v>
      </c>
      <c r="BN87" s="100">
        <v>6.8999400521830792</v>
      </c>
      <c r="BO87" s="100">
        <v>7410.5356160446272</v>
      </c>
      <c r="BP87" s="100">
        <v>6.3720209326643698</v>
      </c>
      <c r="BQ87" s="100">
        <v>6843.5504816815328</v>
      </c>
      <c r="BR87" s="100">
        <v>5.5726403037029577</v>
      </c>
      <c r="BS87" s="100">
        <v>5985.0156861769765</v>
      </c>
      <c r="BT87" s="100">
        <v>5.1393889991519606</v>
      </c>
      <c r="BU87" s="100">
        <v>5519.7037850892057</v>
      </c>
      <c r="BV87" s="100">
        <v>5.5172356076961702</v>
      </c>
      <c r="BW87" s="100">
        <v>5925.5110426656865</v>
      </c>
      <c r="BX87" s="100">
        <v>3.9698374784146009</v>
      </c>
      <c r="BY87" s="100">
        <v>4263.6054518172814</v>
      </c>
      <c r="BZ87" s="100">
        <v>4.6042136673823588</v>
      </c>
      <c r="CA87" s="100">
        <v>4944.9254787686532</v>
      </c>
      <c r="CB87" s="100">
        <v>5.4513599542924469</v>
      </c>
      <c r="CC87" s="100">
        <v>5854.7605909100876</v>
      </c>
      <c r="CD87" s="100">
        <v>4.4318767768817784</v>
      </c>
      <c r="CE87" s="100">
        <v>4759.8356583710301</v>
      </c>
      <c r="CF87" s="100">
        <v>4.3766096739021787</v>
      </c>
      <c r="CG87" s="100">
        <v>4700.4787897709402</v>
      </c>
      <c r="CH87" s="100">
        <v>1.7904301456429963</v>
      </c>
      <c r="CI87" s="100">
        <v>1922.9219764205779</v>
      </c>
      <c r="CJ87" s="100">
        <v>9.6989497845026111</v>
      </c>
      <c r="CK87" s="100">
        <v>10416.672068555805</v>
      </c>
      <c r="CL87" s="100">
        <v>5.6219927337055093</v>
      </c>
      <c r="CM87" s="100">
        <v>6038.0201959997166</v>
      </c>
      <c r="CN87" s="100">
        <v>1.0424651709671946</v>
      </c>
      <c r="CO87" s="100">
        <v>1119.6075936187669</v>
      </c>
      <c r="CP87" s="100">
        <v>4.5434724680904974</v>
      </c>
      <c r="CQ87" s="100">
        <v>4879.6894307291941</v>
      </c>
      <c r="CR87" s="100">
        <v>1.6304875841408959</v>
      </c>
      <c r="CS87" s="100">
        <v>1751.1436653673222</v>
      </c>
      <c r="CT87" s="100">
        <v>7.7700849097321782</v>
      </c>
      <c r="CU87" s="100">
        <v>8345.0711930523594</v>
      </c>
    </row>
    <row r="88" spans="2:99">
      <c r="C88" s="99" t="s">
        <v>254</v>
      </c>
      <c r="D88" s="100">
        <v>4.8544791772759242</v>
      </c>
      <c r="E88" s="100">
        <v>4817.5851355286268</v>
      </c>
      <c r="F88" s="100">
        <v>5.0395602148282324</v>
      </c>
      <c r="G88" s="100">
        <v>5001.259557195538</v>
      </c>
      <c r="H88" s="100">
        <v>3.6720359481385194</v>
      </c>
      <c r="I88" s="100">
        <v>3644.1284749326664</v>
      </c>
      <c r="J88" s="100">
        <v>5.6865982931154937</v>
      </c>
      <c r="K88" s="100">
        <v>5643.3801460878158</v>
      </c>
      <c r="L88" s="100">
        <v>6.8130902497259758</v>
      </c>
      <c r="M88" s="100">
        <v>6761.310763828058</v>
      </c>
      <c r="N88" s="100">
        <v>2.0382595203739289</v>
      </c>
      <c r="O88" s="100">
        <v>2022.7687480190871</v>
      </c>
      <c r="P88" s="100">
        <v>5.4604108792538586</v>
      </c>
      <c r="Q88" s="100">
        <v>5418.9117565715287</v>
      </c>
      <c r="R88" s="100">
        <v>4.6101285060142452</v>
      </c>
      <c r="S88" s="100">
        <v>4575.0915293685366</v>
      </c>
      <c r="T88" s="100">
        <v>8.0257217021044234</v>
      </c>
      <c r="U88" s="100">
        <v>7964.7262171684297</v>
      </c>
      <c r="V88" s="100">
        <v>5</v>
      </c>
      <c r="W88" s="100">
        <v>4962</v>
      </c>
      <c r="X88" s="100">
        <v>4.594331995009675</v>
      </c>
      <c r="Y88" s="100">
        <v>4559.4150718476012</v>
      </c>
      <c r="Z88" s="100">
        <v>2.4186246059621879</v>
      </c>
      <c r="AA88" s="100">
        <v>2400.2430589568753</v>
      </c>
      <c r="AB88" s="100">
        <v>6.4588130180380556</v>
      </c>
      <c r="AC88" s="100">
        <v>6409.7260391009659</v>
      </c>
      <c r="AD88" s="100">
        <v>7</v>
      </c>
      <c r="AE88" s="100">
        <v>6946.8</v>
      </c>
      <c r="AF88" s="100">
        <v>1.4996466791682561</v>
      </c>
      <c r="AG88" s="100">
        <v>1488.2493644065773</v>
      </c>
      <c r="AH88" s="100">
        <v>1.0628244269860532</v>
      </c>
      <c r="AI88" s="100">
        <v>1054.7469613409592</v>
      </c>
      <c r="AJ88" s="100">
        <v>1.5569322069491058</v>
      </c>
      <c r="AK88" s="100">
        <v>1545.0995221762926</v>
      </c>
      <c r="AL88" s="100">
        <v>0.87919507572668276</v>
      </c>
      <c r="AM88" s="100">
        <v>872.51319315115995</v>
      </c>
      <c r="AN88" s="100">
        <v>5.684878996438818</v>
      </c>
      <c r="AO88" s="100">
        <v>5641.6739160658826</v>
      </c>
      <c r="AP88" s="100">
        <v>4.0521473005371771</v>
      </c>
      <c r="AQ88" s="100">
        <v>4021.3509810530945</v>
      </c>
      <c r="AR88" s="100">
        <v>4.4784028909667626</v>
      </c>
      <c r="AS88" s="100">
        <v>4444.3670289954152</v>
      </c>
      <c r="AT88" s="100">
        <v>6.9165219960032953</v>
      </c>
      <c r="AU88" s="100">
        <v>6863.9564288336705</v>
      </c>
      <c r="AV88" s="100">
        <v>6.8545232718137648</v>
      </c>
      <c r="AW88" s="100">
        <v>6802.4288949479796</v>
      </c>
      <c r="AX88" s="100">
        <v>1.3748348728030115</v>
      </c>
      <c r="AY88" s="100">
        <v>1364.3861277697085</v>
      </c>
      <c r="AZ88" s="100">
        <v>3.9538048001250297</v>
      </c>
      <c r="BA88" s="100">
        <v>3923.7558836440794</v>
      </c>
      <c r="BB88" s="100">
        <v>4.7958620055869243</v>
      </c>
      <c r="BC88" s="100">
        <v>4759.4134543444634</v>
      </c>
      <c r="BD88" s="100">
        <v>6.310515151311634</v>
      </c>
      <c r="BE88" s="100">
        <v>6262.5552361616656</v>
      </c>
      <c r="BF88" s="100">
        <v>1.6155961050208889</v>
      </c>
      <c r="BG88" s="100">
        <v>1603.31757462273</v>
      </c>
      <c r="BH88" s="100">
        <v>6.5156361871069777</v>
      </c>
      <c r="BI88" s="100">
        <v>6466.1173520849643</v>
      </c>
      <c r="BJ88" s="100">
        <v>1.7728769722887854</v>
      </c>
      <c r="BK88" s="100">
        <v>1759.4031072993905</v>
      </c>
      <c r="BL88" s="100">
        <v>6.9016737765389555</v>
      </c>
      <c r="BM88" s="100">
        <v>6849.221055837259</v>
      </c>
      <c r="BN88" s="100">
        <v>7.8999400521830792</v>
      </c>
      <c r="BO88" s="100">
        <v>7839.9005077864877</v>
      </c>
      <c r="BP88" s="100">
        <v>6.3720209326643698</v>
      </c>
      <c r="BQ88" s="100">
        <v>6323.5935735761204</v>
      </c>
      <c r="BR88" s="100">
        <v>5.5757224713342088</v>
      </c>
      <c r="BS88" s="100">
        <v>5533.346980552069</v>
      </c>
      <c r="BT88" s="100">
        <v>4.3759927893691408</v>
      </c>
      <c r="BU88" s="100">
        <v>4342.735244169935</v>
      </c>
      <c r="BV88" s="100">
        <v>5.4863413697045029</v>
      </c>
      <c r="BW88" s="100">
        <v>5444.6451752947487</v>
      </c>
      <c r="BX88" s="100">
        <v>3.9698374784146009</v>
      </c>
      <c r="BY88" s="100">
        <v>3939.6667135786497</v>
      </c>
      <c r="BZ88" s="100">
        <v>4.6042136673823588</v>
      </c>
      <c r="CA88" s="100">
        <v>4569.2216435102528</v>
      </c>
      <c r="CB88" s="100">
        <v>5.3540078583921691</v>
      </c>
      <c r="CC88" s="100">
        <v>5313.3173986683887</v>
      </c>
      <c r="CD88" s="100">
        <v>4.3263929143135007</v>
      </c>
      <c r="CE88" s="100">
        <v>4293.5123281647184</v>
      </c>
      <c r="CF88" s="100">
        <v>4.8889230544735183</v>
      </c>
      <c r="CG88" s="100">
        <v>4851.7672392595196</v>
      </c>
      <c r="CH88" s="100">
        <v>1.4983617855171967</v>
      </c>
      <c r="CI88" s="100">
        <v>1486.9742359472659</v>
      </c>
      <c r="CJ88" s="100">
        <v>9.6989497845026111</v>
      </c>
      <c r="CK88" s="100">
        <v>9625.2377661403916</v>
      </c>
      <c r="CL88" s="100">
        <v>6.3811465577802435</v>
      </c>
      <c r="CM88" s="100">
        <v>6332.6498439411134</v>
      </c>
      <c r="CN88" s="100">
        <v>0.87139704144349195</v>
      </c>
      <c r="CO88" s="100">
        <v>864.7744239285214</v>
      </c>
      <c r="CP88" s="100">
        <v>4.5434724680904974</v>
      </c>
      <c r="CQ88" s="100">
        <v>4508.9420773330094</v>
      </c>
      <c r="CR88" s="100">
        <v>1.6339116341145354</v>
      </c>
      <c r="CS88" s="100">
        <v>1621.4939056952649</v>
      </c>
      <c r="CT88" s="100">
        <v>7.7700849097321782</v>
      </c>
      <c r="CU88" s="100">
        <v>7711.0322644182133</v>
      </c>
    </row>
    <row r="89" spans="2:99">
      <c r="C89" s="99" t="s">
        <v>255</v>
      </c>
      <c r="D89" s="100">
        <v>4.8544791772759242</v>
      </c>
      <c r="E89" s="100">
        <v>5155.4568862670312</v>
      </c>
      <c r="F89" s="100">
        <v>5.042281578059951</v>
      </c>
      <c r="G89" s="100">
        <v>5354.9030358996679</v>
      </c>
      <c r="H89" s="100">
        <v>3.2491006435953973</v>
      </c>
      <c r="I89" s="100">
        <v>3450.5448834983117</v>
      </c>
      <c r="J89" s="100">
        <v>5.8029106395508512</v>
      </c>
      <c r="K89" s="100">
        <v>6162.6910992030043</v>
      </c>
      <c r="L89" s="100">
        <v>6.8130902497259758</v>
      </c>
      <c r="M89" s="100">
        <v>7235.5018452089862</v>
      </c>
      <c r="N89" s="100">
        <v>2.0382595203739289</v>
      </c>
      <c r="O89" s="100">
        <v>2164.6316106371123</v>
      </c>
      <c r="P89" s="100">
        <v>6.4252733506817439</v>
      </c>
      <c r="Q89" s="100">
        <v>6823.6402984240121</v>
      </c>
      <c r="R89" s="100">
        <v>4.5151964524216774</v>
      </c>
      <c r="S89" s="100">
        <v>4795.1386324718214</v>
      </c>
      <c r="T89" s="100">
        <v>8.0257217021044234</v>
      </c>
      <c r="U89" s="100">
        <v>8523.3164476348975</v>
      </c>
      <c r="V89" s="100">
        <v>5.1172600554111591</v>
      </c>
      <c r="W89" s="100">
        <v>5434.5301788466513</v>
      </c>
      <c r="X89" s="100">
        <v>4.6241863023495311</v>
      </c>
      <c r="Y89" s="100">
        <v>4910.885853095202</v>
      </c>
      <c r="Z89" s="100">
        <v>2.4186246059621879</v>
      </c>
      <c r="AA89" s="100">
        <v>2568.5793315318433</v>
      </c>
      <c r="AB89" s="100">
        <v>6.3345792623085622</v>
      </c>
      <c r="AC89" s="100">
        <v>6727.3231765716928</v>
      </c>
      <c r="AD89" s="100">
        <v>8.6493701847191939</v>
      </c>
      <c r="AE89" s="100">
        <v>9185.6311361717835</v>
      </c>
      <c r="AF89" s="100">
        <v>1.7124480032448464</v>
      </c>
      <c r="AG89" s="100">
        <v>1818.6197794460268</v>
      </c>
      <c r="AH89" s="100">
        <v>1.0628244269860532</v>
      </c>
      <c r="AI89" s="100">
        <v>1128.7195414591886</v>
      </c>
      <c r="AJ89" s="100">
        <v>1.5569322069491058</v>
      </c>
      <c r="AK89" s="100">
        <v>1653.4620037799505</v>
      </c>
      <c r="AL89" s="100">
        <v>0.87919507572668276</v>
      </c>
      <c r="AM89" s="100">
        <v>933.70517042173708</v>
      </c>
      <c r="AN89" s="100">
        <v>5.684878996438818</v>
      </c>
      <c r="AO89" s="100">
        <v>6037.3414942180243</v>
      </c>
      <c r="AP89" s="100">
        <v>4.0521473005371771</v>
      </c>
      <c r="AQ89" s="100">
        <v>4303.3804331704823</v>
      </c>
      <c r="AR89" s="100">
        <v>5.3876597971143925</v>
      </c>
      <c r="AS89" s="100">
        <v>5721.6947045354846</v>
      </c>
      <c r="AT89" s="100">
        <v>7.054792213206408</v>
      </c>
      <c r="AU89" s="100">
        <v>7492.1893304252053</v>
      </c>
      <c r="AV89" s="100">
        <v>6.749010288302288</v>
      </c>
      <c r="AW89" s="100">
        <v>7167.4489261770295</v>
      </c>
      <c r="AX89" s="100">
        <v>1.3748348728030115</v>
      </c>
      <c r="AY89" s="100">
        <v>1460.0746349167982</v>
      </c>
      <c r="AZ89" s="100">
        <v>4.0160256236796652</v>
      </c>
      <c r="BA89" s="100">
        <v>4265.0192123478046</v>
      </c>
      <c r="BB89" s="100">
        <v>4.1850202514693322</v>
      </c>
      <c r="BC89" s="100">
        <v>4444.4915070604311</v>
      </c>
      <c r="BD89" s="100">
        <v>6.4694729293320128</v>
      </c>
      <c r="BE89" s="100">
        <v>6870.5802509505975</v>
      </c>
      <c r="BF89" s="100">
        <v>1.6124567504265759</v>
      </c>
      <c r="BG89" s="100">
        <v>1712.4290689530235</v>
      </c>
      <c r="BH89" s="100">
        <v>6.5156361871069777</v>
      </c>
      <c r="BI89" s="100">
        <v>6919.6056307076105</v>
      </c>
      <c r="BJ89" s="100">
        <v>1.7728769722887854</v>
      </c>
      <c r="BK89" s="100">
        <v>1882.7953445706901</v>
      </c>
      <c r="BL89" s="100">
        <v>6.164122504977195</v>
      </c>
      <c r="BM89" s="100">
        <v>6546.2981002857814</v>
      </c>
      <c r="BN89" s="100">
        <v>7.0499300608802589</v>
      </c>
      <c r="BO89" s="100">
        <v>7487.0257246548354</v>
      </c>
      <c r="BP89" s="100">
        <v>6.4121483189966675</v>
      </c>
      <c r="BQ89" s="100">
        <v>6809.7015147744605</v>
      </c>
      <c r="BR89" s="100">
        <v>5.5726403037029577</v>
      </c>
      <c r="BS89" s="100">
        <v>5918.144002532541</v>
      </c>
      <c r="BT89" s="100">
        <v>5.1441090311300179</v>
      </c>
      <c r="BU89" s="100">
        <v>5463.0437910600795</v>
      </c>
      <c r="BV89" s="100">
        <v>4.8943925550007998</v>
      </c>
      <c r="BW89" s="100">
        <v>5197.8448934108492</v>
      </c>
      <c r="BX89" s="100">
        <v>3.9698374784146009</v>
      </c>
      <c r="BY89" s="100">
        <v>4215.9674020763059</v>
      </c>
      <c r="BZ89" s="100">
        <v>5.3848165134811437</v>
      </c>
      <c r="CA89" s="100">
        <v>5718.6751373169745</v>
      </c>
      <c r="CB89" s="100">
        <v>4.9178312701983735</v>
      </c>
      <c r="CC89" s="100">
        <v>5222.7368089506726</v>
      </c>
      <c r="CD89" s="100">
        <v>4.3263929143135007</v>
      </c>
      <c r="CE89" s="100">
        <v>4594.6292750009379</v>
      </c>
      <c r="CF89" s="100">
        <v>4.380706599144732</v>
      </c>
      <c r="CG89" s="100">
        <v>4652.3104082917052</v>
      </c>
      <c r="CH89" s="100">
        <v>1.4945597870283769</v>
      </c>
      <c r="CI89" s="100">
        <v>1587.2224938241363</v>
      </c>
      <c r="CJ89" s="100">
        <v>9.7987997537172706</v>
      </c>
      <c r="CK89" s="100">
        <v>10406.325338447741</v>
      </c>
      <c r="CL89" s="100">
        <v>5.5706734061751142</v>
      </c>
      <c r="CM89" s="100">
        <v>5916.0551573579714</v>
      </c>
      <c r="CN89" s="100">
        <v>0.87139704144349195</v>
      </c>
      <c r="CO89" s="100">
        <v>925.42365801298843</v>
      </c>
      <c r="CP89" s="100">
        <v>4.5434724680904974</v>
      </c>
      <c r="CQ89" s="100">
        <v>4825.1677611121086</v>
      </c>
      <c r="CR89" s="100">
        <v>1.6339116341145354</v>
      </c>
      <c r="CS89" s="100">
        <v>1735.2141554296365</v>
      </c>
      <c r="CT89" s="100">
        <v>7.7700849097321782</v>
      </c>
      <c r="CU89" s="100">
        <v>8251.8301741355735</v>
      </c>
    </row>
    <row r="90" spans="2:99">
      <c r="C90" s="99" t="s">
        <v>256</v>
      </c>
      <c r="D90" s="100">
        <v>4.8482012136748613</v>
      </c>
      <c r="E90" s="100">
        <v>5375.6855057226858</v>
      </c>
      <c r="F90" s="100">
        <v>4.4857706409964839</v>
      </c>
      <c r="G90" s="100">
        <v>4973.8224867369008</v>
      </c>
      <c r="H90" s="100">
        <v>3.6720359481385194</v>
      </c>
      <c r="I90" s="100">
        <v>4071.5534592959903</v>
      </c>
      <c r="J90" s="100">
        <v>5.6769136120641654</v>
      </c>
      <c r="K90" s="100">
        <v>6294.5618130567464</v>
      </c>
      <c r="L90" s="100">
        <v>5.9478523996952548</v>
      </c>
      <c r="M90" s="100">
        <v>6594.9787407820986</v>
      </c>
      <c r="N90" s="100">
        <v>2.0382595203739289</v>
      </c>
      <c r="O90" s="100">
        <v>2260.0221561906123</v>
      </c>
      <c r="P90" s="100">
        <v>5.4604108792538586</v>
      </c>
      <c r="Q90" s="100">
        <v>6054.5035829166782</v>
      </c>
      <c r="R90" s="100">
        <v>5.1867870920240184</v>
      </c>
      <c r="S90" s="100">
        <v>5751.1095276362312</v>
      </c>
      <c r="T90" s="100">
        <v>7.1966753191218276</v>
      </c>
      <c r="U90" s="100">
        <v>7979.6735938422817</v>
      </c>
      <c r="V90" s="100">
        <v>5</v>
      </c>
      <c r="W90" s="100">
        <v>5544</v>
      </c>
      <c r="X90" s="100">
        <v>5.3050953197833683</v>
      </c>
      <c r="Y90" s="100">
        <v>5882.2896905757989</v>
      </c>
      <c r="Z90" s="100">
        <v>2.4399596876809864</v>
      </c>
      <c r="AA90" s="100">
        <v>2705.4273017006776</v>
      </c>
      <c r="AB90" s="100">
        <v>6.3345792623085622</v>
      </c>
      <c r="AC90" s="100">
        <v>7023.7814860477338</v>
      </c>
      <c r="AD90" s="100">
        <v>7.5411418205993277</v>
      </c>
      <c r="AE90" s="100">
        <v>8361.618050680534</v>
      </c>
      <c r="AF90" s="100">
        <v>1.4996466791682561</v>
      </c>
      <c r="AG90" s="100">
        <v>1662.8082378617623</v>
      </c>
      <c r="AH90" s="100">
        <v>1.0628244269860532</v>
      </c>
      <c r="AI90" s="100">
        <v>1178.4597246421356</v>
      </c>
      <c r="AJ90" s="100">
        <v>1.7793510936561208</v>
      </c>
      <c r="AK90" s="100">
        <v>1972.9444926459066</v>
      </c>
      <c r="AL90" s="100">
        <v>0.87919507572668276</v>
      </c>
      <c r="AM90" s="100">
        <v>974.8514999657458</v>
      </c>
      <c r="AN90" s="100">
        <v>5.684878996438818</v>
      </c>
      <c r="AO90" s="100">
        <v>6303.393831251361</v>
      </c>
      <c r="AP90" s="100">
        <v>3.9341607253021604</v>
      </c>
      <c r="AQ90" s="100">
        <v>4362.197412215035</v>
      </c>
      <c r="AR90" s="100">
        <v>4.4784028909667626</v>
      </c>
      <c r="AS90" s="100">
        <v>4965.6531255039463</v>
      </c>
      <c r="AT90" s="100">
        <v>6.9165219960032953</v>
      </c>
      <c r="AU90" s="100">
        <v>7669.0395891684539</v>
      </c>
      <c r="AV90" s="100">
        <v>7.5398800825843351</v>
      </c>
      <c r="AW90" s="100">
        <v>8360.2190355695111</v>
      </c>
      <c r="AX90" s="100">
        <v>1.571239854632013</v>
      </c>
      <c r="AY90" s="100">
        <v>1742.1907508159759</v>
      </c>
      <c r="AZ90" s="100">
        <v>4.0160256236796652</v>
      </c>
      <c r="BA90" s="100">
        <v>4452.9692115360122</v>
      </c>
      <c r="BB90" s="100">
        <v>4.1850202514693322</v>
      </c>
      <c r="BC90" s="100">
        <v>4640.3504548291958</v>
      </c>
      <c r="BD90" s="100">
        <v>6.310515151311634</v>
      </c>
      <c r="BE90" s="100">
        <v>6997.0991997743395</v>
      </c>
      <c r="BF90" s="100">
        <v>1.6124567504265759</v>
      </c>
      <c r="BG90" s="100">
        <v>1787.8920448729873</v>
      </c>
      <c r="BH90" s="100">
        <v>5.5156361871069777</v>
      </c>
      <c r="BI90" s="100">
        <v>6115.7374042642168</v>
      </c>
      <c r="BJ90" s="100">
        <v>1.7728769722887854</v>
      </c>
      <c r="BK90" s="100">
        <v>1965.7659868738051</v>
      </c>
      <c r="BL90" s="100">
        <v>5.9861802233484429</v>
      </c>
      <c r="BM90" s="100">
        <v>6637.476631648753</v>
      </c>
      <c r="BN90" s="100">
        <v>8.0499300608802589</v>
      </c>
      <c r="BO90" s="100">
        <v>8925.7624515040316</v>
      </c>
      <c r="BP90" s="100">
        <v>6.3720209326643698</v>
      </c>
      <c r="BQ90" s="100">
        <v>7065.296810138253</v>
      </c>
      <c r="BR90" s="100">
        <v>5.5726403037029577</v>
      </c>
      <c r="BS90" s="100">
        <v>6178.943568745839</v>
      </c>
      <c r="BT90" s="100">
        <v>4.3807128213471982</v>
      </c>
      <c r="BU90" s="100">
        <v>4857.3343763097728</v>
      </c>
      <c r="BV90" s="100">
        <v>5.5206683008063546</v>
      </c>
      <c r="BW90" s="100">
        <v>6121.3170119340857</v>
      </c>
      <c r="BX90" s="100">
        <v>3.9662717893504551</v>
      </c>
      <c r="BY90" s="100">
        <v>4397.8021600317843</v>
      </c>
      <c r="BZ90" s="100">
        <v>4.6042136673823588</v>
      </c>
      <c r="CA90" s="100">
        <v>5105.1521143935588</v>
      </c>
      <c r="CB90" s="100">
        <v>4.824019493615447</v>
      </c>
      <c r="CC90" s="100">
        <v>5348.8728145208079</v>
      </c>
      <c r="CD90" s="100">
        <v>4.3263929143135007</v>
      </c>
      <c r="CE90" s="100">
        <v>4797.1044633908095</v>
      </c>
      <c r="CF90" s="100">
        <v>4.2680488913626675</v>
      </c>
      <c r="CG90" s="100">
        <v>4732.4126107429256</v>
      </c>
      <c r="CH90" s="100">
        <v>1.4945597870283769</v>
      </c>
      <c r="CI90" s="100">
        <v>1657.1678918570642</v>
      </c>
      <c r="CJ90" s="100">
        <v>8.7987997537172706</v>
      </c>
      <c r="CK90" s="100">
        <v>9756.1091669217094</v>
      </c>
      <c r="CL90" s="100">
        <v>6.3811465577802435</v>
      </c>
      <c r="CM90" s="100">
        <v>7075.4153032667336</v>
      </c>
      <c r="CN90" s="100">
        <v>0.87139704144349195</v>
      </c>
      <c r="CO90" s="100">
        <v>966.20503955254378</v>
      </c>
      <c r="CP90" s="100">
        <v>4.5434724680904974</v>
      </c>
      <c r="CQ90" s="100">
        <v>5037.8022726187437</v>
      </c>
      <c r="CR90" s="100">
        <v>1.9039475398178649</v>
      </c>
      <c r="CS90" s="100">
        <v>2111.0970321500486</v>
      </c>
      <c r="CT90" s="100">
        <v>8.7700849097321782</v>
      </c>
      <c r="CU90" s="100">
        <v>9724.2701479110383</v>
      </c>
    </row>
    <row r="91" spans="2:99">
      <c r="C91" s="99" t="s">
        <v>257</v>
      </c>
      <c r="D91" s="100">
        <v>4.7112163572648935</v>
      </c>
      <c r="E91" s="100">
        <v>5353.8262683958246</v>
      </c>
      <c r="F91" s="100">
        <v>5.0395602148282324</v>
      </c>
      <c r="G91" s="100">
        <v>5726.9562281308026</v>
      </c>
      <c r="H91" s="100">
        <v>3.2269042196112787</v>
      </c>
      <c r="I91" s="100">
        <v>3667.0539551662569</v>
      </c>
      <c r="J91" s="100">
        <v>5.0448369676039073</v>
      </c>
      <c r="K91" s="100">
        <v>5732.9527299850797</v>
      </c>
      <c r="L91" s="100">
        <v>6.9643753096281618</v>
      </c>
      <c r="M91" s="100">
        <v>7914.3161018614419</v>
      </c>
      <c r="N91" s="100">
        <v>2.0382595203739289</v>
      </c>
      <c r="O91" s="100">
        <v>2316.2781189529323</v>
      </c>
      <c r="P91" s="100">
        <v>5.4604108792538586</v>
      </c>
      <c r="Q91" s="100">
        <v>6205.2109231840841</v>
      </c>
      <c r="R91" s="100">
        <v>5.0918550384314498</v>
      </c>
      <c r="S91" s="100">
        <v>5786.3840656734992</v>
      </c>
      <c r="T91" s="100">
        <v>8.1966753191218285</v>
      </c>
      <c r="U91" s="100">
        <v>9314.7018326500456</v>
      </c>
      <c r="V91" s="100">
        <v>5.0977167128426322</v>
      </c>
      <c r="W91" s="100">
        <v>5793.0452724743664</v>
      </c>
      <c r="X91" s="100">
        <v>5.3050953197833683</v>
      </c>
      <c r="Y91" s="100">
        <v>6028.7103214018189</v>
      </c>
      <c r="Z91" s="100">
        <v>2.4186246059621879</v>
      </c>
      <c r="AA91" s="100">
        <v>2748.52500221543</v>
      </c>
      <c r="AB91" s="100">
        <v>6.4588130180380556</v>
      </c>
      <c r="AC91" s="100">
        <v>7339.7951136984457</v>
      </c>
      <c r="AD91" s="100">
        <v>7.5411418205993277</v>
      </c>
      <c r="AE91" s="100">
        <v>8569.7535649290749</v>
      </c>
      <c r="AF91" s="100">
        <v>1.7024105926127213</v>
      </c>
      <c r="AG91" s="100">
        <v>1934.6193974450962</v>
      </c>
      <c r="AH91" s="100">
        <v>1.0628244269860532</v>
      </c>
      <c r="AI91" s="100">
        <v>1207.7936788269508</v>
      </c>
      <c r="AJ91" s="100">
        <v>1.3345133202420907</v>
      </c>
      <c r="AK91" s="100">
        <v>1516.5409371231117</v>
      </c>
      <c r="AL91" s="100">
        <v>0.87919507572668276</v>
      </c>
      <c r="AM91" s="100">
        <v>999.1172840558022</v>
      </c>
      <c r="AN91" s="100">
        <v>5.684878996438818</v>
      </c>
      <c r="AO91" s="100">
        <v>6460.296491553072</v>
      </c>
      <c r="AP91" s="100">
        <v>3.9341607253021604</v>
      </c>
      <c r="AQ91" s="100">
        <v>4470.7802482333746</v>
      </c>
      <c r="AR91" s="100">
        <v>5.3876597971143925</v>
      </c>
      <c r="AS91" s="100">
        <v>6122.5365934407946</v>
      </c>
      <c r="AT91" s="100">
        <v>6.2475591010597453</v>
      </c>
      <c r="AU91" s="100">
        <v>7099.7261624442935</v>
      </c>
      <c r="AV91" s="100">
        <v>6.8545232718137648</v>
      </c>
      <c r="AW91" s="100">
        <v>7789.4802460891615</v>
      </c>
      <c r="AX91" s="100">
        <v>1.3748348728030115</v>
      </c>
      <c r="AY91" s="100">
        <v>1562.3623494533422</v>
      </c>
      <c r="AZ91" s="100">
        <v>3.9513740462736555</v>
      </c>
      <c r="BA91" s="100">
        <v>4490.3414661853813</v>
      </c>
      <c r="BB91" s="100">
        <v>4.1850202514693322</v>
      </c>
      <c r="BC91" s="100">
        <v>4755.8570137697488</v>
      </c>
      <c r="BD91" s="100">
        <v>5.7675418148951803</v>
      </c>
      <c r="BE91" s="100">
        <v>6554.2345184468822</v>
      </c>
      <c r="BF91" s="100">
        <v>1.6124567504265759</v>
      </c>
      <c r="BG91" s="100">
        <v>1832.3958511847607</v>
      </c>
      <c r="BH91" s="100">
        <v>5.5156361871069777</v>
      </c>
      <c r="BI91" s="100">
        <v>6267.9689630283683</v>
      </c>
      <c r="BJ91" s="100">
        <v>1.7728769722887854</v>
      </c>
      <c r="BK91" s="100">
        <v>2014.6973913089755</v>
      </c>
      <c r="BL91" s="100">
        <v>6.7980996255109432</v>
      </c>
      <c r="BM91" s="100">
        <v>7725.3604144306346</v>
      </c>
      <c r="BN91" s="100">
        <v>7.8999400521830792</v>
      </c>
      <c r="BO91" s="100">
        <v>8977.4918753008496</v>
      </c>
      <c r="BP91" s="100">
        <v>6.4121483189966675</v>
      </c>
      <c r="BQ91" s="100">
        <v>7286.7653497078118</v>
      </c>
      <c r="BR91" s="100">
        <v>5.5726403037029577</v>
      </c>
      <c r="BS91" s="100">
        <v>6332.7484411280402</v>
      </c>
      <c r="BT91" s="100">
        <v>4.3807128213471982</v>
      </c>
      <c r="BU91" s="100">
        <v>4978.2420501789557</v>
      </c>
      <c r="BV91" s="100">
        <v>5.5206683008063546</v>
      </c>
      <c r="BW91" s="100">
        <v>6273.6874570363407</v>
      </c>
      <c r="BX91" s="100">
        <v>3.9698374784146009</v>
      </c>
      <c r="BY91" s="100">
        <v>4511.3233104703522</v>
      </c>
      <c r="BZ91" s="100">
        <v>5.3798607097489697</v>
      </c>
      <c r="CA91" s="100">
        <v>6113.6737105587281</v>
      </c>
      <c r="CB91" s="100">
        <v>5.4478196349750956</v>
      </c>
      <c r="CC91" s="100">
        <v>6190.9022331856977</v>
      </c>
      <c r="CD91" s="100">
        <v>3.1230285912059288</v>
      </c>
      <c r="CE91" s="100">
        <v>3549.0096910464172</v>
      </c>
      <c r="CF91" s="100">
        <v>4.9933869117704761</v>
      </c>
      <c r="CG91" s="100">
        <v>5674.4848865359681</v>
      </c>
      <c r="CH91" s="100">
        <v>1.4945597870283769</v>
      </c>
      <c r="CI91" s="100">
        <v>1698.4177419790474</v>
      </c>
      <c r="CJ91" s="100">
        <v>8.7987997537172706</v>
      </c>
      <c r="CK91" s="100">
        <v>9998.9560401243052</v>
      </c>
      <c r="CL91" s="100">
        <v>6.3811465577802435</v>
      </c>
      <c r="CM91" s="100">
        <v>7251.5349482614674</v>
      </c>
      <c r="CN91" s="100">
        <v>0.87942523835598141</v>
      </c>
      <c r="CO91" s="100">
        <v>999.37884086773715</v>
      </c>
      <c r="CP91" s="100">
        <v>4.5434724680904974</v>
      </c>
      <c r="CQ91" s="100">
        <v>5163.2021127380403</v>
      </c>
      <c r="CR91" s="100">
        <v>1.6304875841408959</v>
      </c>
      <c r="CS91" s="100">
        <v>1852.8860906177138</v>
      </c>
      <c r="CT91" s="100">
        <v>8.7700849097321782</v>
      </c>
      <c r="CU91" s="100">
        <v>9966.3244914196457</v>
      </c>
    </row>
    <row r="92" spans="2:99">
      <c r="C92" s="99" t="s">
        <v>258</v>
      </c>
      <c r="D92" s="100">
        <v>5.6919308659190939</v>
      </c>
      <c r="E92" s="100">
        <v>4467.0273435733043</v>
      </c>
      <c r="F92" s="100">
        <v>5.7714628820933349</v>
      </c>
      <c r="G92" s="100">
        <v>4529.4440698668486</v>
      </c>
      <c r="H92" s="100">
        <v>3.6720359481385194</v>
      </c>
      <c r="I92" s="100">
        <v>2881.8138120991098</v>
      </c>
      <c r="J92" s="100">
        <v>5.6865982931154937</v>
      </c>
      <c r="K92" s="100">
        <v>4462.8423404370396</v>
      </c>
      <c r="L92" s="100">
        <v>6.9643753096281618</v>
      </c>
      <c r="M92" s="100">
        <v>5465.6417429961812</v>
      </c>
      <c r="N92" s="100">
        <v>2.5293769378264463</v>
      </c>
      <c r="O92" s="100">
        <v>1985.055020806195</v>
      </c>
      <c r="P92" s="100">
        <v>6.4252733506817439</v>
      </c>
      <c r="Q92" s="100">
        <v>5042.5545256150326</v>
      </c>
      <c r="R92" s="100">
        <v>5.1867870920240184</v>
      </c>
      <c r="S92" s="100">
        <v>4070.5905098204494</v>
      </c>
      <c r="T92" s="100">
        <v>8.0257217021044234</v>
      </c>
      <c r="U92" s="100">
        <v>6298.586391811551</v>
      </c>
      <c r="V92" s="100">
        <v>6</v>
      </c>
      <c r="W92" s="100">
        <v>4708.7999999999993</v>
      </c>
      <c r="X92" s="100">
        <v>5.3017781745233847</v>
      </c>
      <c r="Y92" s="100">
        <v>4160.8355113659518</v>
      </c>
      <c r="Z92" s="100">
        <v>2.4186246059621879</v>
      </c>
      <c r="AA92" s="100">
        <v>1898.1365907591248</v>
      </c>
      <c r="AB92" s="100">
        <v>6.4612253593986244</v>
      </c>
      <c r="AC92" s="100">
        <v>5070.76966205604</v>
      </c>
      <c r="AD92" s="100">
        <v>7</v>
      </c>
      <c r="AE92" s="100">
        <v>5493.5999999999995</v>
      </c>
      <c r="AF92" s="100">
        <v>1.4996466791682561</v>
      </c>
      <c r="AG92" s="100">
        <v>1176.9227138112474</v>
      </c>
      <c r="AH92" s="100">
        <v>1.0628244269860532</v>
      </c>
      <c r="AI92" s="100">
        <v>834.10461029865451</v>
      </c>
      <c r="AJ92" s="100">
        <v>1.5569322069491058</v>
      </c>
      <c r="AK92" s="100">
        <v>1221.8803960136581</v>
      </c>
      <c r="AL92" s="100">
        <v>0.87919507572668276</v>
      </c>
      <c r="AM92" s="100">
        <v>689.9922954303006</v>
      </c>
      <c r="AN92" s="100">
        <v>5.684878996438818</v>
      </c>
      <c r="AO92" s="100">
        <v>4461.4930364051843</v>
      </c>
      <c r="AP92" s="100">
        <v>3.9341607253021604</v>
      </c>
      <c r="AQ92" s="100">
        <v>3087.5293372171354</v>
      </c>
      <c r="AR92" s="100">
        <v>5.3876597971143925</v>
      </c>
      <c r="AS92" s="100">
        <v>4228.2354087753747</v>
      </c>
      <c r="AT92" s="100">
        <v>7.050407568484343</v>
      </c>
      <c r="AU92" s="100">
        <v>5533.1598597465118</v>
      </c>
      <c r="AV92" s="100">
        <v>7.5398800825843351</v>
      </c>
      <c r="AW92" s="100">
        <v>5917.2978888121861</v>
      </c>
      <c r="AX92" s="100">
        <v>1.571239854632013</v>
      </c>
      <c r="AY92" s="100">
        <v>1233.1090379152038</v>
      </c>
      <c r="AZ92" s="100">
        <v>4.0160256236796652</v>
      </c>
      <c r="BA92" s="100">
        <v>3151.7769094638011</v>
      </c>
      <c r="BB92" s="100">
        <v>4.1850202514693322</v>
      </c>
      <c r="BC92" s="100">
        <v>3284.4038933531319</v>
      </c>
      <c r="BD92" s="100">
        <v>5.7710374964128208</v>
      </c>
      <c r="BE92" s="100">
        <v>4529.1102271847813</v>
      </c>
      <c r="BF92" s="100">
        <v>1.6124567504265759</v>
      </c>
      <c r="BG92" s="100">
        <v>1265.4560577347768</v>
      </c>
      <c r="BH92" s="100">
        <v>6.5156361871069777</v>
      </c>
      <c r="BI92" s="100">
        <v>5113.4712796415561</v>
      </c>
      <c r="BJ92" s="100">
        <v>1.7728769722887854</v>
      </c>
      <c r="BK92" s="100">
        <v>1391.3538478522387</v>
      </c>
      <c r="BL92" s="100">
        <v>6.9016737765389555</v>
      </c>
      <c r="BM92" s="100">
        <v>5416.4335798277716</v>
      </c>
      <c r="BN92" s="100">
        <v>7.8999400521830792</v>
      </c>
      <c r="BO92" s="100">
        <v>6199.8729529532802</v>
      </c>
      <c r="BP92" s="100">
        <v>6.4121483189966675</v>
      </c>
      <c r="BQ92" s="100">
        <v>5032.2540007485841</v>
      </c>
      <c r="BR92" s="100">
        <v>4.8860427905458401</v>
      </c>
      <c r="BS92" s="100">
        <v>3834.5663820203749</v>
      </c>
      <c r="BT92" s="100">
        <v>5.1393889991519606</v>
      </c>
      <c r="BU92" s="100">
        <v>4033.3924865344584</v>
      </c>
      <c r="BV92" s="100">
        <v>5.5172356076961702</v>
      </c>
      <c r="BW92" s="100">
        <v>4329.9265049199539</v>
      </c>
      <c r="BX92" s="100">
        <v>3.9734031674787471</v>
      </c>
      <c r="BY92" s="100">
        <v>3118.3268058373205</v>
      </c>
      <c r="BZ92" s="100">
        <v>4.599257863650184</v>
      </c>
      <c r="CA92" s="100">
        <v>3609.4975713926642</v>
      </c>
      <c r="CB92" s="100">
        <v>5.4478196349750956</v>
      </c>
      <c r="CC92" s="100">
        <v>4275.448849528455</v>
      </c>
      <c r="CD92" s="100">
        <v>4.3263929143135007</v>
      </c>
      <c r="CE92" s="100">
        <v>3395.3531591532351</v>
      </c>
      <c r="CF92" s="100">
        <v>4.380706599144732</v>
      </c>
      <c r="CG92" s="100">
        <v>3437.9785390087854</v>
      </c>
      <c r="CH92" s="100">
        <v>1.4983617855171967</v>
      </c>
      <c r="CI92" s="100">
        <v>1175.9143292738959</v>
      </c>
      <c r="CJ92" s="100">
        <v>7.6989497845026111</v>
      </c>
      <c r="CK92" s="100">
        <v>6042.135790877649</v>
      </c>
      <c r="CL92" s="100">
        <v>5.5706734061751142</v>
      </c>
      <c r="CM92" s="100">
        <v>4371.8644891662298</v>
      </c>
      <c r="CN92" s="100">
        <v>1.0344369740547052</v>
      </c>
      <c r="CO92" s="100">
        <v>811.82613723813267</v>
      </c>
      <c r="CP92" s="100">
        <v>4.5434724680904974</v>
      </c>
      <c r="CQ92" s="100">
        <v>3565.717192957422</v>
      </c>
      <c r="CR92" s="100">
        <v>1.6373356840881752</v>
      </c>
      <c r="CS92" s="100">
        <v>1284.9810448723999</v>
      </c>
      <c r="CT92" s="100">
        <v>8.898432394687541</v>
      </c>
      <c r="CU92" s="100">
        <v>6983.4897433507822</v>
      </c>
    </row>
    <row r="93" spans="2:99">
      <c r="C93" s="99" t="s">
        <v>259</v>
      </c>
      <c r="D93" s="100">
        <v>5.5549460095091252</v>
      </c>
      <c r="E93" s="100">
        <v>3852.9105521955294</v>
      </c>
      <c r="F93" s="100">
        <v>5.7687415188616162</v>
      </c>
      <c r="G93" s="100">
        <v>4001.199117482417</v>
      </c>
      <c r="H93" s="100">
        <v>3.2491006435953973</v>
      </c>
      <c r="I93" s="100">
        <v>2253.5762063977677</v>
      </c>
      <c r="J93" s="100">
        <v>5.8029106395508512</v>
      </c>
      <c r="K93" s="100">
        <v>4024.8988195924703</v>
      </c>
      <c r="L93" s="100">
        <v>6.8130902497259758</v>
      </c>
      <c r="M93" s="100">
        <v>4725.5593972099368</v>
      </c>
      <c r="N93" s="100">
        <v>2.0567069830148932</v>
      </c>
      <c r="O93" s="100">
        <v>1426.5319634191299</v>
      </c>
      <c r="P93" s="100">
        <v>5.4604108792538586</v>
      </c>
      <c r="Q93" s="100">
        <v>3787.3409858504765</v>
      </c>
      <c r="R93" s="100">
        <v>5.1867870920240184</v>
      </c>
      <c r="S93" s="100">
        <v>3597.5555270278592</v>
      </c>
      <c r="T93" s="100">
        <v>8.1966753191218285</v>
      </c>
      <c r="U93" s="100">
        <v>5685.2140013429007</v>
      </c>
      <c r="V93" s="100">
        <v>5.0977167128426322</v>
      </c>
      <c r="W93" s="100">
        <v>3535.77631202765</v>
      </c>
      <c r="X93" s="100">
        <v>5.2033197417020389</v>
      </c>
      <c r="Y93" s="100">
        <v>3609.0225728445344</v>
      </c>
      <c r="Z93" s="100">
        <v>2.4186246059621879</v>
      </c>
      <c r="AA93" s="100">
        <v>1677.5580266953737</v>
      </c>
      <c r="AB93" s="100">
        <v>6.4612253593986244</v>
      </c>
      <c r="AC93" s="100">
        <v>4481.5059092788861</v>
      </c>
      <c r="AD93" s="100">
        <v>8</v>
      </c>
      <c r="AE93" s="100">
        <v>5548.8</v>
      </c>
      <c r="AF93" s="100">
        <v>1.7024105926127213</v>
      </c>
      <c r="AG93" s="100">
        <v>1180.7919870361836</v>
      </c>
      <c r="AH93" s="100">
        <v>1.0628244269860532</v>
      </c>
      <c r="AI93" s="100">
        <v>737.17502255752652</v>
      </c>
      <c r="AJ93" s="100">
        <v>1.5569322069491058</v>
      </c>
      <c r="AK93" s="100">
        <v>1079.8881787398998</v>
      </c>
      <c r="AL93" s="100">
        <v>0.87919507572668276</v>
      </c>
      <c r="AM93" s="100">
        <v>609.80970452402721</v>
      </c>
      <c r="AN93" s="100">
        <v>6.3522382795130383</v>
      </c>
      <c r="AO93" s="100">
        <v>4405.9124706702432</v>
      </c>
      <c r="AP93" s="100">
        <v>4.0521473005371771</v>
      </c>
      <c r="AQ93" s="100">
        <v>2810.5693676525862</v>
      </c>
      <c r="AR93" s="100">
        <v>5.3825416478116885</v>
      </c>
      <c r="AS93" s="100">
        <v>3733.3308869221873</v>
      </c>
      <c r="AT93" s="100">
        <v>6.9121373512812303</v>
      </c>
      <c r="AU93" s="100">
        <v>4794.2584668486616</v>
      </c>
      <c r="AV93" s="100">
        <v>7.6453930660958127</v>
      </c>
      <c r="AW93" s="100">
        <v>5302.8446306440555</v>
      </c>
      <c r="AX93" s="100">
        <v>1.7676448364610147</v>
      </c>
      <c r="AY93" s="100">
        <v>1226.0384585693598</v>
      </c>
      <c r="AZ93" s="100">
        <v>4.7431073078392112</v>
      </c>
      <c r="BA93" s="100">
        <v>3289.8192287172769</v>
      </c>
      <c r="BB93" s="100">
        <v>4.7958620055869243</v>
      </c>
      <c r="BC93" s="100">
        <v>3326.4098870750909</v>
      </c>
      <c r="BD93" s="100">
        <v>6.310515151311634</v>
      </c>
      <c r="BE93" s="100">
        <v>4376.9733089497495</v>
      </c>
      <c r="BF93" s="100">
        <v>1.6124567504265759</v>
      </c>
      <c r="BG93" s="100">
        <v>1118.4000020958731</v>
      </c>
      <c r="BH93" s="100">
        <v>6.6187634245283729</v>
      </c>
      <c r="BI93" s="100">
        <v>4590.7743112528797</v>
      </c>
      <c r="BJ93" s="100">
        <v>1.7728769722887854</v>
      </c>
      <c r="BK93" s="100">
        <v>1229.6674679795017</v>
      </c>
      <c r="BL93" s="100">
        <v>6.9016737765389555</v>
      </c>
      <c r="BM93" s="100">
        <v>4787.0009314074196</v>
      </c>
      <c r="BN93" s="100">
        <v>7.0499300608802589</v>
      </c>
      <c r="BO93" s="100">
        <v>4889.8314902265474</v>
      </c>
      <c r="BP93" s="100">
        <v>5.6907701977009717</v>
      </c>
      <c r="BQ93" s="100">
        <v>3947.1182091253941</v>
      </c>
      <c r="BR93" s="100">
        <v>6.2623199844913264</v>
      </c>
      <c r="BS93" s="100">
        <v>4343.5451412431839</v>
      </c>
      <c r="BT93" s="100">
        <v>5.1441090311300179</v>
      </c>
      <c r="BU93" s="100">
        <v>3567.9540239917806</v>
      </c>
      <c r="BV93" s="100">
        <v>5.6091780496435257</v>
      </c>
      <c r="BW93" s="100">
        <v>3890.5258952327495</v>
      </c>
      <c r="BX93" s="100">
        <v>4.0766148088676593</v>
      </c>
      <c r="BY93" s="100">
        <v>2827.5400314306085</v>
      </c>
      <c r="BZ93" s="100">
        <v>5.3798607097489697</v>
      </c>
      <c r="CA93" s="100">
        <v>3731.4713882818855</v>
      </c>
      <c r="CB93" s="100">
        <v>5.3575481777095204</v>
      </c>
      <c r="CC93" s="100">
        <v>3715.9954160593234</v>
      </c>
      <c r="CD93" s="100">
        <v>4.3263929143135007</v>
      </c>
      <c r="CE93" s="100">
        <v>3000.7861253678443</v>
      </c>
      <c r="CF93" s="100">
        <v>4.9933869117704761</v>
      </c>
      <c r="CG93" s="100">
        <v>3463.4131620040025</v>
      </c>
      <c r="CH93" s="100">
        <v>1.7942321441318161</v>
      </c>
      <c r="CI93" s="100">
        <v>1244.4794151698277</v>
      </c>
      <c r="CJ93" s="100">
        <v>8.6989497845026111</v>
      </c>
      <c r="CK93" s="100">
        <v>6033.5915705310117</v>
      </c>
      <c r="CL93" s="100">
        <v>5.6219927337055093</v>
      </c>
      <c r="CM93" s="100">
        <v>3899.4141600981416</v>
      </c>
      <c r="CN93" s="100">
        <v>1.0344369740547052</v>
      </c>
      <c r="CO93" s="100">
        <v>717.4854852043436</v>
      </c>
      <c r="CP93" s="100">
        <v>4.5434724680904974</v>
      </c>
      <c r="CQ93" s="100">
        <v>3151.3525038675693</v>
      </c>
      <c r="CR93" s="100">
        <v>1.6373356840881752</v>
      </c>
      <c r="CS93" s="100">
        <v>1135.6560304835584</v>
      </c>
      <c r="CT93" s="100">
        <v>8.7700849097321782</v>
      </c>
      <c r="CU93" s="100">
        <v>6082.9308933902394</v>
      </c>
    </row>
    <row r="94" spans="2:99">
      <c r="C94" s="99" t="s">
        <v>260</v>
      </c>
      <c r="D94" s="100">
        <v>4.7112163572648935</v>
      </c>
      <c r="E94" s="100">
        <v>5619.5388709455647</v>
      </c>
      <c r="F94" s="100">
        <v>5.0395602148282324</v>
      </c>
      <c r="G94" s="100">
        <v>6011.1874242471149</v>
      </c>
      <c r="H94" s="100">
        <v>3.2269042196112787</v>
      </c>
      <c r="I94" s="100">
        <v>3849.0513531523329</v>
      </c>
      <c r="J94" s="100">
        <v>5.1659916545649285</v>
      </c>
      <c r="K94" s="100">
        <v>6161.9948455650465</v>
      </c>
      <c r="L94" s="100">
        <v>7.8296131596588827</v>
      </c>
      <c r="M94" s="100">
        <v>9339.1625768411141</v>
      </c>
      <c r="N94" s="100">
        <v>2.5293769378264463</v>
      </c>
      <c r="O94" s="100">
        <v>3017.0408114393849</v>
      </c>
      <c r="P94" s="100">
        <v>5.4604108792538586</v>
      </c>
      <c r="Q94" s="100">
        <v>6513.1780967740024</v>
      </c>
      <c r="R94" s="100">
        <v>4.6101285060142452</v>
      </c>
      <c r="S94" s="100">
        <v>5498.9612819737913</v>
      </c>
      <c r="T94" s="100">
        <v>8.0257217021044234</v>
      </c>
      <c r="U94" s="100">
        <v>9573.0808462701552</v>
      </c>
      <c r="V94" s="100">
        <v>5.0977167128426322</v>
      </c>
      <c r="W94" s="100">
        <v>6080.5564950786911</v>
      </c>
      <c r="X94" s="100">
        <v>5.3017781745233847</v>
      </c>
      <c r="Y94" s="100">
        <v>6323.9610065714933</v>
      </c>
      <c r="Z94" s="100">
        <v>2.4186246059621879</v>
      </c>
      <c r="AA94" s="100">
        <v>2884.9354299916977</v>
      </c>
      <c r="AB94" s="100">
        <v>6.3369916036691318</v>
      </c>
      <c r="AC94" s="100">
        <v>7558.7635848565405</v>
      </c>
      <c r="AD94" s="100">
        <v>8</v>
      </c>
      <c r="AE94" s="100">
        <v>9542.4</v>
      </c>
      <c r="AF94" s="100">
        <v>1.5096840898003814</v>
      </c>
      <c r="AG94" s="100">
        <v>1800.7511823138948</v>
      </c>
      <c r="AH94" s="100">
        <v>1.0628244269860532</v>
      </c>
      <c r="AI94" s="100">
        <v>1267.7369765089641</v>
      </c>
      <c r="AJ94" s="100">
        <v>1.3345133202420907</v>
      </c>
      <c r="AK94" s="100">
        <v>1591.8074883847657</v>
      </c>
      <c r="AL94" s="100">
        <v>0.87919507572668276</v>
      </c>
      <c r="AM94" s="100">
        <v>1048.7038863267871</v>
      </c>
      <c r="AN94" s="100">
        <v>5.0175197133645995</v>
      </c>
      <c r="AO94" s="100">
        <v>5984.8975141012943</v>
      </c>
      <c r="AP94" s="100">
        <v>3.9341607253021604</v>
      </c>
      <c r="AQ94" s="100">
        <v>4692.6669131404169</v>
      </c>
      <c r="AR94" s="100">
        <v>4.5923478744624795</v>
      </c>
      <c r="AS94" s="100">
        <v>5477.7525446588452</v>
      </c>
      <c r="AT94" s="100">
        <v>6.1049042391345676</v>
      </c>
      <c r="AU94" s="100">
        <v>7281.9297764397115</v>
      </c>
      <c r="AV94" s="100">
        <v>6.8545232718137648</v>
      </c>
      <c r="AW94" s="100">
        <v>8176.0753586194587</v>
      </c>
      <c r="AX94" s="100">
        <v>1.571239854632013</v>
      </c>
      <c r="AY94" s="100">
        <v>1874.174898605065</v>
      </c>
      <c r="AZ94" s="100">
        <v>4.6808864842845761</v>
      </c>
      <c r="BA94" s="100">
        <v>5583.3613984546419</v>
      </c>
      <c r="BB94" s="100">
        <v>4.1850202514693322</v>
      </c>
      <c r="BC94" s="100">
        <v>4991.8921559526189</v>
      </c>
      <c r="BD94" s="100">
        <v>6.3454719664880246</v>
      </c>
      <c r="BE94" s="100">
        <v>7568.878961626915</v>
      </c>
      <c r="BF94" s="100">
        <v>1.6124567504265759</v>
      </c>
      <c r="BG94" s="100">
        <v>1923.3384119088196</v>
      </c>
      <c r="BH94" s="100">
        <v>6.5156361871069777</v>
      </c>
      <c r="BI94" s="100">
        <v>7771.8508439812031</v>
      </c>
      <c r="BJ94" s="100">
        <v>1.4183015778310282</v>
      </c>
      <c r="BK94" s="100">
        <v>1691.7501220368504</v>
      </c>
      <c r="BL94" s="100">
        <v>6.0286762979774364</v>
      </c>
      <c r="BM94" s="100">
        <v>7191.0050882274863</v>
      </c>
      <c r="BN94" s="100">
        <v>7.0499300608802589</v>
      </c>
      <c r="BO94" s="100">
        <v>8409.156576617972</v>
      </c>
      <c r="BP94" s="100">
        <v>5.7308975840332703</v>
      </c>
      <c r="BQ94" s="100">
        <v>6835.814638234885</v>
      </c>
      <c r="BR94" s="100">
        <v>4.8860427905458401</v>
      </c>
      <c r="BS94" s="100">
        <v>5828.0718405630778</v>
      </c>
      <c r="BT94" s="100">
        <v>5.1393889991519606</v>
      </c>
      <c r="BU94" s="100">
        <v>6130.2631981884588</v>
      </c>
      <c r="BV94" s="100">
        <v>5.5172356076961702</v>
      </c>
      <c r="BW94" s="100">
        <v>6580.9586328599917</v>
      </c>
      <c r="BX94" s="100">
        <v>3.9662717893504551</v>
      </c>
      <c r="BY94" s="100">
        <v>4730.9689903372227</v>
      </c>
      <c r="BZ94" s="100">
        <v>5.3798607097489697</v>
      </c>
      <c r="CA94" s="100">
        <v>6417.097854588571</v>
      </c>
      <c r="CB94" s="100">
        <v>4.9178312701983735</v>
      </c>
      <c r="CC94" s="100">
        <v>5865.9891390926196</v>
      </c>
      <c r="CD94" s="100">
        <v>3.712684274237402</v>
      </c>
      <c r="CE94" s="100">
        <v>4428.4898023103733</v>
      </c>
      <c r="CF94" s="100">
        <v>4.8848261292309649</v>
      </c>
      <c r="CG94" s="100">
        <v>5826.6206069466944</v>
      </c>
      <c r="CH94" s="100">
        <v>1.4945597870283769</v>
      </c>
      <c r="CI94" s="100">
        <v>1782.7109139674478</v>
      </c>
      <c r="CJ94" s="100">
        <v>8.7987997537172706</v>
      </c>
      <c r="CK94" s="100">
        <v>10495.20834623396</v>
      </c>
      <c r="CL94" s="100">
        <v>5.6219927337055093</v>
      </c>
      <c r="CM94" s="100">
        <v>6705.9129327639312</v>
      </c>
      <c r="CN94" s="100">
        <v>0.87139704144349195</v>
      </c>
      <c r="CO94" s="100">
        <v>1039.4023910337971</v>
      </c>
      <c r="CP94" s="100">
        <v>4.5434724680904974</v>
      </c>
      <c r="CQ94" s="100">
        <v>5419.4539599383452</v>
      </c>
      <c r="CR94" s="100">
        <v>1.9005234898442251</v>
      </c>
      <c r="CS94" s="100">
        <v>2266.9444186861915</v>
      </c>
      <c r="CT94" s="100">
        <v>8.7700849097321782</v>
      </c>
      <c r="CU94" s="100">
        <v>10460.957280328541</v>
      </c>
    </row>
    <row r="95" spans="2:99">
      <c r="B95" s="99" t="s">
        <v>132</v>
      </c>
      <c r="C95" s="99" t="s">
        <v>261</v>
      </c>
      <c r="D95" s="100">
        <v>8.1145381612659051</v>
      </c>
      <c r="E95" s="100">
        <v>2668.0601474242299</v>
      </c>
      <c r="F95" s="100">
        <v>7.3156250589740042</v>
      </c>
      <c r="G95" s="100">
        <v>2405.3775193906527</v>
      </c>
      <c r="H95" s="100">
        <v>6.200227137299553</v>
      </c>
      <c r="I95" s="100">
        <v>2038.6346827440932</v>
      </c>
      <c r="J95" s="100">
        <v>5.393774006909978</v>
      </c>
      <c r="K95" s="100">
        <v>1773.4728934720008</v>
      </c>
      <c r="L95" s="100">
        <v>11.333037069164162</v>
      </c>
      <c r="M95" s="100">
        <v>3726.3025883411765</v>
      </c>
      <c r="N95" s="100">
        <v>5.4022915919776953</v>
      </c>
      <c r="O95" s="100">
        <v>1776.2734754422663</v>
      </c>
      <c r="P95" s="100">
        <v>7.3794211338533939</v>
      </c>
      <c r="Q95" s="100">
        <v>2426.3536688109962</v>
      </c>
      <c r="R95" s="100">
        <v>6.676645572119174</v>
      </c>
      <c r="S95" s="100">
        <v>2195.2810641127844</v>
      </c>
      <c r="T95" s="100">
        <v>8.1966753191218285</v>
      </c>
      <c r="U95" s="100">
        <v>2695.0668449272571</v>
      </c>
      <c r="V95" s="100">
        <v>6.1368033979796852</v>
      </c>
      <c r="W95" s="100">
        <v>2017.7809572557205</v>
      </c>
      <c r="X95" s="100">
        <v>7.623294798989015</v>
      </c>
      <c r="Y95" s="100">
        <v>2506.5393299075881</v>
      </c>
      <c r="Z95" s="100">
        <v>4.7732439667679802</v>
      </c>
      <c r="AA95" s="100">
        <v>1569.4426162733121</v>
      </c>
      <c r="AB95" s="100">
        <v>6.6903941399730513</v>
      </c>
      <c r="AC95" s="100">
        <v>2199.8015932231392</v>
      </c>
      <c r="AD95" s="100">
        <v>9.6493701847191939</v>
      </c>
      <c r="AE95" s="100">
        <v>3172.7129167356711</v>
      </c>
      <c r="AF95" s="100">
        <v>1.955361559217812</v>
      </c>
      <c r="AG95" s="100">
        <v>642.92288067081654</v>
      </c>
      <c r="AH95" s="100">
        <v>1.9130839685748957</v>
      </c>
      <c r="AI95" s="100">
        <v>629.02200886742571</v>
      </c>
      <c r="AJ95" s="100">
        <v>1.5569322069491058</v>
      </c>
      <c r="AK95" s="100">
        <v>511.91930964486602</v>
      </c>
      <c r="AL95" s="100">
        <v>2.2859071968893754</v>
      </c>
      <c r="AM95" s="100">
        <v>751.60628633722661</v>
      </c>
      <c r="AN95" s="100">
        <v>6.6405755560505915</v>
      </c>
      <c r="AO95" s="100">
        <v>2183.4212428294345</v>
      </c>
      <c r="AP95" s="100">
        <v>7.8052799913350732</v>
      </c>
      <c r="AQ95" s="100">
        <v>2566.376061150972</v>
      </c>
      <c r="AR95" s="100">
        <v>7.1549921163826209</v>
      </c>
      <c r="AS95" s="100">
        <v>2352.5614078666058</v>
      </c>
      <c r="AT95" s="100">
        <v>5.6506317850266461</v>
      </c>
      <c r="AU95" s="100">
        <v>1857.9277309167612</v>
      </c>
      <c r="AV95" s="100">
        <v>6.2960339401769456</v>
      </c>
      <c r="AW95" s="100">
        <v>2070.1359595301797</v>
      </c>
      <c r="AX95" s="100">
        <v>1.571239854632013</v>
      </c>
      <c r="AY95" s="100">
        <v>516.62366420300589</v>
      </c>
      <c r="AZ95" s="100">
        <v>7.9576766545478215</v>
      </c>
      <c r="BA95" s="100">
        <v>2616.4840840153238</v>
      </c>
      <c r="BB95" s="100">
        <v>8.9014938212796419</v>
      </c>
      <c r="BC95" s="100">
        <v>2926.8111684367464</v>
      </c>
      <c r="BD95" s="100">
        <v>6.579491166105444</v>
      </c>
      <c r="BE95" s="100">
        <v>2163.3366954154699</v>
      </c>
      <c r="BF95" s="100">
        <v>2.5127820841085189</v>
      </c>
      <c r="BG95" s="100">
        <v>826.20274925488104</v>
      </c>
      <c r="BH95" s="100">
        <v>12.134399611635351</v>
      </c>
      <c r="BI95" s="100">
        <v>3989.7905923057033</v>
      </c>
      <c r="BJ95" s="100">
        <v>4.0156434865671891</v>
      </c>
      <c r="BK95" s="100">
        <v>1320.3435783832917</v>
      </c>
      <c r="BL95" s="100">
        <v>5.6868396287577019</v>
      </c>
      <c r="BM95" s="100">
        <v>1869.8328699355325</v>
      </c>
      <c r="BN95" s="100">
        <v>13.89994005218308</v>
      </c>
      <c r="BO95" s="100">
        <v>4570.3002891577971</v>
      </c>
      <c r="BP95" s="100">
        <v>7.2137812129569605</v>
      </c>
      <c r="BQ95" s="100">
        <v>2371.8912628202488</v>
      </c>
      <c r="BR95" s="100">
        <v>6.2627052554452334</v>
      </c>
      <c r="BS95" s="100">
        <v>2059.1774879903928</v>
      </c>
      <c r="BT95" s="100">
        <v>7.4574987096195855</v>
      </c>
      <c r="BU95" s="100">
        <v>2452.0255757229197</v>
      </c>
      <c r="BV95" s="100">
        <v>6.7251620888748729</v>
      </c>
      <c r="BW95" s="100">
        <v>2211.2332948220583</v>
      </c>
      <c r="BX95" s="100">
        <v>8.0309741483718913</v>
      </c>
      <c r="BY95" s="100">
        <v>2640.5842999846777</v>
      </c>
      <c r="BZ95" s="100">
        <v>7.3548479388545562</v>
      </c>
      <c r="CA95" s="100">
        <v>2418.2740022953781</v>
      </c>
      <c r="CB95" s="100">
        <v>7.2979781431499342</v>
      </c>
      <c r="CC95" s="100">
        <v>2399.5752134676986</v>
      </c>
      <c r="CD95" s="100">
        <v>8.3138584440276873</v>
      </c>
      <c r="CE95" s="100">
        <v>2733.5966563963038</v>
      </c>
      <c r="CF95" s="100">
        <v>7.3619409866176024</v>
      </c>
      <c r="CG95" s="100">
        <v>2420.6061963998677</v>
      </c>
      <c r="CH95" s="100">
        <v>2.3783688643834155</v>
      </c>
      <c r="CI95" s="100">
        <v>782.00768260926702</v>
      </c>
      <c r="CJ95" s="100">
        <v>9.9984996921465878</v>
      </c>
      <c r="CK95" s="100">
        <v>3287.5066987777982</v>
      </c>
      <c r="CL95" s="100">
        <v>9.1098458888968104</v>
      </c>
      <c r="CM95" s="100">
        <v>2995.3173282692715</v>
      </c>
      <c r="CN95" s="100">
        <v>2.2238856838081342</v>
      </c>
      <c r="CO95" s="100">
        <v>731.21361283611452</v>
      </c>
      <c r="CP95" s="100">
        <v>7.5335770309570211</v>
      </c>
      <c r="CQ95" s="100">
        <v>2477.0401277786686</v>
      </c>
      <c r="CR95" s="100">
        <v>2.4337472013036048</v>
      </c>
      <c r="CS95" s="100">
        <v>800.21607978862528</v>
      </c>
      <c r="CT95" s="100">
        <v>9.7700849097321782</v>
      </c>
      <c r="CU95" s="100">
        <v>3212.4039183199402</v>
      </c>
    </row>
    <row r="96" spans="2:99">
      <c r="C96" s="99" t="s">
        <v>262</v>
      </c>
      <c r="D96" s="100">
        <v>7.9775533048559382</v>
      </c>
      <c r="E96" s="100">
        <v>5542.8040362139054</v>
      </c>
      <c r="F96" s="100">
        <v>6.6136573872578053</v>
      </c>
      <c r="G96" s="100">
        <v>4595.1691526667228</v>
      </c>
      <c r="H96" s="100">
        <v>5.7550954087723118</v>
      </c>
      <c r="I96" s="100">
        <v>3998.6402900150019</v>
      </c>
      <c r="J96" s="100">
        <v>4.7616973624497199</v>
      </c>
      <c r="K96" s="100">
        <v>3308.4273274300654</v>
      </c>
      <c r="L96" s="100">
        <v>10.165229099329068</v>
      </c>
      <c r="M96" s="100">
        <v>7062.8011782138356</v>
      </c>
      <c r="N96" s="100">
        <v>4.9111741745251773</v>
      </c>
      <c r="O96" s="100">
        <v>3412.283816460093</v>
      </c>
      <c r="P96" s="100">
        <v>7.4479135772188814</v>
      </c>
      <c r="Q96" s="100">
        <v>5174.8103534516786</v>
      </c>
      <c r="R96" s="100">
        <v>6.0089810149072571</v>
      </c>
      <c r="S96" s="100">
        <v>4175.0400091575621</v>
      </c>
      <c r="T96" s="100">
        <v>8.1966753191218285</v>
      </c>
      <c r="U96" s="100">
        <v>5695.0500117258462</v>
      </c>
      <c r="V96" s="100">
        <v>7</v>
      </c>
      <c r="W96" s="100">
        <v>4863.5999999999995</v>
      </c>
      <c r="X96" s="100">
        <v>8.2422339814613306</v>
      </c>
      <c r="Y96" s="100">
        <v>5726.7041703193318</v>
      </c>
      <c r="Z96" s="100">
        <v>5.2270997735541007</v>
      </c>
      <c r="AA96" s="100">
        <v>3631.7889226653888</v>
      </c>
      <c r="AB96" s="100">
        <v>5.8943526630576777</v>
      </c>
      <c r="AC96" s="100">
        <v>4095.3962302924742</v>
      </c>
      <c r="AD96" s="100">
        <v>9.6493701847191939</v>
      </c>
      <c r="AE96" s="100">
        <v>6704.3824043428958</v>
      </c>
      <c r="AF96" s="100">
        <v>1.762635056405472</v>
      </c>
      <c r="AG96" s="100">
        <v>1224.6788371905218</v>
      </c>
      <c r="AH96" s="100">
        <v>2.1256488539721063</v>
      </c>
      <c r="AI96" s="100">
        <v>1476.9008237398193</v>
      </c>
      <c r="AJ96" s="100">
        <v>1.5569322069491058</v>
      </c>
      <c r="AK96" s="100">
        <v>1081.7564973882386</v>
      </c>
      <c r="AL96" s="100">
        <v>2.2859071968893754</v>
      </c>
      <c r="AM96" s="100">
        <v>1588.2483203987379</v>
      </c>
      <c r="AN96" s="100">
        <v>6.5829081007430812</v>
      </c>
      <c r="AO96" s="100">
        <v>4573.8045483962924</v>
      </c>
      <c r="AP96" s="100">
        <v>7.2498422370808591</v>
      </c>
      <c r="AQ96" s="100">
        <v>5037.1903863237803</v>
      </c>
      <c r="AR96" s="100">
        <v>7.0922286259139353</v>
      </c>
      <c r="AS96" s="100">
        <v>4927.6804492850015</v>
      </c>
      <c r="AT96" s="100">
        <v>4.8433986728799816</v>
      </c>
      <c r="AU96" s="100">
        <v>3365.1933979170108</v>
      </c>
      <c r="AV96" s="100">
        <v>5.5051641458948986</v>
      </c>
      <c r="AW96" s="100">
        <v>3824.9880485677754</v>
      </c>
      <c r="AX96" s="100">
        <v>1.7676448364610147</v>
      </c>
      <c r="AY96" s="100">
        <v>1228.1596323731128</v>
      </c>
      <c r="AZ96" s="100">
        <v>7.2014259241717822</v>
      </c>
      <c r="BA96" s="100">
        <v>5003.5507321145542</v>
      </c>
      <c r="BB96" s="100">
        <v>7.6828860017414753</v>
      </c>
      <c r="BC96" s="100">
        <v>5338.0691940099769</v>
      </c>
      <c r="BD96" s="100">
        <v>5.7293075780374085</v>
      </c>
      <c r="BE96" s="100">
        <v>3980.7229052203911</v>
      </c>
      <c r="BF96" s="100">
        <v>2.5127820841085189</v>
      </c>
      <c r="BG96" s="100">
        <v>1745.8809920385988</v>
      </c>
      <c r="BH96" s="100">
        <v>10.031272374213955</v>
      </c>
      <c r="BI96" s="100">
        <v>6969.7280456038561</v>
      </c>
      <c r="BJ96" s="100">
        <v>3.6610680921094323</v>
      </c>
      <c r="BK96" s="100">
        <v>2543.7101103976333</v>
      </c>
      <c r="BL96" s="100">
        <v>6.6023331819482163</v>
      </c>
      <c r="BM96" s="100">
        <v>4587.3010948176207</v>
      </c>
      <c r="BN96" s="100">
        <v>14.049930060880259</v>
      </c>
      <c r="BO96" s="100">
        <v>9761.8914062996027</v>
      </c>
      <c r="BP96" s="100">
        <v>6.5325304779935633</v>
      </c>
      <c r="BQ96" s="100">
        <v>4538.8021761099271</v>
      </c>
      <c r="BR96" s="100">
        <v>6.949302768602351</v>
      </c>
      <c r="BS96" s="100">
        <v>4828.3755636249134</v>
      </c>
      <c r="BT96" s="100">
        <v>7.3271858384619408</v>
      </c>
      <c r="BU96" s="100">
        <v>5090.9287205633564</v>
      </c>
      <c r="BV96" s="100">
        <v>7.3445724484600579</v>
      </c>
      <c r="BW96" s="100">
        <v>5103.0089371900476</v>
      </c>
      <c r="BX96" s="100">
        <v>7.3665657248582992</v>
      </c>
      <c r="BY96" s="100">
        <v>5118.2898656315456</v>
      </c>
      <c r="BZ96" s="100">
        <v>7.4861673795143293</v>
      </c>
      <c r="CA96" s="100">
        <v>5201.3890952865559</v>
      </c>
      <c r="CB96" s="100">
        <v>7.9217782845095828</v>
      </c>
      <c r="CC96" s="100">
        <v>5504.0515520772578</v>
      </c>
      <c r="CD96" s="100">
        <v>8.3138584440276873</v>
      </c>
      <c r="CE96" s="100">
        <v>5776.4688469104367</v>
      </c>
      <c r="CF96" s="100">
        <v>7.9787182244859007</v>
      </c>
      <c r="CG96" s="100">
        <v>5543.6134223728031</v>
      </c>
      <c r="CH96" s="100">
        <v>2.3783688643834155</v>
      </c>
      <c r="CI96" s="100">
        <v>1652.4906869735971</v>
      </c>
      <c r="CJ96" s="100">
        <v>9.8986497229319284</v>
      </c>
      <c r="CK96" s="100">
        <v>6877.5818274931034</v>
      </c>
      <c r="CL96" s="100">
        <v>8.350692064822077</v>
      </c>
      <c r="CM96" s="100">
        <v>5802.0608466383792</v>
      </c>
      <c r="CN96" s="100">
        <v>1.8817494247607287</v>
      </c>
      <c r="CO96" s="100">
        <v>1307.4395003237541</v>
      </c>
      <c r="CP96" s="100">
        <v>6.529804436210477</v>
      </c>
      <c r="CQ96" s="100">
        <v>4536.9081222790392</v>
      </c>
      <c r="CR96" s="100">
        <v>2.1637112956002751</v>
      </c>
      <c r="CS96" s="100">
        <v>1503.3466081830711</v>
      </c>
      <c r="CT96" s="100">
        <v>8.7700849097321782</v>
      </c>
      <c r="CU96" s="100">
        <v>6093.454995281917</v>
      </c>
    </row>
    <row r="97" spans="2:99">
      <c r="C97" s="99" t="s">
        <v>263</v>
      </c>
      <c r="D97" s="100">
        <v>8.0392025980531407</v>
      </c>
      <c r="E97" s="100">
        <v>3154.5830994760522</v>
      </c>
      <c r="F97" s="100">
        <v>6.6109360240260875</v>
      </c>
      <c r="G97" s="100">
        <v>2594.1312958278368</v>
      </c>
      <c r="H97" s="100">
        <v>5.3788827913193105</v>
      </c>
      <c r="I97" s="100">
        <v>2110.6736073136972</v>
      </c>
      <c r="J97" s="100">
        <v>4.7616973624497199</v>
      </c>
      <c r="K97" s="100">
        <v>1868.4900450252699</v>
      </c>
      <c r="L97" s="100">
        <v>11.03046694935979</v>
      </c>
      <c r="M97" s="100">
        <v>4328.3552309287816</v>
      </c>
      <c r="N97" s="100">
        <v>4.9111741745251773</v>
      </c>
      <c r="O97" s="100">
        <v>1927.1447460836796</v>
      </c>
      <c r="P97" s="100">
        <v>7.2203965033247846</v>
      </c>
      <c r="Q97" s="100">
        <v>2833.2835879046452</v>
      </c>
      <c r="R97" s="100">
        <v>6.5856396009170304</v>
      </c>
      <c r="S97" s="100">
        <v>2584.2049793998426</v>
      </c>
      <c r="T97" s="100">
        <v>8.3676289361392318</v>
      </c>
      <c r="U97" s="100">
        <v>3283.4575945410343</v>
      </c>
      <c r="V97" s="100">
        <v>7.1368033979796852</v>
      </c>
      <c r="W97" s="100">
        <v>2800.4816533672283</v>
      </c>
      <c r="X97" s="100">
        <v>7.623294798989015</v>
      </c>
      <c r="Y97" s="100">
        <v>2991.3808791232891</v>
      </c>
      <c r="Z97" s="100">
        <v>4.7732439667679802</v>
      </c>
      <c r="AA97" s="100">
        <v>1873.0209325597552</v>
      </c>
      <c r="AB97" s="100">
        <v>6.0185864187871703</v>
      </c>
      <c r="AC97" s="100">
        <v>2361.6933107320856</v>
      </c>
      <c r="AD97" s="100">
        <v>8.5411418205993286</v>
      </c>
      <c r="AE97" s="100">
        <v>3351.5440504031762</v>
      </c>
      <c r="AF97" s="100">
        <v>1.762635056405472</v>
      </c>
      <c r="AG97" s="100">
        <v>691.65799613350714</v>
      </c>
      <c r="AH97" s="100">
        <v>1.9130839685748957</v>
      </c>
      <c r="AI97" s="100">
        <v>750.69414926878903</v>
      </c>
      <c r="AJ97" s="100">
        <v>1.5569322069491058</v>
      </c>
      <c r="AK97" s="100">
        <v>610.94019800682906</v>
      </c>
      <c r="AL97" s="100">
        <v>2.1100681817440385</v>
      </c>
      <c r="AM97" s="100">
        <v>827.99075451636065</v>
      </c>
      <c r="AN97" s="100">
        <v>7.1925999285097895</v>
      </c>
      <c r="AO97" s="100">
        <v>2822.3762119472412</v>
      </c>
      <c r="AP97" s="100">
        <v>8.5875333767316899</v>
      </c>
      <c r="AQ97" s="100">
        <v>3369.7480970295151</v>
      </c>
      <c r="AR97" s="100">
        <v>6.4313342839685532</v>
      </c>
      <c r="AS97" s="100">
        <v>2523.6555730292603</v>
      </c>
      <c r="AT97" s="100">
        <v>5.6506317850266461</v>
      </c>
      <c r="AU97" s="100">
        <v>2217.3079124444557</v>
      </c>
      <c r="AV97" s="100">
        <v>5.5051641458948986</v>
      </c>
      <c r="AW97" s="100">
        <v>2160.2264108491581</v>
      </c>
      <c r="AX97" s="100">
        <v>1.7676448364610147</v>
      </c>
      <c r="AY97" s="100">
        <v>693.62383382730206</v>
      </c>
      <c r="AZ97" s="100">
        <v>7.9882976780345905</v>
      </c>
      <c r="BA97" s="100">
        <v>3134.6080088607732</v>
      </c>
      <c r="BB97" s="100">
        <v>6.8637876385491143</v>
      </c>
      <c r="BC97" s="100">
        <v>2693.3502693666724</v>
      </c>
      <c r="BD97" s="100">
        <v>6.579491166105444</v>
      </c>
      <c r="BE97" s="100">
        <v>2581.7923335797759</v>
      </c>
      <c r="BF97" s="100">
        <v>2.2837765574451421</v>
      </c>
      <c r="BG97" s="100">
        <v>896.15392114147369</v>
      </c>
      <c r="BH97" s="100">
        <v>11.134399611635351</v>
      </c>
      <c r="BI97" s="100">
        <v>4369.1384076057111</v>
      </c>
      <c r="BJ97" s="100">
        <v>3.6610680921094323</v>
      </c>
      <c r="BK97" s="100">
        <v>1436.6031193437411</v>
      </c>
      <c r="BL97" s="100">
        <v>5.69746364741495</v>
      </c>
      <c r="BM97" s="100">
        <v>2235.6847352456261</v>
      </c>
      <c r="BN97" s="100">
        <v>14.049930060880259</v>
      </c>
      <c r="BO97" s="100">
        <v>5513.1925558894136</v>
      </c>
      <c r="BP97" s="100">
        <v>6.131256614670578</v>
      </c>
      <c r="BQ97" s="100">
        <v>2405.9050955967346</v>
      </c>
      <c r="BR97" s="100">
        <v>6.9496880395562579</v>
      </c>
      <c r="BS97" s="100">
        <v>2727.0575867218754</v>
      </c>
      <c r="BT97" s="100">
        <v>7.4622187415976429</v>
      </c>
      <c r="BU97" s="100">
        <v>2928.1746342029151</v>
      </c>
      <c r="BV97" s="100">
        <v>7.4330821972972299</v>
      </c>
      <c r="BW97" s="100">
        <v>2916.7414542194329</v>
      </c>
      <c r="BX97" s="100">
        <v>8.6953825718854816</v>
      </c>
      <c r="BY97" s="100">
        <v>3412.068121207863</v>
      </c>
      <c r="BZ97" s="100">
        <v>6.5742450927557714</v>
      </c>
      <c r="CA97" s="100">
        <v>2579.7337743973644</v>
      </c>
      <c r="CB97" s="100">
        <v>7.2979781431499342</v>
      </c>
      <c r="CC97" s="100">
        <v>2863.7266233720338</v>
      </c>
      <c r="CD97" s="100">
        <v>9.0330509466720628</v>
      </c>
      <c r="CE97" s="100">
        <v>3544.5691914741174</v>
      </c>
      <c r="CF97" s="100">
        <v>7.2533802040780913</v>
      </c>
      <c r="CG97" s="100">
        <v>2846.2263920802429</v>
      </c>
      <c r="CH97" s="100">
        <v>2.3783688643834155</v>
      </c>
      <c r="CI97" s="100">
        <v>933.27194238405218</v>
      </c>
      <c r="CJ97" s="100">
        <v>9.8986497229319284</v>
      </c>
      <c r="CK97" s="100">
        <v>3884.2301512784884</v>
      </c>
      <c r="CL97" s="100">
        <v>9.1098458888968104</v>
      </c>
      <c r="CM97" s="100">
        <v>3574.7035268031082</v>
      </c>
      <c r="CN97" s="100">
        <v>2.3869256164193478</v>
      </c>
      <c r="CO97" s="100">
        <v>936.62961188295196</v>
      </c>
      <c r="CP97" s="100">
        <v>7.5335770309570211</v>
      </c>
      <c r="CQ97" s="100">
        <v>2956.175626947535</v>
      </c>
      <c r="CR97" s="100">
        <v>2.4371712512772445</v>
      </c>
      <c r="CS97" s="100">
        <v>956.34599900119065</v>
      </c>
      <c r="CT97" s="100">
        <v>8.7700849097321782</v>
      </c>
      <c r="CU97" s="100">
        <v>3441.3813185789068</v>
      </c>
    </row>
    <row r="98" spans="2:99">
      <c r="C98" s="99" t="s">
        <v>264</v>
      </c>
      <c r="D98" s="100">
        <v>7.1275456890106428</v>
      </c>
      <c r="E98" s="100">
        <v>3746.238014143994</v>
      </c>
      <c r="F98" s="100">
        <v>6.6136573872578053</v>
      </c>
      <c r="G98" s="100">
        <v>3476.1383227427027</v>
      </c>
      <c r="H98" s="100">
        <v>6.200227137299553</v>
      </c>
      <c r="I98" s="100">
        <v>3258.8393833646451</v>
      </c>
      <c r="J98" s="100">
        <v>4.6405426754886978</v>
      </c>
      <c r="K98" s="100">
        <v>2439.0692302368598</v>
      </c>
      <c r="L98" s="100">
        <v>11.181752009261976</v>
      </c>
      <c r="M98" s="100">
        <v>5877.128856068095</v>
      </c>
      <c r="N98" s="100">
        <v>5.4022915919776953</v>
      </c>
      <c r="O98" s="100">
        <v>2839.4444607434766</v>
      </c>
      <c r="P98" s="100">
        <v>8.3442836052812783</v>
      </c>
      <c r="Q98" s="100">
        <v>4385.7554629358401</v>
      </c>
      <c r="R98" s="100">
        <v>5.1899272740879612</v>
      </c>
      <c r="S98" s="100">
        <v>2727.8257752606323</v>
      </c>
      <c r="T98" s="100">
        <v>8.1966753191218285</v>
      </c>
      <c r="U98" s="100">
        <v>4308.1725477304335</v>
      </c>
      <c r="V98" s="100">
        <v>7.1368033979796852</v>
      </c>
      <c r="W98" s="100">
        <v>3751.1038659781225</v>
      </c>
      <c r="X98" s="100">
        <v>9.0868884119380198</v>
      </c>
      <c r="Y98" s="100">
        <v>4776.0685493146239</v>
      </c>
      <c r="Z98" s="100">
        <v>5.2057646918353004</v>
      </c>
      <c r="AA98" s="100">
        <v>2736.1499220286341</v>
      </c>
      <c r="AB98" s="100">
        <v>6.0185864187871703</v>
      </c>
      <c r="AC98" s="100">
        <v>3163.3690217145368</v>
      </c>
      <c r="AD98" s="100">
        <v>9.5411418205993286</v>
      </c>
      <c r="AE98" s="100">
        <v>5014.8241409070069</v>
      </c>
      <c r="AF98" s="100">
        <v>1.7425602351412217</v>
      </c>
      <c r="AG98" s="100">
        <v>915.88965959022619</v>
      </c>
      <c r="AH98" s="100">
        <v>1.9130839685748957</v>
      </c>
      <c r="AI98" s="100">
        <v>1005.5169338829652</v>
      </c>
      <c r="AJ98" s="100">
        <v>1.5569322069491058</v>
      </c>
      <c r="AK98" s="100">
        <v>818.32356797245006</v>
      </c>
      <c r="AL98" s="100">
        <v>2.1100681817440385</v>
      </c>
      <c r="AM98" s="100">
        <v>1109.0518363246667</v>
      </c>
      <c r="AN98" s="100">
        <v>7.9176266668915192</v>
      </c>
      <c r="AO98" s="100">
        <v>4161.5045761181827</v>
      </c>
      <c r="AP98" s="100">
        <v>7.2498422370808591</v>
      </c>
      <c r="AQ98" s="100">
        <v>3810.5170798096997</v>
      </c>
      <c r="AR98" s="100">
        <v>6.4210979853631471</v>
      </c>
      <c r="AS98" s="100">
        <v>3374.9291011068703</v>
      </c>
      <c r="AT98" s="100">
        <v>5.6506317850266461</v>
      </c>
      <c r="AU98" s="100">
        <v>2969.9720662100053</v>
      </c>
      <c r="AV98" s="100">
        <v>4.905280826281718</v>
      </c>
      <c r="AW98" s="100">
        <v>2578.2156022936711</v>
      </c>
      <c r="AX98" s="100">
        <v>1.7676448364610147</v>
      </c>
      <c r="AY98" s="100">
        <v>929.07412604390936</v>
      </c>
      <c r="AZ98" s="100">
        <v>7.2305949703882764</v>
      </c>
      <c r="BA98" s="100">
        <v>3800.4007164360783</v>
      </c>
      <c r="BB98" s="100">
        <v>8.3977217012118235</v>
      </c>
      <c r="BC98" s="100">
        <v>4413.8425261569346</v>
      </c>
      <c r="BD98" s="100">
        <v>5.8810557331862512</v>
      </c>
      <c r="BE98" s="100">
        <v>3091.0828933626935</v>
      </c>
      <c r="BF98" s="100">
        <v>2.5096427295142059</v>
      </c>
      <c r="BG98" s="100">
        <v>1319.0682186326667</v>
      </c>
      <c r="BH98" s="100">
        <v>11.031272374213955</v>
      </c>
      <c r="BI98" s="100">
        <v>5798.0367598868552</v>
      </c>
      <c r="BJ98" s="100">
        <v>4.0156434865671891</v>
      </c>
      <c r="BK98" s="100">
        <v>2110.6222165397148</v>
      </c>
      <c r="BL98" s="100">
        <v>6.4668869749484577</v>
      </c>
      <c r="BM98" s="100">
        <v>3398.9957940329095</v>
      </c>
      <c r="BN98" s="100">
        <v>14.049930060880259</v>
      </c>
      <c r="BO98" s="100">
        <v>7384.6432399986643</v>
      </c>
      <c r="BP98" s="100">
        <v>6.8125073496339752</v>
      </c>
      <c r="BQ98" s="100">
        <v>3580.6538629676174</v>
      </c>
      <c r="BR98" s="100">
        <v>6.9489174976484449</v>
      </c>
      <c r="BS98" s="100">
        <v>3652.3510367640229</v>
      </c>
      <c r="BT98" s="100">
        <v>6.5685096606571767</v>
      </c>
      <c r="BU98" s="100">
        <v>3452.4086776414124</v>
      </c>
      <c r="BV98" s="100">
        <v>6.1057517292896879</v>
      </c>
      <c r="BW98" s="100">
        <v>3209.1831089146599</v>
      </c>
      <c r="BX98" s="100">
        <v>7.2633540834693875</v>
      </c>
      <c r="BY98" s="100">
        <v>3817.6189062715102</v>
      </c>
      <c r="BZ98" s="100">
        <v>7.4861673795143293</v>
      </c>
      <c r="CA98" s="100">
        <v>3934.7295746727318</v>
      </c>
      <c r="CB98" s="100">
        <v>7.8279665079266563</v>
      </c>
      <c r="CC98" s="100">
        <v>4114.3791965662504</v>
      </c>
      <c r="CD98" s="100">
        <v>8.3138584440276873</v>
      </c>
      <c r="CE98" s="100">
        <v>4369.7639981809525</v>
      </c>
      <c r="CF98" s="100">
        <v>7.8701574419463887</v>
      </c>
      <c r="CG98" s="100">
        <v>4136.5547514870223</v>
      </c>
      <c r="CH98" s="100">
        <v>2.3783688643834155</v>
      </c>
      <c r="CI98" s="100">
        <v>1250.0706751199232</v>
      </c>
      <c r="CJ98" s="100">
        <v>8.9984996921465878</v>
      </c>
      <c r="CK98" s="100">
        <v>4729.6114381922471</v>
      </c>
      <c r="CL98" s="100">
        <v>9.1098458888968104</v>
      </c>
      <c r="CM98" s="100">
        <v>4788.1349992041642</v>
      </c>
      <c r="CN98" s="100">
        <v>2.3869256164193478</v>
      </c>
      <c r="CO98" s="100">
        <v>1254.5681039900091</v>
      </c>
      <c r="CP98" s="100">
        <v>8.3718150500317883</v>
      </c>
      <c r="CQ98" s="100">
        <v>4400.225990296708</v>
      </c>
      <c r="CR98" s="100">
        <v>2.1705593955475546</v>
      </c>
      <c r="CS98" s="100">
        <v>1140.8460182997947</v>
      </c>
      <c r="CT98" s="100">
        <v>9.7700849097321782</v>
      </c>
      <c r="CU98" s="100">
        <v>5135.1566285552335</v>
      </c>
    </row>
    <row r="99" spans="2:99">
      <c r="C99" s="99" t="s">
        <v>265</v>
      </c>
      <c r="D99" s="100">
        <v>5.9219548335315819</v>
      </c>
      <c r="E99" s="100">
        <v>24921.954721434307</v>
      </c>
      <c r="F99" s="100">
        <v>5.0205106722062034</v>
      </c>
      <c r="G99" s="100">
        <v>21128.317112912584</v>
      </c>
      <c r="H99" s="100">
        <v>4.4197002231905911</v>
      </c>
      <c r="I99" s="100">
        <v>18599.86641927528</v>
      </c>
      <c r="J99" s="100">
        <v>3.8921536845930831</v>
      </c>
      <c r="K99" s="100">
        <v>16379.739566241529</v>
      </c>
      <c r="L99" s="100">
        <v>8.2834683393654398</v>
      </c>
      <c r="M99" s="100">
        <v>34860.148159385513</v>
      </c>
      <c r="N99" s="100">
        <v>3.928939339620142</v>
      </c>
      <c r="O99" s="100">
        <v>16534.548316857403</v>
      </c>
      <c r="P99" s="100">
        <v>5.1316469299404064</v>
      </c>
      <c r="Q99" s="100">
        <v>21596.022939961204</v>
      </c>
      <c r="R99" s="100">
        <v>4.0969933144736483</v>
      </c>
      <c r="S99" s="100">
        <v>17241.786664630901</v>
      </c>
      <c r="T99" s="100">
        <v>5.8547680850870201</v>
      </c>
      <c r="U99" s="100">
        <v>24639.206009280213</v>
      </c>
      <c r="V99" s="100">
        <v>5.1172600554111591</v>
      </c>
      <c r="W99" s="100">
        <v>21535.477217192321</v>
      </c>
      <c r="X99" s="100">
        <v>5.4787921686061711</v>
      </c>
      <c r="Y99" s="100">
        <v>23056.94896236221</v>
      </c>
      <c r="Z99" s="100">
        <v>3.8015271080393451</v>
      </c>
      <c r="AA99" s="100">
        <v>15998.346681472778</v>
      </c>
      <c r="AB99" s="100">
        <v>5.0983111861423032</v>
      </c>
      <c r="AC99" s="100">
        <v>21455.732795761265</v>
      </c>
      <c r="AD99" s="100">
        <v>6.4329134564794623</v>
      </c>
      <c r="AE99" s="100">
        <v>27072.272990248166</v>
      </c>
      <c r="AF99" s="100">
        <v>1.3269949976201665</v>
      </c>
      <c r="AG99" s="100">
        <v>5584.5257479847078</v>
      </c>
      <c r="AH99" s="100">
        <v>1.4879541977804744</v>
      </c>
      <c r="AI99" s="100">
        <v>6261.9064459393485</v>
      </c>
      <c r="AJ99" s="100">
        <v>1.1120944335350755</v>
      </c>
      <c r="AK99" s="100">
        <v>4680.1382140890119</v>
      </c>
      <c r="AL99" s="100">
        <v>1.5825511363080289</v>
      </c>
      <c r="AM99" s="100">
        <v>6660.0082020387081</v>
      </c>
      <c r="AN99" s="100">
        <v>5.1328546239796209</v>
      </c>
      <c r="AO99" s="100">
        <v>21601.105399555836</v>
      </c>
      <c r="AP99" s="100">
        <v>6.3358659974577831</v>
      </c>
      <c r="AQ99" s="100">
        <v>26663.858463701334</v>
      </c>
      <c r="AR99" s="100">
        <v>4.665347663536572</v>
      </c>
      <c r="AS99" s="100">
        <v>19633.649107227309</v>
      </c>
      <c r="AT99" s="100">
        <v>3.2289324485866548</v>
      </c>
      <c r="AU99" s="100">
        <v>13588.639316632078</v>
      </c>
      <c r="AV99" s="100">
        <v>3.7097292783550655</v>
      </c>
      <c r="AW99" s="100">
        <v>15612.024695029457</v>
      </c>
      <c r="AX99" s="100">
        <v>1.1784298909740099</v>
      </c>
      <c r="AY99" s="100">
        <v>4959.3043531750227</v>
      </c>
      <c r="AZ99" s="100">
        <v>5.5678923467429087</v>
      </c>
      <c r="BA99" s="100">
        <v>23431.918152032857</v>
      </c>
      <c r="BB99" s="100">
        <v>6.3510571707594998</v>
      </c>
      <c r="BC99" s="100">
        <v>26727.788997424275</v>
      </c>
      <c r="BD99" s="100">
        <v>5.0586193374230701</v>
      </c>
      <c r="BE99" s="100">
        <v>21288.693619611247</v>
      </c>
      <c r="BF99" s="100">
        <v>1.6030386866436375</v>
      </c>
      <c r="BG99" s="100">
        <v>6746.2280088710831</v>
      </c>
      <c r="BH99" s="100">
        <v>8.9281451367925602</v>
      </c>
      <c r="BI99" s="100">
        <v>37573.20599367781</v>
      </c>
      <c r="BJ99" s="100">
        <v>2.5643950094413435</v>
      </c>
      <c r="BK99" s="100">
        <v>10791.999957732949</v>
      </c>
      <c r="BL99" s="100">
        <v>4.7713460755671893</v>
      </c>
      <c r="BM99" s="100">
        <v>20079.732824416958</v>
      </c>
      <c r="BN99" s="100">
        <v>9.89994005218308</v>
      </c>
      <c r="BO99" s="100">
        <v>41662.907715607267</v>
      </c>
      <c r="BP99" s="100">
        <v>4.7687551447437828</v>
      </c>
      <c r="BQ99" s="100">
        <v>20068.829151139733</v>
      </c>
      <c r="BR99" s="100">
        <v>4.6701370405761962</v>
      </c>
      <c r="BS99" s="100">
        <v>19653.804721560864</v>
      </c>
      <c r="BT99" s="100">
        <v>4.8594840181752623</v>
      </c>
      <c r="BU99" s="100">
        <v>20450.652542088774</v>
      </c>
      <c r="BV99" s="100">
        <v>4.8669310101193188</v>
      </c>
      <c r="BW99" s="100">
        <v>20481.992462986138</v>
      </c>
      <c r="BX99" s="100">
        <v>5.270128812928613</v>
      </c>
      <c r="BY99" s="100">
        <v>22178.810096328772</v>
      </c>
      <c r="BZ99" s="100">
        <v>4.8222503151123357</v>
      </c>
      <c r="CA99" s="100">
        <v>20293.958226118753</v>
      </c>
      <c r="CB99" s="100">
        <v>5.6142012722368406</v>
      </c>
      <c r="CC99" s="100">
        <v>23626.804634081516</v>
      </c>
      <c r="CD99" s="100">
        <v>6.3672486612311117</v>
      </c>
      <c r="CE99" s="100">
        <v>26795.92926592501</v>
      </c>
      <c r="CF99" s="100">
        <v>5.9112649458019835</v>
      </c>
      <c r="CG99" s="100">
        <v>24876.967397913064</v>
      </c>
      <c r="CH99" s="100">
        <v>1.4907577885395569</v>
      </c>
      <c r="CI99" s="100">
        <v>6273.705077289871</v>
      </c>
      <c r="CJ99" s="100">
        <v>7.7987997537172706</v>
      </c>
      <c r="CK99" s="100">
        <v>32820.468883543756</v>
      </c>
      <c r="CL99" s="100">
        <v>6.4837852128410338</v>
      </c>
      <c r="CM99" s="100">
        <v>27286.361689720205</v>
      </c>
      <c r="CN99" s="100">
        <v>1.3846014300145999</v>
      </c>
      <c r="CO99" s="100">
        <v>5826.9566580734418</v>
      </c>
      <c r="CP99" s="100">
        <v>4.8533283980609427</v>
      </c>
      <c r="CQ99" s="100">
        <v>20424.747230399669</v>
      </c>
      <c r="CR99" s="100">
        <v>1.6304875841408959</v>
      </c>
      <c r="CS99" s="100">
        <v>6861.7439490985453</v>
      </c>
      <c r="CT99" s="100">
        <v>7.6417374247768155</v>
      </c>
      <c r="CU99" s="100">
        <v>32159.487778430746</v>
      </c>
    </row>
    <row r="100" spans="2:99">
      <c r="C100" s="99" t="s">
        <v>266</v>
      </c>
      <c r="D100" s="100">
        <v>7.9775533048559382</v>
      </c>
      <c r="E100" s="100">
        <v>2584.7272707733241</v>
      </c>
      <c r="F100" s="100">
        <v>7.4231955336416551</v>
      </c>
      <c r="G100" s="100">
        <v>2405.1153528998962</v>
      </c>
      <c r="H100" s="100">
        <v>5.7550954087723118</v>
      </c>
      <c r="I100" s="100">
        <v>1864.6509124422291</v>
      </c>
      <c r="J100" s="100">
        <v>5.3986163474356417</v>
      </c>
      <c r="K100" s="100">
        <v>1749.1516965691478</v>
      </c>
      <c r="L100" s="100">
        <v>11.03046694935979</v>
      </c>
      <c r="M100" s="100">
        <v>3573.8712915925717</v>
      </c>
      <c r="N100" s="100">
        <v>4.9111741745251773</v>
      </c>
      <c r="O100" s="100">
        <v>1591.2204325461576</v>
      </c>
      <c r="P100" s="100">
        <v>7.3794211338533939</v>
      </c>
      <c r="Q100" s="100">
        <v>2390.9324473684997</v>
      </c>
      <c r="R100" s="100">
        <v>5.7665858600977353</v>
      </c>
      <c r="S100" s="100">
        <v>1868.3738186716662</v>
      </c>
      <c r="T100" s="100">
        <v>8.1966753191218285</v>
      </c>
      <c r="U100" s="100">
        <v>2655.7228033954725</v>
      </c>
      <c r="V100" s="100">
        <v>6.1368033979796852</v>
      </c>
      <c r="W100" s="100">
        <v>1988.3243009454179</v>
      </c>
      <c r="X100" s="100">
        <v>8.3440095595426609</v>
      </c>
      <c r="Y100" s="100">
        <v>2703.4590972918222</v>
      </c>
      <c r="Z100" s="100">
        <v>4.7732439667679802</v>
      </c>
      <c r="AA100" s="100">
        <v>1546.5310452328256</v>
      </c>
      <c r="AB100" s="100">
        <v>5.8943526630576777</v>
      </c>
      <c r="AC100" s="100">
        <v>1909.7702628306877</v>
      </c>
      <c r="AD100" s="100">
        <v>8.6493701847191939</v>
      </c>
      <c r="AE100" s="100">
        <v>2802.3959398490188</v>
      </c>
      <c r="AF100" s="100">
        <v>1.762635056405472</v>
      </c>
      <c r="AG100" s="100">
        <v>571.09375827537292</v>
      </c>
      <c r="AH100" s="100">
        <v>1.9130839685748957</v>
      </c>
      <c r="AI100" s="100">
        <v>619.83920581826624</v>
      </c>
      <c r="AJ100" s="100">
        <v>1.5569322069491058</v>
      </c>
      <c r="AK100" s="100">
        <v>504.44603505151031</v>
      </c>
      <c r="AL100" s="100">
        <v>2.2859071968893754</v>
      </c>
      <c r="AM100" s="100">
        <v>740.63393179215757</v>
      </c>
      <c r="AN100" s="100">
        <v>7.9176266668915192</v>
      </c>
      <c r="AO100" s="100">
        <v>2565.3110400728524</v>
      </c>
      <c r="AP100" s="100">
        <v>8.4695468014966746</v>
      </c>
      <c r="AQ100" s="100">
        <v>2744.1331636849227</v>
      </c>
      <c r="AR100" s="100">
        <v>7.3354730408134792</v>
      </c>
      <c r="AS100" s="100">
        <v>2376.6932652235673</v>
      </c>
      <c r="AT100" s="100">
        <v>6.2261008449111044</v>
      </c>
      <c r="AU100" s="100">
        <v>2017.2566737511979</v>
      </c>
      <c r="AV100" s="100">
        <v>5.696150620563766</v>
      </c>
      <c r="AW100" s="100">
        <v>1845.5528010626601</v>
      </c>
      <c r="AX100" s="100">
        <v>1.9640498182900163</v>
      </c>
      <c r="AY100" s="100">
        <v>636.35214112596532</v>
      </c>
      <c r="AZ100" s="100">
        <v>7.2305949703882764</v>
      </c>
      <c r="BA100" s="100">
        <v>2342.7127704058016</v>
      </c>
      <c r="BB100" s="100">
        <v>8.9808822570562548</v>
      </c>
      <c r="BC100" s="100">
        <v>2909.8058512862267</v>
      </c>
      <c r="BD100" s="100">
        <v>6.5759954845878035</v>
      </c>
      <c r="BE100" s="100">
        <v>2130.6225370064485</v>
      </c>
      <c r="BF100" s="100">
        <v>2.2869159120394551</v>
      </c>
      <c r="BG100" s="100">
        <v>740.96075550078342</v>
      </c>
      <c r="BH100" s="100">
        <v>11.031272374213955</v>
      </c>
      <c r="BI100" s="100">
        <v>3574.1322492453214</v>
      </c>
      <c r="BJ100" s="100">
        <v>4.3702188810249467</v>
      </c>
      <c r="BK100" s="100">
        <v>1415.9509174520826</v>
      </c>
      <c r="BL100" s="100">
        <v>6.4615749656198336</v>
      </c>
      <c r="BM100" s="100">
        <v>2093.5502888608262</v>
      </c>
      <c r="BN100" s="100">
        <v>13.049930060880259</v>
      </c>
      <c r="BO100" s="100">
        <v>4228.1773397252036</v>
      </c>
      <c r="BP100" s="100">
        <v>7.2137812129569605</v>
      </c>
      <c r="BQ100" s="100">
        <v>2337.2651129980554</v>
      </c>
      <c r="BR100" s="100">
        <v>7.6359002817594694</v>
      </c>
      <c r="BS100" s="100">
        <v>2474.031691290068</v>
      </c>
      <c r="BT100" s="100">
        <v>7.3271858384619408</v>
      </c>
      <c r="BU100" s="100">
        <v>2374.0082116616686</v>
      </c>
      <c r="BV100" s="100">
        <v>7.4330821972972299</v>
      </c>
      <c r="BW100" s="100">
        <v>2408.3186319243023</v>
      </c>
      <c r="BX100" s="100">
        <v>8.6953825718854816</v>
      </c>
      <c r="BY100" s="100">
        <v>2817.3039532908961</v>
      </c>
      <c r="BZ100" s="100">
        <v>7.3449363313902074</v>
      </c>
      <c r="CA100" s="100">
        <v>2379.7593713704273</v>
      </c>
      <c r="CB100" s="100">
        <v>8.2641430961204509</v>
      </c>
      <c r="CC100" s="100">
        <v>2677.5823631430262</v>
      </c>
      <c r="CD100" s="100">
        <v>8.4193423065959632</v>
      </c>
      <c r="CE100" s="100">
        <v>2727.866907337092</v>
      </c>
      <c r="CF100" s="100">
        <v>7.2533802040780913</v>
      </c>
      <c r="CG100" s="100">
        <v>2350.0951861213016</v>
      </c>
      <c r="CH100" s="100">
        <v>2.3783688643834155</v>
      </c>
      <c r="CI100" s="100">
        <v>770.59151206022659</v>
      </c>
      <c r="CJ100" s="100">
        <v>9.8986497229319284</v>
      </c>
      <c r="CK100" s="100">
        <v>3207.1625102299449</v>
      </c>
      <c r="CL100" s="100">
        <v>9.1098458888968104</v>
      </c>
      <c r="CM100" s="100">
        <v>2951.5900680025666</v>
      </c>
      <c r="CN100" s="100">
        <v>2.2158574868956444</v>
      </c>
      <c r="CO100" s="100">
        <v>717.93782575418879</v>
      </c>
      <c r="CP100" s="100">
        <v>8.2062804743600122</v>
      </c>
      <c r="CQ100" s="100">
        <v>2658.8348736926441</v>
      </c>
      <c r="CR100" s="100">
        <v>2.1671353455739149</v>
      </c>
      <c r="CS100" s="100">
        <v>702.15185196594837</v>
      </c>
      <c r="CT100" s="100">
        <v>9.898432394687541</v>
      </c>
      <c r="CU100" s="100">
        <v>3207.0920958787633</v>
      </c>
    </row>
    <row r="101" spans="2:99">
      <c r="C101" s="99" t="s">
        <v>267</v>
      </c>
      <c r="D101" s="100">
        <v>8.0392025980531407</v>
      </c>
      <c r="E101" s="100">
        <v>5817.1669999512533</v>
      </c>
      <c r="F101" s="100">
        <v>5.8572624509072373</v>
      </c>
      <c r="G101" s="100">
        <v>4238.3151094764771</v>
      </c>
      <c r="H101" s="100">
        <v>5.3788827913193105</v>
      </c>
      <c r="I101" s="100">
        <v>3892.1595877986533</v>
      </c>
      <c r="J101" s="100">
        <v>5.393774006909978</v>
      </c>
      <c r="K101" s="100">
        <v>3902.9348714000603</v>
      </c>
      <c r="L101" s="100">
        <v>11.181752009261976</v>
      </c>
      <c r="M101" s="100">
        <v>8091.1157539019659</v>
      </c>
      <c r="N101" s="100">
        <v>5.4022915919776953</v>
      </c>
      <c r="O101" s="100">
        <v>3909.0981959550604</v>
      </c>
      <c r="P101" s="100">
        <v>8.1852589747526689</v>
      </c>
      <c r="Q101" s="100">
        <v>5922.8533941310316</v>
      </c>
      <c r="R101" s="100">
        <v>6.0089810149072571</v>
      </c>
      <c r="S101" s="100">
        <v>4348.0986623868912</v>
      </c>
      <c r="T101" s="100">
        <v>8.1966753191218285</v>
      </c>
      <c r="U101" s="100">
        <v>5931.1142609165554</v>
      </c>
      <c r="V101" s="100">
        <v>7.1172600554111591</v>
      </c>
      <c r="W101" s="100">
        <v>5150.0493760955151</v>
      </c>
      <c r="X101" s="100">
        <v>8.3042038164228522</v>
      </c>
      <c r="Y101" s="100">
        <v>6008.9218815635759</v>
      </c>
      <c r="Z101" s="100">
        <v>4.7945790484867796</v>
      </c>
      <c r="AA101" s="100">
        <v>3469.357399485034</v>
      </c>
      <c r="AB101" s="100">
        <v>6.0185864187871703</v>
      </c>
      <c r="AC101" s="100">
        <v>4355.0491326343963</v>
      </c>
      <c r="AD101" s="100">
        <v>9.6493701847191939</v>
      </c>
      <c r="AE101" s="100">
        <v>6982.284265662809</v>
      </c>
      <c r="AF101" s="100">
        <v>1.7425602351412217</v>
      </c>
      <c r="AG101" s="100">
        <v>1260.9165861481881</v>
      </c>
      <c r="AH101" s="100">
        <v>1.9130839685748957</v>
      </c>
      <c r="AI101" s="100">
        <v>1384.3075596607946</v>
      </c>
      <c r="AJ101" s="100">
        <v>1.5569322069491058</v>
      </c>
      <c r="AK101" s="100">
        <v>1126.596144948373</v>
      </c>
      <c r="AL101" s="100">
        <v>2.1100681817440385</v>
      </c>
      <c r="AM101" s="100">
        <v>1526.8453363099864</v>
      </c>
      <c r="AN101" s="100">
        <v>7.2502673838172997</v>
      </c>
      <c r="AO101" s="100">
        <v>5246.293478930198</v>
      </c>
      <c r="AP101" s="100">
        <v>7.0138690866108266</v>
      </c>
      <c r="AQ101" s="100">
        <v>5075.235671071594</v>
      </c>
      <c r="AR101" s="100">
        <v>7.2112917587123562</v>
      </c>
      <c r="AS101" s="100">
        <v>5218.0907166042607</v>
      </c>
      <c r="AT101" s="100">
        <v>6.1229077854845118</v>
      </c>
      <c r="AU101" s="100">
        <v>4430.5360735765926</v>
      </c>
      <c r="AV101" s="100">
        <v>6.1905209566654689</v>
      </c>
      <c r="AW101" s="100">
        <v>4479.4609642431333</v>
      </c>
      <c r="AX101" s="100">
        <v>1.571239854632013</v>
      </c>
      <c r="AY101" s="100">
        <v>1136.9491588117246</v>
      </c>
      <c r="AZ101" s="100">
        <v>7.2879542862401623</v>
      </c>
      <c r="BA101" s="100">
        <v>5273.5637215233819</v>
      </c>
      <c r="BB101" s="100">
        <v>7.3301010494111054</v>
      </c>
      <c r="BC101" s="100">
        <v>5304.0611193538762</v>
      </c>
      <c r="BD101" s="100">
        <v>6.5759954845878035</v>
      </c>
      <c r="BE101" s="100">
        <v>4758.3903326477348</v>
      </c>
      <c r="BF101" s="100">
        <v>2.2837765574451421</v>
      </c>
      <c r="BG101" s="100">
        <v>1652.5407169673049</v>
      </c>
      <c r="BH101" s="100">
        <v>12.031272374213955</v>
      </c>
      <c r="BI101" s="100">
        <v>8705.8286899812192</v>
      </c>
      <c r="BJ101" s="100">
        <v>4.0156434865671891</v>
      </c>
      <c r="BK101" s="100">
        <v>2905.719626880018</v>
      </c>
      <c r="BL101" s="100">
        <v>6.4721989842770808</v>
      </c>
      <c r="BM101" s="100">
        <v>4683.2831850228959</v>
      </c>
      <c r="BN101" s="100">
        <v>13.049930060880259</v>
      </c>
      <c r="BO101" s="100">
        <v>9442.9293920529562</v>
      </c>
      <c r="BP101" s="100">
        <v>6.4924030916612647</v>
      </c>
      <c r="BQ101" s="100">
        <v>4697.902877126091</v>
      </c>
      <c r="BR101" s="100">
        <v>6.9489174976484449</v>
      </c>
      <c r="BS101" s="100">
        <v>5028.236701298415</v>
      </c>
      <c r="BT101" s="100">
        <v>6.5637896286791202</v>
      </c>
      <c r="BU101" s="100">
        <v>4749.5581753122115</v>
      </c>
      <c r="BV101" s="100">
        <v>7.4330821972972299</v>
      </c>
      <c r="BW101" s="100">
        <v>5378.5782779642759</v>
      </c>
      <c r="BX101" s="100">
        <v>7.3665657248582992</v>
      </c>
      <c r="BY101" s="100">
        <v>5330.4469585074658</v>
      </c>
      <c r="BZ101" s="100">
        <v>6.5692892890235957</v>
      </c>
      <c r="CA101" s="100">
        <v>4753.5377295374738</v>
      </c>
      <c r="CB101" s="100">
        <v>7.8279665079266563</v>
      </c>
      <c r="CC101" s="100">
        <v>5664.3165651357285</v>
      </c>
      <c r="CD101" s="100">
        <v>8.9275670841037869</v>
      </c>
      <c r="CE101" s="100">
        <v>6459.9875420574999</v>
      </c>
      <c r="CF101" s="100">
        <v>7.3619409866176024</v>
      </c>
      <c r="CG101" s="100">
        <v>5327.1004979164973</v>
      </c>
      <c r="CH101" s="100">
        <v>2.0824985057687964</v>
      </c>
      <c r="CI101" s="100">
        <v>1506.895918774301</v>
      </c>
      <c r="CJ101" s="100">
        <v>9.8986497229319284</v>
      </c>
      <c r="CK101" s="100">
        <v>7162.6629395135433</v>
      </c>
      <c r="CL101" s="100">
        <v>8.350692064822077</v>
      </c>
      <c r="CM101" s="100">
        <v>6042.5607781052549</v>
      </c>
      <c r="CN101" s="100">
        <v>2.2238856838081342</v>
      </c>
      <c r="CO101" s="100">
        <v>1609.2036808035659</v>
      </c>
      <c r="CP101" s="100">
        <v>6.6125717240463651</v>
      </c>
      <c r="CQ101" s="100">
        <v>4784.8568995199503</v>
      </c>
      <c r="CR101" s="100">
        <v>2.1705593955475546</v>
      </c>
      <c r="CS101" s="100">
        <v>1570.6167786182107</v>
      </c>
      <c r="CT101" s="100">
        <v>8.6417374247768155</v>
      </c>
      <c r="CU101" s="100">
        <v>6253.1612005685038</v>
      </c>
    </row>
    <row r="102" spans="2:99">
      <c r="C102" s="99" t="s">
        <v>268</v>
      </c>
      <c r="D102" s="100">
        <v>8.1208161248669697</v>
      </c>
      <c r="E102" s="100">
        <v>4317.0258519792815</v>
      </c>
      <c r="F102" s="100">
        <v>6.5864437549406212</v>
      </c>
      <c r="G102" s="100">
        <v>3501.3535001264345</v>
      </c>
      <c r="H102" s="100">
        <v>5.3788827913193105</v>
      </c>
      <c r="I102" s="100">
        <v>2859.4140918653457</v>
      </c>
      <c r="J102" s="100">
        <v>4.7568550219240553</v>
      </c>
      <c r="K102" s="100">
        <v>2528.7441296548277</v>
      </c>
      <c r="L102" s="100">
        <v>10.165229099329068</v>
      </c>
      <c r="M102" s="100">
        <v>5403.8357892033328</v>
      </c>
      <c r="N102" s="100">
        <v>5.4022915919776953</v>
      </c>
      <c r="O102" s="100">
        <v>2871.8582102953428</v>
      </c>
      <c r="P102" s="100">
        <v>7.2836202972006205</v>
      </c>
      <c r="Q102" s="100">
        <v>3871.97254999185</v>
      </c>
      <c r="R102" s="100">
        <v>6.5856396009170304</v>
      </c>
      <c r="S102" s="100">
        <v>3500.9260118474936</v>
      </c>
      <c r="T102" s="100">
        <v>8.3676289361392318</v>
      </c>
      <c r="U102" s="100">
        <v>4448.2315424516155</v>
      </c>
      <c r="V102" s="100">
        <v>6.1368033979796852</v>
      </c>
      <c r="W102" s="100">
        <v>3262.3246863660006</v>
      </c>
      <c r="X102" s="100">
        <v>7.623294798989015</v>
      </c>
      <c r="Y102" s="100">
        <v>4052.5435151425604</v>
      </c>
      <c r="Z102" s="100">
        <v>5.2270997735541007</v>
      </c>
      <c r="AA102" s="100">
        <v>2778.72623962136</v>
      </c>
      <c r="AB102" s="100">
        <v>6.9388616514320365</v>
      </c>
      <c r="AC102" s="100">
        <v>3688.6988539012709</v>
      </c>
      <c r="AD102" s="100">
        <v>9.5411418205993286</v>
      </c>
      <c r="AE102" s="100">
        <v>5072.0709918306029</v>
      </c>
      <c r="AF102" s="100">
        <v>1.7425602351412217</v>
      </c>
      <c r="AG102" s="100">
        <v>926.34502100107352</v>
      </c>
      <c r="AH102" s="100">
        <v>2.1256488539721063</v>
      </c>
      <c r="AI102" s="100">
        <v>1129.9949307715717</v>
      </c>
      <c r="AJ102" s="100">
        <v>1.7793510936561208</v>
      </c>
      <c r="AK102" s="100">
        <v>945.90304138759382</v>
      </c>
      <c r="AL102" s="100">
        <v>2.1100681817440385</v>
      </c>
      <c r="AM102" s="100">
        <v>1121.7122454151308</v>
      </c>
      <c r="AN102" s="100">
        <v>7.2502673838172997</v>
      </c>
      <c r="AO102" s="100">
        <v>3854.2421412372769</v>
      </c>
      <c r="AP102" s="100">
        <v>7.8052799913350732</v>
      </c>
      <c r="AQ102" s="100">
        <v>4149.2868433937247</v>
      </c>
      <c r="AR102" s="100">
        <v>6.364798343033411</v>
      </c>
      <c r="AS102" s="100">
        <v>3383.5267991565615</v>
      </c>
      <c r="AT102" s="100">
        <v>6.2261008449111044</v>
      </c>
      <c r="AU102" s="100">
        <v>3309.7952091547431</v>
      </c>
      <c r="AV102" s="100">
        <v>6.4042162356412069</v>
      </c>
      <c r="AW102" s="100">
        <v>3404.4813508668658</v>
      </c>
      <c r="AX102" s="100">
        <v>1.7676448364610147</v>
      </c>
      <c r="AY102" s="100">
        <v>939.6799950626754</v>
      </c>
      <c r="AZ102" s="100">
        <v>7.9285076083313291</v>
      </c>
      <c r="BA102" s="100">
        <v>4214.7946445889347</v>
      </c>
      <c r="BB102" s="100">
        <v>8.8768883117034996</v>
      </c>
      <c r="BC102" s="100">
        <v>4718.9538265015808</v>
      </c>
      <c r="BD102" s="100">
        <v>5.8810557331862512</v>
      </c>
      <c r="BE102" s="100">
        <v>3126.3692277618111</v>
      </c>
      <c r="BF102" s="100">
        <v>2.5096427295142059</v>
      </c>
      <c r="BG102" s="100">
        <v>1334.126075009752</v>
      </c>
      <c r="BH102" s="100">
        <v>12.031272374213955</v>
      </c>
      <c r="BI102" s="100">
        <v>6395.8243941321389</v>
      </c>
      <c r="BJ102" s="100">
        <v>3.99917003691978</v>
      </c>
      <c r="BK102" s="100">
        <v>2125.958791626555</v>
      </c>
      <c r="BL102" s="100">
        <v>5.6921516380863268</v>
      </c>
      <c r="BM102" s="100">
        <v>3025.9478108066915</v>
      </c>
      <c r="BN102" s="100">
        <v>14.049930060880259</v>
      </c>
      <c r="BO102" s="100">
        <v>7468.9428203639463</v>
      </c>
      <c r="BP102" s="100">
        <v>6.5325304779935633</v>
      </c>
      <c r="BQ102" s="100">
        <v>3472.6932021013786</v>
      </c>
      <c r="BR102" s="100">
        <v>6.2630905263991394</v>
      </c>
      <c r="BS102" s="100">
        <v>3329.4589238337826</v>
      </c>
      <c r="BT102" s="100">
        <v>7.3271858384619408</v>
      </c>
      <c r="BU102" s="100">
        <v>3895.1319917263677</v>
      </c>
      <c r="BV102" s="100">
        <v>7.3445724484600579</v>
      </c>
      <c r="BW102" s="100">
        <v>3904.3747136013671</v>
      </c>
      <c r="BX102" s="100">
        <v>8.0309741483718913</v>
      </c>
      <c r="BY102" s="100">
        <v>4269.2658572744976</v>
      </c>
      <c r="BZ102" s="100">
        <v>6.5742450927557714</v>
      </c>
      <c r="CA102" s="100">
        <v>3494.8686913089682</v>
      </c>
      <c r="CB102" s="100">
        <v>7.7341547313437298</v>
      </c>
      <c r="CC102" s="100">
        <v>4111.4766551823268</v>
      </c>
      <c r="CD102" s="100">
        <v>7.8056336665198645</v>
      </c>
      <c r="CE102" s="100">
        <v>4149.4748571219598</v>
      </c>
      <c r="CF102" s="100">
        <v>7.2533802040780913</v>
      </c>
      <c r="CG102" s="100">
        <v>3855.8969164879136</v>
      </c>
      <c r="CH102" s="100">
        <v>2.3783688643834155</v>
      </c>
      <c r="CI102" s="100">
        <v>1264.3408883062239</v>
      </c>
      <c r="CJ102" s="100">
        <v>9.9984996921465878</v>
      </c>
      <c r="CK102" s="100">
        <v>5315.2024363451264</v>
      </c>
      <c r="CL102" s="100">
        <v>9.1098458888968104</v>
      </c>
      <c r="CM102" s="100">
        <v>4842.7940745375445</v>
      </c>
      <c r="CN102" s="100">
        <v>2.2078292899831551</v>
      </c>
      <c r="CO102" s="100">
        <v>1173.6820505550454</v>
      </c>
      <c r="CP102" s="100">
        <v>7.4508097431211322</v>
      </c>
      <c r="CQ102" s="100">
        <v>3960.8504594431943</v>
      </c>
      <c r="CR102" s="100">
        <v>2.4371712512772445</v>
      </c>
      <c r="CS102" s="100">
        <v>1295.6002371789832</v>
      </c>
      <c r="CT102" s="100">
        <v>8.7700849097321782</v>
      </c>
      <c r="CU102" s="100">
        <v>4662.1771380136261</v>
      </c>
    </row>
    <row r="103" spans="2:99">
      <c r="C103" s="99" t="s">
        <v>269</v>
      </c>
      <c r="D103" s="100">
        <v>7.0522101257978766</v>
      </c>
      <c r="E103" s="100">
        <v>4155.1622061201087</v>
      </c>
      <c r="F103" s="100">
        <v>7.3156250589740042</v>
      </c>
      <c r="G103" s="100">
        <v>4310.3662847474825</v>
      </c>
      <c r="H103" s="100">
        <v>5.3788827913193105</v>
      </c>
      <c r="I103" s="100">
        <v>3169.2377406453375</v>
      </c>
      <c r="J103" s="100">
        <v>5.393774006909978</v>
      </c>
      <c r="K103" s="100">
        <v>3178.0116448713588</v>
      </c>
      <c r="L103" s="100">
        <v>11.03046694935979</v>
      </c>
      <c r="M103" s="100">
        <v>6499.1511265627869</v>
      </c>
      <c r="N103" s="100">
        <v>4.9111741745251773</v>
      </c>
      <c r="O103" s="100">
        <v>2893.6638236302342</v>
      </c>
      <c r="P103" s="100">
        <v>8.3442836052812783</v>
      </c>
      <c r="Q103" s="100">
        <v>4916.4519002317284</v>
      </c>
      <c r="R103" s="100">
        <v>5.7665858600977353</v>
      </c>
      <c r="S103" s="100">
        <v>3397.6723887695853</v>
      </c>
      <c r="T103" s="100">
        <v>9.1966753191218285</v>
      </c>
      <c r="U103" s="100">
        <v>5418.6810980265809</v>
      </c>
      <c r="V103" s="100">
        <v>6.1368033979796852</v>
      </c>
      <c r="W103" s="100">
        <v>3615.8045620896301</v>
      </c>
      <c r="X103" s="100">
        <v>8.3042038164228522</v>
      </c>
      <c r="Y103" s="100">
        <v>4892.8368886363442</v>
      </c>
      <c r="Z103" s="100">
        <v>5.2057646918353004</v>
      </c>
      <c r="AA103" s="100">
        <v>3067.2365564293586</v>
      </c>
      <c r="AB103" s="100">
        <v>6.8146278957025448</v>
      </c>
      <c r="AC103" s="100">
        <v>4015.1787561479391</v>
      </c>
      <c r="AD103" s="100">
        <v>9.5411418205993286</v>
      </c>
      <c r="AE103" s="100">
        <v>5621.6407606971234</v>
      </c>
      <c r="AF103" s="100">
        <v>1.7425602351412217</v>
      </c>
      <c r="AG103" s="100">
        <v>1026.7164905452078</v>
      </c>
      <c r="AH103" s="100">
        <v>1.7005190831776851</v>
      </c>
      <c r="AI103" s="100">
        <v>1001.9458438082919</v>
      </c>
      <c r="AJ103" s="100">
        <v>1.5569322069491058</v>
      </c>
      <c r="AK103" s="100">
        <v>917.34445633441305</v>
      </c>
      <c r="AL103" s="100">
        <v>2.2859071968893754</v>
      </c>
      <c r="AM103" s="100">
        <v>1346.8565204072199</v>
      </c>
      <c r="AN103" s="100">
        <v>7.1925999285097895</v>
      </c>
      <c r="AO103" s="100">
        <v>4237.8798778779674</v>
      </c>
      <c r="AP103" s="100">
        <v>7.8052799913350732</v>
      </c>
      <c r="AQ103" s="100">
        <v>4598.8709708946244</v>
      </c>
      <c r="AR103" s="100">
        <v>6.4210979853631471</v>
      </c>
      <c r="AS103" s="100">
        <v>3783.3109329759659</v>
      </c>
      <c r="AT103" s="100">
        <v>5.8554151708486675</v>
      </c>
      <c r="AU103" s="100">
        <v>3450.0106186640346</v>
      </c>
      <c r="AV103" s="100">
        <v>6.4042162356412069</v>
      </c>
      <c r="AW103" s="100">
        <v>3773.3642060397988</v>
      </c>
      <c r="AX103" s="100">
        <v>1.571239854632013</v>
      </c>
      <c r="AY103" s="100">
        <v>925.77452234918189</v>
      </c>
      <c r="AZ103" s="100">
        <v>7.2014259241717822</v>
      </c>
      <c r="BA103" s="100">
        <v>4243.0801545220138</v>
      </c>
      <c r="BB103" s="100">
        <v>6.8637876385491143</v>
      </c>
      <c r="BC103" s="100">
        <v>4044.1436766331376</v>
      </c>
      <c r="BD103" s="100">
        <v>5.8810557331862512</v>
      </c>
      <c r="BE103" s="100">
        <v>3465.1180379933389</v>
      </c>
      <c r="BF103" s="100">
        <v>2.2869159120394551</v>
      </c>
      <c r="BG103" s="100">
        <v>1347.4508553736468</v>
      </c>
      <c r="BH103" s="100">
        <v>11.134399611635351</v>
      </c>
      <c r="BI103" s="100">
        <v>6560.3882511755473</v>
      </c>
      <c r="BJ103" s="100">
        <v>3.99917003691978</v>
      </c>
      <c r="BK103" s="100">
        <v>2356.310985753134</v>
      </c>
      <c r="BL103" s="100">
        <v>5.8275978450860855</v>
      </c>
      <c r="BM103" s="100">
        <v>3433.6206503247213</v>
      </c>
      <c r="BN103" s="100">
        <v>13.049930060880259</v>
      </c>
      <c r="BO103" s="100">
        <v>7689.0187918706479</v>
      </c>
      <c r="BP103" s="100">
        <v>6.5325304779935633</v>
      </c>
      <c r="BQ103" s="100">
        <v>3848.9669576338069</v>
      </c>
      <c r="BR103" s="100">
        <v>6.1535965675986928</v>
      </c>
      <c r="BS103" s="100">
        <v>3625.6990976291495</v>
      </c>
      <c r="BT103" s="100">
        <v>7.3319058704399982</v>
      </c>
      <c r="BU103" s="100">
        <v>4319.9589388632467</v>
      </c>
      <c r="BV103" s="100">
        <v>7.3445724484600579</v>
      </c>
      <c r="BW103" s="100">
        <v>4327.4220866326659</v>
      </c>
      <c r="BX103" s="100">
        <v>8.6953825718854816</v>
      </c>
      <c r="BY103" s="100">
        <v>5123.3194113549253</v>
      </c>
      <c r="BZ103" s="100">
        <v>6.5692892890235957</v>
      </c>
      <c r="CA103" s="100">
        <v>3870.6252490927022</v>
      </c>
      <c r="CB103" s="100">
        <v>6.7679897783732113</v>
      </c>
      <c r="CC103" s="100">
        <v>3987.6995774174957</v>
      </c>
      <c r="CD103" s="100">
        <v>8.4193423065959632</v>
      </c>
      <c r="CE103" s="100">
        <v>4960.6764870463412</v>
      </c>
      <c r="CF103" s="100">
        <v>7.2533802040780913</v>
      </c>
      <c r="CG103" s="100">
        <v>4273.6916162428106</v>
      </c>
      <c r="CH103" s="100">
        <v>2.3745668658945958</v>
      </c>
      <c r="CI103" s="100">
        <v>1399.0947973850957</v>
      </c>
      <c r="CJ103" s="100">
        <v>9.8986497229319284</v>
      </c>
      <c r="CK103" s="100">
        <v>5832.2844167514913</v>
      </c>
      <c r="CL103" s="100">
        <v>8.350692064822077</v>
      </c>
      <c r="CM103" s="100">
        <v>4920.2277645931672</v>
      </c>
      <c r="CN103" s="100">
        <v>2.0528175542844314</v>
      </c>
      <c r="CO103" s="100">
        <v>1209.5201029843868</v>
      </c>
      <c r="CP103" s="100">
        <v>7.5335770309570211</v>
      </c>
      <c r="CQ103" s="100">
        <v>4438.7835866398764</v>
      </c>
      <c r="CR103" s="100">
        <v>2.4337472013036048</v>
      </c>
      <c r="CS103" s="100">
        <v>1433.9638510080838</v>
      </c>
      <c r="CT103" s="100">
        <v>8.898432394687541</v>
      </c>
      <c r="CU103" s="100">
        <v>5242.9563669498984</v>
      </c>
    </row>
    <row r="104" spans="2:99">
      <c r="C104" s="99" t="s">
        <v>270</v>
      </c>
      <c r="D104" s="100">
        <v>7.8280125212438438</v>
      </c>
      <c r="E104" s="100">
        <v>4950.4351184346069</v>
      </c>
      <c r="F104" s="100">
        <v>7.3156250589740042</v>
      </c>
      <c r="G104" s="100">
        <v>4626.4012872951598</v>
      </c>
      <c r="H104" s="100">
        <v>4.8648319517178313</v>
      </c>
      <c r="I104" s="100">
        <v>3076.5197262663564</v>
      </c>
      <c r="J104" s="100">
        <v>5.393774006909978</v>
      </c>
      <c r="K104" s="100">
        <v>3411.0226819698701</v>
      </c>
      <c r="L104" s="100">
        <v>11.181752009261976</v>
      </c>
      <c r="M104" s="100">
        <v>7071.3399706572727</v>
      </c>
      <c r="N104" s="100">
        <v>4.9111741745251773</v>
      </c>
      <c r="O104" s="100">
        <v>3105.826547969722</v>
      </c>
      <c r="P104" s="100">
        <v>7.3794211338533939</v>
      </c>
      <c r="Q104" s="100">
        <v>4666.7459250488864</v>
      </c>
      <c r="R104" s="100">
        <v>6.0089810149072571</v>
      </c>
      <c r="S104" s="100">
        <v>3800.0795938273491</v>
      </c>
      <c r="T104" s="100">
        <v>8.3676289361392318</v>
      </c>
      <c r="U104" s="100">
        <v>5291.6885392144495</v>
      </c>
      <c r="V104" s="100">
        <v>6.1368033979796852</v>
      </c>
      <c r="W104" s="100">
        <v>3880.9144688823526</v>
      </c>
      <c r="X104" s="100">
        <v>8.2024282383415237</v>
      </c>
      <c r="Y104" s="100">
        <v>5187.2156179271797</v>
      </c>
      <c r="Z104" s="100">
        <v>5.2270997735541007</v>
      </c>
      <c r="AA104" s="100">
        <v>3305.617896795613</v>
      </c>
      <c r="AB104" s="100">
        <v>6.0185864187871703</v>
      </c>
      <c r="AC104" s="100">
        <v>3806.1540512410065</v>
      </c>
      <c r="AD104" s="100">
        <v>9.5411418205993286</v>
      </c>
      <c r="AE104" s="100">
        <v>6033.8180873470155</v>
      </c>
      <c r="AF104" s="100">
        <v>1.5397963216967565</v>
      </c>
      <c r="AG104" s="100">
        <v>973.76719384102876</v>
      </c>
      <c r="AH104" s="100">
        <v>1.9130839685748957</v>
      </c>
      <c r="AI104" s="100">
        <v>1209.8343017267639</v>
      </c>
      <c r="AJ104" s="100">
        <v>1.7793510936561208</v>
      </c>
      <c r="AK104" s="100">
        <v>1125.2616316281308</v>
      </c>
      <c r="AL104" s="100">
        <v>1.9342291665987019</v>
      </c>
      <c r="AM104" s="100">
        <v>1223.2065249570192</v>
      </c>
      <c r="AN104" s="100">
        <v>7.1925999285097895</v>
      </c>
      <c r="AO104" s="100">
        <v>4548.6001947895911</v>
      </c>
      <c r="AP104" s="100">
        <v>7.6781358967724289</v>
      </c>
      <c r="AQ104" s="100">
        <v>4855.6531411188835</v>
      </c>
      <c r="AR104" s="100">
        <v>5.5746045696842028</v>
      </c>
      <c r="AS104" s="100">
        <v>3525.3799298682898</v>
      </c>
      <c r="AT104" s="100">
        <v>6.0878306277079917</v>
      </c>
      <c r="AU104" s="100">
        <v>3849.9440889625339</v>
      </c>
      <c r="AV104" s="100">
        <v>6.2960339401769456</v>
      </c>
      <c r="AW104" s="100">
        <v>3981.6118637679001</v>
      </c>
      <c r="AX104" s="100">
        <v>1.7676448364610147</v>
      </c>
      <c r="AY104" s="100">
        <v>1117.8585945779457</v>
      </c>
      <c r="AZ104" s="100">
        <v>7.9552459006964478</v>
      </c>
      <c r="BA104" s="100">
        <v>5030.8975076004335</v>
      </c>
      <c r="BB104" s="100">
        <v>7.7591987488210714</v>
      </c>
      <c r="BC104" s="100">
        <v>4906.9172887544455</v>
      </c>
      <c r="BD104" s="100">
        <v>6.5759954845878035</v>
      </c>
      <c r="BE104" s="100">
        <v>4158.6595444533268</v>
      </c>
      <c r="BF104" s="100">
        <v>2.2837765574451421</v>
      </c>
      <c r="BG104" s="100">
        <v>1444.2602949283078</v>
      </c>
      <c r="BH104" s="100">
        <v>11.134399611635351</v>
      </c>
      <c r="BI104" s="100">
        <v>7041.3943143981951</v>
      </c>
      <c r="BJ104" s="100">
        <v>4.0156434865671891</v>
      </c>
      <c r="BK104" s="100">
        <v>2539.4929409050901</v>
      </c>
      <c r="BL104" s="100">
        <v>5.8329098544147087</v>
      </c>
      <c r="BM104" s="100">
        <v>3688.7321919318615</v>
      </c>
      <c r="BN104" s="100">
        <v>15.049930060880259</v>
      </c>
      <c r="BO104" s="100">
        <v>9517.5757705006745</v>
      </c>
      <c r="BP104" s="100">
        <v>6.5325304779935633</v>
      </c>
      <c r="BQ104" s="100">
        <v>4131.1722742831289</v>
      </c>
      <c r="BR104" s="100">
        <v>6.949302768602351</v>
      </c>
      <c r="BS104" s="100">
        <v>4394.7390708641269</v>
      </c>
      <c r="BT104" s="100">
        <v>7.3319058704399982</v>
      </c>
      <c r="BU104" s="100">
        <v>4636.6972724662546</v>
      </c>
      <c r="BV104" s="100">
        <v>7.3445724484600579</v>
      </c>
      <c r="BW104" s="100">
        <v>4644.70761640614</v>
      </c>
      <c r="BX104" s="100">
        <v>8.0309741483718913</v>
      </c>
      <c r="BY104" s="100">
        <v>5078.7880514303843</v>
      </c>
      <c r="BZ104" s="100">
        <v>7.2953782940684624</v>
      </c>
      <c r="CA104" s="100">
        <v>4613.5972331688954</v>
      </c>
      <c r="CB104" s="100">
        <v>6.6741780017902856</v>
      </c>
      <c r="CC104" s="100">
        <v>4220.7501683321761</v>
      </c>
      <c r="CD104" s="100">
        <v>8.3138584440276873</v>
      </c>
      <c r="CE104" s="100">
        <v>5257.6840800031096</v>
      </c>
      <c r="CF104" s="100">
        <v>7.3619409866176024</v>
      </c>
      <c r="CG104" s="100">
        <v>4655.6914799369715</v>
      </c>
      <c r="CH104" s="100">
        <v>2.0824985057687964</v>
      </c>
      <c r="CI104" s="100">
        <v>1316.9720550481868</v>
      </c>
      <c r="CJ104" s="100">
        <v>9.8986497229319284</v>
      </c>
      <c r="CK104" s="100">
        <v>6259.9060847821511</v>
      </c>
      <c r="CL104" s="100">
        <v>8.8125660125956315</v>
      </c>
      <c r="CM104" s="100">
        <v>5573.0667463654772</v>
      </c>
      <c r="CN104" s="100">
        <v>2.3869256164193478</v>
      </c>
      <c r="CO104" s="100">
        <v>1509.4917598235954</v>
      </c>
      <c r="CP104" s="100">
        <v>6.6125717240463651</v>
      </c>
      <c r="CQ104" s="100">
        <v>4181.7903582869212</v>
      </c>
      <c r="CR104" s="100">
        <v>2.4371712512772445</v>
      </c>
      <c r="CS104" s="100">
        <v>1541.2670993077295</v>
      </c>
      <c r="CT104" s="100">
        <v>9.7700849097321782</v>
      </c>
      <c r="CU104" s="100">
        <v>6178.6016969146294</v>
      </c>
    </row>
    <row r="105" spans="2:99">
      <c r="C105" s="99" t="s">
        <v>271</v>
      </c>
      <c r="D105" s="100">
        <v>7.8959397780421092</v>
      </c>
      <c r="E105" s="100">
        <v>4396.4592684138461</v>
      </c>
      <c r="F105" s="100">
        <v>7.3156250589740042</v>
      </c>
      <c r="G105" s="100">
        <v>4073.3400328367252</v>
      </c>
      <c r="H105" s="100">
        <v>6.2691462483737919</v>
      </c>
      <c r="I105" s="100">
        <v>3490.6606310945272</v>
      </c>
      <c r="J105" s="100">
        <v>4.7665397029753835</v>
      </c>
      <c r="K105" s="100">
        <v>2654.0093066166933</v>
      </c>
      <c r="L105" s="100">
        <v>10.165229099329068</v>
      </c>
      <c r="M105" s="100">
        <v>5659.9995625064248</v>
      </c>
      <c r="N105" s="100">
        <v>5.4022915919776953</v>
      </c>
      <c r="O105" s="100">
        <v>3007.9959584131807</v>
      </c>
      <c r="P105" s="100">
        <v>8.3442836052812783</v>
      </c>
      <c r="Q105" s="100">
        <v>4646.097111420615</v>
      </c>
      <c r="R105" s="100">
        <v>6.0089810149072571</v>
      </c>
      <c r="S105" s="100">
        <v>3345.8006291003603</v>
      </c>
      <c r="T105" s="100">
        <v>8.1966753191218285</v>
      </c>
      <c r="U105" s="100">
        <v>4563.9088176870337</v>
      </c>
      <c r="V105" s="100">
        <v>6.1368033979796852</v>
      </c>
      <c r="W105" s="100">
        <v>3416.9721319950886</v>
      </c>
      <c r="X105" s="100">
        <v>8.3042038164228522</v>
      </c>
      <c r="Y105" s="100">
        <v>4623.7806849842436</v>
      </c>
      <c r="Z105" s="100">
        <v>5.2484348552728983</v>
      </c>
      <c r="AA105" s="100">
        <v>2922.3285274159493</v>
      </c>
      <c r="AB105" s="100">
        <v>6.1428201745166628</v>
      </c>
      <c r="AC105" s="100">
        <v>3420.3222731708775</v>
      </c>
      <c r="AD105" s="100">
        <v>9.5411418205993286</v>
      </c>
      <c r="AE105" s="100">
        <v>5312.5077657097054</v>
      </c>
      <c r="AF105" s="100">
        <v>1.955361559217812</v>
      </c>
      <c r="AG105" s="100">
        <v>1088.7453161724777</v>
      </c>
      <c r="AH105" s="100">
        <v>2.1256488539721063</v>
      </c>
      <c r="AI105" s="100">
        <v>1183.5612818916686</v>
      </c>
      <c r="AJ105" s="100">
        <v>1.5569322069491058</v>
      </c>
      <c r="AK105" s="100">
        <v>866.89985282926204</v>
      </c>
      <c r="AL105" s="100">
        <v>1.9342291665987019</v>
      </c>
      <c r="AM105" s="100">
        <v>1076.9787999621572</v>
      </c>
      <c r="AN105" s="100">
        <v>6.52524064543557</v>
      </c>
      <c r="AO105" s="100">
        <v>3633.2539913785249</v>
      </c>
      <c r="AP105" s="100">
        <v>8.5921121363955066</v>
      </c>
      <c r="AQ105" s="100">
        <v>4784.0880375450179</v>
      </c>
      <c r="AR105" s="100">
        <v>6.4210979853631471</v>
      </c>
      <c r="AS105" s="100">
        <v>3575.2673582502002</v>
      </c>
      <c r="AT105" s="100">
        <v>4.8433986728799816</v>
      </c>
      <c r="AU105" s="100">
        <v>2696.8043810595736</v>
      </c>
      <c r="AV105" s="100">
        <v>5.5051641458948986</v>
      </c>
      <c r="AW105" s="100">
        <v>3065.2753964342792</v>
      </c>
      <c r="AX105" s="100">
        <v>1.571239854632013</v>
      </c>
      <c r="AY105" s="100">
        <v>874.86635105910477</v>
      </c>
      <c r="AZ105" s="100">
        <v>8.0174667242510829</v>
      </c>
      <c r="BA105" s="100">
        <v>4464.1254720630022</v>
      </c>
      <c r="BB105" s="100">
        <v>8.0854711467842986</v>
      </c>
      <c r="BC105" s="100">
        <v>4501.990334529497</v>
      </c>
      <c r="BD105" s="100">
        <v>5.8810557331862512</v>
      </c>
      <c r="BE105" s="100">
        <v>3274.5718322381044</v>
      </c>
      <c r="BF105" s="100">
        <v>2.2869159120394551</v>
      </c>
      <c r="BG105" s="100">
        <v>1273.3547798235686</v>
      </c>
      <c r="BH105" s="100">
        <v>11.031272374213955</v>
      </c>
      <c r="BI105" s="100">
        <v>6142.2124579623296</v>
      </c>
      <c r="BJ105" s="100">
        <v>3.99917003691978</v>
      </c>
      <c r="BK105" s="100">
        <v>2226.7378765569333</v>
      </c>
      <c r="BL105" s="100">
        <v>5.6921516380863268</v>
      </c>
      <c r="BM105" s="100">
        <v>3169.3900320864664</v>
      </c>
      <c r="BN105" s="100">
        <v>13.049930060880259</v>
      </c>
      <c r="BO105" s="100">
        <v>7266.2010578981271</v>
      </c>
      <c r="BP105" s="100">
        <v>5.8914071293624648</v>
      </c>
      <c r="BQ105" s="100">
        <v>3280.3354896290202</v>
      </c>
      <c r="BR105" s="100">
        <v>6.9489174976484449</v>
      </c>
      <c r="BS105" s="100">
        <v>3869.1572626906536</v>
      </c>
      <c r="BT105" s="100">
        <v>7.3366259024180556</v>
      </c>
      <c r="BU105" s="100">
        <v>4085.0333024663728</v>
      </c>
      <c r="BV105" s="100">
        <v>6.7251620888748729</v>
      </c>
      <c r="BW105" s="100">
        <v>3744.570251085529</v>
      </c>
      <c r="BX105" s="100">
        <v>8.0309741483718913</v>
      </c>
      <c r="BY105" s="100">
        <v>4471.6464058134688</v>
      </c>
      <c r="BZ105" s="100">
        <v>6.5692892890235957</v>
      </c>
      <c r="CA105" s="100">
        <v>3657.7802761283378</v>
      </c>
      <c r="CB105" s="100">
        <v>8.4517666492863057</v>
      </c>
      <c r="CC105" s="100">
        <v>4705.9436703226147</v>
      </c>
      <c r="CD105" s="100">
        <v>8.9275670841037869</v>
      </c>
      <c r="CE105" s="100">
        <v>4970.8693524289883</v>
      </c>
      <c r="CF105" s="100">
        <v>7.3619409866176024</v>
      </c>
      <c r="CG105" s="100">
        <v>4099.1287413486807</v>
      </c>
      <c r="CH105" s="100">
        <v>2.3745668658945958</v>
      </c>
      <c r="CI105" s="100">
        <v>1322.1588309301108</v>
      </c>
      <c r="CJ105" s="100">
        <v>8.9984996921465878</v>
      </c>
      <c r="CK105" s="100">
        <v>5010.3646285872201</v>
      </c>
      <c r="CL105" s="100">
        <v>8.350692064822077</v>
      </c>
      <c r="CM105" s="100">
        <v>4649.6653416929321</v>
      </c>
      <c r="CN105" s="100">
        <v>2.0549946763719973</v>
      </c>
      <c r="CO105" s="100">
        <v>1144.2210358039281</v>
      </c>
      <c r="CP105" s="100">
        <v>6.6125717240463651</v>
      </c>
      <c r="CQ105" s="100">
        <v>3681.8799359490158</v>
      </c>
      <c r="CR105" s="100">
        <v>2.1705593955475546</v>
      </c>
      <c r="CS105" s="100">
        <v>1208.5674714408783</v>
      </c>
      <c r="CT105" s="100">
        <v>9.7700849097321782</v>
      </c>
      <c r="CU105" s="100">
        <v>5439.9832777388765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310.54314991578042</v>
      </c>
      <c r="E109" s="100">
        <f>SUM(L$6:L$19)+SUM(N$6:N$19)+SUM(P$6:P$19)+SUM(R$6:R$19)</f>
        <v>325.96474860158628</v>
      </c>
      <c r="F109" s="100">
        <f>SUM(T$6:T$19)+SUM(V$6:V$19)+SUM(X$6:X$19)+SUM(Z$6:Z$19)</f>
        <v>367.60670563643902</v>
      </c>
      <c r="G109" s="100">
        <f>SUM(AB$6:AB$19)+SUM(AD$6:AD$19)+SUM(AF$6:AF$19)+SUM(AH$6:AH$19)</f>
        <v>222.66954976859628</v>
      </c>
      <c r="H109" s="100">
        <f>SUM(AJ$6:AJ$19)+SUM(AL$6:AL$19)+SUM(AN$6:AN$19)+SUM(AP$6:AP$19)</f>
        <v>320.027695033687</v>
      </c>
      <c r="I109" s="100">
        <f>SUM(AR$6:AR$19)+SUM(AT$6:AT$19)+SUM(AV$6:AV$19)+SUM(AX$6:AX$19)</f>
        <v>405.90580668834718</v>
      </c>
      <c r="J109" s="100">
        <f>SUM(AZ$6:AZ$19)+SUM(BB$6:BB$19)+SUM(BD$6:BD$19)+SUM(BF$6:BF$19)</f>
        <v>296.80910803899178</v>
      </c>
      <c r="K109" s="100">
        <f>SUM(BH$6:BH$19)+SUM(BJ$6:BJ$19)+SUM(BL$6:BL$19)+SUM(BN$6:BN$19)</f>
        <v>306.83643471194154</v>
      </c>
      <c r="L109" s="100">
        <f>SUM(BP$6:BP$19)+SUM(BR$6:BR$19)+SUM(BT$6:BT$19)+SUM(BV$6:BV$19)</f>
        <v>310.58417209850876</v>
      </c>
      <c r="M109" s="100">
        <f>SUM(BX$6:BX$19)+SUM(BZ$6:BZ$19)+SUM(CB$6:CB$19)+SUM(CD$6:CD$19)</f>
        <v>403.17361008299832</v>
      </c>
      <c r="N109" s="100">
        <f>SUM(CF$6:CF$19)+SUM(CH$6:CH$19)+SUM(CJ$6:CJ$19)+SUM(CL$6:CL$19)</f>
        <v>366.67155360656949</v>
      </c>
      <c r="O109" s="100">
        <f>SUM(CN$6:CN$19)+SUM(CP$6:CP$19)+SUM(CR$6:CR$19)+SUM(CT$6:CT$19)</f>
        <v>243.61137901851123</v>
      </c>
    </row>
    <row r="110" spans="2:99">
      <c r="C110" s="99" t="s">
        <v>127</v>
      </c>
      <c r="D110" s="100">
        <f>SUM(D$20:D$36)+SUM(F$20:F$36)+SUM(H$20:H$36)+SUM(J$20:J$36)</f>
        <v>405.0135491539005</v>
      </c>
      <c r="E110" s="100">
        <f>SUM(L$20:L$36)+SUM(N$20:N$36)+SUM(P$20:P$36)+SUM(R$20:R$36)</f>
        <v>489.2942262729444</v>
      </c>
      <c r="F110" s="100">
        <f>SUM(T$20:T$36)+SUM(V$20:V$36)+SUM(X$20:X$36)+SUM(Z$20:Z$36)</f>
        <v>535.36578420993885</v>
      </c>
      <c r="G110" s="100">
        <f>SUM(AB$20:AB$36)+SUM(AD$20:AD$36)+SUM(AF$20:AF$36)+SUM(AH$20:AH$36)</f>
        <v>362.40885451637314</v>
      </c>
      <c r="H110" s="100">
        <f>SUM(AJ$20:AJ$36)+SUM(AL$20:AL$36)+SUM(AN$20:AN$36)+SUM(AP$20:AP$36)</f>
        <v>574.78223871042098</v>
      </c>
      <c r="I110" s="100">
        <f>SUM(AR$20:AR$36)+SUM(AT$20:AT$36)+SUM(AV$20:AV$36)+SUM(AX$20:AX$36)</f>
        <v>448.47511524121882</v>
      </c>
      <c r="J110" s="100">
        <f>SUM(AZ$20:AZ$36)+SUM(BB$20:BB$36)+SUM(BD$20:BD$36)+SUM(BF$20:BF$36)</f>
        <v>511.2195503502233</v>
      </c>
      <c r="K110" s="100">
        <f>SUM(BH$20:BH$36)+SUM(BJ$20:BJ$36)+SUM(BL$20:BL$36)+SUM(BN$20:BN$36)</f>
        <v>417.96548469595939</v>
      </c>
      <c r="L110" s="100">
        <f>SUM(BP$20:BP$36)+SUM(BR$20:BR$36)+SUM(BT$20:BT$36)+SUM(BV$20:BV$36)</f>
        <v>540.02634975497222</v>
      </c>
      <c r="M110" s="100">
        <f>SUM(BX$20:BX$36)+SUM(BZ$20:BZ$36)+SUM(CB$20:CB$36)+SUM(CD$20:CD$36)</f>
        <v>478.64808801854008</v>
      </c>
      <c r="N110" s="100">
        <f>SUM(CF$20:CF$36)+SUM(CH$20:CH$36)+SUM(CJ$20:CJ$36)+SUM(CL$20:CL$36)</f>
        <v>518.23385436572778</v>
      </c>
      <c r="O110" s="100">
        <f>SUM(CN$20:CN$36)+SUM(CP$20:CP$36)+SUM(CR$20:CR$36)+SUM(CT$20:CT$36)</f>
        <v>302.85519801170051</v>
      </c>
    </row>
    <row r="111" spans="2:99">
      <c r="C111" s="99" t="s">
        <v>128</v>
      </c>
      <c r="D111" s="100">
        <f>SUM(D$37:D$48)+SUM(F$37:F$48)+SUM(H$37:H$48)+SUM(J$37:J$48)</f>
        <v>557.27863219516894</v>
      </c>
      <c r="E111" s="100">
        <f>SUM(L$37:L$48)+SUM(N$37:N$48)+SUM(P$37:P$48)+SUM(R$37:R$48)</f>
        <v>662.03105376802318</v>
      </c>
      <c r="F111" s="100">
        <f>SUM(T$37:T$48)+SUM(V$37:V$48)+SUM(X$37:X$48)+SUM(Z$37:Z$48)</f>
        <v>580.97183939712409</v>
      </c>
      <c r="G111" s="100">
        <f>SUM(AB$37:AB$48)+SUM(AD$37:AD$48)+SUM(AF$37:AF$48)+SUM(AH$37:AH$48)</f>
        <v>449.83724357088073</v>
      </c>
      <c r="H111" s="100">
        <f>SUM(AJ$37:AJ$48)+SUM(AL$37:AL$48)+SUM(AN$37:AN$48)+SUM(AP$37:AP$48)</f>
        <v>599.26748115649389</v>
      </c>
      <c r="I111" s="100">
        <f>SUM(AR$37:AR$48)+SUM(AT$37:AT$48)+SUM(AV$37:AV$48)+SUM(AX$37:AX$48)</f>
        <v>552.57768919403759</v>
      </c>
      <c r="J111" s="100">
        <f>SUM(AZ$37:AZ$48)+SUM(BB$37:BB$48)+SUM(BD$37:BD$48)+SUM(BF$37:BF$48)</f>
        <v>535.21514535833148</v>
      </c>
      <c r="K111" s="100">
        <f>SUM(BH$37:BH$48)+SUM(BJ$37:BJ$48)+SUM(BL$37:BL$48)+SUM(BN$37:BN$48)</f>
        <v>454.07528338248324</v>
      </c>
      <c r="L111" s="100">
        <f>SUM(BP$37:BP$48)+SUM(BR$37:BR$48)+SUM(BT$37:BT$48)+SUM(BV$37:BV$48)</f>
        <v>511.84346368234492</v>
      </c>
      <c r="M111" s="100">
        <f>SUM(BX$37:BX$48)+SUM(BZ$37:BZ$48)+SUM(CB$37:CB$48)+SUM(CD$37:CD$48)</f>
        <v>644.66506295461375</v>
      </c>
      <c r="N111" s="100">
        <f>SUM(CF$37:CF$48)+SUM(CH$37:CH$48)+SUM(CJ$37:CJ$48)+SUM(CL$37:CL$48)</f>
        <v>605.88184245870559</v>
      </c>
      <c r="O111" s="100">
        <f>SUM(CN$37:CN$48)+SUM(CP$37:CP$48)+SUM(CR$37:CR$48)+SUM(CT$37:CT$48)</f>
        <v>375.1690434690413</v>
      </c>
    </row>
    <row r="112" spans="2:99">
      <c r="C112" s="99" t="s">
        <v>129</v>
      </c>
      <c r="D112" s="100">
        <f>SUM(D$49:D$70)+SUM(F$49:F$70)+SUM(H$49:H$70)+SUM(J$49:J$70)</f>
        <v>589.30658449154146</v>
      </c>
      <c r="E112" s="100">
        <f>SUM(L$49:L$70)+SUM(N$49:N$70)+SUM(P$49:P$70)+SUM(R$49:R$70)</f>
        <v>678.85809014028519</v>
      </c>
      <c r="F112" s="100">
        <f>SUM(T$49:T$70)+SUM(V$49:V$70)+SUM(X$49:X$70)+SUM(Z$49:Z$70)</f>
        <v>533.87985937426811</v>
      </c>
      <c r="G112" s="100">
        <f>SUM(AB$49:AB$70)+SUM(AD$49:AD$70)+SUM(AF$49:AF$70)+SUM(AH$49:AH$70)</f>
        <v>486.27257865728643</v>
      </c>
      <c r="H112" s="100">
        <f>SUM(AJ$49:AJ$70)+SUM(AL$49:AL$70)+SUM(AN$49:AN$70)+SUM(AP$49:AP$70)</f>
        <v>649.14221750330671</v>
      </c>
      <c r="I112" s="100">
        <f>SUM(AR$49:AR$70)+SUM(AT$49:AT$70)+SUM(AV$49:AV$70)+SUM(AX$49:AX$70)</f>
        <v>627.84268472137774</v>
      </c>
      <c r="J112" s="100">
        <f>SUM(AZ$49:AZ$70)+SUM(BB$49:BB$70)+SUM(BD$49:BD$70)+SUM(BF$49:BF$70)</f>
        <v>652.40186358801589</v>
      </c>
      <c r="K112" s="100">
        <f>SUM(BH$49:BH$70)+SUM(BJ$49:BJ$70)+SUM(BL$49:BL$70)+SUM(BN$49:BN$70)</f>
        <v>454.34662236210255</v>
      </c>
      <c r="L112" s="100">
        <f>SUM(BP$49:BP$70)+SUM(BR$49:BR$70)+SUM(BT$49:BT$70)+SUM(BV$49:BV$70)</f>
        <v>590.9801111427563</v>
      </c>
      <c r="M112" s="100">
        <f>SUM(BX$49:BX$70)+SUM(BZ$49:BZ$70)+SUM(CB$49:CB$70)+SUM(CD$49:CD$70)</f>
        <v>544.25663862191391</v>
      </c>
      <c r="N112" s="100">
        <f>SUM(CF$49:CF$70)+SUM(CH$49:CH$70)+SUM(CJ$49:CJ$70)+SUM(CL$49:CL$70)</f>
        <v>611.86015775720693</v>
      </c>
      <c r="O112" s="100">
        <f>SUM(CN$49:CN$70)+SUM(CP$49:CP$70)+SUM(CR$49:CR$70)+SUM(CT$49:CT$70)</f>
        <v>371.12421260419387</v>
      </c>
    </row>
    <row r="113" spans="2:15">
      <c r="C113" s="99" t="s">
        <v>130</v>
      </c>
      <c r="D113" s="100">
        <f>SUM(D$71:D$86)+SUM(F$71:F$86)+SUM(H$71:H$86)+SUM(J$71:J$86)</f>
        <v>331.69276927029807</v>
      </c>
      <c r="E113" s="100">
        <f>SUM(L$71:L$86)+SUM(N$71:N$86)+SUM(P$71:P$86)+SUM(R$71:R$86)</f>
        <v>401.46941911600976</v>
      </c>
      <c r="F113" s="100">
        <f>SUM(T$71:T$86)+SUM(V$71:V$86)+SUM(X$71:X$86)+SUM(Z$71:Z$86)</f>
        <v>318.90561026939753</v>
      </c>
      <c r="G113" s="100">
        <f>SUM(AB$71:AB$86)+SUM(AD$71:AD$86)+SUM(AF$71:AF$86)+SUM(AH$71:AH$86)</f>
        <v>263.12994695599099</v>
      </c>
      <c r="H113" s="100">
        <f>SUM(AJ$71:AJ$86)+SUM(AL$71:AL$86)+SUM(AN$71:AN$86)+SUM(AP$71:AP$86)</f>
        <v>183.7556970948666</v>
      </c>
      <c r="I113" s="100">
        <f>SUM(AR$71:AR$86)+SUM(AT$71:AT$86)+SUM(AV$71:AV$86)+SUM(AX$71:AX$86)</f>
        <v>318.27479616348177</v>
      </c>
      <c r="J113" s="100">
        <f>SUM(AZ$71:AZ$86)+SUM(BB$71:BB$86)+SUM(BD$71:BD$86)+SUM(BF$71:BF$86)</f>
        <v>345.92274782312825</v>
      </c>
      <c r="K113" s="100">
        <f>SUM(BH$71:BH$86)+SUM(BJ$71:BJ$86)+SUM(BL$71:BL$86)+SUM(BN$71:BN$86)</f>
        <v>323.40759846836926</v>
      </c>
      <c r="L113" s="100">
        <f>SUM(BP$71:BP$86)+SUM(BR$71:BR$86)+SUM(BT$71:BT$86)+SUM(BV$71:BV$86)</f>
        <v>382.23762123439406</v>
      </c>
      <c r="M113" s="100">
        <f>SUM(BX$71:BX$86)+SUM(BZ$71:BZ$86)+SUM(CB$71:CB$86)+SUM(CD$71:CD$86)</f>
        <v>415.49104869898508</v>
      </c>
      <c r="N113" s="100">
        <f>SUM(CF$71:CF$86)+SUM(CH$71:CH$86)+SUM(CJ$71:CJ$86)+SUM(CL$71:CL$86)</f>
        <v>408.6309737939273</v>
      </c>
      <c r="O113" s="100">
        <f>SUM(CN$71:CN$86)+SUM(CP$71:CP$86)+SUM(CR$71:CR$86)+SUM(CT$71:CT$86)</f>
        <v>312.54964057036625</v>
      </c>
    </row>
    <row r="114" spans="2:15">
      <c r="C114" s="99" t="s">
        <v>131</v>
      </c>
      <c r="D114" s="100">
        <f>SUM(D$87:D$94)+SUM(F$87:F$94)+SUM(H$87:H$94)+SUM(J$87:J$94)</f>
        <v>154.43067173412419</v>
      </c>
      <c r="E114" s="100">
        <f>SUM(L$87:L$94)+SUM(N$87:N$94)+SUM(P$87:P$94)+SUM(R$87:R$94)</f>
        <v>156.90198067073965</v>
      </c>
      <c r="F114" s="100">
        <f>SUM(T$87:T$94)+SUM(V$87:V$94)+SUM(X$87:X$94)+SUM(Z$87:Z$94)</f>
        <v>164.32662719619992</v>
      </c>
      <c r="G114" s="100">
        <f>SUM(AB$87:AB$94)+SUM(AD$87:AD$94)+SUM(AF$87:AF$94)+SUM(AH$87:AH$94)</f>
        <v>135.02700064674343</v>
      </c>
      <c r="H114" s="100">
        <f>SUM(AJ$87:AJ$94)+SUM(AL$87:AL$94)+SUM(AN$87:AN$94)+SUM(AP$87:AP$94)</f>
        <v>96.572876874332167</v>
      </c>
      <c r="I114" s="100">
        <f>SUM(AR$87:AR$94)+SUM(AT$87:AT$94)+SUM(AV$87:AV$94)+SUM(AX$87:AX$94)</f>
        <v>162.89288193181713</v>
      </c>
      <c r="J114" s="100">
        <f>SUM(AZ$87:AZ$94)+SUM(BB$87:BB$94)+SUM(BD$87:BD$94)+SUM(BF$87:BF$94)</f>
        <v>131.31501039932635</v>
      </c>
      <c r="K114" s="100">
        <f>SUM(BH$87:BH$94)+SUM(BJ$87:BJ$94)+SUM(BL$87:BL$94)+SUM(BN$87:BN$94)</f>
        <v>175.5669138497914</v>
      </c>
      <c r="L114" s="100">
        <f>SUM(BP$87:BP$94)+SUM(BR$87:BR$94)+SUM(BT$87:BT$94)+SUM(BV$87:BV$94)</f>
        <v>176.10162367927592</v>
      </c>
      <c r="M114" s="100">
        <f>SUM(BX$87:BX$94)+SUM(BZ$87:BZ$94)+SUM(CB$87:CB$94)+SUM(CD$87:CD$94)</f>
        <v>146.4160004854802</v>
      </c>
      <c r="N114" s="100">
        <f>SUM(CF$87:CF$94)+SUM(CH$87:CH$94)+SUM(CJ$87:CJ$94)+SUM(CL$87:CL$94)</f>
        <v>168.86798261940947</v>
      </c>
      <c r="O114" s="100">
        <f>SUM(CN$87:CN$94)+SUM(CP$87:CP$94)+SUM(CR$87:CR$94)+SUM(CT$87:CT$94)</f>
        <v>124.72109986509261</v>
      </c>
    </row>
    <row r="115" spans="2:15">
      <c r="C115" s="99" t="s">
        <v>132</v>
      </c>
      <c r="D115" s="100">
        <f>SUM(D$95:D$105)+SUM(F$95:F$105)+SUM(H$95:H$105)+SUM(J$95:J$105)</f>
        <v>273.61574535136992</v>
      </c>
      <c r="E115" s="100">
        <f>SUM(L$95:L$105)+SUM(N$95:N$105)+SUM(P$95:P$105)+SUM(R$95:R$105)</f>
        <v>319.38900939669736</v>
      </c>
      <c r="F115" s="100">
        <f>SUM(T$95:T$105)+SUM(V$95:V$105)+SUM(X$95:X$105)+SUM(Z$95:Z$105)</f>
        <v>301.05727924457847</v>
      </c>
      <c r="G115" s="100">
        <f>SUM(AB$95:AB$105)+SUM(AD$95:AD$105)+SUM(AF$95:AF$105)+SUM(AH$95:AH$105)</f>
        <v>207.90489536984057</v>
      </c>
      <c r="H115" s="100">
        <f>SUM(AJ$95:AJ$105)+SUM(AL$95:AL$105)+SUM(AN$95:AN$105)+SUM(AP$95:AP$105)</f>
        <v>201.54891981726698</v>
      </c>
      <c r="I115" s="100">
        <f>SUM(AR$95:AR$105)+SUM(AT$95:AT$105)+SUM(AV$95:AV$105)+SUM(AX$95:AX$105)</f>
        <v>212.16268256270868</v>
      </c>
      <c r="J115" s="100">
        <f>SUM(AZ$95:AZ$105)+SUM(BB$95:BB$105)+SUM(BD$95:BD$105)+SUM(BF$95:BF$105)</f>
        <v>260.21944283035407</v>
      </c>
      <c r="K115" s="100">
        <f>SUM(BH$95:BH$105)+SUM(BJ$95:BJ$105)+SUM(BL$95:BL$105)+SUM(BN$95:BN$105)</f>
        <v>376.42291704682629</v>
      </c>
      <c r="L115" s="100">
        <f>SUM(BP$95:BP$105)+SUM(BR$95:BR$105)+SUM(BT$95:BT$105)+SUM(BV$95:BV$105)</f>
        <v>296.32852862974858</v>
      </c>
      <c r="M115" s="100">
        <f>SUM(BX$95:BX$105)+SUM(BZ$95:BZ$105)+SUM(CB$95:CB$105)+SUM(CD$95:CD$105)</f>
        <v>332.95805129404204</v>
      </c>
      <c r="N115" s="100">
        <f>SUM(CF$95:CF$105)+SUM(CH$95:CH$105)+SUM(CJ$95:CJ$105)+SUM(CL$95:CL$105)</f>
        <v>304.32957288228812</v>
      </c>
      <c r="O115" s="100">
        <f>SUM(CN$95:CN$105)+SUM(CP$95:CP$105)+SUM(CR$95:CR$105)+SUM(CT$95:CT$105)</f>
        <v>226.37983702143003</v>
      </c>
    </row>
    <row r="116" spans="2:15">
      <c r="C116" s="99" t="s">
        <v>278</v>
      </c>
      <c r="D116" s="100">
        <f t="shared" ref="D116:O116" si="0">SUM(D$109:D$115)</f>
        <v>2621.8811021121837</v>
      </c>
      <c r="E116" s="100">
        <f t="shared" si="0"/>
        <v>3033.9085279662859</v>
      </c>
      <c r="F116" s="100">
        <f t="shared" si="0"/>
        <v>2802.1137053279454</v>
      </c>
      <c r="G116" s="100">
        <f t="shared" si="0"/>
        <v>2127.2500694857117</v>
      </c>
      <c r="H116" s="100">
        <f t="shared" si="0"/>
        <v>2625.0971261903742</v>
      </c>
      <c r="I116" s="100">
        <f t="shared" si="0"/>
        <v>2728.1316565029888</v>
      </c>
      <c r="J116" s="100">
        <f t="shared" si="0"/>
        <v>2733.102868388371</v>
      </c>
      <c r="K116" s="100">
        <f t="shared" si="0"/>
        <v>2508.6212545174735</v>
      </c>
      <c r="L116" s="100">
        <f t="shared" si="0"/>
        <v>2808.1018702220008</v>
      </c>
      <c r="M116" s="100">
        <f t="shared" si="0"/>
        <v>2965.6085001565739</v>
      </c>
      <c r="N116" s="100">
        <f t="shared" si="0"/>
        <v>2984.4759374838345</v>
      </c>
      <c r="O116" s="100">
        <f t="shared" si="0"/>
        <v>1956.4104105603355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1676933.0095452145</v>
      </c>
      <c r="E120" s="100">
        <f>E109*pricing!E33*2000</f>
        <v>1760209.6424485659</v>
      </c>
      <c r="F120" s="100">
        <f>F109*pricing!F33*2000</f>
        <v>1985076.2104367709</v>
      </c>
      <c r="G120" s="100">
        <f>G109*pricing!G33*2000</f>
        <v>1202415.5687504201</v>
      </c>
      <c r="H120" s="100">
        <f>H109*pricing!H33*2000</f>
        <v>1728149.5531819097</v>
      </c>
      <c r="I120" s="100">
        <f>I109*pricing!I33*2000</f>
        <v>2191891.3561170748</v>
      </c>
      <c r="J120" s="100">
        <f>J109*pricing!J33*2000</f>
        <v>1602769.1834105558</v>
      </c>
      <c r="K120" s="100">
        <f>K109*pricing!K33*2000</f>
        <v>1656916.7474444844</v>
      </c>
      <c r="L120" s="100">
        <f>L109*pricing!L33*2000</f>
        <v>1677154.5293319474</v>
      </c>
      <c r="M120" s="100">
        <f>M109*pricing!M33*2000</f>
        <v>2177137.494448191</v>
      </c>
      <c r="N120" s="100">
        <f>N109*pricing!N33*2000</f>
        <v>1980026.3894754753</v>
      </c>
      <c r="O120" s="100">
        <f>O109*pricing!O33*2000</f>
        <v>1315501.4466999609</v>
      </c>
    </row>
    <row r="121" spans="2:15">
      <c r="C121" s="99" t="s">
        <v>127</v>
      </c>
      <c r="D121" s="100">
        <f>D110*pricing!D34*2000</f>
        <v>1944065.0359387223</v>
      </c>
      <c r="E121" s="100">
        <f>E110*pricing!E34*2000</f>
        <v>2348612.2861101329</v>
      </c>
      <c r="F121" s="100">
        <f>F110*pricing!F34*2000</f>
        <v>2569755.7642077063</v>
      </c>
      <c r="G121" s="100">
        <f>G110*pricing!G34*2000</f>
        <v>1739562.5016785909</v>
      </c>
      <c r="H121" s="100">
        <f>H110*pricing!H34*2000</f>
        <v>2758954.7458100207</v>
      </c>
      <c r="I121" s="100">
        <f>I110*pricing!I34*2000</f>
        <v>2152680.5531578502</v>
      </c>
      <c r="J121" s="100">
        <f>J110*pricing!J34*2000</f>
        <v>2453853.8416810716</v>
      </c>
      <c r="K121" s="100">
        <f>K110*pricing!K34*2000</f>
        <v>2006234.3265406049</v>
      </c>
      <c r="L121" s="100">
        <f>L110*pricing!L34*2000</f>
        <v>2592126.4788238662</v>
      </c>
      <c r="M121" s="100">
        <f>M110*pricing!M34*2000</f>
        <v>2297510.8224889925</v>
      </c>
      <c r="N121" s="100">
        <f>N110*pricing!N34*2000</f>
        <v>2487522.5009554932</v>
      </c>
      <c r="O121" s="100">
        <f>O110*pricing!O34*2000</f>
        <v>1453704.9504561624</v>
      </c>
    </row>
    <row r="122" spans="2:15">
      <c r="C122" s="99" t="s">
        <v>128</v>
      </c>
      <c r="D122" s="100">
        <f>D111*pricing!D35*2000</f>
        <v>2563481.7080977769</v>
      </c>
      <c r="E122" s="100">
        <f>E111*pricing!E35*2000</f>
        <v>3045342.8473329064</v>
      </c>
      <c r="F122" s="100">
        <f>F111*pricing!F35*2000</f>
        <v>2672470.4612267707</v>
      </c>
      <c r="G122" s="100">
        <f>G111*pricing!G35*2000</f>
        <v>2069251.3204260513</v>
      </c>
      <c r="H122" s="100">
        <f>H111*pricing!H35*2000</f>
        <v>2756630.4133198718</v>
      </c>
      <c r="I122" s="100">
        <f>I111*pricing!I35*2000</f>
        <v>2541857.3702925728</v>
      </c>
      <c r="J122" s="100">
        <f>J111*pricing!J35*2000</f>
        <v>2461989.6686483249</v>
      </c>
      <c r="K122" s="100">
        <f>K111*pricing!K35*2000</f>
        <v>2088746.3035594227</v>
      </c>
      <c r="L122" s="100">
        <f>L111*pricing!L35*2000</f>
        <v>2354479.9329387867</v>
      </c>
      <c r="M122" s="100">
        <f>M111*pricing!M35*2000</f>
        <v>2965459.289591223</v>
      </c>
      <c r="N122" s="100">
        <f>N111*pricing!N35*2000</f>
        <v>2787056.4753100458</v>
      </c>
      <c r="O122" s="100">
        <f>O111*pricing!O35*2000</f>
        <v>1725777.59995759</v>
      </c>
    </row>
    <row r="123" spans="2:15">
      <c r="C123" s="99" t="s">
        <v>129</v>
      </c>
      <c r="D123" s="100">
        <f>D112*pricing!D36*2000</f>
        <v>2946532.9224577071</v>
      </c>
      <c r="E123" s="100">
        <f>E112*pricing!E36*2000</f>
        <v>3394290.4507014258</v>
      </c>
      <c r="F123" s="100">
        <f>F112*pricing!F36*2000</f>
        <v>2669399.2968713404</v>
      </c>
      <c r="G123" s="100">
        <f>G112*pricing!G36*2000</f>
        <v>2431362.8932864321</v>
      </c>
      <c r="H123" s="100">
        <f>H112*pricing!H36*2000</f>
        <v>3245711.0875165337</v>
      </c>
      <c r="I123" s="100">
        <f>I112*pricing!I36*2000</f>
        <v>3139213.4236068889</v>
      </c>
      <c r="J123" s="100">
        <f>J112*pricing!J36*2000</f>
        <v>3262009.3179400791</v>
      </c>
      <c r="K123" s="100">
        <f>K112*pricing!K36*2000</f>
        <v>2271733.1118105124</v>
      </c>
      <c r="L123" s="100">
        <f>L112*pricing!L36*2000</f>
        <v>2954900.5557137816</v>
      </c>
      <c r="M123" s="100">
        <f>M112*pricing!M36*2000</f>
        <v>2721283.1931095696</v>
      </c>
      <c r="N123" s="100">
        <f>N112*pricing!N36*2000</f>
        <v>3059300.788786035</v>
      </c>
      <c r="O123" s="100">
        <f>O112*pricing!O36*2000</f>
        <v>1855621.0630209693</v>
      </c>
    </row>
    <row r="124" spans="2:15">
      <c r="C124" s="99" t="s">
        <v>130</v>
      </c>
      <c r="D124" s="100">
        <f>D113*pricing!D37*2000</f>
        <v>1724802.40020555</v>
      </c>
      <c r="E124" s="100">
        <f>E113*pricing!E37*2000</f>
        <v>2087640.9794032506</v>
      </c>
      <c r="F124" s="100">
        <f>F113*pricing!F37*2000</f>
        <v>1658309.1734008673</v>
      </c>
      <c r="G124" s="100">
        <f>G113*pricing!G37*2000</f>
        <v>1368275.724171153</v>
      </c>
      <c r="H124" s="100">
        <f>H113*pricing!H37*2000</f>
        <v>955529.62489330641</v>
      </c>
      <c r="I124" s="100">
        <f>I113*pricing!I37*2000</f>
        <v>1655028.9400501053</v>
      </c>
      <c r="J124" s="100">
        <f>J113*pricing!J37*2000</f>
        <v>1798798.2886802671</v>
      </c>
      <c r="K124" s="100">
        <f>K113*pricing!K37*2000</f>
        <v>1681719.5120355203</v>
      </c>
      <c r="L124" s="100">
        <f>L113*pricing!L37*2000</f>
        <v>1987635.6304188492</v>
      </c>
      <c r="M124" s="100">
        <f>M113*pricing!M37*2000</f>
        <v>2160553.4532347224</v>
      </c>
      <c r="N124" s="100">
        <f>N113*pricing!N37*2000</f>
        <v>2124881.0637284219</v>
      </c>
      <c r="O124" s="100">
        <f>O113*pricing!O37*2000</f>
        <v>1625258.1309659046</v>
      </c>
    </row>
    <row r="125" spans="2:15">
      <c r="C125" s="99" t="s">
        <v>131</v>
      </c>
      <c r="D125" s="100">
        <f>D114*pricing!D38*2000</f>
        <v>864811.76171109546</v>
      </c>
      <c r="E125" s="100">
        <f>E114*pricing!E38*2000</f>
        <v>878651.09175614198</v>
      </c>
      <c r="F125" s="100">
        <f>F114*pricing!F38*2000</f>
        <v>920229.11229871958</v>
      </c>
      <c r="G125" s="100">
        <f>G114*pricing!G38*2000</f>
        <v>756151.20362176327</v>
      </c>
      <c r="H125" s="100">
        <f>H114*pricing!H38*2000</f>
        <v>540808.11049625999</v>
      </c>
      <c r="I125" s="100">
        <f>I114*pricing!I38*2000</f>
        <v>912200.13881817588</v>
      </c>
      <c r="J125" s="100">
        <f>J114*pricing!J38*2000</f>
        <v>735364.05823622749</v>
      </c>
      <c r="K125" s="100">
        <f>K114*pricing!K38*2000</f>
        <v>983174.71755883179</v>
      </c>
      <c r="L125" s="100">
        <f>L114*pricing!L38*2000</f>
        <v>986169.09260394506</v>
      </c>
      <c r="M125" s="100">
        <f>M114*pricing!M38*2000</f>
        <v>819929.60271868901</v>
      </c>
      <c r="N125" s="100">
        <f>N114*pricing!N38*2000</f>
        <v>945660.70266869303</v>
      </c>
      <c r="O125" s="100">
        <f>O114*pricing!O38*2000</f>
        <v>698438.15924451861</v>
      </c>
    </row>
    <row r="126" spans="2:15">
      <c r="C126" s="99" t="s">
        <v>132</v>
      </c>
      <c r="D126" s="100">
        <f>D115*pricing!D39*2000</f>
        <v>1422801.8758271236</v>
      </c>
      <c r="E126" s="100">
        <f>E115*pricing!E39*2000</f>
        <v>1660822.8488628264</v>
      </c>
      <c r="F126" s="100">
        <f>F115*pricing!F39*2000</f>
        <v>1565497.852071808</v>
      </c>
      <c r="G126" s="100">
        <f>G115*pricing!G39*2000</f>
        <v>1081105.455923171</v>
      </c>
      <c r="H126" s="100">
        <f>H115*pricing!H39*2000</f>
        <v>1048054.3830497884</v>
      </c>
      <c r="I126" s="100">
        <f>I115*pricing!I39*2000</f>
        <v>1103245.9493260852</v>
      </c>
      <c r="J126" s="100">
        <f>J115*pricing!J39*2000</f>
        <v>1353141.1027178413</v>
      </c>
      <c r="K126" s="100">
        <f>K115*pricing!K39*2000</f>
        <v>1957399.1686434967</v>
      </c>
      <c r="L126" s="100">
        <f>L115*pricing!L39*2000</f>
        <v>1540908.3488746926</v>
      </c>
      <c r="M126" s="100">
        <f>M115*pricing!M39*2000</f>
        <v>1731381.8667290185</v>
      </c>
      <c r="N126" s="100">
        <f>N115*pricing!N39*2000</f>
        <v>1582513.7789878985</v>
      </c>
      <c r="O126" s="100">
        <f>O115*pricing!O39*2000</f>
        <v>1177175.1525114363</v>
      </c>
    </row>
    <row r="127" spans="2:15">
      <c r="C127" s="99" t="s">
        <v>278</v>
      </c>
      <c r="D127" s="100">
        <f>SUM(D$120:D$126)</f>
        <v>13143428.713783192</v>
      </c>
      <c r="E127" s="100">
        <f t="shared" ref="E127:O127" si="1">SUM(E$120:E$126)</f>
        <v>15175570.146615252</v>
      </c>
      <c r="F127" s="100">
        <f t="shared" si="1"/>
        <v>14040737.870513985</v>
      </c>
      <c r="G127" s="100">
        <f t="shared" si="1"/>
        <v>10648124.667857584</v>
      </c>
      <c r="H127" s="100">
        <f t="shared" si="1"/>
        <v>13033837.91826769</v>
      </c>
      <c r="I127" s="100">
        <f t="shared" si="1"/>
        <v>13696117.731368752</v>
      </c>
      <c r="J127" s="100">
        <f t="shared" si="1"/>
        <v>13667925.461314367</v>
      </c>
      <c r="K127" s="100">
        <f t="shared" si="1"/>
        <v>12645923.887592873</v>
      </c>
      <c r="L127" s="100">
        <f t="shared" si="1"/>
        <v>14093374.568705868</v>
      </c>
      <c r="M127" s="100">
        <f t="shared" si="1"/>
        <v>14873255.722320408</v>
      </c>
      <c r="N127" s="100">
        <f t="shared" si="1"/>
        <v>14966961.699912064</v>
      </c>
      <c r="O127" s="100">
        <f t="shared" si="1"/>
        <v>9851476.5028565414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156211.63615022012</v>
      </c>
      <c r="E131" s="106">
        <f>SUM(M$6:M$19)+SUM(O$6:O$19)+SUM(Q$6:Q$19)+SUM(S$6:S$19)</f>
        <v>164087.4596348764</v>
      </c>
      <c r="F131" s="106">
        <f>SUM(U$6:U$19)+SUM(W$6:W$19)+SUM(Y$6:Y$19)+SUM(AA$6:AA$19)</f>
        <v>184767.50251919511</v>
      </c>
      <c r="G131" s="106">
        <f>SUM(AC$6:AC$19)+SUM(AE$6:AE$19)+SUM(AG$6:AG$19)+SUM(AI$6:AI$19)</f>
        <v>112372.56237675066</v>
      </c>
      <c r="H131" s="106">
        <f>SUM(AK$6:AK$19)+SUM(AM$6:AM$19)+SUM(AO$6:AO$19)+SUM(AQ$6:AQ$19)</f>
        <v>161413.65980416967</v>
      </c>
      <c r="I131" s="106">
        <f>SUM(AS$6:AS$19)+SUM(AU$6:AU$19)+SUM(AW$6:AW$19)+SUM(AY$6:AY$19)</f>
        <v>204444.83438222771</v>
      </c>
      <c r="J131" s="106">
        <f>SUM(BA$6:BA$19)+SUM(BC$6:BC$19)+SUM(BE$6:BE$19)+SUM(BG$6:BG$19)</f>
        <v>150111.02644537014</v>
      </c>
      <c r="K131" s="106">
        <f>SUM(BI$6:BI$19)+SUM(BK$6:BK$19)+SUM(BM$6:BM$19)+SUM(BO$6:BO$19)</f>
        <v>154892.02050158425</v>
      </c>
      <c r="L131" s="106">
        <f>SUM(BQ$6:BQ$19)+SUM(BS$6:BS$19)+SUM(BU$6:BU$19)+SUM(BW$6:BW$19)</f>
        <v>155854.23152536404</v>
      </c>
      <c r="M131" s="106">
        <f>SUM(BY$6:BY$19)+SUM(CA$6:CA$19)+SUM(CC$6:CC$19)+SUM(CE$6:CE$19)</f>
        <v>202705.86718439229</v>
      </c>
      <c r="N131" s="106">
        <f>SUM(CG$6:CG$19)+SUM(CI$6:CI$19)+SUM(CK$6:CK$19)+SUM(CM$6:CM$19)</f>
        <v>184032.01631325463</v>
      </c>
      <c r="O131" s="106">
        <f>SUM(CO$6:CO$19)+SUM(CQ$6:CQ$19)+SUM(CS$6:CS$19)+SUM(CU$6:CU$19)</f>
        <v>122134.61365194048</v>
      </c>
    </row>
    <row r="132" spans="2:15">
      <c r="C132" s="105" t="s">
        <v>127</v>
      </c>
      <c r="D132" s="106">
        <f>SUM(E$20:E$36)+SUM(G$20:G$36)+SUM(I$20:I$36)+SUM(K$20:K$36)</f>
        <v>172415.09784340311</v>
      </c>
      <c r="E132" s="106">
        <f>SUM(M$20:M$36)+SUM(O$20:O$36)+SUM(Q$20:Q$36)+SUM(S$20:S$36)</f>
        <v>207113.33067635563</v>
      </c>
      <c r="F132" s="106">
        <f>SUM(U$20:U$36)+SUM(W$20:W$36)+SUM(Y$20:Y$36)+SUM(AA$20:AA$36)</f>
        <v>229401.67938478533</v>
      </c>
      <c r="G132" s="106">
        <f>SUM(AC$20:AC$36)+SUM(AE$20:AE$36)+SUM(AG$20:AG$36)+SUM(AI$20:AI$36)</f>
        <v>154006.20142228363</v>
      </c>
      <c r="H132" s="106">
        <f>SUM(AK$20:AK$36)+SUM(AM$20:AM$36)+SUM(AO$20:AO$36)+SUM(AQ$20:AQ$36)</f>
        <v>246647.14988331799</v>
      </c>
      <c r="I132" s="106">
        <f>SUM(AS$20:AS$36)+SUM(AU$20:AU$36)+SUM(AW$20:AW$36)+SUM(AY$20:AY$36)</f>
        <v>192531.05560017587</v>
      </c>
      <c r="J132" s="106">
        <f>SUM(BA$20:BA$36)+SUM(BC$20:BC$36)+SUM(BE$20:BE$36)+SUM(BG$20:BG$36)</f>
        <v>219373.06637250973</v>
      </c>
      <c r="K132" s="106">
        <f>SUM(BI$20:BI$36)+SUM(BK$20:BK$36)+SUM(BM$20:BM$36)+SUM(BO$20:BO$36)</f>
        <v>178222.13490165491</v>
      </c>
      <c r="L132" s="106">
        <f>SUM(BQ$20:BQ$36)+SUM(BS$20:BS$36)+SUM(BU$20:BU$36)+SUM(BW$20:BW$36)</f>
        <v>231939.88280547925</v>
      </c>
      <c r="M132" s="106">
        <f>SUM(BY$20:BY$36)+SUM(CA$20:CA$36)+SUM(CC$20:CC$36)+SUM(CE$20:CE$36)</f>
        <v>203042.57863280436</v>
      </c>
      <c r="N132" s="106">
        <f>SUM(CG$20:CG$36)+SUM(CI$20:CI$36)+SUM(CK$20:CK$36)+SUM(CM$20:CM$36)</f>
        <v>221315.66304067138</v>
      </c>
      <c r="O132" s="106">
        <f>SUM(CO$20:CO$36)+SUM(CQ$20:CQ$36)+SUM(CS$20:CS$36)+SUM(CU$20:CU$36)</f>
        <v>129208.00839661052</v>
      </c>
    </row>
    <row r="133" spans="2:15">
      <c r="C133" s="105" t="s">
        <v>128</v>
      </c>
      <c r="D133" s="106">
        <f>SUM(E$37:E$48)+SUM(G$37:G$48)+SUM(I$37:I$48)+SUM(K$37:K$48)</f>
        <v>582887.69749443722</v>
      </c>
      <c r="E133" s="106">
        <f>SUM(M$37:M$48)+SUM(O$37:O$48)+SUM(Q$37:Q$48)+SUM(S$37:S$48)</f>
        <v>694068.21486007352</v>
      </c>
      <c r="F133" s="106">
        <f>SUM(U$37:U$48)+SUM(W$37:W$48)+SUM(Y$37:Y$48)+SUM(AA$37:AA$48)</f>
        <v>610740.67663780227</v>
      </c>
      <c r="G133" s="106">
        <f>SUM(AC$37:AC$48)+SUM(AE$37:AE$48)+SUM(AG$37:AG$48)+SUM(AI$37:AI$48)</f>
        <v>471934.22312512709</v>
      </c>
      <c r="H133" s="106">
        <f>SUM(AK$37:AK$48)+SUM(AM$37:AM$48)+SUM(AO$37:AO$48)+SUM(AQ$37:AQ$48)</f>
        <v>630169.92890294991</v>
      </c>
      <c r="I133" s="106">
        <f>SUM(AS$37:AS$48)+SUM(AU$37:AU$48)+SUM(AW$37:AW$48)+SUM(AY$37:AY$48)</f>
        <v>578467.60006383841</v>
      </c>
      <c r="J133" s="106">
        <f>SUM(BA$37:BA$48)+SUM(BC$37:BC$48)+SUM(BE$37:BE$48)+SUM(BG$37:BG$48)</f>
        <v>562890.45082628215</v>
      </c>
      <c r="K133" s="106">
        <f>SUM(BI$37:BI$48)+SUM(BK$37:BK$48)+SUM(BM$37:BM$48)+SUM(BO$37:BO$48)</f>
        <v>474935.14808654191</v>
      </c>
      <c r="L133" s="106">
        <f>SUM(BQ$37:BQ$48)+SUM(BS$37:BS$48)+SUM(BU$37:BU$48)+SUM(BW$37:BW$48)</f>
        <v>535517.25746680156</v>
      </c>
      <c r="M133" s="106">
        <f>SUM(BY$37:BY$48)+SUM(CA$37:CA$48)+SUM(CC$37:CC$48)+SUM(CE$37:CE$48)</f>
        <v>675603.35377230239</v>
      </c>
      <c r="N133" s="106">
        <f>SUM(CG$37:CG$48)+SUM(CI$37:CI$48)+SUM(CK$37:CK$48)+SUM(CM$37:CM$48)</f>
        <v>636034.69415540108</v>
      </c>
      <c r="O133" s="106">
        <f>SUM(CO$37:CO$48)+SUM(CQ$37:CQ$48)+SUM(CS$37:CS$48)+SUM(CU$37:CU$48)</f>
        <v>393656.12058905087</v>
      </c>
    </row>
    <row r="134" spans="2:15">
      <c r="C134" s="105" t="s">
        <v>129</v>
      </c>
      <c r="D134" s="106">
        <f>SUM(E$49:E$70)+SUM(G$49:G$70)+SUM(I$49:I$70)+SUM(K$49:K$70)</f>
        <v>489399.20534513291</v>
      </c>
      <c r="E134" s="106">
        <f>SUM(M$49:M$70)+SUM(O$49:O$70)+SUM(Q$49:Q$70)+SUM(S$49:S$70)</f>
        <v>566673.468787238</v>
      </c>
      <c r="F134" s="106">
        <f>SUM(U$49:U$70)+SUM(W$49:W$70)+SUM(Y$49:Y$70)+SUM(AA$49:AA$70)</f>
        <v>452456.17383444397</v>
      </c>
      <c r="G134" s="106">
        <f>SUM(AC$49:AC$70)+SUM(AE$49:AE$70)+SUM(AG$49:AG$70)+SUM(AI$49:AI$70)</f>
        <v>407325.04604185949</v>
      </c>
      <c r="H134" s="106">
        <f>SUM(AK$49:AK$70)+SUM(AM$49:AM$70)+SUM(AO$49:AO$70)+SUM(AQ$49:AQ$70)</f>
        <v>522253.56591120944</v>
      </c>
      <c r="I134" s="106">
        <f>SUM(AS$49:AS$70)+SUM(AU$49:AU$70)+SUM(AW$49:AW$70)+SUM(AY$49:AY$70)</f>
        <v>522797.54042193922</v>
      </c>
      <c r="J134" s="106">
        <f>SUM(BA$49:BA$70)+SUM(BC$49:BC$70)+SUM(BE$49:BE$70)+SUM(BG$49:BG$70)</f>
        <v>539535.42348091223</v>
      </c>
      <c r="K134" s="106">
        <f>SUM(BI$49:BI$70)+SUM(BK$49:BK$70)+SUM(BM$49:BM$70)+SUM(BO$49:BO$70)</f>
        <v>383606.64657838858</v>
      </c>
      <c r="L134" s="106">
        <f>SUM(BQ$49:BQ$70)+SUM(BS$49:BS$70)+SUM(BU$49:BU$70)+SUM(BW$49:BW$70)</f>
        <v>496062.07089198497</v>
      </c>
      <c r="M134" s="106">
        <f>SUM(BY$49:BY$70)+SUM(CA$49:CA$70)+SUM(CC$49:CC$70)+SUM(CE$49:CE$70)</f>
        <v>454819.77485985053</v>
      </c>
      <c r="N134" s="106">
        <f>SUM(CG$49:CG$70)+SUM(CI$49:CI$70)+SUM(CK$49:CK$70)+SUM(CM$49:CM$70)</f>
        <v>505457.71412049077</v>
      </c>
      <c r="O134" s="106">
        <f>SUM(CO$49:CO$70)+SUM(CQ$49:CQ$70)+SUM(CS$49:CS$70)+SUM(CU$49:CU$70)</f>
        <v>319832.21036834852</v>
      </c>
    </row>
    <row r="135" spans="2:15">
      <c r="C135" s="105" t="s">
        <v>130</v>
      </c>
      <c r="D135" s="106">
        <f>SUM(E$71:E$86)+SUM(G$71:G$86)+SUM(I$71:I$86)+SUM(K$71:K$86)</f>
        <v>185150.42080930041</v>
      </c>
      <c r="E135" s="106">
        <f>SUM(M$71:M$86)+SUM(O$71:O$86)+SUM(Q$71:Q$86)+SUM(S$71:S$86)</f>
        <v>225038.7727201021</v>
      </c>
      <c r="F135" s="106">
        <f>SUM(U$71:U$86)+SUM(W$71:W$86)+SUM(Y$71:Y$86)+SUM(AA$71:AA$86)</f>
        <v>176480.77898947964</v>
      </c>
      <c r="G135" s="106">
        <f>SUM(AC$71:AC$86)+SUM(AE$71:AE$86)+SUM(AG$71:AG$86)+SUM(AI$71:AI$86)</f>
        <v>146860.3764312701</v>
      </c>
      <c r="H135" s="106">
        <f>SUM(AK$71:AK$86)+SUM(AM$71:AM$86)+SUM(AO$71:AO$86)+SUM(AQ$71:AQ$86)</f>
        <v>102926.86341595987</v>
      </c>
      <c r="I135" s="106">
        <f>SUM(AS$71:AS$86)+SUM(AU$71:AU$86)+SUM(AW$71:AW$86)+SUM(AY$71:AY$86)</f>
        <v>176790.3005199891</v>
      </c>
      <c r="J135" s="106">
        <f>SUM(BA$71:BA$86)+SUM(BC$71:BC$86)+SUM(BE$71:BE$86)+SUM(BG$71:BG$86)</f>
        <v>191881.27664769575</v>
      </c>
      <c r="K135" s="106">
        <f>SUM(BI$71:BI$86)+SUM(BK$71:BK$86)+SUM(BM$71:BM$86)+SUM(BO$71:BO$86)</f>
        <v>180292.01786953263</v>
      </c>
      <c r="L135" s="106">
        <f>SUM(BQ$71:BQ$86)+SUM(BS$71:BS$86)+SUM(BU$71:BU$86)+SUM(BW$71:BW$86)</f>
        <v>213106.93430309911</v>
      </c>
      <c r="M135" s="106">
        <f>SUM(BY$71:BY$86)+SUM(CA$71:CA$86)+SUM(CC$71:CC$86)+SUM(CE$71:CE$86)</f>
        <v>230932.5861203825</v>
      </c>
      <c r="N135" s="106">
        <f>SUM(CG$71:CG$86)+SUM(CI$71:CI$86)+SUM(CK$71:CK$86)+SUM(CM$71:CM$86)</f>
        <v>228245.33066608701</v>
      </c>
      <c r="O135" s="106">
        <f>SUM(CO$71:CO$86)+SUM(CQ$71:CQ$86)+SUM(CS$71:CS$86)+SUM(CU$71:CU$86)</f>
        <v>174388.20397299971</v>
      </c>
    </row>
    <row r="136" spans="2:15">
      <c r="C136" s="105" t="s">
        <v>131</v>
      </c>
      <c r="D136" s="106">
        <f>SUM(E$87:E$94)+SUM(G$87:G$94)+SUM(I$87:I$94)+SUM(K$87:K$94)</f>
        <v>154217.73074714391</v>
      </c>
      <c r="E136" s="106">
        <f>SUM(M$87:M$94)+SUM(O$87:O$94)+SUM(Q$87:Q$94)+SUM(S$87:S$94)</f>
        <v>157498.82633824047</v>
      </c>
      <c r="F136" s="106">
        <f>SUM(U$87:U$94)+SUM(W$87:W$94)+SUM(Y$87:Y$94)+SUM(AA$87:AA$94)</f>
        <v>164845.60912356569</v>
      </c>
      <c r="G136" s="106">
        <f>SUM(AC$87:AC$94)+SUM(AE$87:AE$94)+SUM(AG$87:AG$94)+SUM(AI$87:AI$94)</f>
        <v>135938.59825117615</v>
      </c>
      <c r="H136" s="106">
        <f>SUM(AK$87:AK$94)+SUM(AM$87:AM$94)+SUM(AO$87:AO$94)+SUM(AQ$87:AQ$94)</f>
        <v>96701.048862429932</v>
      </c>
      <c r="I136" s="106">
        <f>SUM(AS$87:AS$94)+SUM(AU$87:AU$94)+SUM(AW$87:AW$94)+SUM(AY$87:AY$94)</f>
        <v>162834.15183384423</v>
      </c>
      <c r="J136" s="106">
        <f>SUM(BA$87:BA$94)+SUM(BC$87:BC$94)+SUM(BE$87:BE$94)+SUM(BG$87:BG$94)</f>
        <v>131854.6209158951</v>
      </c>
      <c r="K136" s="106">
        <f>SUM(BI$87:BI$94)+SUM(BK$87:BK$94)+SUM(BM$87:BM$94)+SUM(BO$87:BO$94)</f>
        <v>175849.99352685479</v>
      </c>
      <c r="L136" s="106">
        <f>SUM(BQ$87:BQ$94)+SUM(BS$87:BS$94)+SUM(BU$87:BU$94)+SUM(BW$87:BW$94)</f>
        <v>176755.56218982619</v>
      </c>
      <c r="M136" s="106">
        <f>SUM(BY$87:BY$94)+SUM(CA$87:CA$94)+SUM(CC$87:CC$94)+SUM(CE$87:CE$94)</f>
        <v>146821.65951811222</v>
      </c>
      <c r="N136" s="106">
        <f>SUM(CG$87:CG$94)+SUM(CI$87:CI$94)+SUM(CK$87:CK$94)+SUM(CM$87:CM$94)</f>
        <v>170260.37835968769</v>
      </c>
      <c r="O136" s="106">
        <f>SUM(CO$87:CO$94)+SUM(CQ$87:CQ$94)+SUM(CS$87:CS$94)+SUM(CU$87:CU$94)</f>
        <v>125280.7534120598</v>
      </c>
    </row>
    <row r="137" spans="2:15">
      <c r="C137" s="105" t="s">
        <v>132</v>
      </c>
      <c r="D137" s="106">
        <f>SUM(E$95:E$105)+SUM(G$95:G$105)+SUM(I$95:I$105)+SUM(K$95:K$105)</f>
        <v>215161.01217160045</v>
      </c>
      <c r="E137" s="106">
        <f>SUM(M$95:M$105)+SUM(O$95:O$105)+SUM(Q$95:Q$105)+SUM(S$95:S$105)</f>
        <v>248039.77643018038</v>
      </c>
      <c r="F137" s="106">
        <f>SUM(U$95:U$105)+SUM(W$95:W$105)+SUM(Y$95:Y$105)+SUM(AA$95:AA$105)</f>
        <v>234638.07960661664</v>
      </c>
      <c r="G137" s="106">
        <f>SUM(AC$95:AC$105)+SUM(AE$95:AE$105)+SUM(AG$95:AG$105)+SUM(AI$95:AI$105)</f>
        <v>163172.40356831171</v>
      </c>
      <c r="H137" s="106">
        <f>SUM(AK$95:AK$105)+SUM(AM$95:AM$105)+SUM(AO$95:AO$105)+SUM(AQ$95:AQ$105)</f>
        <v>158245.41832659752</v>
      </c>
      <c r="I137" s="106">
        <f>SUM(AS$95:AS$105)+SUM(AU$95:AU$105)+SUM(AW$95:AW$105)+SUM(AY$95:AY$105)</f>
        <v>159181.73578117671</v>
      </c>
      <c r="J137" s="106">
        <f>SUM(BA$95:BA$105)+SUM(BC$95:BC$105)+SUM(BE$95:BE$105)+SUM(BG$95:BG$105)</f>
        <v>205387.45754344892</v>
      </c>
      <c r="K137" s="106">
        <f>SUM(BI$95:BI$105)+SUM(BK$95:BK$105)+SUM(BM$95:BM$105)+SUM(BO$95:BO$105)</f>
        <v>295664.98213439219</v>
      </c>
      <c r="L137" s="106">
        <f>SUM(BQ$95:BQ$105)+SUM(BS$95:BS$105)+SUM(BU$95:BU$105)+SUM(BW$95:BW$105)</f>
        <v>227141.21548513611</v>
      </c>
      <c r="M137" s="106">
        <f>SUM(BY$95:BY$105)+SUM(CA$95:CA$105)+SUM(CC$95:CC$105)+SUM(CE$95:CE$105)</f>
        <v>257079.58855445351</v>
      </c>
      <c r="N137" s="106">
        <f>SUM(CG$95:CG$105)+SUM(CI$95:CI$105)+SUM(CK$95:CK$105)+SUM(CM$95:CM$105)</f>
        <v>240670.63784461498</v>
      </c>
      <c r="O137" s="106">
        <f>SUM(CO$95:CO$105)+SUM(CQ$95:CQ$105)+SUM(CS$95:CS$105)+SUM(CU$95:CU$105)</f>
        <v>175963.47951318629</v>
      </c>
    </row>
    <row r="138" spans="2:15">
      <c r="C138" s="105" t="s">
        <v>278</v>
      </c>
      <c r="D138" s="100">
        <f t="shared" ref="D138:O138" si="2">SUM(D$131:D$137)</f>
        <v>1955442.8005612381</v>
      </c>
      <c r="E138" s="100">
        <f t="shared" si="2"/>
        <v>2262519.8494470664</v>
      </c>
      <c r="F138" s="100">
        <f t="shared" si="2"/>
        <v>2053330.5000958887</v>
      </c>
      <c r="G138" s="100">
        <f t="shared" si="2"/>
        <v>1591609.4112167787</v>
      </c>
      <c r="H138" s="100">
        <f t="shared" si="2"/>
        <v>1918357.6351066343</v>
      </c>
      <c r="I138" s="100">
        <f t="shared" si="2"/>
        <v>1997047.2186031912</v>
      </c>
      <c r="J138" s="100">
        <f t="shared" si="2"/>
        <v>2001033.3222321142</v>
      </c>
      <c r="K138" s="100">
        <f t="shared" si="2"/>
        <v>1843462.9435989494</v>
      </c>
      <c r="L138" s="100">
        <f t="shared" si="2"/>
        <v>2036377.1546676911</v>
      </c>
      <c r="M138" s="100">
        <f t="shared" si="2"/>
        <v>2171005.4086422976</v>
      </c>
      <c r="N138" s="100">
        <f t="shared" si="2"/>
        <v>2186016.4345002077</v>
      </c>
      <c r="O138" s="100">
        <f t="shared" si="2"/>
        <v>1440463.3899041961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2015-01-12T18:39:15Z</dcterms:modified>
</cp:coreProperties>
</file>